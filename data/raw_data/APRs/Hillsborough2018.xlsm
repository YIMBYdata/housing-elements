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W:\PLANNING\General Plan\"/>
    </mc:Choice>
  </mc:AlternateContent>
  <workbookProtection lockStructure="1"/>
  <bookViews>
    <workbookView xWindow="0" yWindow="0" windowWidth="17970" windowHeight="603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A2'!#REF!</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C14" i="11" s="1"/>
  <c r="K12" i="1"/>
  <c r="C13" i="11" s="1"/>
  <c r="J12" i="1"/>
  <c r="C12" i="11" s="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s="1"/>
  <c r="P69" i="2"/>
  <c r="P68" i="2"/>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C5" i="2"/>
  <c r="C5" i="13" s="1"/>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C12" i="13"/>
  <c r="C19" i="13" s="1"/>
  <c r="B38" i="11"/>
  <c r="C38" i="11"/>
  <c r="B40" i="11"/>
  <c r="D40" i="11" s="1"/>
  <c r="B37" i="11"/>
  <c r="C37" i="11"/>
  <c r="C14" i="13"/>
  <c r="C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D14" i="13" s="1"/>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16" i="13"/>
  <c r="D30" i="11" l="1"/>
  <c r="D29" i="11"/>
  <c r="D22" i="11"/>
  <c r="P12" i="2"/>
  <c r="D23" i="11" s="1"/>
  <c r="R12" i="2"/>
  <c r="D25" i="11" s="1"/>
  <c r="P12" i="1"/>
  <c r="D39" i="11"/>
  <c r="D38" i="11"/>
  <c r="Y12" i="1"/>
  <c r="B41" i="11"/>
  <c r="C17" i="11"/>
  <c r="C41" i="11"/>
  <c r="D37" i="11"/>
  <c r="D18" i="13"/>
  <c r="D13" i="13"/>
  <c r="E11" i="13"/>
  <c r="D17" i="13"/>
  <c r="D15" i="13"/>
  <c r="D12" i="13"/>
  <c r="D41" i="11" l="1"/>
  <c r="E16" i="13"/>
  <c r="E15" i="13"/>
  <c r="E13" i="13"/>
  <c r="E17" i="13"/>
  <c r="E18" i="13"/>
  <c r="F11" i="13"/>
  <c r="D20" i="13"/>
  <c r="F12" i="13" l="1"/>
  <c r="F16" i="13"/>
  <c r="F18" i="13"/>
  <c r="F15" i="13"/>
  <c r="G11" i="13"/>
  <c r="F13" i="13"/>
  <c r="F17" i="13"/>
  <c r="F14" i="13"/>
  <c r="E20" i="13"/>
  <c r="G17" i="13" l="1"/>
  <c r="H11" i="13"/>
  <c r="G14" i="13"/>
  <c r="G12" i="13"/>
  <c r="G18" i="13"/>
  <c r="G16" i="13"/>
  <c r="G15" i="13"/>
  <c r="G13" i="13"/>
  <c r="F20" i="13"/>
  <c r="G20" i="13" l="1"/>
  <c r="I11" i="13"/>
  <c r="H16" i="13"/>
  <c r="H12" i="13"/>
  <c r="H17" i="13"/>
  <c r="H14" i="13"/>
  <c r="H15" i="13"/>
  <c r="H18" i="13"/>
  <c r="H13" i="13"/>
  <c r="I16" i="13" l="1"/>
  <c r="I14" i="13"/>
  <c r="I12" i="13"/>
  <c r="I17" i="13"/>
  <c r="J11" i="13"/>
  <c r="I18" i="13"/>
  <c r="I13" i="13"/>
  <c r="I15" i="13"/>
  <c r="H20" i="13"/>
  <c r="I20" i="13" l="1"/>
  <c r="J17" i="13"/>
  <c r="J16" i="13"/>
  <c r="J15" i="13"/>
  <c r="J14" i="13"/>
  <c r="J13" i="13"/>
  <c r="K11" i="13"/>
  <c r="J12" i="13"/>
  <c r="J18" i="13"/>
  <c r="J20" i="13" l="1"/>
  <c r="K13" i="13"/>
  <c r="K17" i="13"/>
  <c r="L11" i="13"/>
  <c r="K16" i="13"/>
  <c r="K15" i="13"/>
  <c r="K14" i="13"/>
  <c r="K12" i="13"/>
  <c r="K18" i="13"/>
  <c r="K20" i="13" l="1"/>
  <c r="L13" i="13"/>
  <c r="L12" i="13"/>
  <c r="L18" i="13"/>
  <c r="M18" i="13" s="1"/>
  <c r="N18" i="13" s="1"/>
  <c r="L15" i="13"/>
  <c r="L14" i="13"/>
  <c r="L17" i="13"/>
  <c r="L16" i="13"/>
  <c r="M16" i="13" l="1"/>
  <c r="N16" i="13" s="1"/>
  <c r="M14" i="13"/>
  <c r="N14" i="13" s="1"/>
  <c r="L20" i="13"/>
  <c r="M12" i="13"/>
  <c r="N12" i="13" l="1"/>
  <c r="N20" i="13" s="1"/>
  <c r="M20" i="13"/>
</calcChain>
</file>

<file path=xl/sharedStrings.xml><?xml version="1.0" encoding="utf-8"?>
<sst xmlns="http://schemas.openxmlformats.org/spreadsheetml/2006/main" count="6830" uniqueCount="1610">
  <si>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</si>
  <si>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</si>
  <si>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</si>
  <si>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</si>
  <si>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</si>
  <si>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</si>
  <si>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</si>
  <si>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</si>
  <si>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</si>
  <si>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</si>
  <si>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</si>
  <si>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</si>
  <si>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</si>
  <si>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</si>
  <si>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</si>
  <si>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</si>
  <si>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</si>
  <si>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</si>
  <si>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</si>
  <si>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</si>
  <si>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</si>
  <si>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</si>
  <si>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</si>
  <si>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</si>
  <si>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</si>
  <si>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</si>
  <si>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</si>
  <si>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</si>
  <si>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</si>
  <si>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</si>
  <si>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</si>
  <si>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</si>
  <si>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</si>
  <si>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</si>
  <si>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</si>
  <si>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</si>
  <si>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</si>
  <si>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</si>
  <si>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</si>
  <si>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</si>
  <si>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</si>
  <si>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</si>
  <si>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</si>
  <si>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</si>
  <si>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</si>
  <si>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</si>
  <si>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</si>
  <si>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</si>
  <si>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</si>
  <si>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</si>
  <si>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</si>
  <si>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</si>
  <si>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</si>
  <si>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</si>
  <si>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</si>
  <si>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</si>
  <si>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</si>
  <si>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</si>
  <si>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</si>
  <si>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</si>
  <si>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</si>
  <si>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</si>
  <si>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</si>
  <si>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</si>
  <si>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</si>
  <si>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</si>
  <si>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</si>
  <si>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</si>
  <si>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</si>
  <si>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</si>
  <si>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</si>
  <si>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</si>
  <si>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</si>
  <si>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</si>
  <si>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</si>
  <si>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</si>
  <si>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</si>
  <si>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</si>
  <si>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</si>
  <si>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</si>
  <si>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</si>
  <si>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</si>
  <si>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</si>
  <si>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</si>
  <si>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</si>
  <si>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</si>
  <si>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</si>
  <si>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</si>
  <si>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</si>
  <si>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</si>
  <si>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</si>
  <si>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</si>
  <si>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</si>
  <si>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</si>
  <si>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</si>
  <si>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</si>
  <si>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</si>
  <si>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</si>
  <si>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</si>
  <si>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</si>
  <si>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</si>
  <si>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</si>
  <si>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</si>
  <si>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</si>
  <si>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</si>
  <si>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</si>
  <si>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</si>
  <si>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</si>
  <si>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</si>
  <si>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</si>
  <si>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</si>
  <si>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</si>
  <si>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</si>
  <si>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</si>
  <si>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</si>
  <si>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</si>
  <si>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</si>
  <si>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</si>
  <si>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</si>
  <si>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</si>
  <si>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</si>
  <si>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</si>
  <si>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</si>
  <si>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</si>
  <si>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</si>
  <si>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</si>
  <si>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</si>
  <si>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</si>
  <si>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</si>
  <si>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</si>
  <si>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</si>
  <si>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</si>
  <si>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</si>
  <si>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</si>
  <si>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</si>
  <si>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</si>
  <si>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</si>
  <si>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</si>
  <si>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</si>
  <si>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</si>
  <si>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</si>
  <si>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</si>
  <si>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</si>
  <si>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</si>
  <si>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</si>
  <si>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</si>
  <si>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</si>
  <si>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</si>
  <si>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</si>
  <si>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</si>
  <si>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</si>
  <si>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</si>
  <si>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</si>
  <si>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</si>
  <si>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</si>
  <si>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</si>
  <si>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</si>
  <si>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</si>
  <si>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</si>
  <si>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</si>
  <si>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</si>
  <si>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</si>
  <si>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</si>
  <si>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</si>
  <si>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</si>
  <si>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</si>
  <si>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</si>
  <si>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</si>
  <si>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</si>
  <si>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</si>
  <si>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</si>
  <si>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</si>
  <si>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</si>
  <si>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</si>
  <si>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</si>
  <si>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</si>
  <si>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</si>
  <si>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</si>
  <si>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</si>
  <si>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</si>
  <si>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</si>
  <si>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</si>
  <si>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</si>
  <si>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</si>
  <si>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</si>
  <si>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</si>
  <si>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</si>
  <si>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</si>
  <si>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</si>
  <si>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</si>
  <si>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</si>
  <si>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</si>
  <si>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</si>
  <si>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</si>
  <si>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</si>
  <si>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</si>
  <si>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</si>
  <si>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</si>
  <si>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</si>
  <si>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</si>
  <si>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</si>
  <si>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</si>
  <si>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</si>
  <si>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</si>
  <si>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</si>
  <si>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</si>
  <si>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</si>
  <si>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</si>
  <si>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</si>
  <si>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</si>
  <si>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</si>
  <si>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</si>
  <si>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</si>
  <si>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</si>
  <si>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</si>
  <si>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</si>
  <si>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</si>
  <si>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</si>
  <si>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</si>
  <si>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</si>
  <si>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</si>
  <si>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</si>
  <si>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</si>
  <si>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</si>
  <si>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</si>
  <si>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</si>
  <si>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</si>
  <si>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</si>
  <si>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</si>
  <si>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</si>
  <si>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</si>
  <si>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</si>
  <si>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</si>
  <si>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</si>
  <si>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</si>
  <si>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</si>
  <si>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</si>
  <si>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</si>
  <si>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</si>
  <si>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</si>
  <si>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</si>
  <si>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</si>
  <si>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</si>
  <si>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</si>
  <si>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</si>
  <si>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</si>
  <si>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</si>
  <si>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</si>
  <si>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</si>
  <si>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</si>
  <si>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</si>
  <si>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</si>
  <si>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</si>
  <si>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</si>
  <si>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</si>
  <si>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</si>
  <si>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</si>
  <si>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</si>
  <si>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</si>
  <si>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</si>
  <si>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</si>
  <si>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</si>
  <si>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</si>
  <si>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</si>
  <si>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</si>
  <si>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</si>
  <si>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</si>
  <si>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</si>
  <si>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</si>
  <si>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</si>
  <si>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</si>
  <si>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</si>
  <si>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</si>
  <si>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</si>
  <si>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</si>
  <si>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</si>
  <si>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</si>
  <si>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</si>
  <si>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</si>
  <si>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</si>
  <si>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</si>
  <si>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</si>
  <si>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</si>
  <si>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</si>
  <si>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</si>
  <si>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</si>
  <si>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</si>
  <si>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</si>
  <si>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</si>
  <si>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</si>
  <si>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</si>
  <si>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</si>
  <si>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</si>
  <si>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</si>
  <si>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</si>
  <si>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</si>
  <si>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</si>
  <si>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</si>
  <si>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</si>
  <si>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</si>
  <si>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</si>
  <si>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</si>
  <si>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</si>
  <si>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</si>
  <si>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</si>
  <si>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</si>
  <si>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</si>
  <si>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</si>
  <si>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</si>
  <si>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</si>
  <si>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</si>
  <si>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</si>
  <si>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</si>
  <si>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</si>
  <si>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</si>
  <si>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</si>
  <si>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</si>
  <si>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</si>
  <si>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</si>
  <si>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</si>
  <si>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</si>
  <si>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</si>
  <si>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</si>
  <si>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</si>
  <si>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</si>
  <si>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</si>
  <si>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</si>
  <si>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</si>
  <si>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</si>
  <si>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</si>
  <si>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</si>
  <si>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</si>
  <si>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</si>
  <si>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</si>
  <si>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</si>
  <si>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</si>
  <si>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</si>
  <si>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</si>
  <si>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</si>
  <si>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</si>
  <si>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</si>
  <si>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</si>
  <si>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</si>
  <si>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</si>
  <si>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</si>
  <si>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</si>
  <si>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</si>
  <si>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</si>
  <si>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</si>
  <si>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</si>
  <si>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</si>
  <si>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</si>
  <si>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</si>
  <si>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</si>
  <si>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</si>
  <si>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</si>
  <si>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</si>
  <si>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</si>
  <si>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</si>
  <si>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</si>
  <si>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</si>
  <si>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</si>
  <si>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</si>
  <si>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</si>
  <si>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</si>
  <si>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</si>
  <si>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</si>
  <si>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</si>
  <si>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</si>
  <si>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</si>
  <si>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</si>
  <si>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</si>
  <si>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</si>
  <si>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</si>
  <si>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</si>
  <si>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</si>
  <si>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</si>
  <si>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</si>
  <si>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</si>
  <si>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</si>
  <si>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</si>
  <si>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</si>
  <si>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</si>
  <si>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</si>
  <si>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</si>
  <si>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</si>
  <si>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</si>
  <si>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</si>
  <si>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</si>
  <si>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</si>
  <si>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</si>
  <si>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</si>
  <si>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</si>
  <si>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</si>
  <si>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</si>
  <si>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</si>
  <si>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</si>
  <si>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</si>
  <si>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</si>
  <si>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</si>
  <si>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</si>
  <si>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</si>
  <si>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</si>
  <si>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</si>
  <si>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</si>
  <si>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</si>
  <si>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</si>
  <si>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</si>
  <si>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</si>
  <si>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</si>
  <si>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</si>
  <si>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</si>
  <si>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</si>
  <si>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</si>
  <si>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</si>
  <si>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</si>
  <si>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</si>
  <si>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</si>
  <si>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</si>
  <si>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</si>
  <si>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</si>
  <si>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</si>
  <si>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</si>
  <si>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</si>
  <si>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</si>
  <si>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</si>
  <si>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</si>
  <si>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</si>
  <si>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</si>
  <si>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</si>
  <si>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</si>
  <si>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</si>
  <si>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</si>
  <si>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</si>
  <si>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</si>
  <si>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</si>
  <si>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</si>
  <si>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</si>
  <si>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</si>
  <si>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</si>
  <si>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</si>
  <si>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</si>
  <si>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</si>
  <si>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</si>
  <si>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</si>
  <si>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</si>
  <si>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</si>
  <si>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</si>
  <si>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</si>
  <si>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</si>
  <si>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</si>
  <si>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</si>
  <si>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</si>
  <si>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</si>
  <si>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</si>
  <si>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</si>
  <si>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</si>
  <si>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</si>
  <si>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</si>
  <si>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</si>
  <si>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</si>
  <si>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</si>
  <si>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</si>
  <si>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</si>
  <si>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</si>
  <si>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</si>
  <si>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</si>
  <si>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</si>
  <si>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</si>
  <si>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</si>
  <si>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</si>
  <si>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</si>
  <si>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</si>
  <si>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</si>
  <si>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</si>
  <si>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</si>
  <si>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</si>
  <si>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</si>
  <si>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</si>
  <si>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</si>
  <si>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</si>
  <si>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</si>
  <si>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</si>
  <si>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</si>
  <si>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</si>
  <si>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</si>
  <si>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</si>
  <si>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</si>
  <si>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</si>
  <si>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</si>
  <si>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</si>
  <si>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</si>
  <si>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</si>
  <si>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</si>
  <si>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</si>
  <si>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</si>
  <si>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</si>
  <si>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</si>
  <si>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</si>
  <si>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</si>
  <si>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</si>
  <si>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</si>
  <si>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</si>
  <si>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</si>
  <si>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</si>
  <si>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</si>
  <si>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</si>
  <si>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</si>
  <si>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</si>
  <si>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</si>
  <si>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</si>
  <si>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</si>
  <si>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</si>
  <si>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</si>
  <si>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</si>
  <si>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</si>
  <si>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</si>
  <si>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</si>
  <si>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</si>
  <si>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</si>
  <si>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</si>
  <si>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</si>
  <si>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</si>
  <si>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</si>
  <si>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</si>
  <si>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</si>
  <si>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</si>
  <si>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</si>
  <si>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</si>
  <si>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</si>
  <si>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</si>
  <si>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</si>
  <si>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</si>
  <si>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</si>
  <si>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</si>
  <si>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</si>
  <si>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</si>
  <si>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</si>
  <si>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</si>
  <si>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</si>
  <si>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</si>
  <si>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</si>
  <si>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</si>
  <si>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</si>
  <si>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</si>
  <si>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</si>
  <si>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</si>
  <si>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</si>
  <si>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</si>
  <si>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</si>
  <si>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</si>
  <si>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</si>
  <si>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</si>
  <si>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</si>
  <si>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</si>
  <si>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</si>
  <si>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</si>
  <si>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</si>
  <si>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</si>
  <si>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</si>
  <si>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</si>
  <si>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</si>
  <si>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</si>
  <si>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</si>
  <si>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</si>
  <si>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</si>
  <si>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</si>
  <si>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</si>
  <si>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</si>
  <si>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</si>
  <si>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</si>
  <si>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</si>
  <si>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</si>
  <si>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</si>
  <si>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</si>
  <si>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</si>
  <si>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</si>
  <si>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</si>
  <si>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</si>
  <si>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</si>
  <si>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</si>
  <si>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</si>
  <si>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</si>
  <si>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</si>
  <si>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</si>
  <si>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</si>
  <si>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</si>
  <si>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</si>
  <si>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</si>
  <si>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</si>
  <si>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</si>
  <si>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</si>
  <si>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</si>
  <si>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</si>
  <si>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</si>
  <si>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</si>
  <si>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</si>
  <si>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</si>
  <si>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</si>
  <si>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</si>
  <si>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</si>
  <si>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</si>
  <si>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</si>
  <si>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</si>
  <si>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</si>
  <si>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</si>
  <si>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</si>
  <si>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</si>
  <si>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</si>
  <si>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</si>
  <si>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</si>
  <si>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</si>
  <si>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</si>
  <si>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</si>
  <si>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</si>
  <si>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</si>
  <si>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</si>
  <si>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</si>
  <si>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</si>
  <si>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</si>
  <si>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</si>
  <si>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</si>
  <si>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</si>
  <si>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</si>
  <si>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</si>
  <si>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</si>
  <si>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</si>
  <si>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</si>
  <si>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</si>
  <si>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</si>
  <si>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</si>
  <si>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</si>
  <si>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</si>
  <si>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</si>
  <si>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</si>
  <si>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</si>
  <si>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</si>
  <si>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</si>
  <si>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</si>
  <si>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</si>
  <si>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</si>
  <si>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</si>
  <si>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</si>
  <si>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</si>
  <si>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</si>
  <si>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</si>
  <si>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</si>
  <si>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</si>
  <si>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</si>
  <si>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</si>
  <si>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</si>
  <si>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</si>
  <si>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</si>
  <si>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</si>
  <si>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</si>
  <si>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</si>
  <si>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</si>
  <si>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</si>
  <si>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</si>
  <si>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</si>
  <si>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</si>
  <si>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</si>
  <si>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</si>
  <si>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</si>
  <si>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</si>
  <si>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</si>
  <si>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</si>
  <si>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</si>
  <si>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</si>
  <si>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</si>
  <si>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</si>
  <si>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</si>
  <si>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</si>
  <si>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</si>
  <si>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</si>
  <si>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</si>
  <si>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</si>
  <si>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</si>
  <si>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</si>
  <si>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</si>
  <si>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</si>
  <si>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</si>
  <si>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</si>
  <si>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</si>
  <si>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</si>
  <si>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</si>
  <si>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</si>
  <si>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</si>
  <si>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</si>
  <si>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</si>
  <si>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</si>
  <si>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</si>
  <si>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</si>
  <si>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</si>
  <si>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</si>
  <si>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</si>
  <si>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</si>
  <si>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</si>
  <si>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</si>
  <si>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</si>
  <si>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</si>
  <si>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</si>
  <si>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</si>
  <si>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</si>
  <si>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</si>
  <si>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</si>
  <si>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</si>
  <si>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</si>
  <si>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</si>
  <si>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</si>
  <si>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</si>
  <si>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</si>
  <si>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</si>
  <si>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</si>
  <si>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</si>
  <si>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</si>
  <si>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</si>
  <si>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</si>
  <si>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</si>
  <si>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</si>
  <si>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</si>
  <si>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</si>
  <si>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</si>
  <si>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</si>
  <si>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</si>
  <si>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</si>
  <si>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</si>
  <si>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</si>
  <si>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</si>
  <si>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</si>
  <si>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</si>
  <si>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</si>
  <si>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</si>
  <si>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</si>
  <si>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</si>
  <si>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</si>
  <si>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</si>
  <si>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</si>
  <si>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</si>
  <si>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</si>
  <si>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</si>
  <si>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</si>
  <si>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</si>
  <si>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</si>
  <si>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</si>
  <si>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</si>
  <si>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</si>
  <si>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</si>
  <si>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</si>
  <si>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</si>
  <si>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</si>
  <si>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</si>
  <si>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</si>
  <si>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</si>
  <si>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</si>
  <si>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</si>
  <si>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</si>
  <si>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</si>
  <si>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</si>
  <si>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</si>
  <si>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</si>
  <si>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</si>
  <si>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</si>
  <si>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</si>
  <si>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</si>
  <si>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</si>
  <si>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</si>
  <si>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</si>
  <si>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</si>
  <si>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</si>
  <si>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</si>
  <si>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</si>
  <si>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</si>
  <si>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</si>
  <si>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</si>
  <si>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</si>
  <si>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</si>
  <si>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</si>
  <si>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</si>
  <si>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</si>
  <si>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</si>
  <si>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</si>
  <si>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</si>
  <si>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</si>
  <si>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</si>
  <si>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</si>
  <si>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</si>
  <si>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</si>
  <si>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</si>
  <si>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</si>
  <si>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</si>
  <si>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</si>
  <si>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</si>
  <si>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</si>
  <si>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</si>
  <si>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</si>
  <si>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</si>
  <si>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</si>
  <si>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</si>
  <si>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</si>
  <si>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</si>
  <si>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</si>
  <si>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</si>
  <si>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</si>
  <si>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</si>
  <si>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</si>
  <si>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</si>
  <si>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</si>
  <si>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</si>
  <si>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</si>
  <si>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</si>
  <si>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</si>
  <si>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</si>
  <si>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</si>
  <si>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</si>
  <si>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</si>
  <si>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</si>
  <si>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</si>
  <si>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</si>
  <si>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</si>
  <si>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</si>
  <si>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</si>
  <si>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</si>
  <si>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</si>
  <si>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</si>
  <si>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</si>
  <si>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</si>
  <si>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</si>
  <si>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</si>
  <si>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</si>
  <si>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</si>
  <si>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</si>
  <si>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</si>
  <si>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</si>
  <si>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</si>
  <si>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</si>
  <si>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</si>
  <si>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</si>
  <si>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</si>
  <si>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</si>
  <si>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</si>
  <si>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</si>
  <si>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</si>
  <si>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</si>
  <si>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</si>
  <si>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</si>
  <si>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</si>
  <si>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</si>
  <si>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</si>
  <si>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</si>
  <si>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</si>
  <si>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</si>
  <si>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</si>
  <si>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</si>
  <si>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</si>
  <si>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</si>
  <si>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</si>
  <si>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</si>
  <si>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</si>
  <si>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</si>
  <si>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</si>
  <si>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</si>
  <si>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</si>
  <si>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</si>
  <si>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</si>
  <si>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</si>
  <si>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</si>
  <si>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</si>
  <si>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</si>
  <si>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</si>
  <si>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</si>
  <si>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</si>
  <si>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</si>
  <si>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</si>
  <si>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</si>
  <si>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</si>
  <si>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</si>
  <si>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</si>
  <si>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</si>
  <si>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</si>
  <si>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</si>
  <si>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</si>
  <si>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</si>
  <si>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</si>
  <si>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</si>
  <si>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</si>
  <si>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</si>
  <si>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</si>
  <si>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</si>
  <si>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</si>
  <si>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</si>
  <si>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</si>
  <si>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</si>
  <si>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</si>
  <si>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</si>
  <si>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</si>
  <si>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</si>
  <si>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</si>
  <si>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</si>
  <si>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</si>
  <si>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</si>
  <si>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</si>
  <si>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</si>
  <si>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</si>
  <si>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</si>
  <si>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</si>
  <si>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</si>
  <si>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</si>
  <si>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</si>
  <si>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</si>
  <si>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</si>
  <si>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</si>
  <si>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</si>
  <si>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</si>
  <si>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</si>
  <si>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</si>
  <si>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</si>
  <si>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</si>
  <si>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</si>
  <si>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</si>
  <si>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</si>
  <si>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</si>
  <si>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</si>
  <si>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</si>
  <si>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</si>
  <si>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</si>
  <si>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</si>
  <si>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</si>
  <si>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</si>
  <si>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</si>
  <si>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</si>
  <si>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</si>
  <si>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</si>
  <si>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</si>
  <si>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</si>
  <si>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</si>
  <si>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</si>
  <si>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</si>
  <si>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</si>
  <si>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</si>
  <si>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</si>
  <si>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</si>
  <si>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</si>
  <si>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</si>
  <si>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</si>
  <si>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</si>
  <si>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</si>
  <si>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</si>
  <si>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</si>
  <si>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</si>
  <si>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</si>
  <si>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</si>
  <si>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</si>
  <si>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</si>
  <si>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</si>
  <si>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</si>
  <si>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</si>
  <si>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</si>
  <si>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</si>
  <si>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</si>
  <si>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</si>
  <si>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</si>
  <si>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</si>
  <si>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</si>
  <si>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</si>
  <si>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</si>
  <si>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</si>
  <si>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</si>
  <si>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</si>
  <si>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</si>
  <si>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</si>
  <si>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</si>
  <si>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</si>
  <si>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</si>
  <si>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</si>
  <si>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</si>
  <si>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</si>
  <si>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</si>
  <si>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</si>
  <si>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</si>
  <si>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</si>
  <si>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</si>
  <si>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</si>
  <si>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</si>
  <si>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</si>
  <si>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</si>
  <si>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</si>
  <si>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</si>
  <si>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</si>
  <si>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</si>
  <si>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</si>
  <si>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</si>
  <si>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</si>
  <si>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</si>
  <si>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</si>
  <si>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</si>
  <si>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</si>
  <si>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</si>
  <si>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</si>
  <si>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</si>
  <si>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</si>
  <si>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</si>
  <si>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</si>
  <si>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</si>
  <si>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</si>
  <si>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</si>
  <si>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</si>
  <si>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</si>
  <si>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</si>
  <si>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</si>
  <si>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</si>
  <si>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</si>
  <si>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</si>
  <si>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</si>
  <si>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</si>
  <si>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</si>
  <si>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</si>
  <si>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</si>
  <si>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</si>
  <si>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</si>
  <si>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</si>
  <si>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</si>
  <si>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</si>
  <si>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</si>
  <si>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</si>
  <si>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</si>
  <si>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</si>
  <si>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</si>
  <si>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</si>
  <si>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</si>
  <si>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</si>
  <si>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</si>
  <si>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</si>
  <si>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</si>
  <si>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</si>
  <si>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</si>
  <si>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</si>
  <si>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</si>
  <si>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</si>
  <si>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</si>
  <si>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</si>
  <si>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</si>
  <si>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</si>
  <si>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</si>
  <si>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</si>
  <si>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</si>
  <si>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</si>
  <si>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</si>
  <si>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</si>
  <si>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</si>
  <si>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</si>
  <si>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</si>
  <si>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</si>
  <si>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</si>
  <si>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</si>
  <si>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</si>
  <si>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</si>
  <si>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</si>
  <si>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</si>
  <si>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</si>
  <si>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</si>
  <si>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</si>
  <si>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</si>
  <si>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</si>
  <si>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</si>
  <si>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</si>
  <si>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</si>
  <si>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</si>
  <si>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</si>
  <si>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</si>
  <si>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</si>
  <si>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</si>
  <si>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</si>
  <si>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</si>
  <si>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</si>
  <si>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</si>
  <si>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</si>
  <si>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</si>
  <si>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</si>
  <si>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</si>
  <si>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</si>
  <si>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</si>
  <si>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</si>
  <si>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</si>
  <si>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</si>
  <si>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</si>
  <si>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</si>
  <si>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</si>
  <si>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</si>
  <si>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</si>
  <si>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</si>
  <si>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</si>
  <si>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</si>
  <si>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</si>
  <si>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</si>
  <si>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</si>
  <si>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</si>
  <si>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</si>
  <si>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</si>
  <si>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</si>
  <si>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</si>
  <si>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</si>
  <si>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</si>
  <si>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</si>
  <si>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</si>
  <si>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</si>
  <si>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</si>
  <si>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</si>
  <si>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</si>
  <si>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</si>
  <si>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</si>
  <si>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</si>
  <si>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</si>
  <si>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</si>
  <si>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</si>
  <si>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</si>
  <si>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</si>
  <si>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</si>
  <si>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</si>
  <si>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</si>
  <si>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</si>
  <si>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</si>
  <si>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</si>
  <si>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</si>
  <si>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</si>
  <si>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</si>
  <si>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</si>
  <si>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</si>
  <si>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</si>
  <si>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</si>
  <si>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</si>
  <si>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</si>
  <si>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</si>
  <si>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</si>
  <si>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</si>
  <si>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</si>
  <si>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</si>
  <si>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</si>
  <si>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</si>
  <si>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</si>
  <si>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</si>
  <si>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</si>
  <si>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</si>
  <si>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</si>
  <si>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</si>
  <si>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</si>
  <si>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</si>
  <si>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</si>
  <si>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</si>
  <si>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</si>
  <si>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</si>
  <si>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</si>
  <si>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</si>
  <si>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</si>
  <si>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</si>
  <si>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</si>
  <si>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</si>
  <si>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</si>
  <si>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</si>
  <si>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</si>
  <si>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</si>
  <si>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</si>
  <si>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</si>
  <si>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</si>
  <si>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</si>
  <si>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</si>
  <si>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</si>
  <si>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</si>
  <si>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</si>
  <si>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</si>
  <si>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</si>
  <si>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</si>
  <si>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</si>
  <si>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</si>
  <si>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</si>
  <si>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</si>
  <si>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</si>
  <si>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</si>
  <si>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</si>
  <si>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</si>
  <si>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</si>
  <si>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</si>
  <si>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</si>
  <si>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</si>
  <si>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</si>
  <si>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</si>
  <si>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</si>
  <si>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</si>
  <si>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</si>
  <si>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</si>
  <si>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</si>
  <si>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</si>
  <si>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</si>
  <si>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</si>
  <si>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</si>
  <si>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</si>
  <si>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</si>
  <si>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</si>
  <si>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</si>
  <si>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</si>
  <si>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</si>
  <si>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</si>
  <si>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</si>
  <si>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</si>
  <si>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</si>
  <si>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</si>
  <si>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</si>
  <si>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</si>
  <si>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</si>
  <si>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</si>
  <si>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</si>
  <si>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</si>
  <si>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</si>
  <si>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</si>
  <si>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</si>
  <si>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</si>
  <si>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</si>
  <si>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</si>
  <si>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</si>
  <si>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</si>
  <si>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</si>
  <si>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</si>
  <si>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</si>
  <si>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</si>
  <si>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</si>
  <si>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</si>
  <si>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</si>
  <si>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</si>
  <si>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</si>
  <si>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</si>
  <si>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</si>
  <si>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</si>
  <si>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</si>
  <si>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</si>
  <si>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</si>
  <si>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</si>
  <si>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</si>
  <si>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</si>
  <si>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</si>
  <si>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</si>
  <si>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</si>
  <si>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</si>
  <si>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</si>
  <si>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</si>
  <si>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</si>
  <si>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</si>
  <si>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</si>
  <si>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</si>
  <si>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</si>
  <si>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</si>
  <si>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</si>
  <si>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</si>
  <si>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</si>
  <si>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</si>
  <si>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</si>
  <si>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</si>
  <si>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</si>
  <si>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</si>
  <si>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</si>
  <si>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</si>
  <si>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</si>
  <si>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</si>
  <si>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</si>
  <si>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</si>
  <si>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</si>
  <si>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</si>
  <si>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</si>
  <si>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</si>
  <si>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</si>
  <si>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</si>
  <si>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</si>
  <si>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</si>
  <si>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</si>
  <si>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</si>
  <si>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</si>
  <si>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</si>
  <si>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</si>
  <si>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</si>
  <si>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</si>
  <si>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</si>
  <si>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</si>
  <si>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</si>
  <si>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</si>
  <si>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</si>
  <si>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</si>
  <si>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</si>
  <si>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</si>
  <si>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</si>
  <si>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</si>
  <si>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</si>
  <si>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</si>
  <si>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</si>
  <si>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</si>
  <si>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</si>
  <si>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</si>
  <si>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</si>
  <si>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</si>
  <si>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</si>
  <si>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</si>
  <si>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</si>
  <si>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</si>
  <si>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</si>
  <si>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</si>
  <si>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</si>
  <si>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</si>
  <si>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</si>
  <si>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</si>
  <si>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</si>
  <si>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</si>
  <si>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</si>
  <si>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</si>
  <si>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</si>
  <si>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</si>
  <si>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</si>
  <si>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</si>
  <si>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</si>
  <si>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</si>
  <si>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</si>
  <si>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</si>
  <si>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</si>
  <si>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</si>
  <si>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</si>
  <si>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</si>
  <si>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</si>
  <si>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</si>
  <si>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</si>
  <si>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</si>
  <si>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</si>
  <si>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</si>
  <si>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</si>
  <si>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</si>
  <si>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</si>
  <si>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</si>
  <si>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</si>
  <si>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</si>
  <si>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</si>
  <si>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</si>
  <si>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</si>
  <si>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</si>
  <si>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</si>
  <si>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</si>
  <si>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</si>
  <si>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</si>
  <si>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</si>
  <si>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</si>
  <si>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</si>
  <si>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</si>
  <si>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</si>
  <si>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</si>
  <si>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</si>
  <si>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</si>
  <si>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</si>
  <si>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</si>
  <si>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</si>
  <si>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</si>
  <si>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</si>
  <si>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</si>
  <si>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</si>
  <si>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</si>
  <si>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</si>
  <si>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</si>
  <si>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</si>
  <si>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</si>
  <si>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</si>
  <si>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</si>
  <si>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</si>
  <si>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</si>
  <si>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</si>
  <si>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</si>
  <si>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</si>
  <si>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</si>
  <si>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</si>
  <si>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</si>
  <si>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</si>
  <si>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</si>
  <si>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</si>
  <si>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</si>
  <si>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</si>
  <si>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</si>
  <si>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</si>
  <si>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</si>
  <si>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</si>
  <si>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Elizabeth</t>
  </si>
  <si>
    <t>Cullinan</t>
  </si>
  <si>
    <t>Director of Building and Planning</t>
  </si>
  <si>
    <t>ecullinan@hillsborough.net</t>
  </si>
  <si>
    <t>1600 Floribunda Avenue</t>
  </si>
  <si>
    <t>15 Pilarcitos Court</t>
  </si>
  <si>
    <t>950 Macadamia</t>
  </si>
  <si>
    <t>2 Fern Court</t>
  </si>
  <si>
    <t>165 Woodridge Road</t>
  </si>
  <si>
    <t>2020 Geri Lane</t>
  </si>
  <si>
    <t>820 Hillsborough Blvd</t>
  </si>
  <si>
    <t>1115 Bromfield Road</t>
  </si>
  <si>
    <t>785 Tournament Drive</t>
  </si>
  <si>
    <t>25 Bridge Road</t>
  </si>
  <si>
    <t>965 Tournament Drive</t>
  </si>
  <si>
    <t>1221 SouthDown Road</t>
  </si>
  <si>
    <t>404 El Centro Road</t>
  </si>
  <si>
    <t>2200 Ralston Avenue</t>
  </si>
  <si>
    <t>762 Chateau Drive</t>
  </si>
  <si>
    <t>165 Woodride Road</t>
  </si>
  <si>
    <t>75 Sugar Hill Drive</t>
  </si>
  <si>
    <t>6215 Skyline Blvd</t>
  </si>
  <si>
    <t>COM18-0192</t>
  </si>
  <si>
    <t>ADU</t>
  </si>
  <si>
    <t>COM18-0024</t>
  </si>
  <si>
    <t>COM18-0050</t>
  </si>
  <si>
    <t>COM18-0066</t>
  </si>
  <si>
    <t>COM18-0172</t>
  </si>
  <si>
    <t>COM18-0260</t>
  </si>
  <si>
    <t>COM18-0265</t>
  </si>
  <si>
    <t>COM18-0315</t>
  </si>
  <si>
    <t>COM15-0313</t>
  </si>
  <si>
    <t>SFD</t>
  </si>
  <si>
    <t>COM16-0136</t>
  </si>
  <si>
    <t>COM18-0133</t>
  </si>
  <si>
    <t>COM18-0025</t>
  </si>
  <si>
    <t>COM16-0328</t>
  </si>
  <si>
    <t>COM17-0331</t>
  </si>
  <si>
    <t>COM17-0173</t>
  </si>
  <si>
    <t>2650 Skyfarm Drive</t>
  </si>
  <si>
    <t>818 Irwin Drive</t>
  </si>
  <si>
    <t>COM16-0025</t>
  </si>
  <si>
    <t>COM18-0013</t>
  </si>
  <si>
    <t>COM12-0221</t>
  </si>
  <si>
    <t>COM13-0168</t>
  </si>
  <si>
    <t>1952 Forest View Avenue</t>
  </si>
  <si>
    <t>COM14-0038</t>
  </si>
  <si>
    <t>915 Hayne Road</t>
  </si>
  <si>
    <t>COM14-0290</t>
  </si>
  <si>
    <t>259 Uplands Drive</t>
  </si>
  <si>
    <t>COM15-0277</t>
  </si>
  <si>
    <t>832 Eucalyptus Avenue</t>
  </si>
  <si>
    <t>COM16-0095</t>
  </si>
  <si>
    <t>65 Braemar Drive</t>
  </si>
  <si>
    <t>COMCOM16-0196</t>
  </si>
  <si>
    <t>2120 Forest View Avenue</t>
  </si>
  <si>
    <t>COM16-0222</t>
  </si>
  <si>
    <t>1832 Floribunda Avenue</t>
  </si>
  <si>
    <t>COM16-0282</t>
  </si>
  <si>
    <t>280 Sierra Drive</t>
  </si>
  <si>
    <t>COM17-0077</t>
  </si>
  <si>
    <t>456 Pullman Road</t>
  </si>
  <si>
    <t>COM17-0143</t>
  </si>
  <si>
    <t>70 Stonepine Road</t>
  </si>
  <si>
    <t>COM17-0269</t>
  </si>
  <si>
    <t>35 Genevra Road</t>
  </si>
  <si>
    <t>COM17-0338</t>
  </si>
  <si>
    <t>60 Buckeye</t>
  </si>
  <si>
    <t>COM14-0134</t>
  </si>
  <si>
    <t>35 Grevillea Court</t>
  </si>
  <si>
    <t>COM16-0189</t>
  </si>
  <si>
    <t>ADM18-0058</t>
  </si>
  <si>
    <t>ADM18-0089</t>
  </si>
  <si>
    <t>ADM18-0093</t>
  </si>
  <si>
    <t>ADM18-0132</t>
  </si>
  <si>
    <t>ADM18-0151</t>
  </si>
  <si>
    <t>ADM18-0158</t>
  </si>
  <si>
    <t>ADM18-0161</t>
  </si>
  <si>
    <t>ADM18-0185</t>
  </si>
  <si>
    <t>ADM18-0205</t>
  </si>
  <si>
    <t>ADM18-0213</t>
  </si>
  <si>
    <t>ADM18-0218</t>
  </si>
  <si>
    <t>ADM18-0229</t>
  </si>
  <si>
    <t>ADM18-0257</t>
  </si>
  <si>
    <t>ADM18-0286</t>
  </si>
  <si>
    <t>ADM18-0301</t>
  </si>
  <si>
    <t>ADM18-0327</t>
  </si>
  <si>
    <t>ADM18-0343</t>
  </si>
  <si>
    <t>Withdrawn</t>
  </si>
  <si>
    <t>ADM18-0345</t>
  </si>
  <si>
    <t>ADM18-0360</t>
  </si>
  <si>
    <t>ADM18-0368</t>
  </si>
  <si>
    <t>ADM18-0374</t>
  </si>
  <si>
    <t>ADM18-0389</t>
  </si>
  <si>
    <t>ADR18-0028</t>
  </si>
  <si>
    <t>1221 Southdown</t>
  </si>
  <si>
    <t>No</t>
  </si>
  <si>
    <t>1465 Tartan Trail Road</t>
  </si>
  <si>
    <t>580 Hayne Road</t>
  </si>
  <si>
    <t>1250 La Cumbre</t>
  </si>
  <si>
    <t>On Hold at request of applicants</t>
  </si>
  <si>
    <t>101 Tiptoe</t>
  </si>
  <si>
    <t>1560 Black Mountain Road</t>
  </si>
  <si>
    <t>Incomplete</t>
  </si>
  <si>
    <t>45 Rowan Tree</t>
  </si>
  <si>
    <t>1635 Marlborough Road</t>
  </si>
  <si>
    <t>725 Jacaranda</t>
  </si>
  <si>
    <t>2200 Ralston</t>
  </si>
  <si>
    <t>1245 La Cumbre</t>
  </si>
  <si>
    <t>404 El Centro</t>
  </si>
  <si>
    <t>2470 Skyfarm</t>
  </si>
  <si>
    <t>1650 Marlborough</t>
  </si>
  <si>
    <t>736 Jacaranda Circle</t>
  </si>
  <si>
    <t>160 Rockridge</t>
  </si>
  <si>
    <t>2240 Oakdale</t>
  </si>
  <si>
    <t>290 Richmond</t>
  </si>
  <si>
    <t>190 Rizal Drive</t>
  </si>
  <si>
    <t>333 Richmond Road</t>
  </si>
  <si>
    <t>70 Joyce Road</t>
  </si>
  <si>
    <t>2740 Churchill Drive</t>
  </si>
  <si>
    <t>820 Hillsborough Road</t>
  </si>
  <si>
    <t>75 Sugarhill</t>
  </si>
  <si>
    <t>See Programs for 2017</t>
  </si>
  <si>
    <t>1110 Tournament Drive</t>
  </si>
  <si>
    <t>COM13-0332</t>
  </si>
  <si>
    <t>O</t>
  </si>
  <si>
    <t>R</t>
  </si>
  <si>
    <t>2770 Churchill Drive</t>
  </si>
  <si>
    <t>COM18-0347</t>
  </si>
  <si>
    <t>Streamlined - no planning permit required</t>
  </si>
  <si>
    <t>30 Searsville</t>
  </si>
  <si>
    <t>60 Glengary</t>
  </si>
  <si>
    <t>ADR18-0007</t>
  </si>
  <si>
    <t>ADR18-0085</t>
  </si>
  <si>
    <t>ADR18-0049</t>
  </si>
  <si>
    <t>1-A1</t>
  </si>
  <si>
    <t>Appoint councilmember for regional housing efforts</t>
  </si>
  <si>
    <t>City Council</t>
  </si>
  <si>
    <t>Ongoing</t>
  </si>
  <si>
    <t>1-A2</t>
  </si>
  <si>
    <t>Work with nearby communities in subregional efforts</t>
  </si>
  <si>
    <t>1-A3</t>
  </si>
  <si>
    <t>Consider employee housing on institutional lands within Hillsborough</t>
  </si>
  <si>
    <t>City Council and Staff</t>
  </si>
  <si>
    <t>1-A4</t>
  </si>
  <si>
    <t>Promote development of affordable multifamily housing on nearby institutional lands</t>
  </si>
  <si>
    <t>1-A5</t>
  </si>
  <si>
    <t>Report annually to City Council on regional solutions</t>
  </si>
  <si>
    <t>Staff</t>
  </si>
  <si>
    <t>Annual</t>
  </si>
  <si>
    <t>1-A6</t>
  </si>
  <si>
    <t>Contribute to County homeless and transitional programs; partner with existing programs</t>
  </si>
  <si>
    <t xml:space="preserve">Policy 1B Facilitate private development of housing </t>
  </si>
  <si>
    <t>1-B1</t>
  </si>
  <si>
    <t>Process applications, permits, promptly</t>
  </si>
  <si>
    <t>Building &amp; Planning</t>
  </si>
  <si>
    <t>Policy 1A Meet the community’s housing needs</t>
  </si>
  <si>
    <t>Policy 1C Continue to improve the land use entitlement process.</t>
  </si>
  <si>
    <t>1-C1</t>
  </si>
  <si>
    <t>Maintain a list of certified mediators who specialize in land issues.</t>
  </si>
  <si>
    <t>Building and Planning</t>
  </si>
  <si>
    <t>1-C2</t>
  </si>
  <si>
    <t>Partner with Peninsula Conflict Resolution Center (PCRC)</t>
  </si>
  <si>
    <t>1-C3</t>
  </si>
  <si>
    <t>Identify opportunities to use technology to improve customer service.</t>
  </si>
  <si>
    <t>Policy 1D Use vacant land on the periphery of Hillsborough to increase housing opportunities.</t>
  </si>
  <si>
    <t>1-D1</t>
  </si>
  <si>
    <t>Consider annexations of adjacent land</t>
  </si>
  <si>
    <t>2014-2022</t>
  </si>
  <si>
    <t>Policy 2A Allow subdivision of lots larger than one acre</t>
  </si>
  <si>
    <t>2-A1</t>
  </si>
  <si>
    <t>Permit subdivision of vacant parcels for 2+ lots</t>
  </si>
  <si>
    <t>Building &amp; Planning , City Council</t>
  </si>
  <si>
    <t>Policy 2B Promote more housing options while preserving the character of Hillsborough.</t>
  </si>
  <si>
    <t>2-B1</t>
  </si>
  <si>
    <t>Density bonus for affordable and/or senior housing</t>
  </si>
  <si>
    <t xml:space="preserve">Policy 3A Support seniors and other special needs populations </t>
  </si>
  <si>
    <t>3-A1</t>
  </si>
  <si>
    <t>Allow board and care facilities for 6 or fewer</t>
  </si>
  <si>
    <t>3-A2</t>
  </si>
  <si>
    <t>Treat supportive and transitional housing like single-family residential land uses</t>
  </si>
  <si>
    <t>3-A3</t>
  </si>
  <si>
    <t>Inform local developers of opportunities to provide transitional and supportive housing</t>
  </si>
  <si>
    <t>3-A4</t>
  </si>
  <si>
    <t>Allow an emergency shelter at former fire station</t>
  </si>
  <si>
    <t>3-A5</t>
  </si>
  <si>
    <t>Develop a plan to better meet the needs of seniors.</t>
  </si>
  <si>
    <t>City Council, Staff</t>
  </si>
  <si>
    <t xml:space="preserve">Policy 3B Allow the renting of rooms to single people </t>
  </si>
  <si>
    <t>3-B1</t>
  </si>
  <si>
    <t>Allow the renting of individual rooms</t>
  </si>
  <si>
    <t>3-B2</t>
  </si>
  <si>
    <t>Support and promote shared housing</t>
  </si>
  <si>
    <t>Policy 3C Encourage both attached and detached second units where currently permitted.</t>
  </si>
  <si>
    <t>3-C1</t>
  </si>
  <si>
    <t>Waive planning and building permit fees for second units.</t>
  </si>
  <si>
    <t>3-C2</t>
  </si>
  <si>
    <t>Promote and Inform the public about second units</t>
  </si>
  <si>
    <t>3-C3</t>
  </si>
  <si>
    <t>Approve second units administratively; ascertain planned use for second unit and affordability.</t>
  </si>
  <si>
    <t>3-C4</t>
  </si>
  <si>
    <t>Permit property owners to legalize unathorized domestic housing</t>
  </si>
  <si>
    <t>Building &amp; Planning, City Council</t>
  </si>
  <si>
    <t>3-C5</t>
  </si>
  <si>
    <t>Implement additional measures to encourage second units</t>
  </si>
  <si>
    <t>City Council, then Building and Planning</t>
  </si>
  <si>
    <t>3-C6</t>
  </si>
  <si>
    <t>Allow rental of second units</t>
  </si>
  <si>
    <t>Policy 4A Eliminate discrimination</t>
  </si>
  <si>
    <t>4-A1</t>
  </si>
  <si>
    <t>Designate the City Attorney to receive and forward housing discrimination complaints</t>
  </si>
  <si>
    <t>City Attorney, City Council</t>
  </si>
  <si>
    <t>4-A2</t>
  </si>
  <si>
    <t>Implement reasonable accommodation provisions for persons with disabilities</t>
  </si>
  <si>
    <t>4-A3</t>
  </si>
  <si>
    <t>Ask local service providers to help identify constraints to providing housing for persons with disabilities.</t>
  </si>
  <si>
    <t>Approved and ongoing</t>
  </si>
  <si>
    <t>Completed</t>
  </si>
  <si>
    <t>2015/2016 and ongoing</t>
  </si>
  <si>
    <t>Ongoing; Application has been in process.</t>
  </si>
  <si>
    <t xml:space="preserve">Ongoing </t>
  </si>
  <si>
    <t>Completed and ongoing</t>
  </si>
  <si>
    <t>Ongoing and enhanced through the Town's Recreation Program.</t>
  </si>
  <si>
    <t>Ongoing and enhanced for ADUs</t>
  </si>
  <si>
    <t xml:space="preserve">Ongoing; Hosted a community meeting on “Housing and Our Future”, which included presentations of housing resources (HIP Shared, ADUs and 21 Elements programs).
</t>
  </si>
  <si>
    <t xml:space="preserve">Introduced regulations allowing the processing of all ADUs with objective design standards.
</t>
  </si>
  <si>
    <t xml:space="preserve">Ongoing; continued participation in 21 Elements and the San Mateo County “Home for All Initiative”.
</t>
  </si>
  <si>
    <t xml:space="preserve">Ongoing and enhanced; The Town was awarded a “Home For All Community Engagement Pilot Program” grant for our 2022 Housing Element.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</si>
</sst>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5"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i/>
      <sz val="11"/>
      <color theme="1"/>
      <name val="Century Gothic"/>
      <family val="2"/>
    </font>
    <font>
      <sz val="12"/>
      <color theme="1"/>
      <name val="Times New Roman"/>
      <family val="1"/>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0" xfId="0" applyFont="1" applyFill="1" applyProtection="1">
      <protection locked="0"/>
    </xf>
    <xf numFmtId="14" fontId="3" fillId="0" borderId="0" xfId="0" applyNumberFormat="1" applyFont="1" applyFill="1" applyProtection="1">
      <protection locked="0"/>
    </xf>
    <xf numFmtId="0" fontId="3" fillId="0" borderId="50" xfId="0" applyFont="1" applyBorder="1" applyAlignment="1">
      <alignment vertical="center" wrapText="1"/>
    </xf>
    <xf numFmtId="0" fontId="3" fillId="0" borderId="50" xfId="0" applyFont="1" applyBorder="1" applyAlignment="1" applyProtection="1">
      <alignment vertical="center" wrapText="1"/>
      <protection locked="0"/>
    </xf>
    <xf numFmtId="0" fontId="3" fillId="0" borderId="33" xfId="0" applyFont="1" applyBorder="1" applyAlignment="1">
      <alignment vertical="center" wrapText="1"/>
    </xf>
    <xf numFmtId="0" fontId="3" fillId="0" borderId="33" xfId="0" applyFont="1" applyBorder="1" applyAlignment="1" applyProtection="1">
      <alignment vertical="center" wrapText="1"/>
      <protection locked="0"/>
    </xf>
    <xf numFmtId="0" fontId="43" fillId="0" borderId="0" xfId="0" applyFont="1" applyAlignment="1">
      <alignment vertical="center"/>
    </xf>
    <xf numFmtId="0" fontId="44" fillId="0" borderId="0" xfId="0" applyFont="1" applyAlignment="1">
      <alignment vertical="center"/>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80" t="s">
        <v>130</v>
      </c>
      <c r="B1" s="381"/>
      <c r="C1" s="381"/>
      <c r="D1" s="381"/>
      <c r="E1" s="381"/>
      <c r="F1" s="38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9" t="s">
        <v>51</v>
      </c>
      <c r="B3" s="390"/>
      <c r="C3" s="391"/>
      <c r="E3" s="383" t="s">
        <v>131</v>
      </c>
      <c r="F3" s="384"/>
    </row>
    <row r="4" spans="1:12" ht="21.6" customHeight="1" x14ac:dyDescent="0.25">
      <c r="A4" s="31" t="s">
        <v>125</v>
      </c>
      <c r="B4" s="394" t="s">
        <v>1333</v>
      </c>
      <c r="C4" s="395"/>
      <c r="D4" s="24"/>
      <c r="E4" s="385" t="s">
        <v>1378</v>
      </c>
      <c r="F4" s="386"/>
      <c r="G4" s="253"/>
      <c r="H4" s="253"/>
      <c r="I4" s="253"/>
      <c r="J4" s="253"/>
      <c r="K4" s="253"/>
      <c r="L4" s="23"/>
    </row>
    <row r="5" spans="1:12" ht="21.6" customHeight="1" thickBot="1" x14ac:dyDescent="0.3">
      <c r="A5" s="32" t="s">
        <v>126</v>
      </c>
      <c r="B5" s="392">
        <v>2018</v>
      </c>
      <c r="C5" s="393"/>
      <c r="D5" s="25"/>
      <c r="E5" s="385"/>
      <c r="F5" s="386"/>
      <c r="G5" s="25"/>
      <c r="H5" s="25"/>
      <c r="I5" s="25"/>
      <c r="J5" s="25"/>
      <c r="K5" s="25"/>
      <c r="L5" s="23"/>
    </row>
    <row r="6" spans="1:12" ht="21.6" customHeight="1" x14ac:dyDescent="0.25">
      <c r="A6" s="396" t="s">
        <v>124</v>
      </c>
      <c r="B6" s="397"/>
      <c r="C6" s="398"/>
      <c r="D6" s="25"/>
      <c r="E6" s="385"/>
      <c r="F6" s="386"/>
      <c r="G6" s="25"/>
      <c r="H6" s="25"/>
      <c r="I6" s="25"/>
      <c r="J6" s="25"/>
      <c r="K6" s="25"/>
      <c r="L6" s="23"/>
    </row>
    <row r="7" spans="1:12" ht="21.6" customHeight="1" x14ac:dyDescent="0.25">
      <c r="A7" s="30" t="s">
        <v>121</v>
      </c>
      <c r="B7" s="399" t="s">
        <v>1382</v>
      </c>
      <c r="C7" s="400"/>
      <c r="D7" s="26"/>
      <c r="E7" s="385"/>
      <c r="F7" s="386"/>
      <c r="G7" s="25"/>
      <c r="H7" s="25"/>
      <c r="I7" s="25"/>
      <c r="J7" s="25"/>
      <c r="K7" s="25"/>
      <c r="L7" s="23"/>
    </row>
    <row r="8" spans="1:12" ht="21.6" customHeight="1" x14ac:dyDescent="0.25">
      <c r="A8" s="31" t="s">
        <v>122</v>
      </c>
      <c r="B8" s="399" t="s">
        <v>1383</v>
      </c>
      <c r="C8" s="400"/>
      <c r="D8" s="25"/>
      <c r="E8" s="385"/>
      <c r="F8" s="386"/>
      <c r="G8" s="25"/>
      <c r="H8" s="25"/>
      <c r="I8" s="25"/>
      <c r="J8" s="25"/>
      <c r="K8" s="25"/>
      <c r="L8" s="23"/>
    </row>
    <row r="9" spans="1:12" ht="21.6" customHeight="1" x14ac:dyDescent="0.25">
      <c r="A9" s="31" t="s">
        <v>127</v>
      </c>
      <c r="B9" s="399" t="s">
        <v>1384</v>
      </c>
      <c r="C9" s="400"/>
      <c r="D9" s="25"/>
      <c r="E9" s="385"/>
      <c r="F9" s="386"/>
      <c r="G9" s="25"/>
      <c r="H9" s="25"/>
      <c r="I9" s="25"/>
      <c r="J9" s="25"/>
      <c r="K9" s="25"/>
      <c r="L9" s="23"/>
    </row>
    <row r="10" spans="1:12" ht="21.6" customHeight="1" x14ac:dyDescent="0.25">
      <c r="A10" s="31" t="s">
        <v>128</v>
      </c>
      <c r="B10" s="401" t="s">
        <v>1385</v>
      </c>
      <c r="C10" s="400"/>
      <c r="D10" s="25"/>
      <c r="E10" s="385"/>
      <c r="F10" s="386"/>
      <c r="G10" s="25"/>
      <c r="H10" s="25"/>
      <c r="I10" s="25"/>
      <c r="J10" s="25"/>
      <c r="K10" s="25"/>
      <c r="L10" s="23"/>
    </row>
    <row r="11" spans="1:12" ht="21.6" customHeight="1" thickBot="1" x14ac:dyDescent="0.3">
      <c r="A11" s="33" t="s">
        <v>129</v>
      </c>
      <c r="B11" s="402">
        <v>6503757416</v>
      </c>
      <c r="C11" s="403"/>
      <c r="D11" s="25"/>
      <c r="E11" s="385"/>
      <c r="F11" s="386"/>
      <c r="G11" s="25"/>
      <c r="H11" s="25"/>
      <c r="I11" s="25"/>
      <c r="J11" s="25"/>
      <c r="K11" s="25"/>
      <c r="L11" s="23"/>
    </row>
    <row r="12" spans="1:12" ht="21.6" customHeight="1" x14ac:dyDescent="0.25">
      <c r="A12" s="404" t="s">
        <v>123</v>
      </c>
      <c r="B12" s="405"/>
      <c r="C12" s="406"/>
      <c r="D12" s="25"/>
      <c r="E12" s="385"/>
      <c r="F12" s="386"/>
      <c r="G12" s="25"/>
      <c r="H12" s="25"/>
      <c r="I12" s="25"/>
      <c r="J12" s="25"/>
      <c r="K12" s="25"/>
      <c r="L12" s="23"/>
    </row>
    <row r="13" spans="1:12" ht="21.6" customHeight="1" x14ac:dyDescent="0.25">
      <c r="A13" s="29" t="s">
        <v>2</v>
      </c>
      <c r="B13" s="376" t="s">
        <v>1386</v>
      </c>
      <c r="C13" s="377"/>
      <c r="D13" s="27"/>
      <c r="E13" s="385"/>
      <c r="F13" s="386"/>
      <c r="G13" s="27"/>
      <c r="H13" s="27"/>
      <c r="I13" s="27"/>
      <c r="J13" s="27"/>
      <c r="K13" s="27"/>
      <c r="L13" s="23"/>
    </row>
    <row r="14" spans="1:12" ht="21.6" customHeight="1" x14ac:dyDescent="0.25">
      <c r="A14" s="28" t="s">
        <v>119</v>
      </c>
      <c r="B14" s="378" t="s">
        <v>1333</v>
      </c>
      <c r="C14" s="378"/>
      <c r="D14" s="25"/>
      <c r="E14" s="385"/>
      <c r="F14" s="386"/>
      <c r="G14" s="25"/>
      <c r="H14" s="25"/>
      <c r="I14" s="25"/>
      <c r="J14" s="25"/>
      <c r="K14" s="25"/>
      <c r="L14" s="23"/>
    </row>
    <row r="15" spans="1:12" ht="21.6" customHeight="1" thickBot="1" x14ac:dyDescent="0.3">
      <c r="A15" s="28" t="s">
        <v>120</v>
      </c>
      <c r="B15" s="379">
        <v>94010</v>
      </c>
      <c r="C15" s="379"/>
      <c r="D15" s="24"/>
      <c r="E15" s="387"/>
      <c r="F15" s="388"/>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zoomScaleNormal="100" zoomScaleSheetLayoutView="50" zoomScalePageLayoutView="80" workbookViewId="0">
      <pane ySplit="12" topLeftCell="A52" activePane="bottomLeft" state="frozen"/>
      <selection pane="bottomLeft" activeCell="D70" sqref="D70"/>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29" t="s">
        <v>8</v>
      </c>
      <c r="B1" s="429"/>
      <c r="C1" s="429"/>
      <c r="D1" s="429"/>
      <c r="E1" s="429"/>
      <c r="F1" s="429"/>
      <c r="G1" s="429"/>
      <c r="H1" s="429"/>
      <c r="I1" s="429"/>
      <c r="J1" s="429"/>
      <c r="K1" s="429"/>
      <c r="L1" s="429"/>
      <c r="M1" s="429"/>
      <c r="N1" s="429"/>
      <c r="O1" s="429"/>
      <c r="P1" s="429"/>
      <c r="Q1" s="429"/>
      <c r="R1" s="429"/>
      <c r="S1" s="429"/>
      <c r="T1" s="429"/>
      <c r="U1" s="74"/>
      <c r="V1" s="74"/>
      <c r="W1" s="74"/>
    </row>
    <row r="2" spans="1:23" s="255" customFormat="1" ht="27.75" customHeight="1" x14ac:dyDescent="0.35">
      <c r="A2" s="429" t="s">
        <v>9</v>
      </c>
      <c r="B2" s="429"/>
      <c r="C2" s="429"/>
      <c r="D2" s="429"/>
      <c r="E2" s="429"/>
      <c r="F2" s="429"/>
      <c r="G2" s="429"/>
      <c r="H2" s="429"/>
      <c r="I2" s="429"/>
      <c r="J2" s="429"/>
      <c r="K2" s="429"/>
      <c r="L2" s="429"/>
      <c r="M2" s="429"/>
      <c r="N2" s="429"/>
      <c r="O2" s="429"/>
      <c r="P2" s="429"/>
      <c r="Q2" s="429"/>
      <c r="R2" s="429"/>
      <c r="S2" s="429"/>
      <c r="T2" s="429"/>
      <c r="U2" s="75"/>
      <c r="V2" s="75"/>
      <c r="W2" s="75"/>
    </row>
    <row r="3" spans="1:23" s="255" customFormat="1" ht="15.75" customHeight="1" x14ac:dyDescent="0.2">
      <c r="A3" s="430" t="s">
        <v>1376</v>
      </c>
      <c r="B3" s="430"/>
      <c r="C3" s="430"/>
      <c r="D3" s="430"/>
      <c r="E3" s="430"/>
      <c r="F3" s="430"/>
      <c r="G3" s="430"/>
      <c r="H3" s="430"/>
      <c r="I3" s="430"/>
      <c r="J3" s="430"/>
      <c r="K3" s="430"/>
      <c r="L3" s="430"/>
      <c r="M3" s="430"/>
      <c r="N3" s="430"/>
      <c r="O3" s="430"/>
      <c r="P3" s="430"/>
      <c r="Q3" s="430"/>
      <c r="R3" s="430"/>
      <c r="S3" s="430"/>
      <c r="T3" s="430"/>
      <c r="U3" s="76"/>
      <c r="V3" s="76"/>
      <c r="W3" s="76"/>
    </row>
    <row r="4" spans="1:23" s="79" customFormat="1" ht="25.5" customHeight="1" x14ac:dyDescent="0.2">
      <c r="A4" s="314" t="s">
        <v>10</v>
      </c>
      <c r="B4" s="236" t="str">
        <f>'Start Here'!B4:D4</f>
        <v>Hillsborough</v>
      </c>
      <c r="C4" s="315"/>
      <c r="D4" s="78"/>
      <c r="E4" s="78"/>
      <c r="F4" s="78"/>
      <c r="G4" s="78"/>
      <c r="H4" s="78"/>
      <c r="I4" s="78"/>
      <c r="L4" s="423" t="s">
        <v>1374</v>
      </c>
      <c r="M4" s="424"/>
      <c r="N4" s="424"/>
      <c r="O4" s="425"/>
    </row>
    <row r="5" spans="1:23" s="79" customFormat="1" ht="25.5" customHeight="1" x14ac:dyDescent="0.2">
      <c r="A5" s="316" t="s">
        <v>36</v>
      </c>
      <c r="B5" s="237">
        <f>'Start Here'!B5</f>
        <v>2018</v>
      </c>
      <c r="C5" s="318" t="str">
        <f>'Table A2'!C5</f>
        <v>(Jan. 1 - Dec. 31)</v>
      </c>
      <c r="D5" s="7"/>
      <c r="E5" s="78"/>
      <c r="F5" s="78"/>
      <c r="L5" s="426" t="s">
        <v>106</v>
      </c>
      <c r="M5" s="427"/>
      <c r="N5" s="427"/>
      <c r="O5" s="428"/>
    </row>
    <row r="6" spans="1:23" s="255" customFormat="1" x14ac:dyDescent="0.2"/>
    <row r="7" spans="1:23" s="241" customFormat="1" ht="18" x14ac:dyDescent="0.25">
      <c r="A7" s="420" t="s">
        <v>0</v>
      </c>
      <c r="B7" s="421"/>
      <c r="C7" s="421"/>
      <c r="D7" s="421"/>
      <c r="E7" s="421"/>
      <c r="F7" s="421"/>
      <c r="G7" s="421"/>
      <c r="H7" s="421"/>
      <c r="I7" s="421"/>
      <c r="J7" s="421"/>
      <c r="K7" s="421"/>
      <c r="L7" s="421"/>
      <c r="M7" s="421"/>
      <c r="N7" s="421"/>
      <c r="O7" s="421"/>
      <c r="P7" s="421"/>
      <c r="Q7" s="421"/>
      <c r="R7" s="421"/>
      <c r="S7" s="421"/>
      <c r="T7" s="422"/>
    </row>
    <row r="8" spans="1:23" s="241" customFormat="1" ht="22.9" customHeight="1" x14ac:dyDescent="0.2">
      <c r="A8" s="417" t="s">
        <v>64</v>
      </c>
      <c r="B8" s="418"/>
      <c r="C8" s="418"/>
      <c r="D8" s="418"/>
      <c r="E8" s="418"/>
      <c r="F8" s="418"/>
      <c r="G8" s="418"/>
      <c r="H8" s="418"/>
      <c r="I8" s="418"/>
      <c r="J8" s="418"/>
      <c r="K8" s="418"/>
      <c r="L8" s="418"/>
      <c r="M8" s="418"/>
      <c r="N8" s="418"/>
      <c r="O8" s="418"/>
      <c r="P8" s="418"/>
      <c r="Q8" s="418"/>
      <c r="R8" s="418"/>
      <c r="S8" s="418"/>
      <c r="T8" s="419"/>
    </row>
    <row r="9" spans="1:23" s="241" customFormat="1" ht="57.6" customHeight="1" x14ac:dyDescent="0.2">
      <c r="A9" s="412" t="s">
        <v>43</v>
      </c>
      <c r="B9" s="413"/>
      <c r="C9" s="413"/>
      <c r="D9" s="413"/>
      <c r="E9" s="414"/>
      <c r="F9" s="412" t="s">
        <v>112</v>
      </c>
      <c r="G9" s="414"/>
      <c r="H9" s="224" t="s">
        <v>63</v>
      </c>
      <c r="I9" s="412" t="s">
        <v>1363</v>
      </c>
      <c r="J9" s="415"/>
      <c r="K9" s="415"/>
      <c r="L9" s="415"/>
      <c r="M9" s="415"/>
      <c r="N9" s="415"/>
      <c r="O9" s="415"/>
      <c r="P9" s="416"/>
      <c r="Q9" s="224" t="s">
        <v>1364</v>
      </c>
      <c r="R9" s="224" t="s">
        <v>1365</v>
      </c>
      <c r="S9" s="224" t="s">
        <v>113</v>
      </c>
      <c r="T9" s="224" t="s">
        <v>58</v>
      </c>
    </row>
    <row r="10" spans="1:23" s="97" customFormat="1" x14ac:dyDescent="0.2">
      <c r="A10" s="408">
        <v>1</v>
      </c>
      <c r="B10" s="409"/>
      <c r="C10" s="409"/>
      <c r="D10" s="410"/>
      <c r="E10" s="411"/>
      <c r="F10" s="221">
        <v>2</v>
      </c>
      <c r="G10" s="216">
        <v>3</v>
      </c>
      <c r="H10" s="223">
        <v>4</v>
      </c>
      <c r="I10" s="407">
        <v>5</v>
      </c>
      <c r="J10" s="407"/>
      <c r="K10" s="407"/>
      <c r="L10" s="407"/>
      <c r="M10" s="407"/>
      <c r="N10" s="407"/>
      <c r="O10" s="407"/>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8"/>
      <c r="C12" s="358"/>
      <c r="D12" s="351"/>
      <c r="E12" s="359"/>
      <c r="F12" s="358"/>
      <c r="G12" s="358"/>
      <c r="H12" s="351"/>
      <c r="I12" s="360">
        <f t="shared" ref="I12:O12" si="0">SUM(I13:I1000)</f>
        <v>0</v>
      </c>
      <c r="J12" s="360">
        <f t="shared" si="0"/>
        <v>9</v>
      </c>
      <c r="K12" s="360">
        <f t="shared" si="0"/>
        <v>0</v>
      </c>
      <c r="L12" s="360">
        <f t="shared" si="0"/>
        <v>4</v>
      </c>
      <c r="M12" s="360">
        <f t="shared" si="0"/>
        <v>0</v>
      </c>
      <c r="N12" s="360">
        <f t="shared" si="0"/>
        <v>5</v>
      </c>
      <c r="O12" s="360">
        <f t="shared" si="0"/>
        <v>3</v>
      </c>
      <c r="P12" s="360">
        <f>SUM(P13:P1000)</f>
        <v>21</v>
      </c>
      <c r="Q12" s="360">
        <f>SUM(Q13:Q1000)</f>
        <v>19</v>
      </c>
      <c r="R12" s="360">
        <f>SUM(R13:R1000)</f>
        <v>0</v>
      </c>
      <c r="S12" s="361">
        <f>COUNTIF(S13:S1000,"*Yes*")</f>
        <v>0</v>
      </c>
      <c r="T12" s="362"/>
    </row>
    <row r="13" spans="1:23" x14ac:dyDescent="0.2">
      <c r="A13" s="11">
        <v>38293100</v>
      </c>
      <c r="B13" s="11">
        <v>38293100</v>
      </c>
      <c r="C13" s="11" t="s">
        <v>1387</v>
      </c>
      <c r="D13" s="165"/>
      <c r="E13" s="165"/>
      <c r="F13" s="165"/>
      <c r="G13" s="165"/>
      <c r="H13" s="329"/>
      <c r="I13" s="165"/>
      <c r="J13" s="165"/>
      <c r="K13" s="165"/>
      <c r="L13" s="165"/>
      <c r="M13" s="165"/>
      <c r="N13" s="165"/>
      <c r="O13" s="165"/>
      <c r="P13" s="344">
        <f t="shared" ref="P13:P76" si="1">SUM(I13:O13)</f>
        <v>0</v>
      </c>
      <c r="Q13" s="165"/>
      <c r="R13" s="165">
        <f>P13-Q13</f>
        <v>0</v>
      </c>
      <c r="S13" s="165"/>
      <c r="T13" s="330"/>
    </row>
    <row r="14" spans="1:23" x14ac:dyDescent="0.2">
      <c r="A14" s="356"/>
      <c r="B14" s="356"/>
      <c r="C14" s="11"/>
      <c r="D14" s="165"/>
      <c r="E14" s="165"/>
      <c r="F14" s="165"/>
      <c r="G14" s="165"/>
      <c r="H14" s="329"/>
      <c r="I14" s="165"/>
      <c r="J14" s="165"/>
      <c r="K14" s="165"/>
      <c r="L14" s="165"/>
      <c r="M14" s="165"/>
      <c r="N14" s="165"/>
      <c r="O14" s="165"/>
      <c r="P14" s="344">
        <f>SUM(I14:O14)</f>
        <v>0</v>
      </c>
      <c r="Q14" s="165"/>
      <c r="R14" s="165">
        <f t="shared" ref="R14:R22" si="2">P14-Q14</f>
        <v>0</v>
      </c>
      <c r="S14" s="165"/>
      <c r="T14" s="330"/>
    </row>
    <row r="15" spans="1:23" x14ac:dyDescent="0.2">
      <c r="A15" s="11"/>
      <c r="B15" s="11"/>
      <c r="C15" s="11"/>
      <c r="D15" s="165"/>
      <c r="E15" s="165"/>
      <c r="F15" s="165"/>
      <c r="G15" s="165"/>
      <c r="H15" s="357"/>
      <c r="I15" s="165"/>
      <c r="J15" s="165"/>
      <c r="K15" s="165"/>
      <c r="L15" s="165"/>
      <c r="M15" s="165"/>
      <c r="N15" s="165"/>
      <c r="O15" s="165"/>
      <c r="P15" s="344">
        <f>SUM(I15:O15)</f>
        <v>0</v>
      </c>
      <c r="Q15" s="165"/>
      <c r="R15" s="165">
        <f t="shared" si="2"/>
        <v>0</v>
      </c>
      <c r="S15" s="165"/>
      <c r="T15" s="330"/>
    </row>
    <row r="16" spans="1:23" x14ac:dyDescent="0.2">
      <c r="A16" s="11"/>
      <c r="B16" s="11"/>
      <c r="C16" s="11"/>
      <c r="D16" s="165"/>
      <c r="E16" s="165"/>
      <c r="F16" s="165"/>
      <c r="G16" s="165"/>
      <c r="H16" s="329"/>
      <c r="I16" s="165"/>
      <c r="J16" s="165"/>
      <c r="K16" s="165"/>
      <c r="L16" s="165"/>
      <c r="M16" s="165"/>
      <c r="N16" s="165"/>
      <c r="O16" s="165"/>
      <c r="P16" s="344">
        <f t="shared" si="1"/>
        <v>0</v>
      </c>
      <c r="Q16" s="165"/>
      <c r="R16" s="165">
        <f t="shared" si="2"/>
        <v>0</v>
      </c>
      <c r="S16" s="165"/>
      <c r="T16" s="330"/>
    </row>
    <row r="17" spans="1:20" x14ac:dyDescent="0.2">
      <c r="A17" s="11"/>
      <c r="B17" s="11"/>
      <c r="C17" s="11"/>
      <c r="D17" s="165"/>
      <c r="E17" s="165"/>
      <c r="F17" s="165"/>
      <c r="G17" s="165"/>
      <c r="H17" s="329"/>
      <c r="I17" s="165"/>
      <c r="J17" s="165"/>
      <c r="K17" s="165"/>
      <c r="L17" s="165"/>
      <c r="M17" s="165"/>
      <c r="N17" s="165"/>
      <c r="O17" s="165"/>
      <c r="P17" s="344">
        <f t="shared" si="1"/>
        <v>0</v>
      </c>
      <c r="Q17" s="165"/>
      <c r="R17" s="165">
        <f t="shared" si="2"/>
        <v>0</v>
      </c>
      <c r="S17" s="165"/>
      <c r="T17" s="330"/>
    </row>
    <row r="18" spans="1:20" x14ac:dyDescent="0.2">
      <c r="A18" s="11"/>
      <c r="B18" s="11"/>
      <c r="C18" s="11"/>
      <c r="D18" s="165"/>
      <c r="E18" s="165"/>
      <c r="F18" s="165"/>
      <c r="G18" s="165"/>
      <c r="H18" s="329"/>
      <c r="I18" s="165"/>
      <c r="J18" s="165"/>
      <c r="K18" s="165"/>
      <c r="L18" s="165"/>
      <c r="M18" s="165"/>
      <c r="N18" s="165"/>
      <c r="O18" s="165"/>
      <c r="P18" s="344">
        <f t="shared" si="1"/>
        <v>0</v>
      </c>
      <c r="Q18" s="165"/>
      <c r="R18" s="165">
        <f t="shared" si="2"/>
        <v>0</v>
      </c>
      <c r="S18" s="165"/>
      <c r="T18" s="330"/>
    </row>
    <row r="19" spans="1:20" x14ac:dyDescent="0.2">
      <c r="A19" s="11"/>
      <c r="B19" s="11"/>
      <c r="C19" s="11"/>
      <c r="D19" s="165"/>
      <c r="E19" s="165"/>
      <c r="F19" s="165"/>
      <c r="G19" s="165"/>
      <c r="H19" s="329"/>
      <c r="I19" s="165"/>
      <c r="J19" s="165"/>
      <c r="K19" s="165"/>
      <c r="L19" s="165"/>
      <c r="M19" s="165"/>
      <c r="N19" s="165"/>
      <c r="O19" s="165"/>
      <c r="P19" s="344">
        <f t="shared" si="1"/>
        <v>0</v>
      </c>
      <c r="Q19" s="165"/>
      <c r="R19" s="165">
        <f t="shared" si="2"/>
        <v>0</v>
      </c>
      <c r="S19" s="165"/>
      <c r="T19" s="330"/>
    </row>
    <row r="20" spans="1:20" s="258" customFormat="1" x14ac:dyDescent="0.2">
      <c r="A20" s="11"/>
      <c r="B20" s="11"/>
      <c r="C20" s="11"/>
      <c r="D20" s="165"/>
      <c r="E20" s="165"/>
      <c r="F20" s="165"/>
      <c r="G20" s="165"/>
      <c r="H20" s="329"/>
      <c r="I20" s="165"/>
      <c r="J20" s="165"/>
      <c r="K20" s="165"/>
      <c r="L20" s="165"/>
      <c r="M20" s="165"/>
      <c r="N20" s="165"/>
      <c r="O20" s="165"/>
      <c r="P20" s="344">
        <f t="shared" si="1"/>
        <v>0</v>
      </c>
      <c r="Q20" s="165"/>
      <c r="R20" s="165">
        <f t="shared" si="2"/>
        <v>0</v>
      </c>
      <c r="S20" s="165"/>
      <c r="T20" s="330"/>
    </row>
    <row r="21" spans="1:20" s="258" customFormat="1" x14ac:dyDescent="0.2">
      <c r="A21" s="11"/>
      <c r="B21" s="11"/>
      <c r="C21" s="11"/>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
      <c r="A22" s="11"/>
      <c r="B22" s="11"/>
      <c r="C22" s="11"/>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
      <c r="A23" s="11"/>
      <c r="B23" s="11"/>
      <c r="C23" s="11"/>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
      <c r="A24" s="11"/>
      <c r="B24" s="11"/>
      <c r="C24" s="11"/>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
      <c r="A25" s="11"/>
      <c r="B25" s="11"/>
      <c r="C25" s="11"/>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1"/>
      <c r="B26" s="11"/>
      <c r="C26" s="11"/>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1"/>
      <c r="B27" s="11"/>
      <c r="C27" s="11"/>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1"/>
      <c r="B28" s="11"/>
      <c r="C28" s="11"/>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v>28492090</v>
      </c>
      <c r="B44" s="331"/>
      <c r="C44" s="331" t="s">
        <v>1509</v>
      </c>
      <c r="D44" s="331"/>
      <c r="E44" s="331" t="s">
        <v>1510</v>
      </c>
      <c r="F44" s="331" t="s">
        <v>1405</v>
      </c>
      <c r="G44" s="331" t="s">
        <v>1508</v>
      </c>
      <c r="H44" s="329">
        <v>43440</v>
      </c>
      <c r="I44" s="331"/>
      <c r="J44" s="331">
        <v>1</v>
      </c>
      <c r="K44" s="331"/>
      <c r="L44" s="331"/>
      <c r="M44" s="331"/>
      <c r="N44" s="331"/>
      <c r="O44" s="331"/>
      <c r="P44" s="344">
        <f t="shared" si="1"/>
        <v>1</v>
      </c>
      <c r="Q44" s="331">
        <v>1</v>
      </c>
      <c r="R44" s="165">
        <f t="shared" si="3"/>
        <v>0</v>
      </c>
      <c r="S44" s="331"/>
      <c r="T44" s="332" t="s">
        <v>1511</v>
      </c>
    </row>
    <row r="45" spans="1:20" s="259" customFormat="1" x14ac:dyDescent="0.2">
      <c r="A45" s="331">
        <v>30250080</v>
      </c>
      <c r="B45" s="331"/>
      <c r="C45" s="331" t="s">
        <v>1477</v>
      </c>
      <c r="D45" s="331"/>
      <c r="E45" s="331" t="s">
        <v>1453</v>
      </c>
      <c r="F45" s="331" t="s">
        <v>1405</v>
      </c>
      <c r="G45" s="331" t="s">
        <v>1508</v>
      </c>
      <c r="H45" s="329">
        <v>43161</v>
      </c>
      <c r="I45" s="331"/>
      <c r="J45" s="331">
        <v>1</v>
      </c>
      <c r="K45" s="331"/>
      <c r="L45" s="331"/>
      <c r="M45" s="331"/>
      <c r="N45" s="331"/>
      <c r="O45" s="331"/>
      <c r="P45" s="344">
        <f t="shared" si="1"/>
        <v>1</v>
      </c>
      <c r="Q45" s="331">
        <v>1</v>
      </c>
      <c r="R45" s="165">
        <f t="shared" si="3"/>
        <v>0</v>
      </c>
      <c r="S45" s="331" t="s">
        <v>1478</v>
      </c>
      <c r="T45" s="332"/>
    </row>
    <row r="46" spans="1:20" s="259" customFormat="1" x14ac:dyDescent="0.2">
      <c r="A46" s="331">
        <v>38043010</v>
      </c>
      <c r="B46" s="331"/>
      <c r="C46" s="331" t="s">
        <v>1479</v>
      </c>
      <c r="D46" s="331"/>
      <c r="E46" s="331" t="s">
        <v>1454</v>
      </c>
      <c r="F46" s="331" t="s">
        <v>1405</v>
      </c>
      <c r="G46" s="331"/>
      <c r="H46" s="329">
        <v>43188</v>
      </c>
      <c r="I46" s="331"/>
      <c r="J46" s="331"/>
      <c r="K46" s="331"/>
      <c r="L46" s="331"/>
      <c r="M46" s="331"/>
      <c r="N46" s="331"/>
      <c r="O46" s="331"/>
      <c r="P46" s="344">
        <f t="shared" si="1"/>
        <v>0</v>
      </c>
      <c r="Q46" s="331"/>
      <c r="R46" s="165">
        <f t="shared" si="3"/>
        <v>0</v>
      </c>
      <c r="S46" s="331" t="s">
        <v>1478</v>
      </c>
      <c r="T46" s="332" t="s">
        <v>1485</v>
      </c>
    </row>
    <row r="47" spans="1:20" s="259" customFormat="1" x14ac:dyDescent="0.2">
      <c r="A47" s="331">
        <v>31220020</v>
      </c>
      <c r="B47" s="331"/>
      <c r="C47" s="331" t="s">
        <v>1480</v>
      </c>
      <c r="D47" s="331"/>
      <c r="E47" s="331" t="s">
        <v>1455</v>
      </c>
      <c r="F47" s="331" t="s">
        <v>1405</v>
      </c>
      <c r="G47" s="331" t="s">
        <v>1507</v>
      </c>
      <c r="H47" s="329">
        <v>43189</v>
      </c>
      <c r="I47" s="331"/>
      <c r="J47" s="331">
        <v>1</v>
      </c>
      <c r="K47" s="331"/>
      <c r="L47" s="331"/>
      <c r="M47" s="331"/>
      <c r="N47" s="331"/>
      <c r="O47" s="331"/>
      <c r="P47" s="344">
        <f t="shared" si="1"/>
        <v>1</v>
      </c>
      <c r="Q47" s="331">
        <v>1</v>
      </c>
      <c r="R47" s="165">
        <f t="shared" si="3"/>
        <v>0</v>
      </c>
      <c r="S47" s="331" t="s">
        <v>1478</v>
      </c>
      <c r="T47" s="332"/>
    </row>
    <row r="48" spans="1:20" s="259" customFormat="1" x14ac:dyDescent="0.2">
      <c r="A48" s="331">
        <v>31133100</v>
      </c>
      <c r="B48" s="331"/>
      <c r="C48" s="331" t="s">
        <v>1481</v>
      </c>
      <c r="D48" s="331"/>
      <c r="E48" s="331" t="s">
        <v>1456</v>
      </c>
      <c r="F48" s="331" t="s">
        <v>1405</v>
      </c>
      <c r="G48" s="331"/>
      <c r="H48" s="329">
        <v>43223</v>
      </c>
      <c r="I48" s="331"/>
      <c r="J48" s="331"/>
      <c r="K48" s="331"/>
      <c r="L48" s="331"/>
      <c r="M48" s="331"/>
      <c r="N48" s="331"/>
      <c r="O48" s="331"/>
      <c r="P48" s="344">
        <f t="shared" si="1"/>
        <v>0</v>
      </c>
      <c r="Q48" s="331"/>
      <c r="R48" s="165">
        <f t="shared" si="3"/>
        <v>0</v>
      </c>
      <c r="S48" s="331" t="s">
        <v>1478</v>
      </c>
      <c r="T48" s="332" t="s">
        <v>1482</v>
      </c>
    </row>
    <row r="49" spans="1:20" s="259" customFormat="1" x14ac:dyDescent="0.2">
      <c r="A49" s="331">
        <v>27202220</v>
      </c>
      <c r="B49" s="331"/>
      <c r="C49" s="331" t="s">
        <v>1483</v>
      </c>
      <c r="D49" s="331"/>
      <c r="E49" s="331" t="s">
        <v>1457</v>
      </c>
      <c r="F49" s="331" t="s">
        <v>1405</v>
      </c>
      <c r="G49" s="331"/>
      <c r="H49" s="329">
        <v>43224</v>
      </c>
      <c r="I49" s="331"/>
      <c r="J49" s="331"/>
      <c r="K49" s="331"/>
      <c r="L49" s="331"/>
      <c r="M49" s="331"/>
      <c r="N49" s="331"/>
      <c r="O49" s="331"/>
      <c r="P49" s="344">
        <f t="shared" si="1"/>
        <v>0</v>
      </c>
      <c r="Q49" s="331"/>
      <c r="R49" s="165">
        <f t="shared" si="3"/>
        <v>0</v>
      </c>
      <c r="S49" s="331" t="s">
        <v>1478</v>
      </c>
      <c r="T49" s="332" t="s">
        <v>1482</v>
      </c>
    </row>
    <row r="50" spans="1:20" s="259" customFormat="1" x14ac:dyDescent="0.2">
      <c r="A50" s="331">
        <v>30183050</v>
      </c>
      <c r="B50" s="331"/>
      <c r="C50" s="331" t="s">
        <v>1484</v>
      </c>
      <c r="D50" s="331"/>
      <c r="E50" s="331" t="s">
        <v>1458</v>
      </c>
      <c r="F50" s="331" t="s">
        <v>1405</v>
      </c>
      <c r="G50" s="331" t="s">
        <v>1507</v>
      </c>
      <c r="H50" s="329">
        <v>43244</v>
      </c>
      <c r="I50" s="331"/>
      <c r="J50" s="331">
        <v>1</v>
      </c>
      <c r="K50" s="331"/>
      <c r="L50" s="331"/>
      <c r="M50" s="331"/>
      <c r="N50" s="331"/>
      <c r="O50" s="331"/>
      <c r="P50" s="344">
        <f t="shared" si="1"/>
        <v>1</v>
      </c>
      <c r="Q50" s="331">
        <v>1</v>
      </c>
      <c r="R50" s="165">
        <f t="shared" si="3"/>
        <v>0</v>
      </c>
      <c r="S50" s="331" t="s">
        <v>1478</v>
      </c>
      <c r="T50" s="332"/>
    </row>
    <row r="51" spans="1:20" s="259" customFormat="1" x14ac:dyDescent="0.2">
      <c r="A51" s="331">
        <v>28361020</v>
      </c>
      <c r="B51" s="331"/>
      <c r="C51" s="331" t="s">
        <v>1486</v>
      </c>
      <c r="D51" s="331"/>
      <c r="E51" s="331" t="s">
        <v>1459</v>
      </c>
      <c r="F51" s="331" t="s">
        <v>1405</v>
      </c>
      <c r="G51" s="331"/>
      <c r="H51" s="329">
        <v>43245</v>
      </c>
      <c r="I51" s="331"/>
      <c r="J51" s="331">
        <v>1</v>
      </c>
      <c r="K51" s="331"/>
      <c r="L51" s="331"/>
      <c r="M51" s="331"/>
      <c r="N51" s="331"/>
      <c r="O51" s="331"/>
      <c r="P51" s="344">
        <f t="shared" si="1"/>
        <v>1</v>
      </c>
      <c r="Q51" s="331">
        <v>1</v>
      </c>
      <c r="R51" s="165">
        <f t="shared" si="3"/>
        <v>0</v>
      </c>
      <c r="S51" s="331" t="s">
        <v>1478</v>
      </c>
      <c r="T51" s="332"/>
    </row>
    <row r="52" spans="1:20" s="259" customFormat="1" x14ac:dyDescent="0.2">
      <c r="A52" s="331">
        <v>30183040</v>
      </c>
      <c r="B52" s="331"/>
      <c r="C52" s="331" t="s">
        <v>1487</v>
      </c>
      <c r="D52" s="331"/>
      <c r="E52" s="331" t="s">
        <v>1460</v>
      </c>
      <c r="F52" s="331" t="s">
        <v>1405</v>
      </c>
      <c r="G52" s="331" t="s">
        <v>1507</v>
      </c>
      <c r="H52" s="329">
        <v>43265</v>
      </c>
      <c r="I52" s="331"/>
      <c r="J52" s="331">
        <v>1</v>
      </c>
      <c r="K52" s="331"/>
      <c r="L52" s="331"/>
      <c r="M52" s="331"/>
      <c r="N52" s="331"/>
      <c r="O52" s="331"/>
      <c r="P52" s="344">
        <f t="shared" si="1"/>
        <v>1</v>
      </c>
      <c r="Q52" s="331">
        <v>1</v>
      </c>
      <c r="R52" s="165">
        <f t="shared" si="3"/>
        <v>0</v>
      </c>
      <c r="S52" s="331" t="s">
        <v>1478</v>
      </c>
      <c r="T52" s="332"/>
    </row>
    <row r="53" spans="1:20" s="259" customFormat="1" x14ac:dyDescent="0.2">
      <c r="A53" s="331">
        <v>28413020</v>
      </c>
      <c r="B53" s="331"/>
      <c r="C53" s="331" t="s">
        <v>1488</v>
      </c>
      <c r="D53" s="331"/>
      <c r="E53" s="331" t="s">
        <v>1461</v>
      </c>
      <c r="F53" s="331" t="s">
        <v>1405</v>
      </c>
      <c r="G53" s="331"/>
      <c r="H53" s="329">
        <v>43284</v>
      </c>
      <c r="I53" s="331"/>
      <c r="J53" s="331"/>
      <c r="K53" s="331"/>
      <c r="L53" s="331"/>
      <c r="M53" s="331"/>
      <c r="N53" s="331"/>
      <c r="O53" s="331"/>
      <c r="P53" s="344">
        <f t="shared" si="1"/>
        <v>0</v>
      </c>
      <c r="Q53" s="331"/>
      <c r="R53" s="165">
        <f t="shared" si="3"/>
        <v>0</v>
      </c>
      <c r="S53" s="331" t="s">
        <v>1478</v>
      </c>
      <c r="T53" s="332" t="s">
        <v>1485</v>
      </c>
    </row>
    <row r="54" spans="1:20" s="259" customFormat="1" x14ac:dyDescent="0.2">
      <c r="A54" s="331">
        <v>28240130</v>
      </c>
      <c r="B54" s="331"/>
      <c r="C54" s="331" t="s">
        <v>1489</v>
      </c>
      <c r="D54" s="331"/>
      <c r="E54" s="331" t="s">
        <v>1462</v>
      </c>
      <c r="F54" s="331" t="s">
        <v>1405</v>
      </c>
      <c r="G54" s="331" t="s">
        <v>1508</v>
      </c>
      <c r="H54" s="329">
        <v>43291</v>
      </c>
      <c r="I54" s="331"/>
      <c r="J54" s="331">
        <v>1</v>
      </c>
      <c r="K54" s="331"/>
      <c r="L54" s="331"/>
      <c r="M54" s="331"/>
      <c r="N54" s="331"/>
      <c r="O54" s="331"/>
      <c r="P54" s="344">
        <f t="shared" si="1"/>
        <v>1</v>
      </c>
      <c r="Q54" s="331">
        <v>1</v>
      </c>
      <c r="R54" s="165">
        <f t="shared" si="3"/>
        <v>0</v>
      </c>
      <c r="S54" s="331" t="s">
        <v>1478</v>
      </c>
      <c r="T54" s="332"/>
    </row>
    <row r="55" spans="1:20" s="259" customFormat="1" x14ac:dyDescent="0.2">
      <c r="A55" s="331">
        <v>31120050</v>
      </c>
      <c r="B55" s="331"/>
      <c r="C55" s="331" t="s">
        <v>1490</v>
      </c>
      <c r="D55" s="331"/>
      <c r="E55" s="331" t="s">
        <v>1463</v>
      </c>
      <c r="F55" s="331" t="s">
        <v>1405</v>
      </c>
      <c r="G55" s="331" t="s">
        <v>1508</v>
      </c>
      <c r="H55" s="329">
        <v>43293</v>
      </c>
      <c r="I55" s="331"/>
      <c r="J55" s="331">
        <v>1</v>
      </c>
      <c r="K55" s="331"/>
      <c r="L55" s="331"/>
      <c r="M55" s="331"/>
      <c r="N55" s="331"/>
      <c r="O55" s="331"/>
      <c r="P55" s="344">
        <f t="shared" si="1"/>
        <v>1</v>
      </c>
      <c r="Q55" s="331">
        <v>1</v>
      </c>
      <c r="R55" s="165">
        <f t="shared" si="3"/>
        <v>0</v>
      </c>
      <c r="S55" s="331" t="s">
        <v>1478</v>
      </c>
      <c r="T55" s="332"/>
    </row>
    <row r="56" spans="1:20" s="259" customFormat="1" x14ac:dyDescent="0.2">
      <c r="A56" s="331">
        <v>31013010</v>
      </c>
      <c r="B56" s="331"/>
      <c r="C56" s="331" t="s">
        <v>1491</v>
      </c>
      <c r="D56" s="331"/>
      <c r="E56" s="331" t="s">
        <v>1464</v>
      </c>
      <c r="F56" s="331" t="s">
        <v>1405</v>
      </c>
      <c r="G56" s="331" t="s">
        <v>1507</v>
      </c>
      <c r="H56" s="329">
        <v>43301</v>
      </c>
      <c r="I56" s="331"/>
      <c r="J56" s="331">
        <v>1</v>
      </c>
      <c r="K56" s="331"/>
      <c r="L56" s="331"/>
      <c r="M56" s="331"/>
      <c r="N56" s="331"/>
      <c r="O56" s="331"/>
      <c r="P56" s="344">
        <f t="shared" si="1"/>
        <v>1</v>
      </c>
      <c r="Q56" s="331">
        <v>1</v>
      </c>
      <c r="R56" s="165">
        <f t="shared" si="3"/>
        <v>0</v>
      </c>
      <c r="S56" s="331" t="s">
        <v>1478</v>
      </c>
      <c r="T56" s="332"/>
    </row>
    <row r="57" spans="1:20" s="259" customFormat="1" x14ac:dyDescent="0.2">
      <c r="A57" s="331">
        <v>28381080</v>
      </c>
      <c r="B57" s="331"/>
      <c r="C57" s="331" t="s">
        <v>1492</v>
      </c>
      <c r="D57" s="331"/>
      <c r="E57" s="331" t="s">
        <v>1465</v>
      </c>
      <c r="F57" s="331" t="s">
        <v>1405</v>
      </c>
      <c r="G57" s="331" t="s">
        <v>1507</v>
      </c>
      <c r="H57" s="329">
        <v>43333</v>
      </c>
      <c r="I57" s="331"/>
      <c r="J57" s="331"/>
      <c r="K57" s="331"/>
      <c r="L57" s="331">
        <v>1</v>
      </c>
      <c r="M57" s="331"/>
      <c r="N57" s="331"/>
      <c r="O57" s="331"/>
      <c r="P57" s="344">
        <f t="shared" si="1"/>
        <v>1</v>
      </c>
      <c r="Q57" s="331">
        <v>1</v>
      </c>
      <c r="R57" s="165">
        <f t="shared" si="3"/>
        <v>0</v>
      </c>
      <c r="S57" s="331" t="s">
        <v>1478</v>
      </c>
      <c r="T57" s="332"/>
    </row>
    <row r="58" spans="1:20" s="259" customFormat="1" x14ac:dyDescent="0.2">
      <c r="A58" s="331">
        <v>30182150</v>
      </c>
      <c r="B58" s="331"/>
      <c r="C58" s="331" t="s">
        <v>1493</v>
      </c>
      <c r="D58" s="331"/>
      <c r="E58" s="331" t="s">
        <v>1466</v>
      </c>
      <c r="F58" s="331" t="s">
        <v>1405</v>
      </c>
      <c r="G58" s="331"/>
      <c r="H58" s="329">
        <v>43356</v>
      </c>
      <c r="I58" s="331"/>
      <c r="J58" s="331"/>
      <c r="K58" s="331"/>
      <c r="L58" s="331">
        <v>1</v>
      </c>
      <c r="M58" s="331"/>
      <c r="N58" s="331"/>
      <c r="O58" s="331"/>
      <c r="P58" s="344">
        <f t="shared" si="1"/>
        <v>1</v>
      </c>
      <c r="Q58" s="331">
        <v>1</v>
      </c>
      <c r="R58" s="165">
        <f t="shared" si="3"/>
        <v>0</v>
      </c>
      <c r="S58" s="331" t="s">
        <v>1478</v>
      </c>
      <c r="T58" s="332"/>
    </row>
    <row r="59" spans="1:20" s="259" customFormat="1" x14ac:dyDescent="0.2">
      <c r="A59" s="331">
        <v>28422130</v>
      </c>
      <c r="B59" s="331"/>
      <c r="C59" s="331" t="s">
        <v>1494</v>
      </c>
      <c r="D59" s="331"/>
      <c r="E59" s="331" t="s">
        <v>1467</v>
      </c>
      <c r="F59" s="331" t="s">
        <v>1405</v>
      </c>
      <c r="G59" s="331"/>
      <c r="H59" s="329">
        <v>43364</v>
      </c>
      <c r="I59" s="331"/>
      <c r="J59" s="331"/>
      <c r="K59" s="331"/>
      <c r="L59" s="331">
        <v>1</v>
      </c>
      <c r="M59" s="331"/>
      <c r="N59" s="331"/>
      <c r="O59" s="331"/>
      <c r="P59" s="344">
        <f t="shared" si="1"/>
        <v>1</v>
      </c>
      <c r="Q59" s="331">
        <v>1</v>
      </c>
      <c r="R59" s="165">
        <f t="shared" si="3"/>
        <v>0</v>
      </c>
      <c r="S59" s="331" t="s">
        <v>1478</v>
      </c>
      <c r="T59" s="332"/>
    </row>
    <row r="60" spans="1:20" s="259" customFormat="1" x14ac:dyDescent="0.2">
      <c r="A60" s="331">
        <v>32395180</v>
      </c>
      <c r="B60" s="331"/>
      <c r="C60" s="331" t="s">
        <v>1495</v>
      </c>
      <c r="D60" s="331"/>
      <c r="E60" s="331" t="s">
        <v>1468</v>
      </c>
      <c r="F60" s="331" t="s">
        <v>1405</v>
      </c>
      <c r="G60" s="331"/>
      <c r="H60" s="329">
        <v>43388</v>
      </c>
      <c r="I60" s="331"/>
      <c r="J60" s="331"/>
      <c r="K60" s="331"/>
      <c r="L60" s="331"/>
      <c r="M60" s="331"/>
      <c r="N60" s="331"/>
      <c r="O60" s="331"/>
      <c r="P60" s="344">
        <f t="shared" si="1"/>
        <v>0</v>
      </c>
      <c r="Q60" s="331"/>
      <c r="R60" s="165">
        <f t="shared" si="3"/>
        <v>0</v>
      </c>
      <c r="S60" s="331" t="s">
        <v>1478</v>
      </c>
      <c r="T60" s="332" t="s">
        <v>1470</v>
      </c>
    </row>
    <row r="61" spans="1:20" s="259" customFormat="1" x14ac:dyDescent="0.2">
      <c r="A61" s="331">
        <v>27325040</v>
      </c>
      <c r="B61" s="331"/>
      <c r="C61" s="331" t="s">
        <v>1496</v>
      </c>
      <c r="D61" s="331"/>
      <c r="E61" s="331" t="s">
        <v>1469</v>
      </c>
      <c r="F61" s="331" t="s">
        <v>1405</v>
      </c>
      <c r="G61" s="331"/>
      <c r="H61" s="329">
        <v>43396</v>
      </c>
      <c r="I61" s="331"/>
      <c r="J61" s="331"/>
      <c r="K61" s="331"/>
      <c r="L61" s="331">
        <v>1</v>
      </c>
      <c r="M61" s="331"/>
      <c r="N61" s="331"/>
      <c r="O61" s="331"/>
      <c r="P61" s="344">
        <f t="shared" si="1"/>
        <v>1</v>
      </c>
      <c r="Q61" s="331">
        <v>1</v>
      </c>
      <c r="R61" s="165">
        <f t="shared" si="3"/>
        <v>0</v>
      </c>
      <c r="S61" s="331" t="s">
        <v>1478</v>
      </c>
      <c r="T61" s="332"/>
    </row>
    <row r="62" spans="1:20" s="259" customFormat="1" x14ac:dyDescent="0.2">
      <c r="A62" s="331">
        <v>32253280</v>
      </c>
      <c r="B62" s="331"/>
      <c r="C62" s="331" t="s">
        <v>1497</v>
      </c>
      <c r="D62" s="331"/>
      <c r="E62" s="331" t="s">
        <v>1471</v>
      </c>
      <c r="F62" s="331" t="s">
        <v>1405</v>
      </c>
      <c r="G62" s="331" t="s">
        <v>1507</v>
      </c>
      <c r="H62" s="329">
        <v>43403</v>
      </c>
      <c r="I62" s="331"/>
      <c r="J62" s="331"/>
      <c r="K62" s="331"/>
      <c r="L62" s="331"/>
      <c r="M62" s="331"/>
      <c r="N62" s="331">
        <v>1</v>
      </c>
      <c r="O62" s="331"/>
      <c r="P62" s="344">
        <f t="shared" si="1"/>
        <v>1</v>
      </c>
      <c r="Q62" s="331">
        <v>1</v>
      </c>
      <c r="R62" s="165">
        <f t="shared" si="3"/>
        <v>0</v>
      </c>
      <c r="S62" s="331" t="s">
        <v>1478</v>
      </c>
      <c r="T62" s="332"/>
    </row>
    <row r="63" spans="1:20" s="259" customFormat="1" x14ac:dyDescent="0.2">
      <c r="A63" s="331">
        <v>38261040</v>
      </c>
      <c r="B63" s="331"/>
      <c r="C63" s="331" t="s">
        <v>1498</v>
      </c>
      <c r="D63" s="331"/>
      <c r="E63" s="331" t="s">
        <v>1472</v>
      </c>
      <c r="F63" s="331" t="s">
        <v>1405</v>
      </c>
      <c r="G63" s="331" t="s">
        <v>1507</v>
      </c>
      <c r="H63" s="329">
        <v>43417</v>
      </c>
      <c r="I63" s="331"/>
      <c r="J63" s="331"/>
      <c r="K63" s="331"/>
      <c r="L63" s="331"/>
      <c r="M63" s="331"/>
      <c r="N63" s="331">
        <v>1</v>
      </c>
      <c r="O63" s="331"/>
      <c r="P63" s="344">
        <f t="shared" si="1"/>
        <v>1</v>
      </c>
      <c r="Q63" s="331">
        <v>1</v>
      </c>
      <c r="R63" s="165">
        <f t="shared" si="3"/>
        <v>0</v>
      </c>
      <c r="S63" s="331" t="s">
        <v>1478</v>
      </c>
      <c r="T63" s="332"/>
    </row>
    <row r="64" spans="1:20" s="259" customFormat="1" x14ac:dyDescent="0.2">
      <c r="A64" s="331">
        <v>31220370</v>
      </c>
      <c r="B64" s="331"/>
      <c r="C64" s="331" t="s">
        <v>1499</v>
      </c>
      <c r="D64" s="331"/>
      <c r="E64" s="331" t="s">
        <v>1473</v>
      </c>
      <c r="F64" s="331" t="s">
        <v>1405</v>
      </c>
      <c r="G64" s="331"/>
      <c r="H64" s="329">
        <v>43423</v>
      </c>
      <c r="I64" s="331"/>
      <c r="J64" s="331"/>
      <c r="K64" s="331"/>
      <c r="L64" s="331"/>
      <c r="M64" s="331"/>
      <c r="N64" s="331"/>
      <c r="O64" s="331"/>
      <c r="P64" s="344">
        <f t="shared" si="1"/>
        <v>0</v>
      </c>
      <c r="Q64" s="331"/>
      <c r="R64" s="165">
        <f t="shared" si="3"/>
        <v>0</v>
      </c>
      <c r="S64" s="331" t="s">
        <v>1478</v>
      </c>
      <c r="T64" s="332" t="s">
        <v>1485</v>
      </c>
    </row>
    <row r="65" spans="1:20" s="259" customFormat="1" x14ac:dyDescent="0.2">
      <c r="A65" s="331">
        <v>38412050</v>
      </c>
      <c r="B65" s="331"/>
      <c r="C65" s="331" t="s">
        <v>1500</v>
      </c>
      <c r="D65" s="331"/>
      <c r="E65" s="331" t="s">
        <v>1474</v>
      </c>
      <c r="F65" s="331" t="s">
        <v>1405</v>
      </c>
      <c r="G65" s="331"/>
      <c r="H65" s="329">
        <v>43430</v>
      </c>
      <c r="I65" s="331"/>
      <c r="J65" s="331"/>
      <c r="K65" s="331"/>
      <c r="L65" s="331"/>
      <c r="M65" s="331"/>
      <c r="N65" s="331"/>
      <c r="O65" s="331"/>
      <c r="P65" s="344">
        <f t="shared" si="1"/>
        <v>0</v>
      </c>
      <c r="Q65" s="331"/>
      <c r="R65" s="165">
        <f t="shared" si="3"/>
        <v>0</v>
      </c>
      <c r="S65" s="331" t="s">
        <v>1478</v>
      </c>
      <c r="T65" s="332" t="s">
        <v>1485</v>
      </c>
    </row>
    <row r="66" spans="1:20" s="259" customFormat="1" x14ac:dyDescent="0.2">
      <c r="A66" s="331">
        <v>28502010</v>
      </c>
      <c r="B66" s="331"/>
      <c r="C66" s="331" t="s">
        <v>1501</v>
      </c>
      <c r="D66" s="331"/>
      <c r="E66" s="331" t="s">
        <v>1475</v>
      </c>
      <c r="F66" s="331" t="s">
        <v>1405</v>
      </c>
      <c r="G66" s="331" t="s">
        <v>1508</v>
      </c>
      <c r="H66" s="329">
        <v>43441</v>
      </c>
      <c r="I66" s="331"/>
      <c r="J66" s="331"/>
      <c r="K66" s="331"/>
      <c r="L66" s="331"/>
      <c r="M66" s="331"/>
      <c r="N66" s="331"/>
      <c r="O66" s="331"/>
      <c r="P66" s="344">
        <f t="shared" si="1"/>
        <v>0</v>
      </c>
      <c r="Q66" s="331"/>
      <c r="R66" s="165">
        <f t="shared" si="3"/>
        <v>0</v>
      </c>
      <c r="S66" s="331" t="s">
        <v>1478</v>
      </c>
      <c r="T66" s="332" t="s">
        <v>1485</v>
      </c>
    </row>
    <row r="67" spans="1:20" s="259" customFormat="1" x14ac:dyDescent="0.2">
      <c r="A67" s="331">
        <v>28271020</v>
      </c>
      <c r="B67" s="331"/>
      <c r="C67" s="331" t="s">
        <v>1502</v>
      </c>
      <c r="D67" s="331"/>
      <c r="E67" s="331" t="s">
        <v>1476</v>
      </c>
      <c r="F67" s="331" t="s">
        <v>1405</v>
      </c>
      <c r="G67" s="331" t="s">
        <v>1507</v>
      </c>
      <c r="H67" s="329">
        <v>43196</v>
      </c>
      <c r="I67" s="331"/>
      <c r="J67" s="331"/>
      <c r="K67" s="331"/>
      <c r="L67" s="331"/>
      <c r="M67" s="331"/>
      <c r="N67" s="331">
        <v>1</v>
      </c>
      <c r="O67" s="331"/>
      <c r="P67" s="344">
        <f t="shared" si="1"/>
        <v>1</v>
      </c>
      <c r="Q67" s="331">
        <v>1</v>
      </c>
      <c r="R67" s="165">
        <f t="shared" si="3"/>
        <v>0</v>
      </c>
      <c r="S67" s="331" t="s">
        <v>1478</v>
      </c>
      <c r="T67" s="332"/>
    </row>
    <row r="68" spans="1:20" s="259" customFormat="1" x14ac:dyDescent="0.2">
      <c r="A68" s="331">
        <v>38333210</v>
      </c>
      <c r="B68" s="331"/>
      <c r="C68" s="331" t="s">
        <v>1503</v>
      </c>
      <c r="D68" s="331"/>
      <c r="E68" s="331" t="s">
        <v>1514</v>
      </c>
      <c r="F68" s="331" t="s">
        <v>1414</v>
      </c>
      <c r="G68" s="331"/>
      <c r="H68" s="329">
        <v>43136</v>
      </c>
      <c r="I68" s="331"/>
      <c r="J68" s="331"/>
      <c r="K68" s="331"/>
      <c r="L68" s="331"/>
      <c r="M68" s="331"/>
      <c r="N68" s="331">
        <v>1</v>
      </c>
      <c r="O68" s="331">
        <v>1</v>
      </c>
      <c r="P68" s="344">
        <f t="shared" si="1"/>
        <v>2</v>
      </c>
      <c r="Q68" s="331">
        <v>1</v>
      </c>
      <c r="R68" s="165"/>
      <c r="S68" s="331" t="s">
        <v>1478</v>
      </c>
      <c r="T68" s="332"/>
    </row>
    <row r="69" spans="1:20" s="259" customFormat="1" x14ac:dyDescent="0.2">
      <c r="A69" s="331">
        <v>38301230</v>
      </c>
      <c r="B69" s="331"/>
      <c r="C69" s="368" t="s">
        <v>1512</v>
      </c>
      <c r="D69" s="331"/>
      <c r="E69" s="331" t="s">
        <v>1515</v>
      </c>
      <c r="F69" s="331" t="s">
        <v>1414</v>
      </c>
      <c r="G69" s="331"/>
      <c r="H69" s="329">
        <v>43409</v>
      </c>
      <c r="I69" s="331"/>
      <c r="J69" s="331"/>
      <c r="K69" s="331"/>
      <c r="L69" s="331"/>
      <c r="M69" s="331"/>
      <c r="N69" s="331">
        <v>1</v>
      </c>
      <c r="O69" s="331">
        <v>1</v>
      </c>
      <c r="P69" s="344">
        <f t="shared" si="1"/>
        <v>2</v>
      </c>
      <c r="Q69" s="331">
        <v>1</v>
      </c>
      <c r="R69" s="165"/>
      <c r="S69" s="331" t="s">
        <v>1478</v>
      </c>
      <c r="T69" s="332"/>
    </row>
    <row r="70" spans="1:20" s="259" customFormat="1" x14ac:dyDescent="0.2">
      <c r="A70" s="331">
        <v>38301230</v>
      </c>
      <c r="B70" s="331"/>
      <c r="C70" s="331" t="s">
        <v>1513</v>
      </c>
      <c r="D70" s="331"/>
      <c r="E70" s="331" t="s">
        <v>1516</v>
      </c>
      <c r="F70" s="331" t="s">
        <v>1414</v>
      </c>
      <c r="G70" s="331"/>
      <c r="H70" s="369">
        <v>43262</v>
      </c>
      <c r="I70" s="331"/>
      <c r="J70" s="331"/>
      <c r="K70" s="331"/>
      <c r="L70" s="331"/>
      <c r="M70" s="331"/>
      <c r="N70" s="331"/>
      <c r="O70" s="331">
        <v>1</v>
      </c>
      <c r="P70" s="344">
        <f t="shared" si="1"/>
        <v>1</v>
      </c>
      <c r="Q70" s="331">
        <v>1</v>
      </c>
      <c r="R70" s="165">
        <f t="shared" si="3"/>
        <v>0</v>
      </c>
      <c r="S70" s="331" t="s">
        <v>1478</v>
      </c>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UcQvzuljvLCvw+jPhxMr4YpJAymE18LUAHBjd3iFp2tCiBGdmwK2WQkGASFsKfoZ+q8fT8FgkqEyA+i26mWDcg==" saltValue="dVOhqYD5We+gDzbzm8Ocqg=="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69 H71: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3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AM13" activePane="bottomRight" state="frozen"/>
      <selection pane="topRight" activeCell="E1" sqref="E1"/>
      <selection pane="bottomLeft" activeCell="A13" sqref="A13"/>
      <selection pane="bottomRight" activeCell="F34" sqref="F34"/>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6"/>
      <c r="Q1" s="202"/>
      <c r="R1" s="202"/>
      <c r="S1" s="202"/>
      <c r="T1" s="202"/>
      <c r="U1" s="202"/>
      <c r="V1" s="202"/>
      <c r="W1" s="202"/>
      <c r="X1" s="202"/>
      <c r="Y1" s="366"/>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7"/>
      <c r="Q2" s="203"/>
      <c r="R2" s="203"/>
      <c r="S2" s="203"/>
      <c r="T2" s="203"/>
      <c r="U2" s="203"/>
      <c r="V2" s="203"/>
      <c r="W2" s="203"/>
      <c r="X2" s="203"/>
      <c r="Y2" s="367"/>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4"/>
      <c r="Q3" s="198"/>
      <c r="R3" s="198"/>
      <c r="S3" s="198"/>
      <c r="T3" s="198"/>
      <c r="U3" s="198"/>
      <c r="V3" s="198"/>
      <c r="W3" s="198"/>
      <c r="X3" s="198"/>
      <c r="Y3" s="364"/>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Hillsborough</v>
      </c>
      <c r="C4" s="317"/>
      <c r="D4" s="78"/>
      <c r="E4" s="78"/>
      <c r="F4" s="78"/>
      <c r="G4" s="78"/>
      <c r="H4" s="78"/>
      <c r="I4" s="78"/>
      <c r="J4" s="78"/>
      <c r="L4" s="423" t="s">
        <v>1374</v>
      </c>
      <c r="M4" s="424"/>
      <c r="N4" s="424"/>
      <c r="O4" s="425"/>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3"/>
      <c r="Q7" s="219"/>
      <c r="R7" s="219"/>
      <c r="S7" s="219"/>
      <c r="T7" s="219"/>
      <c r="U7" s="219"/>
      <c r="V7" s="219"/>
      <c r="W7" s="219"/>
      <c r="X7" s="219"/>
      <c r="Y7" s="363"/>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12" t="s">
        <v>43</v>
      </c>
      <c r="B9" s="415"/>
      <c r="C9" s="415"/>
      <c r="D9" s="415"/>
      <c r="E9" s="416"/>
      <c r="F9" s="412" t="s">
        <v>112</v>
      </c>
      <c r="G9" s="416"/>
      <c r="H9" s="412" t="s">
        <v>1295</v>
      </c>
      <c r="I9" s="415"/>
      <c r="J9" s="415"/>
      <c r="K9" s="415"/>
      <c r="L9" s="415"/>
      <c r="M9" s="415"/>
      <c r="N9" s="415"/>
      <c r="O9" s="416"/>
      <c r="P9" s="266"/>
      <c r="Q9" s="412" t="s">
        <v>68</v>
      </c>
      <c r="R9" s="415"/>
      <c r="S9" s="415"/>
      <c r="T9" s="415"/>
      <c r="U9" s="415"/>
      <c r="V9" s="415"/>
      <c r="W9" s="416"/>
      <c r="X9" s="266"/>
      <c r="Y9" s="266"/>
      <c r="Z9" s="412" t="s">
        <v>69</v>
      </c>
      <c r="AA9" s="415"/>
      <c r="AB9" s="415"/>
      <c r="AC9" s="415"/>
      <c r="AD9" s="415"/>
      <c r="AE9" s="415"/>
      <c r="AF9" s="415"/>
      <c r="AG9" s="415"/>
      <c r="AH9" s="416"/>
      <c r="AI9" s="267"/>
      <c r="AJ9" s="224" t="s">
        <v>113</v>
      </c>
      <c r="AK9" s="224" t="s">
        <v>114</v>
      </c>
      <c r="AL9" s="412" t="s">
        <v>6</v>
      </c>
      <c r="AM9" s="416"/>
      <c r="AN9" s="224" t="s">
        <v>7</v>
      </c>
      <c r="AO9" s="224" t="s">
        <v>115</v>
      </c>
      <c r="AP9" s="412" t="s">
        <v>118</v>
      </c>
      <c r="AQ9" s="415"/>
      <c r="AR9" s="416"/>
      <c r="AS9" s="85" t="s">
        <v>58</v>
      </c>
      <c r="AT9" s="82"/>
    </row>
    <row r="10" spans="1:46" s="10" customFormat="1" ht="15.6" customHeight="1" x14ac:dyDescent="0.25">
      <c r="A10" s="431">
        <v>1</v>
      </c>
      <c r="B10" s="432"/>
      <c r="C10" s="432"/>
      <c r="D10" s="432"/>
      <c r="E10" s="433"/>
      <c r="F10" s="216">
        <v>2</v>
      </c>
      <c r="G10" s="216">
        <v>3</v>
      </c>
      <c r="H10" s="217">
        <v>4</v>
      </c>
      <c r="I10" s="268"/>
      <c r="J10" s="268"/>
      <c r="K10" s="268"/>
      <c r="L10" s="268"/>
      <c r="M10" s="268"/>
      <c r="N10" s="269"/>
      <c r="O10" s="216">
        <v>5</v>
      </c>
      <c r="P10" s="365">
        <v>6</v>
      </c>
      <c r="Q10" s="217">
        <v>7</v>
      </c>
      <c r="R10" s="218"/>
      <c r="S10" s="218"/>
      <c r="T10" s="218"/>
      <c r="U10" s="218"/>
      <c r="V10" s="218"/>
      <c r="W10" s="111"/>
      <c r="X10" s="216">
        <v>8</v>
      </c>
      <c r="Y10" s="365">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8</v>
      </c>
      <c r="J12" s="349">
        <f t="shared" si="0"/>
        <v>0</v>
      </c>
      <c r="K12" s="349">
        <f t="shared" si="0"/>
        <v>4</v>
      </c>
      <c r="L12" s="349">
        <f t="shared" si="0"/>
        <v>0</v>
      </c>
      <c r="M12" s="349">
        <f t="shared" si="0"/>
        <v>5</v>
      </c>
      <c r="N12" s="349">
        <f t="shared" si="0"/>
        <v>2</v>
      </c>
      <c r="O12" s="349"/>
      <c r="P12" s="349">
        <f t="shared" si="0"/>
        <v>19</v>
      </c>
      <c r="Q12" s="349">
        <f t="shared" si="0"/>
        <v>0</v>
      </c>
      <c r="R12" s="349">
        <f t="shared" si="0"/>
        <v>6</v>
      </c>
      <c r="S12" s="349">
        <f t="shared" si="0"/>
        <v>0</v>
      </c>
      <c r="T12" s="349">
        <f t="shared" si="0"/>
        <v>4</v>
      </c>
      <c r="U12" s="349">
        <f t="shared" si="0"/>
        <v>0</v>
      </c>
      <c r="V12" s="349">
        <f t="shared" si="0"/>
        <v>3</v>
      </c>
      <c r="W12" s="349">
        <f t="shared" si="0"/>
        <v>3</v>
      </c>
      <c r="X12" s="349"/>
      <c r="Y12" s="351">
        <f t="shared" si="0"/>
        <v>16</v>
      </c>
      <c r="Z12" s="349">
        <f t="shared" si="0"/>
        <v>0</v>
      </c>
      <c r="AA12" s="349">
        <f t="shared" si="0"/>
        <v>0</v>
      </c>
      <c r="AB12" s="349">
        <f t="shared" si="0"/>
        <v>0</v>
      </c>
      <c r="AC12" s="349">
        <f t="shared" si="0"/>
        <v>0</v>
      </c>
      <c r="AD12" s="349">
        <f t="shared" si="0"/>
        <v>0</v>
      </c>
      <c r="AE12" s="349">
        <f t="shared" si="0"/>
        <v>0</v>
      </c>
      <c r="AF12" s="349">
        <f t="shared" si="0"/>
        <v>0</v>
      </c>
      <c r="AG12" s="349"/>
      <c r="AH12" s="351">
        <f t="shared" si="0"/>
        <v>0</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12.75" x14ac:dyDescent="0.2">
      <c r="A13" s="11">
        <v>38293100</v>
      </c>
      <c r="B13" s="11">
        <v>38293100</v>
      </c>
      <c r="C13" s="11" t="s">
        <v>1387</v>
      </c>
      <c r="D13" s="11"/>
      <c r="E13" s="11" t="s">
        <v>1420</v>
      </c>
      <c r="F13" s="11" t="s">
        <v>1405</v>
      </c>
      <c r="G13" s="11"/>
      <c r="H13" s="271"/>
      <c r="I13" s="271"/>
      <c r="J13" s="271"/>
      <c r="K13" s="271"/>
      <c r="L13" s="271"/>
      <c r="M13" s="271"/>
      <c r="N13" s="271"/>
      <c r="O13" s="272"/>
      <c r="P13" s="345">
        <f t="shared" ref="P13:P76" si="1">SUM(H13:N13)</f>
        <v>0</v>
      </c>
      <c r="Q13" s="271"/>
      <c r="R13" s="271">
        <v>1</v>
      </c>
      <c r="S13" s="271"/>
      <c r="T13" s="271"/>
      <c r="U13" s="271"/>
      <c r="V13" s="271"/>
      <c r="W13" s="272"/>
      <c r="X13" s="273"/>
      <c r="Y13" s="346">
        <f t="shared" ref="Y13:Y76" si="2">SUM(Q13:W13)</f>
        <v>1</v>
      </c>
      <c r="Z13" s="165"/>
      <c r="AA13" s="165"/>
      <c r="AB13" s="165"/>
      <c r="AC13" s="165"/>
      <c r="AD13" s="165"/>
      <c r="AE13" s="165"/>
      <c r="AF13" s="165"/>
      <c r="AG13" s="273"/>
      <c r="AH13" s="346">
        <f>SUM(Z13:AF13)</f>
        <v>0</v>
      </c>
      <c r="AI13" s="274"/>
      <c r="AJ13" s="11"/>
      <c r="AK13" s="11"/>
      <c r="AL13" s="11"/>
      <c r="AM13" s="11"/>
      <c r="AN13" s="11"/>
      <c r="AO13" s="11"/>
      <c r="AP13" s="11"/>
      <c r="AQ13" s="11"/>
      <c r="AR13" s="11"/>
      <c r="AS13" s="275"/>
      <c r="AT13" s="226"/>
    </row>
    <row r="14" spans="1:46" s="2" customFormat="1" ht="12.75" x14ac:dyDescent="0.2">
      <c r="A14" s="356">
        <v>28341110</v>
      </c>
      <c r="B14" s="356">
        <v>28341110</v>
      </c>
      <c r="C14" s="11" t="s">
        <v>1388</v>
      </c>
      <c r="D14" s="11"/>
      <c r="E14" s="11" t="s">
        <v>1419</v>
      </c>
      <c r="F14" s="11" t="s">
        <v>1405</v>
      </c>
      <c r="G14" s="11"/>
      <c r="H14" s="271"/>
      <c r="I14" s="271"/>
      <c r="J14" s="271"/>
      <c r="K14" s="271"/>
      <c r="L14" s="271"/>
      <c r="M14" s="271"/>
      <c r="N14" s="271"/>
      <c r="O14" s="272"/>
      <c r="P14" s="345">
        <f t="shared" si="1"/>
        <v>0</v>
      </c>
      <c r="Q14" s="271"/>
      <c r="R14" s="271">
        <v>1</v>
      </c>
      <c r="S14" s="81"/>
      <c r="T14" s="271"/>
      <c r="U14" s="271"/>
      <c r="V14" s="271"/>
      <c r="W14" s="272"/>
      <c r="X14" s="273"/>
      <c r="Y14" s="346">
        <f t="shared" si="2"/>
        <v>1</v>
      </c>
      <c r="Z14" s="165"/>
      <c r="AA14" s="165"/>
      <c r="AB14" s="165"/>
      <c r="AC14" s="165"/>
      <c r="AD14" s="165"/>
      <c r="AE14" s="165"/>
      <c r="AF14" s="165"/>
      <c r="AG14" s="273"/>
      <c r="AH14" s="346">
        <f>SUM(Z14:AF14)</f>
        <v>0</v>
      </c>
      <c r="AI14" s="274"/>
      <c r="AJ14" s="11"/>
      <c r="AK14" s="11"/>
      <c r="AL14" s="11"/>
      <c r="AM14" s="11"/>
      <c r="AN14" s="11"/>
      <c r="AO14" s="11"/>
      <c r="AP14" s="11"/>
      <c r="AQ14" s="11"/>
      <c r="AR14" s="11"/>
      <c r="AS14" s="275"/>
      <c r="AT14" s="226"/>
    </row>
    <row r="15" spans="1:46" s="2" customFormat="1" ht="12.75" x14ac:dyDescent="0.2">
      <c r="A15" s="11">
        <v>28050040</v>
      </c>
      <c r="B15" s="11">
        <v>28050040</v>
      </c>
      <c r="C15" s="11" t="s">
        <v>1389</v>
      </c>
      <c r="D15" s="11"/>
      <c r="E15" s="11"/>
      <c r="F15" s="11" t="s">
        <v>1405</v>
      </c>
      <c r="G15" s="11"/>
      <c r="H15" s="271"/>
      <c r="I15" s="271"/>
      <c r="J15" s="271"/>
      <c r="K15" s="276"/>
      <c r="L15" s="271"/>
      <c r="M15" s="271"/>
      <c r="N15" s="271"/>
      <c r="O15" s="272"/>
      <c r="P15" s="345">
        <f t="shared" si="1"/>
        <v>0</v>
      </c>
      <c r="Q15" s="271"/>
      <c r="R15" s="271">
        <v>1</v>
      </c>
      <c r="S15" s="81"/>
      <c r="T15" s="271"/>
      <c r="U15" s="271"/>
      <c r="V15" s="271"/>
      <c r="W15" s="272"/>
      <c r="X15" s="273"/>
      <c r="Y15" s="346">
        <f t="shared" si="2"/>
        <v>1</v>
      </c>
      <c r="Z15" s="165"/>
      <c r="AA15" s="165"/>
      <c r="AB15" s="165"/>
      <c r="AC15" s="165"/>
      <c r="AD15" s="165"/>
      <c r="AE15" s="165"/>
      <c r="AF15" s="165"/>
      <c r="AG15" s="273"/>
      <c r="AH15" s="346">
        <f t="shared" ref="AH15:AH31" si="3">SUM(Z15:AF15)</f>
        <v>0</v>
      </c>
      <c r="AI15" s="274"/>
      <c r="AJ15" s="11"/>
      <c r="AK15" s="11"/>
      <c r="AL15" s="11"/>
      <c r="AM15" s="11"/>
      <c r="AN15" s="11"/>
      <c r="AO15" s="11"/>
      <c r="AP15" s="11"/>
      <c r="AQ15" s="11"/>
      <c r="AR15" s="11"/>
      <c r="AS15" s="275"/>
      <c r="AT15" s="226"/>
    </row>
    <row r="16" spans="1:46" s="2" customFormat="1" ht="12.75" x14ac:dyDescent="0.2">
      <c r="A16" s="11">
        <v>38382100</v>
      </c>
      <c r="B16" s="11">
        <v>38382100</v>
      </c>
      <c r="C16" s="11" t="s">
        <v>1390</v>
      </c>
      <c r="D16" s="11"/>
      <c r="E16" s="11" t="s">
        <v>1418</v>
      </c>
      <c r="F16" s="357" t="s">
        <v>1405</v>
      </c>
      <c r="G16" s="11"/>
      <c r="H16" s="271"/>
      <c r="I16" s="271"/>
      <c r="J16" s="271"/>
      <c r="K16" s="271"/>
      <c r="L16" s="271"/>
      <c r="M16" s="271"/>
      <c r="N16" s="271"/>
      <c r="O16" s="272"/>
      <c r="P16" s="345">
        <f t="shared" si="1"/>
        <v>0</v>
      </c>
      <c r="Q16" s="271"/>
      <c r="R16" s="271">
        <v>1</v>
      </c>
      <c r="S16" s="81"/>
      <c r="T16" s="271"/>
      <c r="U16" s="271"/>
      <c r="V16" s="271"/>
      <c r="W16" s="272"/>
      <c r="X16" s="273"/>
      <c r="Y16" s="346">
        <f t="shared" si="2"/>
        <v>1</v>
      </c>
      <c r="Z16" s="165"/>
      <c r="AA16" s="165"/>
      <c r="AB16" s="165"/>
      <c r="AC16" s="165"/>
      <c r="AD16" s="165"/>
      <c r="AE16" s="165"/>
      <c r="AF16" s="165"/>
      <c r="AG16" s="273"/>
      <c r="AH16" s="346">
        <f t="shared" si="3"/>
        <v>0</v>
      </c>
      <c r="AI16" s="274"/>
      <c r="AJ16" s="11"/>
      <c r="AK16" s="11"/>
      <c r="AL16" s="11"/>
      <c r="AM16" s="11"/>
      <c r="AN16" s="11"/>
      <c r="AO16" s="11"/>
      <c r="AP16" s="11"/>
      <c r="AQ16" s="11"/>
      <c r="AR16" s="11"/>
      <c r="AS16" s="275"/>
      <c r="AT16" s="226"/>
    </row>
    <row r="17" spans="1:46" s="2" customFormat="1" ht="12.75" x14ac:dyDescent="0.2">
      <c r="A17" s="11">
        <v>28072070</v>
      </c>
      <c r="B17" s="11">
        <v>28072070</v>
      </c>
      <c r="C17" s="11" t="s">
        <v>1391</v>
      </c>
      <c r="D17" s="11"/>
      <c r="E17" s="11" t="s">
        <v>1417</v>
      </c>
      <c r="F17" s="11" t="s">
        <v>1405</v>
      </c>
      <c r="G17" s="11"/>
      <c r="H17" s="271"/>
      <c r="I17" s="271"/>
      <c r="J17" s="271"/>
      <c r="K17" s="271"/>
      <c r="L17" s="271"/>
      <c r="M17" s="271"/>
      <c r="N17" s="271"/>
      <c r="O17" s="272"/>
      <c r="P17" s="345">
        <f t="shared" si="1"/>
        <v>0</v>
      </c>
      <c r="Q17" s="271"/>
      <c r="R17" s="271">
        <v>1</v>
      </c>
      <c r="S17" s="81"/>
      <c r="T17" s="271"/>
      <c r="U17" s="271"/>
      <c r="V17" s="271"/>
      <c r="W17" s="272"/>
      <c r="X17" s="273"/>
      <c r="Y17" s="346">
        <f t="shared" si="2"/>
        <v>1</v>
      </c>
      <c r="Z17" s="165"/>
      <c r="AA17" s="165"/>
      <c r="AB17" s="165"/>
      <c r="AC17" s="165"/>
      <c r="AD17" s="165"/>
      <c r="AE17" s="165"/>
      <c r="AF17" s="165"/>
      <c r="AG17" s="273"/>
      <c r="AH17" s="346">
        <f t="shared" si="3"/>
        <v>0</v>
      </c>
      <c r="AI17" s="274"/>
      <c r="AJ17" s="11"/>
      <c r="AK17" s="11"/>
      <c r="AL17" s="11"/>
      <c r="AM17" s="11"/>
      <c r="AN17" s="11"/>
      <c r="AO17" s="11"/>
      <c r="AP17" s="11"/>
      <c r="AQ17" s="11"/>
      <c r="AR17" s="11"/>
      <c r="AS17" s="275"/>
      <c r="AT17" s="226"/>
    </row>
    <row r="18" spans="1:46" s="2" customFormat="1" ht="12.75" x14ac:dyDescent="0.2">
      <c r="A18" s="11">
        <v>28271020</v>
      </c>
      <c r="B18" s="11">
        <v>28271020</v>
      </c>
      <c r="C18" s="11" t="s">
        <v>1392</v>
      </c>
      <c r="D18" s="11"/>
      <c r="E18" s="11" t="s">
        <v>1404</v>
      </c>
      <c r="F18" s="11" t="s">
        <v>1405</v>
      </c>
      <c r="G18" s="11"/>
      <c r="H18" s="271"/>
      <c r="I18" s="271"/>
      <c r="J18" s="271"/>
      <c r="K18" s="271"/>
      <c r="L18" s="271"/>
      <c r="M18" s="271"/>
      <c r="N18" s="271"/>
      <c r="O18" s="272"/>
      <c r="P18" s="345">
        <f t="shared" si="1"/>
        <v>0</v>
      </c>
      <c r="Q18" s="271"/>
      <c r="R18" s="271">
        <v>1</v>
      </c>
      <c r="S18" s="271"/>
      <c r="T18" s="271"/>
      <c r="U18" s="81"/>
      <c r="V18" s="271"/>
      <c r="W18" s="272"/>
      <c r="X18" s="273"/>
      <c r="Y18" s="346">
        <f t="shared" si="2"/>
        <v>1</v>
      </c>
      <c r="Z18" s="165"/>
      <c r="AA18" s="165"/>
      <c r="AB18" s="165"/>
      <c r="AC18" s="165"/>
      <c r="AD18" s="165"/>
      <c r="AE18" s="165"/>
      <c r="AF18" s="165"/>
      <c r="AG18" s="273"/>
      <c r="AH18" s="346">
        <f t="shared" si="3"/>
        <v>0</v>
      </c>
      <c r="AI18" s="274"/>
      <c r="AJ18" s="11"/>
      <c r="AK18" s="11"/>
      <c r="AL18" s="11"/>
      <c r="AM18" s="11"/>
      <c r="AN18" s="11"/>
      <c r="AO18" s="11"/>
      <c r="AP18" s="11"/>
      <c r="AQ18" s="11"/>
      <c r="AR18" s="11"/>
      <c r="AS18" s="275"/>
      <c r="AT18" s="226"/>
    </row>
    <row r="19" spans="1:46" s="2" customFormat="1" ht="12.75" x14ac:dyDescent="0.2">
      <c r="A19" s="11">
        <v>31023050</v>
      </c>
      <c r="B19" s="11">
        <v>31023050</v>
      </c>
      <c r="C19" s="11" t="s">
        <v>1393</v>
      </c>
      <c r="D19" s="11"/>
      <c r="E19" s="11" t="s">
        <v>1406</v>
      </c>
      <c r="F19" s="11" t="s">
        <v>1405</v>
      </c>
      <c r="G19" s="11"/>
      <c r="H19" s="271"/>
      <c r="I19" s="271"/>
      <c r="J19" s="271"/>
      <c r="K19" s="271"/>
      <c r="L19" s="271"/>
      <c r="M19" s="271"/>
      <c r="N19" s="271"/>
      <c r="O19" s="272"/>
      <c r="P19" s="345">
        <f t="shared" si="1"/>
        <v>0</v>
      </c>
      <c r="Q19" s="271"/>
      <c r="R19" s="271"/>
      <c r="S19" s="81"/>
      <c r="T19" s="271">
        <v>1</v>
      </c>
      <c r="U19" s="81"/>
      <c r="V19" s="271"/>
      <c r="W19" s="272"/>
      <c r="X19" s="273"/>
      <c r="Y19" s="346">
        <f t="shared" si="2"/>
        <v>1</v>
      </c>
      <c r="Z19" s="165"/>
      <c r="AA19" s="165"/>
      <c r="AB19" s="165"/>
      <c r="AC19" s="165"/>
      <c r="AD19" s="165"/>
      <c r="AE19" s="165"/>
      <c r="AF19" s="165"/>
      <c r="AG19" s="273"/>
      <c r="AH19" s="346">
        <f t="shared" si="3"/>
        <v>0</v>
      </c>
      <c r="AI19" s="274"/>
      <c r="AJ19" s="11"/>
      <c r="AK19" s="11"/>
      <c r="AL19" s="11"/>
      <c r="AM19" s="11"/>
      <c r="AN19" s="11"/>
      <c r="AO19" s="11"/>
      <c r="AP19" s="11"/>
      <c r="AQ19" s="11"/>
      <c r="AR19" s="11"/>
      <c r="AS19" s="275"/>
      <c r="AT19" s="226"/>
    </row>
    <row r="20" spans="1:46" s="2" customFormat="1" ht="12.75" x14ac:dyDescent="0.2">
      <c r="A20" s="11">
        <v>34433070</v>
      </c>
      <c r="B20" s="11">
        <v>34433070</v>
      </c>
      <c r="C20" s="11" t="s">
        <v>1394</v>
      </c>
      <c r="D20" s="11"/>
      <c r="E20" s="11" t="s">
        <v>1407</v>
      </c>
      <c r="F20" s="11" t="s">
        <v>1405</v>
      </c>
      <c r="G20" s="11"/>
      <c r="H20" s="271"/>
      <c r="I20" s="271"/>
      <c r="J20" s="271"/>
      <c r="K20" s="271"/>
      <c r="L20" s="271"/>
      <c r="M20" s="271"/>
      <c r="N20" s="271"/>
      <c r="O20" s="272"/>
      <c r="P20" s="345">
        <f t="shared" si="1"/>
        <v>0</v>
      </c>
      <c r="Q20" s="271"/>
      <c r="R20" s="271"/>
      <c r="S20" s="81"/>
      <c r="T20" s="271">
        <v>1</v>
      </c>
      <c r="U20" s="81"/>
      <c r="V20" s="271"/>
      <c r="W20" s="272"/>
      <c r="X20" s="273"/>
      <c r="Y20" s="346">
        <f t="shared" si="2"/>
        <v>1</v>
      </c>
      <c r="Z20" s="165"/>
      <c r="AA20" s="165"/>
      <c r="AB20" s="165"/>
      <c r="AC20" s="165"/>
      <c r="AD20" s="165"/>
      <c r="AE20" s="165"/>
      <c r="AF20" s="165"/>
      <c r="AG20" s="273"/>
      <c r="AH20" s="346">
        <f t="shared" si="3"/>
        <v>0</v>
      </c>
      <c r="AI20" s="274"/>
      <c r="AJ20" s="11"/>
      <c r="AK20" s="11"/>
      <c r="AL20" s="11"/>
      <c r="AM20" s="11"/>
      <c r="AN20" s="11"/>
      <c r="AO20" s="11"/>
      <c r="AP20" s="11"/>
      <c r="AQ20" s="11"/>
      <c r="AR20" s="11"/>
      <c r="AS20" s="275"/>
      <c r="AT20" s="226"/>
    </row>
    <row r="21" spans="1:46" s="2" customFormat="1" ht="12.75" x14ac:dyDescent="0.2">
      <c r="A21" s="11">
        <v>32421080</v>
      </c>
      <c r="B21" s="11">
        <v>32421080</v>
      </c>
      <c r="C21" s="11" t="s">
        <v>1395</v>
      </c>
      <c r="D21" s="11"/>
      <c r="E21" s="11" t="s">
        <v>1408</v>
      </c>
      <c r="F21" s="11" t="s">
        <v>1405</v>
      </c>
      <c r="G21" s="11"/>
      <c r="H21" s="271"/>
      <c r="I21" s="271"/>
      <c r="J21" s="271"/>
      <c r="K21" s="271"/>
      <c r="L21" s="271"/>
      <c r="M21" s="271"/>
      <c r="N21" s="271"/>
      <c r="O21" s="272"/>
      <c r="P21" s="345">
        <f t="shared" si="1"/>
        <v>0</v>
      </c>
      <c r="Q21" s="271"/>
      <c r="R21" s="271"/>
      <c r="S21" s="81"/>
      <c r="T21" s="271">
        <v>1</v>
      </c>
      <c r="U21" s="271"/>
      <c r="V21" s="81"/>
      <c r="W21" s="272"/>
      <c r="X21" s="273"/>
      <c r="Y21" s="346">
        <f t="shared" si="2"/>
        <v>1</v>
      </c>
      <c r="Z21" s="165"/>
      <c r="AA21" s="165"/>
      <c r="AB21" s="165"/>
      <c r="AC21" s="165"/>
      <c r="AD21" s="165"/>
      <c r="AE21" s="165"/>
      <c r="AF21" s="165"/>
      <c r="AG21" s="273"/>
      <c r="AH21" s="346">
        <f t="shared" si="3"/>
        <v>0</v>
      </c>
      <c r="AI21" s="274"/>
      <c r="AJ21" s="11"/>
      <c r="AK21" s="11"/>
      <c r="AL21" s="11"/>
      <c r="AM21" s="11"/>
      <c r="AN21" s="11"/>
      <c r="AO21" s="11"/>
      <c r="AP21" s="11"/>
      <c r="AQ21" s="11"/>
      <c r="AR21" s="11"/>
      <c r="AS21" s="275"/>
      <c r="AT21" s="226"/>
    </row>
    <row r="22" spans="1:46" s="2" customFormat="1" ht="12.75" x14ac:dyDescent="0.2">
      <c r="A22" s="11">
        <v>38312080</v>
      </c>
      <c r="B22" s="11">
        <v>38312080</v>
      </c>
      <c r="C22" s="11" t="s">
        <v>1396</v>
      </c>
      <c r="D22" s="11"/>
      <c r="E22" s="11" t="s">
        <v>1409</v>
      </c>
      <c r="F22" s="11" t="s">
        <v>1405</v>
      </c>
      <c r="G22" s="11"/>
      <c r="H22" s="271"/>
      <c r="I22" s="271"/>
      <c r="J22" s="271"/>
      <c r="K22" s="271"/>
      <c r="L22" s="271"/>
      <c r="M22" s="271"/>
      <c r="N22" s="271"/>
      <c r="O22" s="272"/>
      <c r="P22" s="345">
        <f t="shared" si="1"/>
        <v>0</v>
      </c>
      <c r="Q22" s="271"/>
      <c r="R22" s="271"/>
      <c r="S22" s="81"/>
      <c r="T22" s="271">
        <v>1</v>
      </c>
      <c r="U22" s="271"/>
      <c r="V22" s="81"/>
      <c r="W22" s="272"/>
      <c r="X22" s="273"/>
      <c r="Y22" s="346">
        <f t="shared" si="2"/>
        <v>1</v>
      </c>
      <c r="Z22" s="165"/>
      <c r="AA22" s="165"/>
      <c r="AB22" s="165"/>
      <c r="AC22" s="165"/>
      <c r="AD22" s="165"/>
      <c r="AE22" s="165"/>
      <c r="AF22" s="165"/>
      <c r="AG22" s="273"/>
      <c r="AH22" s="346">
        <f t="shared" si="3"/>
        <v>0</v>
      </c>
      <c r="AI22" s="274"/>
      <c r="AJ22" s="11"/>
      <c r="AK22" s="11"/>
      <c r="AL22" s="11"/>
      <c r="AM22" s="11"/>
      <c r="AN22" s="11"/>
      <c r="AO22" s="11"/>
      <c r="AP22" s="11"/>
      <c r="AQ22" s="11"/>
      <c r="AR22" s="11"/>
      <c r="AS22" s="275"/>
      <c r="AT22" s="226"/>
    </row>
    <row r="23" spans="1:46" s="2" customFormat="1" ht="25.5" x14ac:dyDescent="0.2">
      <c r="A23" s="11">
        <v>30250080</v>
      </c>
      <c r="B23" s="11">
        <v>30250080</v>
      </c>
      <c r="C23" s="11" t="s">
        <v>1397</v>
      </c>
      <c r="D23" s="11"/>
      <c r="E23" s="11" t="s">
        <v>1410</v>
      </c>
      <c r="F23" s="11" t="s">
        <v>1405</v>
      </c>
      <c r="G23" s="11"/>
      <c r="H23" s="271"/>
      <c r="I23" s="271"/>
      <c r="J23" s="271"/>
      <c r="K23" s="271"/>
      <c r="L23" s="271"/>
      <c r="M23" s="271"/>
      <c r="N23" s="271"/>
      <c r="O23" s="272"/>
      <c r="P23" s="345">
        <f t="shared" si="1"/>
        <v>0</v>
      </c>
      <c r="Q23" s="271"/>
      <c r="R23" s="271"/>
      <c r="S23" s="271"/>
      <c r="T23" s="271"/>
      <c r="U23" s="271"/>
      <c r="V23" s="271">
        <v>1</v>
      </c>
      <c r="W23" s="272"/>
      <c r="X23" s="273"/>
      <c r="Y23" s="346">
        <f t="shared" si="2"/>
        <v>1</v>
      </c>
      <c r="Z23" s="165"/>
      <c r="AA23" s="165"/>
      <c r="AB23" s="165"/>
      <c r="AC23" s="165"/>
      <c r="AD23" s="165"/>
      <c r="AE23" s="165"/>
      <c r="AF23" s="165"/>
      <c r="AG23" s="273"/>
      <c r="AH23" s="346">
        <f t="shared" si="3"/>
        <v>0</v>
      </c>
      <c r="AI23" s="274"/>
      <c r="AJ23" s="11"/>
      <c r="AK23" s="11"/>
      <c r="AL23" s="11"/>
      <c r="AM23" s="11"/>
      <c r="AN23" s="11"/>
      <c r="AO23" s="11"/>
      <c r="AP23" s="11"/>
      <c r="AQ23" s="11"/>
      <c r="AR23" s="11"/>
      <c r="AS23" s="275"/>
      <c r="AT23" s="226"/>
    </row>
    <row r="24" spans="1:46" s="2" customFormat="1" ht="12.75" x14ac:dyDescent="0.2">
      <c r="A24" s="11">
        <v>31013010</v>
      </c>
      <c r="B24" s="11">
        <v>31013010</v>
      </c>
      <c r="C24" s="11" t="s">
        <v>1398</v>
      </c>
      <c r="D24" s="11"/>
      <c r="E24" s="11" t="s">
        <v>1411</v>
      </c>
      <c r="F24" s="11" t="s">
        <v>1405</v>
      </c>
      <c r="G24" s="11"/>
      <c r="H24" s="271"/>
      <c r="I24" s="271"/>
      <c r="J24" s="271"/>
      <c r="K24" s="271"/>
      <c r="L24" s="271"/>
      <c r="M24" s="271"/>
      <c r="N24" s="271"/>
      <c r="O24" s="272"/>
      <c r="P24" s="345">
        <f t="shared" si="1"/>
        <v>0</v>
      </c>
      <c r="Q24" s="271"/>
      <c r="R24" s="271"/>
      <c r="S24" s="271"/>
      <c r="T24" s="271"/>
      <c r="U24" s="271"/>
      <c r="V24" s="271">
        <v>1</v>
      </c>
      <c r="W24" s="272"/>
      <c r="X24" s="273"/>
      <c r="Y24" s="346">
        <f t="shared" si="2"/>
        <v>1</v>
      </c>
      <c r="Z24" s="165"/>
      <c r="AA24" s="165"/>
      <c r="AB24" s="165"/>
      <c r="AC24" s="165"/>
      <c r="AD24" s="165"/>
      <c r="AE24" s="165"/>
      <c r="AF24" s="165"/>
      <c r="AG24" s="273"/>
      <c r="AH24" s="346">
        <f t="shared" si="3"/>
        <v>0</v>
      </c>
      <c r="AI24" s="274"/>
      <c r="AJ24" s="11"/>
      <c r="AK24" s="11"/>
      <c r="AL24" s="11"/>
      <c r="AM24" s="11"/>
      <c r="AN24" s="11"/>
      <c r="AO24" s="11"/>
      <c r="AP24" s="11"/>
      <c r="AQ24" s="11"/>
      <c r="AR24" s="11"/>
      <c r="AS24" s="275"/>
      <c r="AT24" s="226"/>
    </row>
    <row r="25" spans="1:46" s="2" customFormat="1" ht="12.75" x14ac:dyDescent="0.2">
      <c r="A25" s="11">
        <v>28240130</v>
      </c>
      <c r="B25" s="11">
        <v>28240130</v>
      </c>
      <c r="C25" s="11" t="s">
        <v>1399</v>
      </c>
      <c r="D25" s="11"/>
      <c r="E25" s="11" t="s">
        <v>1412</v>
      </c>
      <c r="F25" s="11" t="s">
        <v>1405</v>
      </c>
      <c r="G25" s="11"/>
      <c r="H25" s="271"/>
      <c r="I25" s="271"/>
      <c r="J25" s="271"/>
      <c r="K25" s="271"/>
      <c r="L25" s="271"/>
      <c r="M25" s="271"/>
      <c r="N25" s="271"/>
      <c r="O25" s="272"/>
      <c r="P25" s="345">
        <f t="shared" si="1"/>
        <v>0</v>
      </c>
      <c r="Q25" s="271"/>
      <c r="R25" s="271"/>
      <c r="S25" s="271"/>
      <c r="T25" s="271"/>
      <c r="U25" s="271"/>
      <c r="V25" s="271">
        <v>1</v>
      </c>
      <c r="W25" s="272"/>
      <c r="X25" s="273"/>
      <c r="Y25" s="346">
        <f t="shared" si="2"/>
        <v>1</v>
      </c>
      <c r="Z25" s="165"/>
      <c r="AA25" s="165"/>
      <c r="AB25" s="165"/>
      <c r="AC25" s="165"/>
      <c r="AD25" s="165"/>
      <c r="AE25" s="165"/>
      <c r="AF25" s="165"/>
      <c r="AG25" s="273"/>
      <c r="AH25" s="346">
        <f t="shared" si="3"/>
        <v>0</v>
      </c>
      <c r="AI25" s="274"/>
      <c r="AJ25" s="11"/>
      <c r="AK25" s="11"/>
      <c r="AL25" s="11"/>
      <c r="AM25" s="11"/>
      <c r="AN25" s="11"/>
      <c r="AO25" s="11"/>
      <c r="AP25" s="11"/>
      <c r="AQ25" s="11"/>
      <c r="AR25" s="11"/>
      <c r="AS25" s="275"/>
      <c r="AT25" s="226"/>
    </row>
    <row r="26" spans="1:46" s="2" customFormat="1" ht="12.75" x14ac:dyDescent="0.2">
      <c r="A26" s="11">
        <v>30021070</v>
      </c>
      <c r="B26" s="11">
        <v>30021070</v>
      </c>
      <c r="C26" s="11" t="s">
        <v>1400</v>
      </c>
      <c r="D26" s="11"/>
      <c r="E26" s="11" t="s">
        <v>1413</v>
      </c>
      <c r="F26" s="11" t="s">
        <v>1414</v>
      </c>
      <c r="G26" s="11"/>
      <c r="H26" s="271"/>
      <c r="I26" s="271"/>
      <c r="J26" s="271"/>
      <c r="K26" s="271"/>
      <c r="L26" s="271"/>
      <c r="M26" s="271"/>
      <c r="N26" s="271"/>
      <c r="O26" s="272"/>
      <c r="P26" s="345">
        <f t="shared" si="1"/>
        <v>0</v>
      </c>
      <c r="Q26" s="11"/>
      <c r="R26" s="11"/>
      <c r="S26" s="11"/>
      <c r="T26" s="11"/>
      <c r="U26" s="11"/>
      <c r="V26" s="11"/>
      <c r="W26" s="11">
        <v>1</v>
      </c>
      <c r="X26" s="273"/>
      <c r="Y26" s="346">
        <f t="shared" si="2"/>
        <v>1</v>
      </c>
      <c r="Z26" s="165"/>
      <c r="AA26" s="165"/>
      <c r="AB26" s="165"/>
      <c r="AC26" s="165"/>
      <c r="AD26" s="165"/>
      <c r="AE26" s="165"/>
      <c r="AF26" s="165"/>
      <c r="AG26" s="273"/>
      <c r="AH26" s="346">
        <f t="shared" si="3"/>
        <v>0</v>
      </c>
      <c r="AI26" s="274"/>
      <c r="AJ26" s="11"/>
      <c r="AK26" s="11"/>
      <c r="AL26" s="11"/>
      <c r="AM26" s="11"/>
      <c r="AN26" s="11"/>
      <c r="AO26" s="11"/>
      <c r="AP26" s="11"/>
      <c r="AQ26" s="11"/>
      <c r="AR26" s="11"/>
      <c r="AS26" s="275"/>
      <c r="AT26" s="226"/>
    </row>
    <row r="27" spans="1:46" s="2" customFormat="1" ht="12.75" x14ac:dyDescent="0.2">
      <c r="A27" s="11">
        <v>38382100</v>
      </c>
      <c r="B27" s="11">
        <v>38382100</v>
      </c>
      <c r="C27" s="11" t="s">
        <v>1401</v>
      </c>
      <c r="D27" s="11"/>
      <c r="E27" s="11" t="s">
        <v>1415</v>
      </c>
      <c r="F27" s="11" t="s">
        <v>1414</v>
      </c>
      <c r="G27" s="11"/>
      <c r="H27" s="271"/>
      <c r="I27" s="271"/>
      <c r="J27" s="271"/>
      <c r="K27" s="271"/>
      <c r="L27" s="271"/>
      <c r="M27" s="271"/>
      <c r="N27" s="271"/>
      <c r="O27" s="272"/>
      <c r="P27" s="345">
        <f t="shared" si="1"/>
        <v>0</v>
      </c>
      <c r="Q27" s="11"/>
      <c r="R27" s="11"/>
      <c r="S27" s="11"/>
      <c r="T27" s="11"/>
      <c r="U27" s="11"/>
      <c r="V27" s="11"/>
      <c r="W27" s="11">
        <v>1</v>
      </c>
      <c r="X27" s="273"/>
      <c r="Y27" s="346">
        <f t="shared" si="2"/>
        <v>1</v>
      </c>
      <c r="Z27" s="165"/>
      <c r="AA27" s="165"/>
      <c r="AB27" s="165"/>
      <c r="AC27" s="165"/>
      <c r="AD27" s="165"/>
      <c r="AE27" s="165"/>
      <c r="AF27" s="165"/>
      <c r="AG27" s="273"/>
      <c r="AH27" s="346">
        <f t="shared" si="3"/>
        <v>0</v>
      </c>
      <c r="AI27" s="274"/>
      <c r="AJ27" s="11"/>
      <c r="AK27" s="11"/>
      <c r="AL27" s="11"/>
      <c r="AM27" s="11"/>
      <c r="AN27" s="11"/>
      <c r="AO27" s="11"/>
      <c r="AP27" s="11"/>
      <c r="AQ27" s="11"/>
      <c r="AR27" s="11"/>
      <c r="AS27" s="275"/>
      <c r="AT27" s="226"/>
    </row>
    <row r="28" spans="1:46" s="2" customFormat="1" ht="12.75" x14ac:dyDescent="0.2">
      <c r="A28" s="11">
        <v>38333210</v>
      </c>
      <c r="B28" s="11">
        <v>38333210</v>
      </c>
      <c r="C28" s="11" t="s">
        <v>1402</v>
      </c>
      <c r="D28" s="11"/>
      <c r="E28" s="11" t="s">
        <v>1416</v>
      </c>
      <c r="F28" s="11" t="s">
        <v>1414</v>
      </c>
      <c r="G28" s="11"/>
      <c r="H28" s="271"/>
      <c r="I28" s="271"/>
      <c r="J28" s="271"/>
      <c r="K28" s="271"/>
      <c r="L28" s="271"/>
      <c r="M28" s="271"/>
      <c r="N28" s="271"/>
      <c r="O28" s="272"/>
      <c r="P28" s="345">
        <f t="shared" si="1"/>
        <v>0</v>
      </c>
      <c r="Q28" s="11"/>
      <c r="R28" s="11"/>
      <c r="S28" s="11"/>
      <c r="T28" s="11"/>
      <c r="U28" s="11"/>
      <c r="V28" s="11"/>
      <c r="W28" s="11">
        <v>1</v>
      </c>
      <c r="X28" s="273"/>
      <c r="Y28" s="346">
        <f t="shared" si="2"/>
        <v>1</v>
      </c>
      <c r="Z28" s="165"/>
      <c r="AA28" s="165"/>
      <c r="AB28" s="165"/>
      <c r="AC28" s="165"/>
      <c r="AD28" s="165"/>
      <c r="AE28" s="165"/>
      <c r="AF28" s="165"/>
      <c r="AG28" s="273"/>
      <c r="AH28" s="346">
        <f t="shared" si="3"/>
        <v>0</v>
      </c>
      <c r="AI28" s="274"/>
      <c r="AJ28" s="11"/>
      <c r="AK28" s="11"/>
      <c r="AL28" s="11"/>
      <c r="AM28" s="11"/>
      <c r="AN28" s="11"/>
      <c r="AO28" s="11"/>
      <c r="AP28" s="11"/>
      <c r="AQ28" s="11"/>
      <c r="AR28" s="11"/>
      <c r="AS28" s="275"/>
      <c r="AT28" s="226"/>
    </row>
    <row r="29" spans="1:46" s="2" customFormat="1" ht="12.75" x14ac:dyDescent="0.2">
      <c r="A29" s="11"/>
      <c r="B29" s="11"/>
      <c r="C29" s="11"/>
      <c r="D29" s="11"/>
      <c r="E29" s="11"/>
      <c r="F29" s="11"/>
      <c r="G29" s="11"/>
      <c r="H29" s="271"/>
      <c r="I29" s="271"/>
      <c r="J29" s="271"/>
      <c r="K29" s="271"/>
      <c r="L29" s="271"/>
      <c r="M29" s="271"/>
      <c r="N29" s="271"/>
      <c r="O29" s="272"/>
      <c r="P29" s="345">
        <f t="shared" si="1"/>
        <v>0</v>
      </c>
      <c r="Q29" s="11"/>
      <c r="R29" s="11"/>
      <c r="S29" s="11"/>
      <c r="T29" s="11"/>
      <c r="U29" s="11"/>
      <c r="V29" s="11"/>
      <c r="W29" s="11"/>
      <c r="X29" s="273"/>
      <c r="Y29" s="346">
        <f t="shared" si="2"/>
        <v>0</v>
      </c>
      <c r="Z29" s="165"/>
      <c r="AA29" s="165"/>
      <c r="AB29" s="165"/>
      <c r="AC29" s="165"/>
      <c r="AD29" s="165"/>
      <c r="AE29" s="165"/>
      <c r="AF29" s="165"/>
      <c r="AG29" s="273"/>
      <c r="AH29" s="346">
        <f t="shared" si="3"/>
        <v>0</v>
      </c>
      <c r="AI29" s="274"/>
      <c r="AJ29" s="11"/>
      <c r="AK29" s="11"/>
      <c r="AL29" s="11"/>
      <c r="AM29" s="11"/>
      <c r="AN29" s="11"/>
      <c r="AO29" s="11"/>
      <c r="AP29" s="11"/>
      <c r="AQ29" s="11"/>
      <c r="AR29" s="11"/>
      <c r="AS29" s="275"/>
      <c r="AT29" s="226"/>
    </row>
    <row r="30" spans="1:46" s="2" customFormat="1" ht="12.75" x14ac:dyDescent="0.2">
      <c r="A30" s="11">
        <v>27232210</v>
      </c>
      <c r="B30" s="11">
        <v>27232210</v>
      </c>
      <c r="C30" s="11" t="s">
        <v>1403</v>
      </c>
      <c r="D30" s="11"/>
      <c r="E30" s="11" t="s">
        <v>1423</v>
      </c>
      <c r="F30" s="11" t="s">
        <v>1405</v>
      </c>
      <c r="G30" s="11"/>
      <c r="H30" s="271"/>
      <c r="I30" s="271">
        <v>1</v>
      </c>
      <c r="J30" s="271"/>
      <c r="K30" s="271"/>
      <c r="L30" s="271"/>
      <c r="M30" s="271"/>
      <c r="N30" s="271"/>
      <c r="O30" s="272"/>
      <c r="P30" s="345">
        <f t="shared" si="1"/>
        <v>1</v>
      </c>
      <c r="Q30" s="11"/>
      <c r="R30" s="11"/>
      <c r="S30" s="11"/>
      <c r="T30" s="11"/>
      <c r="U30" s="11"/>
      <c r="V30" s="11"/>
      <c r="W30" s="11"/>
      <c r="X30" s="273"/>
      <c r="Y30" s="346">
        <f t="shared" si="2"/>
        <v>0</v>
      </c>
      <c r="Z30" s="165"/>
      <c r="AA30" s="165"/>
      <c r="AB30" s="165"/>
      <c r="AC30" s="165"/>
      <c r="AD30" s="165"/>
      <c r="AE30" s="165"/>
      <c r="AF30" s="165"/>
      <c r="AG30" s="273"/>
      <c r="AH30" s="346">
        <f t="shared" si="3"/>
        <v>0</v>
      </c>
      <c r="AI30" s="274"/>
      <c r="AJ30" s="11"/>
      <c r="AK30" s="11"/>
      <c r="AL30" s="11"/>
      <c r="AM30" s="11"/>
      <c r="AN30" s="11"/>
      <c r="AO30" s="11"/>
      <c r="AP30" s="11"/>
      <c r="AQ30" s="11"/>
      <c r="AR30" s="11"/>
      <c r="AS30" s="275"/>
      <c r="AT30" s="226"/>
    </row>
    <row r="31" spans="1:46" s="2" customFormat="1" ht="12.75" x14ac:dyDescent="0.2">
      <c r="A31" s="11">
        <v>38293100</v>
      </c>
      <c r="B31" s="11">
        <v>38293100</v>
      </c>
      <c r="C31" s="11" t="s">
        <v>1387</v>
      </c>
      <c r="D31" s="11"/>
      <c r="E31" s="11" t="s">
        <v>1420</v>
      </c>
      <c r="F31" s="11" t="s">
        <v>1405</v>
      </c>
      <c r="G31" s="11"/>
      <c r="H31" s="271"/>
      <c r="I31" s="271">
        <v>1</v>
      </c>
      <c r="J31" s="271"/>
      <c r="K31" s="271"/>
      <c r="L31" s="271"/>
      <c r="M31" s="271"/>
      <c r="N31" s="271"/>
      <c r="O31" s="272"/>
      <c r="P31" s="345">
        <f t="shared" si="1"/>
        <v>1</v>
      </c>
      <c r="Q31" s="11"/>
      <c r="R31" s="11"/>
      <c r="S31" s="11"/>
      <c r="T31" s="11"/>
      <c r="U31" s="11"/>
      <c r="V31" s="11"/>
      <c r="W31" s="11"/>
      <c r="X31" s="273"/>
      <c r="Y31" s="346">
        <f t="shared" si="2"/>
        <v>0</v>
      </c>
      <c r="Z31" s="165"/>
      <c r="AA31" s="165"/>
      <c r="AB31" s="165"/>
      <c r="AC31" s="165"/>
      <c r="AD31" s="165"/>
      <c r="AE31" s="165"/>
      <c r="AF31" s="165"/>
      <c r="AG31" s="273"/>
      <c r="AH31" s="346">
        <f t="shared" si="3"/>
        <v>0</v>
      </c>
      <c r="AI31" s="274"/>
      <c r="AJ31" s="11"/>
      <c r="AK31" s="11"/>
      <c r="AL31" s="11"/>
      <c r="AM31" s="11"/>
      <c r="AN31" s="11"/>
      <c r="AO31" s="11"/>
      <c r="AP31" s="11"/>
      <c r="AQ31" s="11"/>
      <c r="AR31" s="11"/>
      <c r="AS31" s="275"/>
      <c r="AT31" s="226"/>
    </row>
    <row r="32" spans="1:46" s="2" customFormat="1" ht="12.75" x14ac:dyDescent="0.2">
      <c r="A32" s="11">
        <v>28050040</v>
      </c>
      <c r="B32" s="11">
        <v>28050040</v>
      </c>
      <c r="C32" s="11" t="s">
        <v>1389</v>
      </c>
      <c r="D32" s="11"/>
      <c r="E32" s="11" t="s">
        <v>1424</v>
      </c>
      <c r="F32" s="11" t="s">
        <v>1405</v>
      </c>
      <c r="G32" s="11"/>
      <c r="H32" s="271"/>
      <c r="I32" s="271">
        <v>1</v>
      </c>
      <c r="J32" s="271"/>
      <c r="K32" s="271"/>
      <c r="L32" s="271"/>
      <c r="M32" s="271"/>
      <c r="N32" s="271"/>
      <c r="O32" s="272"/>
      <c r="P32" s="345">
        <f t="shared" si="1"/>
        <v>1</v>
      </c>
      <c r="Q32" s="11"/>
      <c r="R32" s="11"/>
      <c r="S32" s="11"/>
      <c r="T32" s="11"/>
      <c r="U32" s="11"/>
      <c r="V32" s="11"/>
      <c r="W32" s="11"/>
      <c r="X32" s="273"/>
      <c r="Y32" s="346">
        <f t="shared" si="2"/>
        <v>0</v>
      </c>
      <c r="Z32" s="165"/>
      <c r="AA32" s="165"/>
      <c r="AB32" s="165"/>
      <c r="AC32" s="165"/>
      <c r="AD32" s="165"/>
      <c r="AE32" s="165"/>
      <c r="AF32" s="165"/>
      <c r="AG32" s="273"/>
      <c r="AH32" s="346">
        <f t="shared" ref="AH32:AH96" si="4">SUM(Z32:AF32)</f>
        <v>0</v>
      </c>
      <c r="AI32" s="274"/>
      <c r="AJ32" s="11"/>
      <c r="AK32" s="11"/>
      <c r="AL32" s="11"/>
      <c r="AM32" s="11"/>
      <c r="AN32" s="11"/>
      <c r="AO32" s="11"/>
      <c r="AP32" s="11"/>
      <c r="AQ32" s="11"/>
      <c r="AR32" s="11"/>
      <c r="AS32" s="275"/>
      <c r="AT32" s="226"/>
    </row>
    <row r="33" spans="1:132" s="277" customFormat="1" ht="12.75" x14ac:dyDescent="0.2">
      <c r="A33" s="333">
        <v>28371030</v>
      </c>
      <c r="B33" s="333">
        <v>28371030</v>
      </c>
      <c r="C33" s="333" t="s">
        <v>1421</v>
      </c>
      <c r="D33" s="333"/>
      <c r="E33" s="333" t="s">
        <v>1425</v>
      </c>
      <c r="F33" s="333" t="s">
        <v>1405</v>
      </c>
      <c r="G33" s="11"/>
      <c r="H33" s="271"/>
      <c r="I33" s="271">
        <v>1</v>
      </c>
      <c r="J33" s="271"/>
      <c r="K33" s="271"/>
      <c r="L33" s="271"/>
      <c r="M33" s="271"/>
      <c r="N33" s="271"/>
      <c r="O33" s="272"/>
      <c r="P33" s="345">
        <f t="shared" si="1"/>
        <v>1</v>
      </c>
      <c r="Q33" s="11"/>
      <c r="R33" s="11"/>
      <c r="S33" s="11"/>
      <c r="T33" s="11"/>
      <c r="U33" s="11"/>
      <c r="V33" s="11"/>
      <c r="W33" s="11"/>
      <c r="X33" s="273"/>
      <c r="Y33" s="346">
        <f t="shared" si="2"/>
        <v>0</v>
      </c>
      <c r="Z33" s="165"/>
      <c r="AA33" s="165"/>
      <c r="AB33" s="165"/>
      <c r="AC33" s="165"/>
      <c r="AD33" s="165"/>
      <c r="AE33" s="165"/>
      <c r="AF33" s="165"/>
      <c r="AG33" s="273"/>
      <c r="AH33" s="346">
        <f t="shared" si="4"/>
        <v>0</v>
      </c>
      <c r="AI33" s="274"/>
      <c r="AJ33" s="11"/>
      <c r="AK33" s="11"/>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277">
        <v>28083010</v>
      </c>
      <c r="B34" s="277">
        <v>28083010</v>
      </c>
      <c r="C34" s="277" t="s">
        <v>1422</v>
      </c>
      <c r="D34" s="277"/>
      <c r="E34" s="277" t="s">
        <v>1426</v>
      </c>
      <c r="F34" s="277" t="s">
        <v>1405</v>
      </c>
      <c r="G34" s="333"/>
      <c r="H34" s="334"/>
      <c r="I34" s="334">
        <v>1</v>
      </c>
      <c r="J34" s="334"/>
      <c r="K34" s="334"/>
      <c r="L34" s="334"/>
      <c r="M34" s="334"/>
      <c r="N34" s="334"/>
      <c r="O34" s="334"/>
      <c r="P34" s="345">
        <f t="shared" si="1"/>
        <v>1</v>
      </c>
      <c r="Q34" s="333"/>
      <c r="R34" s="333"/>
      <c r="S34" s="333"/>
      <c r="T34" s="333"/>
      <c r="U34" s="333"/>
      <c r="V34" s="333"/>
      <c r="W34" s="333"/>
      <c r="X34" s="273"/>
      <c r="Y34" s="346">
        <f t="shared" si="2"/>
        <v>0</v>
      </c>
      <c r="Z34" s="335"/>
      <c r="AA34" s="335"/>
      <c r="AB34" s="335"/>
      <c r="AC34" s="335"/>
      <c r="AD34" s="335"/>
      <c r="AE34" s="335"/>
      <c r="AF34" s="335"/>
      <c r="AG34" s="333"/>
      <c r="AH34" s="346">
        <f t="shared" si="4"/>
        <v>0</v>
      </c>
      <c r="AI34" s="335"/>
      <c r="AJ34" s="333"/>
      <c r="AK34" s="333"/>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25.5" x14ac:dyDescent="0.2">
      <c r="A35" s="277">
        <v>28083010</v>
      </c>
      <c r="B35" s="277">
        <v>28083010</v>
      </c>
      <c r="C35" s="277" t="s">
        <v>1427</v>
      </c>
      <c r="D35" s="277"/>
      <c r="E35" s="277" t="s">
        <v>1428</v>
      </c>
      <c r="F35" s="277" t="s">
        <v>1405</v>
      </c>
      <c r="G35" s="277"/>
      <c r="H35" s="276"/>
      <c r="I35" s="276">
        <v>1</v>
      </c>
      <c r="J35" s="276"/>
      <c r="K35" s="276"/>
      <c r="L35" s="276"/>
      <c r="M35" s="276"/>
      <c r="N35" s="276"/>
      <c r="O35" s="276"/>
      <c r="P35" s="345">
        <f t="shared" si="1"/>
        <v>1</v>
      </c>
      <c r="Q35" s="277"/>
      <c r="R35" s="277"/>
      <c r="S35" s="277"/>
      <c r="T35" s="277"/>
      <c r="U35" s="277"/>
      <c r="V35" s="277"/>
      <c r="W35" s="277"/>
      <c r="X35" s="273"/>
      <c r="Y35" s="346">
        <f t="shared" si="2"/>
        <v>0</v>
      </c>
      <c r="Z35" s="165"/>
      <c r="AA35" s="165"/>
      <c r="AB35" s="165"/>
      <c r="AC35" s="165"/>
      <c r="AD35" s="165"/>
      <c r="AE35" s="165"/>
      <c r="AF35" s="165"/>
      <c r="AG35" s="277"/>
      <c r="AH35" s="346">
        <f t="shared" si="4"/>
        <v>0</v>
      </c>
      <c r="AI35" s="165"/>
      <c r="AJ35" s="277"/>
      <c r="AK35" s="277"/>
      <c r="AL35" s="11"/>
      <c r="AM35" s="11"/>
      <c r="AN35" s="277"/>
      <c r="AO35" s="277"/>
      <c r="AP35" s="277"/>
      <c r="AQ35" s="277"/>
      <c r="AR35" s="338"/>
      <c r="AS35" s="275"/>
      <c r="AT35" s="305"/>
    </row>
    <row r="36" spans="1:132" s="88" customFormat="1" ht="12.75" x14ac:dyDescent="0.2">
      <c r="A36" s="277">
        <v>31111010</v>
      </c>
      <c r="B36" s="277">
        <v>31111010</v>
      </c>
      <c r="C36" s="277" t="s">
        <v>1429</v>
      </c>
      <c r="D36" s="277"/>
      <c r="E36" s="277" t="s">
        <v>1430</v>
      </c>
      <c r="F36" s="277" t="s">
        <v>1405</v>
      </c>
      <c r="G36" s="277"/>
      <c r="H36" s="276"/>
      <c r="I36" s="276">
        <v>1</v>
      </c>
      <c r="J36" s="276"/>
      <c r="K36" s="276"/>
      <c r="L36" s="276"/>
      <c r="M36" s="276"/>
      <c r="N36" s="276"/>
      <c r="O36" s="276"/>
      <c r="P36" s="345">
        <f t="shared" si="1"/>
        <v>1</v>
      </c>
      <c r="Q36" s="277"/>
      <c r="R36" s="277"/>
      <c r="S36" s="277"/>
      <c r="T36" s="277"/>
      <c r="U36" s="277"/>
      <c r="V36" s="277"/>
      <c r="W36" s="277"/>
      <c r="X36" s="273"/>
      <c r="Y36" s="346">
        <f t="shared" si="2"/>
        <v>0</v>
      </c>
      <c r="Z36" s="165"/>
      <c r="AA36" s="165"/>
      <c r="AB36" s="165"/>
      <c r="AC36" s="165"/>
      <c r="AD36" s="165"/>
      <c r="AE36" s="165"/>
      <c r="AF36" s="165"/>
      <c r="AG36" s="277"/>
      <c r="AH36" s="346">
        <f t="shared" si="4"/>
        <v>0</v>
      </c>
      <c r="AI36" s="165"/>
      <c r="AJ36" s="277"/>
      <c r="AK36" s="277"/>
      <c r="AL36" s="11"/>
      <c r="AM36" s="11"/>
      <c r="AN36" s="277"/>
      <c r="AO36" s="277"/>
      <c r="AP36" s="277"/>
      <c r="AQ36" s="277"/>
      <c r="AR36" s="338"/>
      <c r="AS36" s="275"/>
      <c r="AT36" s="305"/>
    </row>
    <row r="37" spans="1:132" s="88" customFormat="1" ht="12.75" x14ac:dyDescent="0.2">
      <c r="A37" s="277">
        <v>32395010</v>
      </c>
      <c r="B37" s="277">
        <v>32395010</v>
      </c>
      <c r="C37" s="277" t="s">
        <v>1431</v>
      </c>
      <c r="D37" s="277"/>
      <c r="E37" s="277" t="s">
        <v>1432</v>
      </c>
      <c r="F37" s="277" t="s">
        <v>1405</v>
      </c>
      <c r="G37" s="277"/>
      <c r="H37" s="276"/>
      <c r="I37" s="276">
        <v>1</v>
      </c>
      <c r="J37" s="276"/>
      <c r="K37" s="276"/>
      <c r="L37" s="276"/>
      <c r="M37" s="276"/>
      <c r="N37" s="276"/>
      <c r="O37" s="276"/>
      <c r="P37" s="345">
        <f t="shared" si="1"/>
        <v>1</v>
      </c>
      <c r="Q37" s="277"/>
      <c r="R37" s="277"/>
      <c r="S37" s="277"/>
      <c r="T37" s="277"/>
      <c r="U37" s="277"/>
      <c r="V37" s="277"/>
      <c r="W37" s="277"/>
      <c r="X37" s="273"/>
      <c r="Y37" s="346">
        <f t="shared" si="2"/>
        <v>0</v>
      </c>
      <c r="Z37" s="165"/>
      <c r="AA37" s="165"/>
      <c r="AB37" s="165"/>
      <c r="AC37" s="165"/>
      <c r="AD37" s="165"/>
      <c r="AE37" s="165"/>
      <c r="AF37" s="165"/>
      <c r="AG37" s="277"/>
      <c r="AH37" s="346">
        <f t="shared" si="4"/>
        <v>0</v>
      </c>
      <c r="AI37" s="165"/>
      <c r="AJ37" s="277"/>
      <c r="AK37" s="277"/>
      <c r="AL37" s="11"/>
      <c r="AM37" s="11"/>
      <c r="AN37" s="277"/>
      <c r="AO37" s="277"/>
      <c r="AP37" s="277"/>
      <c r="AQ37" s="277"/>
      <c r="AR37" s="338"/>
      <c r="AS37" s="275"/>
      <c r="AT37" s="305"/>
    </row>
    <row r="38" spans="1:132" s="88" customFormat="1" ht="25.5" x14ac:dyDescent="0.2">
      <c r="A38" s="277">
        <v>28081080</v>
      </c>
      <c r="B38" s="277">
        <v>28081080</v>
      </c>
      <c r="C38" s="277" t="s">
        <v>1433</v>
      </c>
      <c r="D38" s="277"/>
      <c r="E38" s="277" t="s">
        <v>1434</v>
      </c>
      <c r="F38" s="277" t="s">
        <v>1405</v>
      </c>
      <c r="G38" s="277"/>
      <c r="H38" s="276"/>
      <c r="I38" s="276"/>
      <c r="J38" s="276"/>
      <c r="K38" s="276">
        <v>1</v>
      </c>
      <c r="L38" s="276"/>
      <c r="M38" s="276"/>
      <c r="N38" s="276"/>
      <c r="O38" s="276"/>
      <c r="P38" s="345">
        <f t="shared" si="1"/>
        <v>1</v>
      </c>
      <c r="Q38" s="277"/>
      <c r="R38" s="277"/>
      <c r="S38" s="277"/>
      <c r="T38" s="277"/>
      <c r="U38" s="277"/>
      <c r="V38" s="277"/>
      <c r="W38" s="277"/>
      <c r="X38" s="273"/>
      <c r="Y38" s="346">
        <f t="shared" si="2"/>
        <v>0</v>
      </c>
      <c r="Z38" s="165"/>
      <c r="AA38" s="165"/>
      <c r="AB38" s="165"/>
      <c r="AC38" s="165"/>
      <c r="AD38" s="165"/>
      <c r="AE38" s="165"/>
      <c r="AF38" s="165"/>
      <c r="AG38" s="277"/>
      <c r="AH38" s="346">
        <f t="shared" si="4"/>
        <v>0</v>
      </c>
      <c r="AI38" s="165"/>
      <c r="AJ38" s="277"/>
      <c r="AK38" s="277"/>
      <c r="AL38" s="11"/>
      <c r="AM38" s="11"/>
      <c r="AN38" s="277"/>
      <c r="AO38" s="277"/>
      <c r="AP38" s="277"/>
      <c r="AQ38" s="277"/>
      <c r="AR38" s="338"/>
      <c r="AS38" s="275"/>
      <c r="AT38" s="305"/>
    </row>
    <row r="39" spans="1:132" s="88" customFormat="1" ht="12.75" x14ac:dyDescent="0.2">
      <c r="A39" s="277">
        <v>38021110</v>
      </c>
      <c r="B39" s="277">
        <v>38021110</v>
      </c>
      <c r="C39" s="277" t="s">
        <v>1435</v>
      </c>
      <c r="D39" s="277"/>
      <c r="E39" s="277" t="s">
        <v>1436</v>
      </c>
      <c r="F39" s="277" t="s">
        <v>1405</v>
      </c>
      <c r="G39" s="277"/>
      <c r="H39" s="276"/>
      <c r="I39" s="276"/>
      <c r="J39" s="276"/>
      <c r="K39" s="276">
        <v>1</v>
      </c>
      <c r="L39" s="276"/>
      <c r="M39" s="276"/>
      <c r="N39" s="276"/>
      <c r="O39" s="276"/>
      <c r="P39" s="345">
        <f t="shared" si="1"/>
        <v>1</v>
      </c>
      <c r="Q39" s="277"/>
      <c r="R39" s="277"/>
      <c r="S39" s="277"/>
      <c r="T39" s="277"/>
      <c r="U39" s="277"/>
      <c r="V39" s="277"/>
      <c r="W39" s="277"/>
      <c r="X39" s="273"/>
      <c r="Y39" s="346">
        <f t="shared" si="2"/>
        <v>0</v>
      </c>
      <c r="Z39" s="165"/>
      <c r="AA39" s="165"/>
      <c r="AB39" s="165"/>
      <c r="AC39" s="165"/>
      <c r="AD39" s="165"/>
      <c r="AE39" s="165"/>
      <c r="AF39" s="165"/>
      <c r="AG39" s="277"/>
      <c r="AH39" s="346">
        <f t="shared" si="4"/>
        <v>0</v>
      </c>
      <c r="AI39" s="165"/>
      <c r="AJ39" s="277"/>
      <c r="AK39" s="277"/>
      <c r="AL39" s="11"/>
      <c r="AM39" s="11"/>
      <c r="AN39" s="277"/>
      <c r="AO39" s="277"/>
      <c r="AP39" s="277"/>
      <c r="AQ39" s="277"/>
      <c r="AR39" s="338"/>
      <c r="AS39" s="275"/>
      <c r="AT39" s="305"/>
    </row>
    <row r="40" spans="1:132" s="88" customFormat="1" ht="25.5" x14ac:dyDescent="0.2">
      <c r="A40" s="277">
        <v>28061060</v>
      </c>
      <c r="B40" s="277">
        <v>28061060</v>
      </c>
      <c r="C40" s="277" t="s">
        <v>1437</v>
      </c>
      <c r="D40" s="277"/>
      <c r="E40" s="277" t="s">
        <v>1438</v>
      </c>
      <c r="F40" s="277" t="s">
        <v>1405</v>
      </c>
      <c r="G40" s="277"/>
      <c r="H40" s="276"/>
      <c r="I40" s="276"/>
      <c r="J40" s="276"/>
      <c r="K40" s="276">
        <v>1</v>
      </c>
      <c r="L40" s="276"/>
      <c r="M40" s="276"/>
      <c r="N40" s="276"/>
      <c r="O40" s="276"/>
      <c r="P40" s="345">
        <f t="shared" si="1"/>
        <v>1</v>
      </c>
      <c r="Q40" s="277"/>
      <c r="R40" s="277"/>
      <c r="S40" s="277"/>
      <c r="T40" s="277"/>
      <c r="U40" s="277"/>
      <c r="V40" s="277"/>
      <c r="W40" s="277"/>
      <c r="X40" s="273"/>
      <c r="Y40" s="346">
        <f t="shared" si="2"/>
        <v>0</v>
      </c>
      <c r="Z40" s="165"/>
      <c r="AA40" s="165"/>
      <c r="AB40" s="165"/>
      <c r="AC40" s="165"/>
      <c r="AD40" s="165"/>
      <c r="AE40" s="165"/>
      <c r="AF40" s="165"/>
      <c r="AG40" s="277"/>
      <c r="AH40" s="346">
        <f t="shared" si="4"/>
        <v>0</v>
      </c>
      <c r="AI40" s="165"/>
      <c r="AJ40" s="277"/>
      <c r="AK40" s="277"/>
      <c r="AL40" s="11"/>
      <c r="AM40" s="11"/>
      <c r="AN40" s="277"/>
      <c r="AO40" s="277"/>
      <c r="AP40" s="277"/>
      <c r="AQ40" s="277"/>
      <c r="AR40" s="338"/>
      <c r="AS40" s="275"/>
      <c r="AT40" s="305"/>
    </row>
    <row r="41" spans="1:132" s="88" customFormat="1" ht="25.5" x14ac:dyDescent="0.2">
      <c r="A41" s="277">
        <v>28101110</v>
      </c>
      <c r="B41" s="277">
        <v>28101110</v>
      </c>
      <c r="C41" s="277" t="s">
        <v>1439</v>
      </c>
      <c r="D41" s="277"/>
      <c r="E41" s="277" t="s">
        <v>1440</v>
      </c>
      <c r="F41" s="277" t="s">
        <v>1405</v>
      </c>
      <c r="G41" s="277"/>
      <c r="H41" s="276"/>
      <c r="I41" s="276"/>
      <c r="J41" s="276"/>
      <c r="K41" s="276">
        <v>1</v>
      </c>
      <c r="L41" s="276"/>
      <c r="M41" s="276"/>
      <c r="N41" s="276"/>
      <c r="O41" s="276"/>
      <c r="P41" s="345">
        <f t="shared" si="1"/>
        <v>1</v>
      </c>
      <c r="Q41" s="277"/>
      <c r="R41" s="277"/>
      <c r="S41" s="277"/>
      <c r="T41" s="277"/>
      <c r="U41" s="277"/>
      <c r="V41" s="277"/>
      <c r="W41" s="277"/>
      <c r="X41" s="273"/>
      <c r="Y41" s="346">
        <f t="shared" si="2"/>
        <v>0</v>
      </c>
      <c r="Z41" s="165"/>
      <c r="AA41" s="165"/>
      <c r="AB41" s="165"/>
      <c r="AC41" s="165"/>
      <c r="AD41" s="165"/>
      <c r="AE41" s="165"/>
      <c r="AF41" s="165"/>
      <c r="AG41" s="277"/>
      <c r="AH41" s="346">
        <f t="shared" si="4"/>
        <v>0</v>
      </c>
      <c r="AI41" s="165"/>
      <c r="AJ41" s="277"/>
      <c r="AK41" s="277"/>
      <c r="AL41" s="11"/>
      <c r="AM41" s="11"/>
      <c r="AN41" s="277"/>
      <c r="AO41" s="277"/>
      <c r="AP41" s="277"/>
      <c r="AQ41" s="277"/>
      <c r="AR41" s="338"/>
      <c r="AS41" s="275"/>
      <c r="AT41" s="305"/>
    </row>
    <row r="42" spans="1:132" s="88" customFormat="1" ht="12.75" x14ac:dyDescent="0.2">
      <c r="A42" s="277">
        <v>32340230</v>
      </c>
      <c r="B42" s="277">
        <v>32340230</v>
      </c>
      <c r="C42" s="277" t="s">
        <v>1441</v>
      </c>
      <c r="D42" s="277"/>
      <c r="E42" s="277" t="s">
        <v>1442</v>
      </c>
      <c r="F42" s="277" t="s">
        <v>1405</v>
      </c>
      <c r="G42" s="277"/>
      <c r="H42" s="276"/>
      <c r="I42" s="276"/>
      <c r="J42" s="276"/>
      <c r="K42" s="276"/>
      <c r="L42" s="276"/>
      <c r="M42" s="276">
        <v>1</v>
      </c>
      <c r="N42" s="276"/>
      <c r="O42" s="276"/>
      <c r="P42" s="345">
        <f t="shared" si="1"/>
        <v>1</v>
      </c>
      <c r="Q42" s="277"/>
      <c r="R42" s="277"/>
      <c r="S42" s="277"/>
      <c r="T42" s="277"/>
      <c r="U42" s="277"/>
      <c r="V42" s="277"/>
      <c r="W42" s="277"/>
      <c r="X42" s="273"/>
      <c r="Y42" s="346">
        <f t="shared" si="2"/>
        <v>0</v>
      </c>
      <c r="Z42" s="165"/>
      <c r="AA42" s="165"/>
      <c r="AB42" s="165"/>
      <c r="AC42" s="165"/>
      <c r="AD42" s="165"/>
      <c r="AE42" s="165"/>
      <c r="AF42" s="165"/>
      <c r="AG42" s="277"/>
      <c r="AH42" s="346">
        <f t="shared" si="4"/>
        <v>0</v>
      </c>
      <c r="AI42" s="165"/>
      <c r="AJ42" s="277"/>
      <c r="AK42" s="277"/>
      <c r="AL42" s="11"/>
      <c r="AM42" s="11"/>
      <c r="AN42" s="277"/>
      <c r="AO42" s="277"/>
      <c r="AP42" s="277"/>
      <c r="AQ42" s="277"/>
      <c r="AR42" s="338"/>
      <c r="AS42" s="275"/>
      <c r="AT42" s="305"/>
    </row>
    <row r="43" spans="1:132" s="88" customFormat="1" ht="12.75" x14ac:dyDescent="0.2">
      <c r="A43" s="277">
        <v>30083080</v>
      </c>
      <c r="B43" s="277">
        <v>30083080</v>
      </c>
      <c r="C43" s="277" t="s">
        <v>1443</v>
      </c>
      <c r="D43" s="277"/>
      <c r="E43" s="277" t="s">
        <v>1444</v>
      </c>
      <c r="F43" s="277" t="s">
        <v>1405</v>
      </c>
      <c r="G43" s="277"/>
      <c r="H43" s="276"/>
      <c r="I43" s="276"/>
      <c r="J43" s="276"/>
      <c r="K43" s="276"/>
      <c r="L43" s="276"/>
      <c r="M43" s="276">
        <v>1</v>
      </c>
      <c r="N43" s="276"/>
      <c r="O43" s="276"/>
      <c r="P43" s="345">
        <f t="shared" si="1"/>
        <v>1</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c r="AK43" s="277"/>
      <c r="AL43" s="11"/>
      <c r="AM43" s="11"/>
      <c r="AN43" s="277"/>
      <c r="AO43" s="277"/>
      <c r="AP43" s="277"/>
      <c r="AQ43" s="277"/>
      <c r="AR43" s="338"/>
      <c r="AS43" s="275"/>
      <c r="AT43" s="305"/>
    </row>
    <row r="44" spans="1:132" s="88" customFormat="1" ht="12.75" x14ac:dyDescent="0.2">
      <c r="A44" s="277">
        <v>31382110</v>
      </c>
      <c r="B44" s="277">
        <v>31382110</v>
      </c>
      <c r="C44" s="277" t="s">
        <v>1445</v>
      </c>
      <c r="D44" s="277"/>
      <c r="E44" s="277" t="s">
        <v>1446</v>
      </c>
      <c r="F44" s="277" t="s">
        <v>1405</v>
      </c>
      <c r="G44" s="277"/>
      <c r="H44" s="276"/>
      <c r="I44" s="276"/>
      <c r="J44" s="276"/>
      <c r="K44" s="276"/>
      <c r="L44" s="276"/>
      <c r="M44" s="276">
        <v>1</v>
      </c>
      <c r="N44" s="276"/>
      <c r="O44" s="276"/>
      <c r="P44" s="345">
        <f t="shared" si="1"/>
        <v>1</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c r="AK44" s="277"/>
      <c r="AL44" s="11"/>
      <c r="AM44" s="11"/>
      <c r="AN44" s="277"/>
      <c r="AO44" s="277"/>
      <c r="AP44" s="277"/>
      <c r="AQ44" s="277"/>
      <c r="AR44" s="338"/>
      <c r="AS44" s="275"/>
      <c r="AT44" s="305"/>
    </row>
    <row r="45" spans="1:132" s="88" customFormat="1" ht="12.75" x14ac:dyDescent="0.2">
      <c r="A45" s="277">
        <v>28203030</v>
      </c>
      <c r="B45" s="277">
        <v>28203030</v>
      </c>
      <c r="C45" s="277" t="s">
        <v>1447</v>
      </c>
      <c r="D45" s="277"/>
      <c r="E45" s="277" t="s">
        <v>1448</v>
      </c>
      <c r="F45" s="277" t="s">
        <v>1405</v>
      </c>
      <c r="G45" s="277"/>
      <c r="H45" s="276"/>
      <c r="I45" s="276"/>
      <c r="J45" s="276"/>
      <c r="K45" s="276"/>
      <c r="L45" s="276"/>
      <c r="M45" s="276">
        <v>1</v>
      </c>
      <c r="N45" s="276"/>
      <c r="O45" s="276"/>
      <c r="P45" s="345">
        <f t="shared" si="1"/>
        <v>1</v>
      </c>
      <c r="Q45" s="277"/>
      <c r="R45" s="277"/>
      <c r="S45" s="277"/>
      <c r="T45" s="277"/>
      <c r="U45" s="277"/>
      <c r="V45" s="277"/>
      <c r="W45" s="277"/>
      <c r="X45" s="273"/>
      <c r="Y45" s="346">
        <f t="shared" si="2"/>
        <v>0</v>
      </c>
      <c r="Z45" s="165"/>
      <c r="AA45" s="165"/>
      <c r="AB45" s="165"/>
      <c r="AC45" s="165"/>
      <c r="AD45" s="165"/>
      <c r="AE45" s="165"/>
      <c r="AF45" s="165"/>
      <c r="AG45" s="277"/>
      <c r="AH45" s="346">
        <f t="shared" si="4"/>
        <v>0</v>
      </c>
      <c r="AI45" s="165"/>
      <c r="AJ45" s="277"/>
      <c r="AK45" s="277"/>
      <c r="AL45" s="11"/>
      <c r="AM45" s="11"/>
      <c r="AN45" s="277"/>
      <c r="AO45" s="277"/>
      <c r="AP45" s="277"/>
      <c r="AQ45" s="277"/>
      <c r="AR45" s="338"/>
      <c r="AS45" s="275"/>
      <c r="AT45" s="305"/>
    </row>
    <row r="46" spans="1:132" s="88" customFormat="1" ht="12.75" x14ac:dyDescent="0.2">
      <c r="A46" s="277">
        <v>31250180</v>
      </c>
      <c r="B46" s="277">
        <v>31250180</v>
      </c>
      <c r="C46" s="277" t="s">
        <v>1449</v>
      </c>
      <c r="D46" s="277"/>
      <c r="E46" s="277" t="s">
        <v>1450</v>
      </c>
      <c r="F46" s="277" t="s">
        <v>1414</v>
      </c>
      <c r="G46" s="277"/>
      <c r="H46" s="276"/>
      <c r="I46" s="276"/>
      <c r="J46" s="276"/>
      <c r="K46" s="276"/>
      <c r="L46" s="276"/>
      <c r="M46" s="276"/>
      <c r="N46" s="276">
        <v>1</v>
      </c>
      <c r="O46" s="276"/>
      <c r="P46" s="345">
        <f t="shared" si="1"/>
        <v>1</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c r="AK46" s="277"/>
      <c r="AL46" s="11"/>
      <c r="AM46" s="11"/>
      <c r="AN46" s="277"/>
      <c r="AO46" s="277"/>
      <c r="AP46" s="277"/>
      <c r="AQ46" s="277"/>
      <c r="AR46" s="338"/>
      <c r="AS46" s="275"/>
      <c r="AT46" s="305"/>
    </row>
    <row r="47" spans="1:132" s="88" customFormat="1" ht="12.75" x14ac:dyDescent="0.2">
      <c r="A47" s="277">
        <v>28461070</v>
      </c>
      <c r="B47" s="277">
        <v>28461070</v>
      </c>
      <c r="C47" s="277" t="s">
        <v>1451</v>
      </c>
      <c r="D47" s="277"/>
      <c r="E47" s="277" t="s">
        <v>1452</v>
      </c>
      <c r="F47" s="277" t="s">
        <v>1414</v>
      </c>
      <c r="G47" s="277"/>
      <c r="H47" s="276"/>
      <c r="I47" s="276"/>
      <c r="J47" s="276"/>
      <c r="K47" s="276"/>
      <c r="L47" s="276"/>
      <c r="M47" s="276"/>
      <c r="N47" s="276">
        <v>1</v>
      </c>
      <c r="O47" s="276"/>
      <c r="P47" s="345">
        <f t="shared" si="1"/>
        <v>1</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c r="AK47" s="277"/>
      <c r="AL47" s="11"/>
      <c r="AM47" s="11"/>
      <c r="AN47" s="277"/>
      <c r="AO47" s="277"/>
      <c r="AP47" s="277"/>
      <c r="AQ47" s="277"/>
      <c r="AR47" s="338"/>
      <c r="AS47" s="275"/>
      <c r="AT47" s="305"/>
    </row>
    <row r="48" spans="1:132" s="262" customFormat="1" ht="25.5" x14ac:dyDescent="0.2">
      <c r="A48" s="277">
        <v>38342030</v>
      </c>
      <c r="B48" s="277">
        <v>38342030</v>
      </c>
      <c r="C48" s="277" t="s">
        <v>1505</v>
      </c>
      <c r="D48" s="277"/>
      <c r="E48" s="277" t="s">
        <v>1506</v>
      </c>
      <c r="F48" s="277" t="s">
        <v>1405</v>
      </c>
      <c r="G48" s="277"/>
      <c r="H48" s="276"/>
      <c r="I48" s="276"/>
      <c r="J48" s="276"/>
      <c r="K48" s="276"/>
      <c r="L48" s="276"/>
      <c r="M48" s="276">
        <v>1</v>
      </c>
      <c r="N48" s="276"/>
      <c r="O48" s="276"/>
      <c r="P48" s="345">
        <f t="shared" si="1"/>
        <v>1</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c r="AK48" s="277"/>
      <c r="AL48" s="11"/>
      <c r="AM48" s="11"/>
      <c r="AN48" s="277"/>
      <c r="AO48" s="277"/>
      <c r="AP48" s="277"/>
      <c r="AQ48" s="277"/>
      <c r="AR48" s="338"/>
      <c r="AS48" s="275"/>
      <c r="AT48" s="306"/>
    </row>
    <row r="49" spans="1:46" s="262" customFormat="1" x14ac:dyDescent="0.2">
      <c r="A49" s="277"/>
      <c r="B49" s="277"/>
      <c r="C49" s="277"/>
      <c r="D49" s="277"/>
      <c r="E49" s="277"/>
      <c r="F49" s="277"/>
      <c r="G49" s="277"/>
      <c r="H49" s="276"/>
      <c r="I49" s="276"/>
      <c r="J49" s="276"/>
      <c r="K49" s="276"/>
      <c r="L49" s="276"/>
      <c r="M49" s="276"/>
      <c r="N49" s="276"/>
      <c r="O49" s="276"/>
      <c r="P49" s="345">
        <f t="shared" si="1"/>
        <v>0</v>
      </c>
      <c r="Q49" s="277"/>
      <c r="R49" s="277"/>
      <c r="S49" s="277"/>
      <c r="T49" s="277"/>
      <c r="U49" s="277"/>
      <c r="V49" s="277"/>
      <c r="W49" s="277"/>
      <c r="X49" s="273"/>
      <c r="Y49" s="346">
        <f t="shared" si="2"/>
        <v>0</v>
      </c>
      <c r="Z49" s="165"/>
      <c r="AA49" s="165"/>
      <c r="AB49" s="165"/>
      <c r="AC49" s="165"/>
      <c r="AD49" s="165"/>
      <c r="AE49" s="165"/>
      <c r="AF49" s="165"/>
      <c r="AG49" s="277"/>
      <c r="AH49" s="346">
        <f t="shared" si="4"/>
        <v>0</v>
      </c>
      <c r="AI49" s="165"/>
      <c r="AJ49" s="277"/>
      <c r="AK49" s="277"/>
      <c r="AL49" s="11"/>
      <c r="AM49" s="11"/>
      <c r="AN49" s="277"/>
      <c r="AO49" s="277"/>
      <c r="AP49" s="277"/>
      <c r="AQ49" s="277"/>
      <c r="AR49" s="338"/>
      <c r="AS49" s="275"/>
      <c r="AT49" s="306"/>
    </row>
    <row r="50" spans="1:46" s="87" customFormat="1" ht="15.75" x14ac:dyDescent="0.25">
      <c r="A50" s="333"/>
      <c r="B50" s="333"/>
      <c r="C50" s="333"/>
      <c r="D50" s="333"/>
      <c r="E50" s="333"/>
      <c r="F50" s="333"/>
      <c r="G50" s="333"/>
      <c r="H50" s="334"/>
      <c r="I50" s="334"/>
      <c r="J50" s="334"/>
      <c r="K50" s="334"/>
      <c r="L50" s="334"/>
      <c r="M50" s="334"/>
      <c r="N50" s="334"/>
      <c r="O50" s="334"/>
      <c r="P50" s="345">
        <f t="shared" si="1"/>
        <v>0</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c r="AK50" s="333"/>
      <c r="AL50" s="11"/>
      <c r="AM50" s="11"/>
      <c r="AN50" s="333"/>
      <c r="AO50" s="333"/>
      <c r="AP50" s="333"/>
      <c r="AQ50" s="333"/>
      <c r="AR50" s="336"/>
      <c r="AS50" s="337"/>
      <c r="AT50" s="123"/>
    </row>
    <row r="51" spans="1:46" s="87" customFormat="1" ht="15.75" x14ac:dyDescent="0.25">
      <c r="A51" s="333"/>
      <c r="B51" s="333"/>
      <c r="C51" s="333"/>
      <c r="D51" s="333"/>
      <c r="E51" s="333"/>
      <c r="F51" s="333"/>
      <c r="G51" s="333"/>
      <c r="H51" s="334"/>
      <c r="I51" s="334"/>
      <c r="J51" s="334"/>
      <c r="K51" s="334"/>
      <c r="L51" s="334"/>
      <c r="M51" s="334"/>
      <c r="N51" s="334"/>
      <c r="O51" s="334"/>
      <c r="P51" s="345">
        <f t="shared" si="1"/>
        <v>0</v>
      </c>
      <c r="Q51" s="333"/>
      <c r="R51" s="333"/>
      <c r="S51" s="333"/>
      <c r="T51" s="333"/>
      <c r="U51" s="333"/>
      <c r="V51" s="333"/>
      <c r="W51" s="333"/>
      <c r="X51" s="273"/>
      <c r="Y51" s="346">
        <f t="shared" si="2"/>
        <v>0</v>
      </c>
      <c r="Z51" s="335"/>
      <c r="AA51" s="335"/>
      <c r="AB51" s="335"/>
      <c r="AC51" s="335"/>
      <c r="AD51" s="335"/>
      <c r="AE51" s="335"/>
      <c r="AF51" s="335"/>
      <c r="AG51" s="333"/>
      <c r="AH51" s="346">
        <f t="shared" si="4"/>
        <v>0</v>
      </c>
      <c r="AI51" s="335"/>
      <c r="AJ51" s="333"/>
      <c r="AK51" s="333"/>
      <c r="AL51" s="11"/>
      <c r="AM51" s="11"/>
      <c r="AN51" s="333"/>
      <c r="AO51" s="333"/>
      <c r="AP51" s="333"/>
      <c r="AQ51" s="333"/>
      <c r="AR51" s="336"/>
      <c r="AS51" s="337"/>
      <c r="AT51" s="123"/>
    </row>
    <row r="52" spans="1:46" s="262" customFormat="1" x14ac:dyDescent="0.2">
      <c r="A52" s="277"/>
      <c r="B52" s="277"/>
      <c r="C52" s="277"/>
      <c r="D52" s="277"/>
      <c r="E52" s="277"/>
      <c r="F52" s="277"/>
      <c r="G52" s="277"/>
      <c r="H52" s="276"/>
      <c r="I52" s="276"/>
      <c r="J52" s="276"/>
      <c r="K52" s="276"/>
      <c r="L52" s="276"/>
      <c r="M52" s="276"/>
      <c r="N52" s="276"/>
      <c r="O52" s="276"/>
      <c r="P52" s="345">
        <f t="shared" si="1"/>
        <v>0</v>
      </c>
      <c r="Q52" s="277"/>
      <c r="R52" s="277"/>
      <c r="S52" s="277"/>
      <c r="T52" s="277"/>
      <c r="U52" s="277"/>
      <c r="V52" s="277"/>
      <c r="W52" s="277"/>
      <c r="X52" s="273"/>
      <c r="Y52" s="346">
        <f t="shared" si="2"/>
        <v>0</v>
      </c>
      <c r="Z52" s="165"/>
      <c r="AA52" s="165"/>
      <c r="AB52" s="165"/>
      <c r="AC52" s="165"/>
      <c r="AD52" s="165"/>
      <c r="AE52" s="165"/>
      <c r="AF52" s="165"/>
      <c r="AG52" s="277"/>
      <c r="AH52" s="346">
        <f t="shared" si="4"/>
        <v>0</v>
      </c>
      <c r="AI52" s="165"/>
      <c r="AJ52" s="277"/>
      <c r="AK52" s="277"/>
      <c r="AL52" s="11"/>
      <c r="AM52" s="11"/>
      <c r="AN52" s="277"/>
      <c r="AO52" s="277"/>
      <c r="AP52" s="277"/>
      <c r="AQ52" s="277"/>
      <c r="AR52" s="338"/>
      <c r="AS52" s="275"/>
      <c r="AT52" s="306"/>
    </row>
    <row r="53" spans="1:46" s="89" customFormat="1" ht="12.75" x14ac:dyDescent="0.2">
      <c r="A53" s="333"/>
      <c r="B53" s="333"/>
      <c r="C53" s="333"/>
      <c r="D53" s="333"/>
      <c r="E53" s="333"/>
      <c r="F53" s="333"/>
      <c r="G53" s="333"/>
      <c r="H53" s="334"/>
      <c r="I53" s="334"/>
      <c r="J53" s="334"/>
      <c r="K53" s="334"/>
      <c r="L53" s="334"/>
      <c r="M53" s="334"/>
      <c r="N53" s="334"/>
      <c r="O53" s="334"/>
      <c r="P53" s="345">
        <f t="shared" si="1"/>
        <v>0</v>
      </c>
      <c r="Q53" s="333"/>
      <c r="R53" s="333"/>
      <c r="S53" s="333"/>
      <c r="T53" s="333"/>
      <c r="U53" s="333"/>
      <c r="V53" s="333"/>
      <c r="W53" s="333"/>
      <c r="X53" s="273"/>
      <c r="Y53" s="346">
        <f t="shared" si="2"/>
        <v>0</v>
      </c>
      <c r="Z53" s="335"/>
      <c r="AA53" s="335"/>
      <c r="AB53" s="335"/>
      <c r="AC53" s="335"/>
      <c r="AD53" s="335"/>
      <c r="AE53" s="335"/>
      <c r="AF53" s="335"/>
      <c r="AG53" s="333"/>
      <c r="AH53" s="346">
        <f t="shared" si="4"/>
        <v>0</v>
      </c>
      <c r="AI53" s="335"/>
      <c r="AJ53" s="333"/>
      <c r="AK53" s="333"/>
      <c r="AL53" s="11"/>
      <c r="AM53" s="11"/>
      <c r="AN53" s="333"/>
      <c r="AO53" s="333"/>
      <c r="AP53" s="333"/>
      <c r="AQ53" s="333"/>
      <c r="AR53" s="336"/>
      <c r="AS53" s="337"/>
      <c r="AT53" s="307"/>
    </row>
    <row r="54" spans="1:46" s="89" customFormat="1" ht="12.75" x14ac:dyDescent="0.2">
      <c r="A54" s="333"/>
      <c r="B54" s="333"/>
      <c r="C54" s="333"/>
      <c r="D54" s="333"/>
      <c r="E54" s="333"/>
      <c r="F54" s="333"/>
      <c r="G54" s="333"/>
      <c r="H54" s="334"/>
      <c r="I54" s="334"/>
      <c r="J54" s="334"/>
      <c r="K54" s="334"/>
      <c r="L54" s="334"/>
      <c r="M54" s="334"/>
      <c r="N54" s="334"/>
      <c r="O54" s="334"/>
      <c r="P54" s="345">
        <f t="shared" si="1"/>
        <v>0</v>
      </c>
      <c r="Q54" s="333"/>
      <c r="R54" s="333"/>
      <c r="S54" s="333"/>
      <c r="T54" s="333"/>
      <c r="U54" s="333"/>
      <c r="V54" s="333"/>
      <c r="W54" s="333"/>
      <c r="X54" s="273"/>
      <c r="Y54" s="346">
        <f t="shared" si="2"/>
        <v>0</v>
      </c>
      <c r="Z54" s="335"/>
      <c r="AA54" s="335"/>
      <c r="AB54" s="335"/>
      <c r="AC54" s="335"/>
      <c r="AD54" s="335"/>
      <c r="AE54" s="335"/>
      <c r="AF54" s="335"/>
      <c r="AG54" s="333"/>
      <c r="AH54" s="346">
        <f t="shared" si="4"/>
        <v>0</v>
      </c>
      <c r="AI54" s="335"/>
      <c r="AJ54" s="333"/>
      <c r="AK54" s="333"/>
      <c r="AL54" s="11"/>
      <c r="AM54" s="11"/>
      <c r="AN54" s="333"/>
      <c r="AO54" s="333"/>
      <c r="AP54" s="333"/>
      <c r="AQ54" s="333"/>
      <c r="AR54" s="336"/>
      <c r="AS54" s="337"/>
      <c r="AT54" s="307"/>
    </row>
    <row r="55" spans="1:46" s="262" customFormat="1" x14ac:dyDescent="0.2">
      <c r="A55" s="277"/>
      <c r="B55" s="277"/>
      <c r="C55" s="277"/>
      <c r="D55" s="277"/>
      <c r="E55" s="277"/>
      <c r="F55" s="277"/>
      <c r="G55" s="277"/>
      <c r="H55" s="276"/>
      <c r="I55" s="276"/>
      <c r="J55" s="276"/>
      <c r="K55" s="276"/>
      <c r="L55" s="276"/>
      <c r="M55" s="276"/>
      <c r="N55" s="276"/>
      <c r="O55" s="276"/>
      <c r="P55" s="345">
        <f t="shared" si="1"/>
        <v>0</v>
      </c>
      <c r="Q55" s="277"/>
      <c r="R55" s="277"/>
      <c r="S55" s="277"/>
      <c r="T55" s="277"/>
      <c r="U55" s="277"/>
      <c r="V55" s="277"/>
      <c r="W55" s="277"/>
      <c r="X55" s="273"/>
      <c r="Y55" s="346">
        <f t="shared" si="2"/>
        <v>0</v>
      </c>
      <c r="Z55" s="165"/>
      <c r="AA55" s="165"/>
      <c r="AB55" s="165"/>
      <c r="AC55" s="165"/>
      <c r="AD55" s="165"/>
      <c r="AE55" s="165"/>
      <c r="AF55" s="165"/>
      <c r="AG55" s="277"/>
      <c r="AH55" s="346">
        <f t="shared" si="4"/>
        <v>0</v>
      </c>
      <c r="AI55" s="165"/>
      <c r="AJ55" s="277"/>
      <c r="AK55" s="277"/>
      <c r="AL55" s="11"/>
      <c r="AM55" s="11"/>
      <c r="AN55" s="277"/>
      <c r="AO55" s="277"/>
      <c r="AP55" s="277"/>
      <c r="AQ55" s="277"/>
      <c r="AR55" s="338"/>
      <c r="AS55" s="275"/>
      <c r="AT55" s="306"/>
    </row>
    <row r="56" spans="1:46" s="262" customFormat="1" x14ac:dyDescent="0.2">
      <c r="A56" s="277"/>
      <c r="B56" s="277"/>
      <c r="C56" s="277"/>
      <c r="D56" s="277"/>
      <c r="E56" s="277"/>
      <c r="F56" s="277"/>
      <c r="G56" s="277"/>
      <c r="H56" s="276"/>
      <c r="I56" s="276"/>
      <c r="J56" s="276"/>
      <c r="K56" s="276"/>
      <c r="L56" s="276"/>
      <c r="M56" s="276"/>
      <c r="N56" s="276"/>
      <c r="O56" s="276"/>
      <c r="P56" s="345">
        <f t="shared" si="1"/>
        <v>0</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c r="AK56" s="277"/>
      <c r="AL56" s="11"/>
      <c r="AM56" s="11"/>
      <c r="AN56" s="277"/>
      <c r="AO56" s="277"/>
      <c r="AP56" s="277"/>
      <c r="AQ56" s="277"/>
      <c r="AR56" s="338"/>
      <c r="AS56" s="275"/>
      <c r="AT56" s="306"/>
    </row>
    <row r="57" spans="1:46" s="262" customFormat="1" x14ac:dyDescent="0.2">
      <c r="A57" s="277"/>
      <c r="B57" s="277"/>
      <c r="C57" s="277"/>
      <c r="D57" s="277"/>
      <c r="E57" s="277"/>
      <c r="F57" s="277"/>
      <c r="G57" s="277"/>
      <c r="H57" s="276"/>
      <c r="I57" s="276"/>
      <c r="J57" s="276"/>
      <c r="K57" s="276"/>
      <c r="L57" s="276"/>
      <c r="M57" s="276"/>
      <c r="N57" s="276"/>
      <c r="O57" s="276"/>
      <c r="P57" s="345">
        <f t="shared" si="1"/>
        <v>0</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c r="AK57" s="277"/>
      <c r="AL57" s="11"/>
      <c r="AM57" s="11"/>
      <c r="AN57" s="277"/>
      <c r="AO57" s="277"/>
      <c r="AP57" s="277"/>
      <c r="AQ57" s="277"/>
      <c r="AR57" s="338"/>
      <c r="AS57" s="275"/>
      <c r="AT57" s="306"/>
    </row>
    <row r="58" spans="1:46" s="262" customFormat="1" x14ac:dyDescent="0.2">
      <c r="A58" s="277"/>
      <c r="B58" s="277"/>
      <c r="C58" s="277"/>
      <c r="D58" s="277"/>
      <c r="E58" s="277"/>
      <c r="F58" s="277"/>
      <c r="G58" s="277"/>
      <c r="H58" s="276"/>
      <c r="I58" s="276"/>
      <c r="J58" s="276"/>
      <c r="K58" s="276"/>
      <c r="L58" s="276"/>
      <c r="M58" s="276"/>
      <c r="N58" s="276"/>
      <c r="O58" s="276"/>
      <c r="P58" s="345">
        <f t="shared" si="1"/>
        <v>0</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c r="AK58" s="277"/>
      <c r="AL58" s="11"/>
      <c r="AM58" s="11"/>
      <c r="AN58" s="277"/>
      <c r="AO58" s="277"/>
      <c r="AP58" s="277"/>
      <c r="AQ58" s="277"/>
      <c r="AR58" s="338"/>
      <c r="AS58" s="275"/>
      <c r="AT58" s="306"/>
    </row>
    <row r="59" spans="1:46" s="262" customFormat="1" x14ac:dyDescent="0.2">
      <c r="A59" s="277"/>
      <c r="B59" s="277"/>
      <c r="C59" s="277"/>
      <c r="D59" s="277"/>
      <c r="E59" s="277"/>
      <c r="F59" s="277"/>
      <c r="G59" s="277"/>
      <c r="H59" s="276"/>
      <c r="I59" s="276"/>
      <c r="J59" s="276"/>
      <c r="K59" s="276"/>
      <c r="L59" s="276"/>
      <c r="M59" s="276"/>
      <c r="N59" s="276"/>
      <c r="O59" s="276"/>
      <c r="P59" s="345">
        <f t="shared" si="1"/>
        <v>0</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c r="AK59" s="277"/>
      <c r="AL59" s="11"/>
      <c r="AM59" s="11"/>
      <c r="AN59" s="277"/>
      <c r="AO59" s="277"/>
      <c r="AP59" s="277"/>
      <c r="AQ59" s="277"/>
      <c r="AR59" s="338"/>
      <c r="AS59" s="275"/>
      <c r="AT59" s="306"/>
    </row>
    <row r="60" spans="1:46" s="262" customFormat="1" x14ac:dyDescent="0.2">
      <c r="A60" s="277"/>
      <c r="B60" s="277"/>
      <c r="C60" s="277"/>
      <c r="D60" s="277"/>
      <c r="E60" s="277"/>
      <c r="F60" s="277"/>
      <c r="G60" s="277"/>
      <c r="H60" s="276"/>
      <c r="I60" s="276"/>
      <c r="J60" s="276"/>
      <c r="K60" s="276"/>
      <c r="L60" s="276"/>
      <c r="M60" s="276"/>
      <c r="N60" s="276"/>
      <c r="O60" s="276"/>
      <c r="P60" s="345">
        <f t="shared" si="1"/>
        <v>0</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c r="AK60" s="277"/>
      <c r="AL60" s="11"/>
      <c r="AM60" s="11"/>
      <c r="AN60" s="277"/>
      <c r="AO60" s="277"/>
      <c r="AP60" s="277"/>
      <c r="AQ60" s="277"/>
      <c r="AR60" s="338"/>
      <c r="AS60" s="275"/>
      <c r="AT60" s="306"/>
    </row>
    <row r="61" spans="1:46" s="262" customFormat="1" x14ac:dyDescent="0.2">
      <c r="A61" s="277"/>
      <c r="B61" s="277"/>
      <c r="C61" s="277"/>
      <c r="D61" s="277"/>
      <c r="E61" s="277"/>
      <c r="F61" s="277"/>
      <c r="G61" s="277"/>
      <c r="H61" s="276"/>
      <c r="I61" s="276"/>
      <c r="J61" s="276"/>
      <c r="K61" s="276"/>
      <c r="L61" s="276"/>
      <c r="M61" s="276"/>
      <c r="N61" s="276"/>
      <c r="O61" s="276"/>
      <c r="P61" s="345">
        <f t="shared" si="1"/>
        <v>0</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c r="AK61" s="277"/>
      <c r="AL61" s="11"/>
      <c r="AM61" s="11"/>
      <c r="AN61" s="277"/>
      <c r="AO61" s="277"/>
      <c r="AP61" s="277"/>
      <c r="AQ61" s="277"/>
      <c r="AR61" s="338"/>
      <c r="AS61" s="275"/>
      <c r="AT61" s="306"/>
    </row>
    <row r="62" spans="1:46" s="262" customFormat="1" x14ac:dyDescent="0.2">
      <c r="A62" s="277"/>
      <c r="B62" s="277"/>
      <c r="C62" s="277"/>
      <c r="D62" s="277"/>
      <c r="E62" s="277"/>
      <c r="F62" s="277"/>
      <c r="G62" s="277"/>
      <c r="H62" s="276"/>
      <c r="I62" s="276"/>
      <c r="J62" s="276"/>
      <c r="K62" s="276"/>
      <c r="L62" s="276"/>
      <c r="M62" s="276"/>
      <c r="N62" s="276"/>
      <c r="O62" s="276"/>
      <c r="P62" s="345">
        <f t="shared" si="1"/>
        <v>0</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c r="AK62" s="277"/>
      <c r="AL62" s="11"/>
      <c r="AM62" s="11"/>
      <c r="AN62" s="277"/>
      <c r="AO62" s="277"/>
      <c r="AP62" s="277"/>
      <c r="AQ62" s="277"/>
      <c r="AR62" s="338"/>
      <c r="AS62" s="275"/>
      <c r="AT62" s="306"/>
    </row>
    <row r="63" spans="1:46" s="262" customFormat="1" x14ac:dyDescent="0.2">
      <c r="A63" s="277"/>
      <c r="B63" s="277"/>
      <c r="C63" s="277"/>
      <c r="D63" s="277"/>
      <c r="E63" s="277"/>
      <c r="F63" s="277"/>
      <c r="G63" s="277"/>
      <c r="H63" s="276"/>
      <c r="I63" s="276"/>
      <c r="J63" s="276"/>
      <c r="K63" s="276"/>
      <c r="L63" s="276"/>
      <c r="M63" s="276"/>
      <c r="N63" s="276"/>
      <c r="O63" s="276"/>
      <c r="P63" s="345">
        <f t="shared" si="1"/>
        <v>0</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c r="AK63" s="277"/>
      <c r="AL63" s="11"/>
      <c r="AM63" s="11"/>
      <c r="AN63" s="277"/>
      <c r="AO63" s="277"/>
      <c r="AP63" s="277"/>
      <c r="AQ63" s="277"/>
      <c r="AR63" s="338"/>
      <c r="AS63" s="275"/>
      <c r="AT63" s="306"/>
    </row>
    <row r="64" spans="1:46" s="262" customFormat="1" x14ac:dyDescent="0.2">
      <c r="A64" s="277"/>
      <c r="B64" s="277"/>
      <c r="C64" s="277"/>
      <c r="D64" s="277"/>
      <c r="E64" s="277"/>
      <c r="F64" s="277"/>
      <c r="G64" s="277"/>
      <c r="H64" s="276"/>
      <c r="I64" s="276"/>
      <c r="J64" s="276"/>
      <c r="K64" s="276"/>
      <c r="L64" s="276"/>
      <c r="M64" s="276"/>
      <c r="N64" s="276"/>
      <c r="O64" s="276"/>
      <c r="P64" s="345">
        <f t="shared" si="1"/>
        <v>0</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c r="AK64" s="277"/>
      <c r="AL64" s="11"/>
      <c r="AM64" s="11"/>
      <c r="AN64" s="277"/>
      <c r="AO64" s="277"/>
      <c r="AP64" s="277"/>
      <c r="AQ64" s="277"/>
      <c r="AR64" s="338"/>
      <c r="AS64" s="275"/>
      <c r="AT64" s="306"/>
    </row>
    <row r="65" spans="1:46" s="262" customFormat="1" x14ac:dyDescent="0.2">
      <c r="A65" s="277"/>
      <c r="B65" s="277"/>
      <c r="C65" s="277"/>
      <c r="D65" s="277"/>
      <c r="E65" s="277"/>
      <c r="F65" s="277"/>
      <c r="G65" s="277"/>
      <c r="H65" s="276"/>
      <c r="I65" s="276"/>
      <c r="J65" s="276"/>
      <c r="K65" s="276"/>
      <c r="L65" s="276"/>
      <c r="M65" s="276"/>
      <c r="N65" s="276"/>
      <c r="O65" s="276"/>
      <c r="P65" s="345">
        <f t="shared" si="1"/>
        <v>0</v>
      </c>
      <c r="Q65" s="277"/>
      <c r="R65" s="277"/>
      <c r="S65" s="277"/>
      <c r="T65" s="277"/>
      <c r="U65" s="277"/>
      <c r="V65" s="277"/>
      <c r="W65" s="277"/>
      <c r="X65" s="273"/>
      <c r="Y65" s="346">
        <f t="shared" si="2"/>
        <v>0</v>
      </c>
      <c r="Z65" s="165"/>
      <c r="AA65" s="165"/>
      <c r="AB65" s="165"/>
      <c r="AC65" s="165"/>
      <c r="AD65" s="165"/>
      <c r="AE65" s="165"/>
      <c r="AF65" s="165"/>
      <c r="AG65" s="277"/>
      <c r="AH65" s="346">
        <f t="shared" si="4"/>
        <v>0</v>
      </c>
      <c r="AI65" s="165"/>
      <c r="AJ65" s="277"/>
      <c r="AK65" s="277"/>
      <c r="AL65" s="11"/>
      <c r="AM65" s="11"/>
      <c r="AN65" s="277"/>
      <c r="AO65" s="277"/>
      <c r="AP65" s="277"/>
      <c r="AQ65" s="277"/>
      <c r="AR65" s="338"/>
      <c r="AS65" s="275"/>
      <c r="AT65" s="306"/>
    </row>
    <row r="66" spans="1:46" s="87" customFormat="1" ht="15.75" x14ac:dyDescent="0.25">
      <c r="A66" s="333"/>
      <c r="B66" s="333"/>
      <c r="C66" s="333"/>
      <c r="D66" s="333"/>
      <c r="E66" s="333"/>
      <c r="F66" s="333"/>
      <c r="G66" s="333"/>
      <c r="H66" s="334"/>
      <c r="I66" s="334"/>
      <c r="J66" s="334"/>
      <c r="K66" s="334"/>
      <c r="L66" s="334"/>
      <c r="M66" s="334"/>
      <c r="N66" s="334"/>
      <c r="O66" s="334"/>
      <c r="P66" s="345">
        <f t="shared" si="1"/>
        <v>0</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c r="AK66" s="333"/>
      <c r="AL66" s="11"/>
      <c r="AM66" s="11"/>
      <c r="AN66" s="333"/>
      <c r="AO66" s="333"/>
      <c r="AP66" s="333"/>
      <c r="AQ66" s="333"/>
      <c r="AR66" s="336"/>
      <c r="AS66" s="337"/>
      <c r="AT66" s="123"/>
    </row>
    <row r="67" spans="1:46" s="87" customFormat="1" ht="15.75" x14ac:dyDescent="0.25">
      <c r="A67" s="333"/>
      <c r="B67" s="333"/>
      <c r="C67" s="333"/>
      <c r="D67" s="333"/>
      <c r="E67" s="333"/>
      <c r="F67" s="333"/>
      <c r="G67" s="333"/>
      <c r="H67" s="334"/>
      <c r="I67" s="334"/>
      <c r="J67" s="334"/>
      <c r="K67" s="334"/>
      <c r="L67" s="334"/>
      <c r="M67" s="334"/>
      <c r="N67" s="334"/>
      <c r="O67" s="334"/>
      <c r="P67" s="345">
        <f t="shared" si="1"/>
        <v>0</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c r="AK67" s="333"/>
      <c r="AL67" s="11"/>
      <c r="AM67" s="11"/>
      <c r="AN67" s="333"/>
      <c r="AO67" s="333"/>
      <c r="AP67" s="333"/>
      <c r="AQ67" s="333"/>
      <c r="AR67" s="336"/>
      <c r="AS67" s="337"/>
      <c r="AT67" s="123"/>
    </row>
    <row r="68" spans="1:46" s="89" customFormat="1" ht="12.75" x14ac:dyDescent="0.2">
      <c r="A68" s="333"/>
      <c r="B68" s="333"/>
      <c r="C68" s="333"/>
      <c r="D68" s="333"/>
      <c r="E68" s="333"/>
      <c r="F68" s="333"/>
      <c r="G68" s="333"/>
      <c r="H68" s="334"/>
      <c r="I68" s="334"/>
      <c r="J68" s="334"/>
      <c r="K68" s="334"/>
      <c r="L68" s="334"/>
      <c r="M68" s="334"/>
      <c r="N68" s="334"/>
      <c r="O68" s="334"/>
      <c r="P68" s="345">
        <f t="shared" si="1"/>
        <v>0</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c r="AK68" s="333"/>
      <c r="AL68" s="11"/>
      <c r="AM68" s="11"/>
      <c r="AN68" s="333"/>
      <c r="AO68" s="333"/>
      <c r="AP68" s="333"/>
      <c r="AQ68" s="333"/>
      <c r="AR68" s="336"/>
      <c r="AS68" s="337"/>
      <c r="AT68" s="307"/>
    </row>
    <row r="69" spans="1:46" s="88" customFormat="1" ht="12.75" x14ac:dyDescent="0.2">
      <c r="A69" s="277"/>
      <c r="B69" s="277"/>
      <c r="C69" s="277"/>
      <c r="D69" s="277"/>
      <c r="E69" s="277"/>
      <c r="F69" s="277"/>
      <c r="G69" s="277"/>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c r="AG69" s="277"/>
      <c r="AH69" s="346">
        <f t="shared" si="4"/>
        <v>0</v>
      </c>
      <c r="AI69" s="165"/>
      <c r="AJ69" s="277"/>
      <c r="AK69" s="277"/>
      <c r="AL69" s="11"/>
      <c r="AM69" s="11"/>
      <c r="AN69" s="277"/>
      <c r="AO69" s="277"/>
      <c r="AP69" s="277"/>
      <c r="AQ69" s="277"/>
      <c r="AR69" s="338"/>
      <c r="AS69" s="275"/>
      <c r="AT69" s="305"/>
    </row>
    <row r="70" spans="1:46" s="88" customFormat="1" ht="12.75" x14ac:dyDescent="0.2">
      <c r="A70" s="277"/>
      <c r="B70" s="277"/>
      <c r="C70" s="277"/>
      <c r="D70" s="277"/>
      <c r="E70" s="277"/>
      <c r="F70" s="277"/>
      <c r="G70" s="277"/>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c r="AB70" s="165"/>
      <c r="AC70" s="165"/>
      <c r="AD70" s="165"/>
      <c r="AE70" s="165"/>
      <c r="AF70" s="165"/>
      <c r="AG70" s="277"/>
      <c r="AH70" s="346">
        <f t="shared" si="4"/>
        <v>0</v>
      </c>
      <c r="AI70" s="165"/>
      <c r="AJ70" s="277"/>
      <c r="AK70" s="277"/>
      <c r="AL70" s="11"/>
      <c r="AM70" s="11"/>
      <c r="AN70" s="277"/>
      <c r="AO70" s="277"/>
      <c r="AP70" s="277"/>
      <c r="AQ70" s="277"/>
      <c r="AR70" s="338"/>
      <c r="AS70" s="275"/>
      <c r="AT70" s="305"/>
    </row>
    <row r="71" spans="1:46" s="88" customFormat="1" ht="12.75" x14ac:dyDescent="0.2">
      <c r="A71" s="277"/>
      <c r="B71" s="277"/>
      <c r="C71" s="277"/>
      <c r="D71" s="277"/>
      <c r="E71" s="277"/>
      <c r="F71" s="277"/>
      <c r="G71" s="277"/>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c r="AG71" s="277"/>
      <c r="AH71" s="346">
        <f t="shared" si="4"/>
        <v>0</v>
      </c>
      <c r="AI71" s="165"/>
      <c r="AJ71" s="277"/>
      <c r="AK71" s="277"/>
      <c r="AL71" s="11"/>
      <c r="AM71" s="11"/>
      <c r="AN71" s="277"/>
      <c r="AO71" s="277"/>
      <c r="AP71" s="277"/>
      <c r="AQ71" s="277"/>
      <c r="AR71" s="338"/>
      <c r="AS71" s="275"/>
      <c r="AT71" s="305"/>
    </row>
    <row r="72" spans="1:46" s="88" customFormat="1" ht="12.75" x14ac:dyDescent="0.2">
      <c r="A72" s="277"/>
      <c r="B72" s="277"/>
      <c r="C72" s="277"/>
      <c r="D72" s="277"/>
      <c r="E72" s="277"/>
      <c r="F72" s="277"/>
      <c r="G72" s="277"/>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c r="AG72" s="277"/>
      <c r="AH72" s="346">
        <f t="shared" si="4"/>
        <v>0</v>
      </c>
      <c r="AI72" s="165"/>
      <c r="AJ72" s="277"/>
      <c r="AK72" s="277"/>
      <c r="AL72" s="11"/>
      <c r="AM72" s="11"/>
      <c r="AN72" s="277"/>
      <c r="AO72" s="277"/>
      <c r="AP72" s="277"/>
      <c r="AQ72" s="277"/>
      <c r="AR72" s="338"/>
      <c r="AS72" s="275"/>
      <c r="AT72" s="305"/>
    </row>
    <row r="73" spans="1:46" s="88" customFormat="1" ht="12.75" x14ac:dyDescent="0.2">
      <c r="A73" s="277"/>
      <c r="B73" s="277"/>
      <c r="C73" s="277"/>
      <c r="D73" s="277"/>
      <c r="E73" s="277"/>
      <c r="F73" s="277"/>
      <c r="G73" s="277"/>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c r="AG73" s="277"/>
      <c r="AH73" s="346">
        <f t="shared" si="4"/>
        <v>0</v>
      </c>
      <c r="AI73" s="165"/>
      <c r="AJ73" s="277"/>
      <c r="AK73" s="277"/>
      <c r="AL73" s="11"/>
      <c r="AM73" s="11"/>
      <c r="AN73" s="277"/>
      <c r="AO73" s="277"/>
      <c r="AP73" s="277"/>
      <c r="AQ73" s="277"/>
      <c r="AR73" s="338"/>
      <c r="AS73" s="275"/>
      <c r="AT73" s="305"/>
    </row>
    <row r="74" spans="1:46" s="88" customFormat="1" ht="12.75" x14ac:dyDescent="0.2">
      <c r="A74" s="277"/>
      <c r="B74" s="277"/>
      <c r="C74" s="277"/>
      <c r="D74" s="277"/>
      <c r="E74" s="277"/>
      <c r="F74" s="277"/>
      <c r="G74" s="277"/>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c r="AD74" s="165"/>
      <c r="AE74" s="165"/>
      <c r="AF74" s="165"/>
      <c r="AG74" s="277"/>
      <c r="AH74" s="346">
        <f t="shared" si="4"/>
        <v>0</v>
      </c>
      <c r="AI74" s="165"/>
      <c r="AJ74" s="277"/>
      <c r="AK74" s="277"/>
      <c r="AL74" s="11"/>
      <c r="AM74" s="11"/>
      <c r="AN74" s="277"/>
      <c r="AO74" s="277"/>
      <c r="AP74" s="277"/>
      <c r="AQ74" s="277"/>
      <c r="AR74" s="338"/>
      <c r="AS74" s="275"/>
      <c r="AT74" s="305"/>
    </row>
    <row r="75" spans="1:46" s="88" customFormat="1" ht="12.75" x14ac:dyDescent="0.2">
      <c r="A75" s="277"/>
      <c r="B75" s="277"/>
      <c r="C75" s="277"/>
      <c r="D75" s="277"/>
      <c r="E75" s="277"/>
      <c r="F75" s="277"/>
      <c r="G75" s="277"/>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c r="AG75" s="277"/>
      <c r="AH75" s="346">
        <f t="shared" si="4"/>
        <v>0</v>
      </c>
      <c r="AI75" s="165"/>
      <c r="AJ75" s="277"/>
      <c r="AK75" s="277"/>
      <c r="AL75" s="11"/>
      <c r="AM75" s="11"/>
      <c r="AN75" s="277"/>
      <c r="AO75" s="277"/>
      <c r="AP75" s="277"/>
      <c r="AQ75" s="277"/>
      <c r="AR75" s="338"/>
      <c r="AS75" s="275"/>
      <c r="AT75" s="305"/>
    </row>
    <row r="76" spans="1:46" s="88" customFormat="1" ht="12.75" x14ac:dyDescent="0.2">
      <c r="A76" s="277"/>
      <c r="B76" s="277"/>
      <c r="C76" s="277"/>
      <c r="D76" s="277"/>
      <c r="E76" s="277"/>
      <c r="F76" s="277"/>
      <c r="G76" s="277"/>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c r="AG76" s="277"/>
      <c r="AH76" s="346">
        <f t="shared" si="4"/>
        <v>0</v>
      </c>
      <c r="AI76" s="165"/>
      <c r="AJ76" s="277"/>
      <c r="AK76" s="277"/>
      <c r="AL76" s="11"/>
      <c r="AM76" s="11"/>
      <c r="AN76" s="277"/>
      <c r="AO76" s="277"/>
      <c r="AP76" s="277"/>
      <c r="AQ76" s="277"/>
      <c r="AR76" s="338"/>
      <c r="AS76" s="275"/>
      <c r="AT76" s="305"/>
    </row>
    <row r="77" spans="1:46" s="88" customFormat="1" ht="12.75" x14ac:dyDescent="0.2">
      <c r="A77" s="277"/>
      <c r="B77" s="277"/>
      <c r="C77" s="277"/>
      <c r="D77" s="277"/>
      <c r="E77" s="277"/>
      <c r="F77" s="277"/>
      <c r="G77" s="277"/>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c r="AG77" s="277"/>
      <c r="AH77" s="346">
        <f t="shared" si="4"/>
        <v>0</v>
      </c>
      <c r="AI77" s="165"/>
      <c r="AJ77" s="277"/>
      <c r="AK77" s="277"/>
      <c r="AL77" s="11"/>
      <c r="AM77" s="11"/>
      <c r="AN77" s="277"/>
      <c r="AO77" s="277"/>
      <c r="AP77" s="277"/>
      <c r="AQ77" s="277"/>
      <c r="AR77" s="338"/>
      <c r="AS77" s="275"/>
      <c r="AT77" s="305"/>
    </row>
    <row r="78" spans="1:46" s="88" customFormat="1" ht="12.75" x14ac:dyDescent="0.2">
      <c r="A78" s="277"/>
      <c r="B78" s="277"/>
      <c r="C78" s="277"/>
      <c r="D78" s="277"/>
      <c r="E78" s="277"/>
      <c r="F78" s="277"/>
      <c r="G78" s="277"/>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c r="AG78" s="277"/>
      <c r="AH78" s="346">
        <f t="shared" si="4"/>
        <v>0</v>
      </c>
      <c r="AI78" s="165"/>
      <c r="AJ78" s="277"/>
      <c r="AK78" s="277"/>
      <c r="AL78" s="11"/>
      <c r="AM78" s="11"/>
      <c r="AN78" s="277"/>
      <c r="AO78" s="277"/>
      <c r="AP78" s="277"/>
      <c r="AQ78" s="277"/>
      <c r="AR78" s="338"/>
      <c r="AS78" s="275"/>
      <c r="AT78" s="305"/>
    </row>
    <row r="79" spans="1:46" s="88" customFormat="1" ht="12.75" x14ac:dyDescent="0.2">
      <c r="A79" s="277"/>
      <c r="B79" s="277"/>
      <c r="C79" s="277"/>
      <c r="D79" s="277"/>
      <c r="E79" s="277"/>
      <c r="F79" s="277"/>
      <c r="G79" s="277"/>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c r="AG79" s="277"/>
      <c r="AH79" s="346">
        <f t="shared" si="4"/>
        <v>0</v>
      </c>
      <c r="AI79" s="165"/>
      <c r="AJ79" s="277"/>
      <c r="AK79" s="277"/>
      <c r="AL79" s="11"/>
      <c r="AM79" s="11"/>
      <c r="AN79" s="277"/>
      <c r="AO79" s="277"/>
      <c r="AP79" s="277"/>
      <c r="AQ79" s="277"/>
      <c r="AR79" s="338"/>
      <c r="AS79" s="275"/>
      <c r="AT79" s="305"/>
    </row>
    <row r="80" spans="1:46" s="90" customFormat="1" ht="15.75" x14ac:dyDescent="0.2">
      <c r="A80" s="339"/>
      <c r="B80" s="339"/>
      <c r="C80" s="339"/>
      <c r="D80" s="339"/>
      <c r="E80" s="339"/>
      <c r="F80" s="339"/>
      <c r="G80" s="339"/>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c r="AG80" s="339"/>
      <c r="AH80" s="346">
        <f t="shared" si="4"/>
        <v>0</v>
      </c>
      <c r="AI80" s="335"/>
      <c r="AJ80" s="339"/>
      <c r="AK80" s="339"/>
      <c r="AL80" s="11"/>
      <c r="AM80" s="11"/>
      <c r="AN80" s="339"/>
      <c r="AO80" s="339"/>
      <c r="AP80" s="339"/>
      <c r="AQ80" s="339"/>
      <c r="AR80" s="117"/>
      <c r="AS80" s="337"/>
      <c r="AT80" s="308"/>
    </row>
    <row r="81" spans="1:46" s="90" customFormat="1" ht="15.75" x14ac:dyDescent="0.2">
      <c r="A81" s="339"/>
      <c r="B81" s="339"/>
      <c r="C81" s="339"/>
      <c r="D81" s="339"/>
      <c r="E81" s="339"/>
      <c r="F81" s="339"/>
      <c r="G81" s="339"/>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c r="AG81" s="339"/>
      <c r="AH81" s="346">
        <f t="shared" si="4"/>
        <v>0</v>
      </c>
      <c r="AI81" s="335"/>
      <c r="AJ81" s="339"/>
      <c r="AK81" s="339"/>
      <c r="AL81" s="11"/>
      <c r="AM81" s="11"/>
      <c r="AN81" s="339"/>
      <c r="AO81" s="339"/>
      <c r="AP81" s="339"/>
      <c r="AQ81" s="339"/>
      <c r="AR81" s="117"/>
      <c r="AS81" s="337"/>
      <c r="AT81" s="308"/>
    </row>
    <row r="82" spans="1:46" s="262" customFormat="1" x14ac:dyDescent="0.2">
      <c r="A82" s="277"/>
      <c r="B82" s="277"/>
      <c r="C82" s="277"/>
      <c r="D82" s="277"/>
      <c r="E82" s="277"/>
      <c r="F82" s="277"/>
      <c r="G82" s="277"/>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c r="AG82" s="277"/>
      <c r="AH82" s="346">
        <f t="shared" si="4"/>
        <v>0</v>
      </c>
      <c r="AI82" s="165"/>
      <c r="AJ82" s="277"/>
      <c r="AK82" s="277"/>
      <c r="AL82" s="11"/>
      <c r="AM82" s="11"/>
      <c r="AN82" s="277"/>
      <c r="AO82" s="277"/>
      <c r="AP82" s="277"/>
      <c r="AQ82" s="277"/>
      <c r="AR82" s="338"/>
      <c r="AS82" s="275"/>
      <c r="AT82" s="306"/>
    </row>
    <row r="83" spans="1:46" s="262" customFormat="1" x14ac:dyDescent="0.2">
      <c r="A83" s="277"/>
      <c r="B83" s="277"/>
      <c r="C83" s="277"/>
      <c r="D83" s="277"/>
      <c r="E83" s="277"/>
      <c r="F83" s="277"/>
      <c r="G83" s="277"/>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c r="AG83" s="277"/>
      <c r="AH83" s="346">
        <f t="shared" si="4"/>
        <v>0</v>
      </c>
      <c r="AI83" s="165"/>
      <c r="AJ83" s="277"/>
      <c r="AK83" s="277"/>
      <c r="AL83" s="11"/>
      <c r="AM83" s="11"/>
      <c r="AN83" s="277"/>
      <c r="AO83" s="277"/>
      <c r="AP83" s="277"/>
      <c r="AQ83" s="277"/>
      <c r="AR83" s="338"/>
      <c r="AS83" s="275"/>
      <c r="AT83" s="306"/>
    </row>
    <row r="84" spans="1:46" s="262" customFormat="1" x14ac:dyDescent="0.2">
      <c r="A84" s="277"/>
      <c r="B84" s="277"/>
      <c r="C84" s="277"/>
      <c r="D84" s="277"/>
      <c r="E84" s="277"/>
      <c r="F84" s="277"/>
      <c r="G84" s="277"/>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c r="AG84" s="277"/>
      <c r="AH84" s="346">
        <f t="shared" si="4"/>
        <v>0</v>
      </c>
      <c r="AI84" s="165"/>
      <c r="AJ84" s="277"/>
      <c r="AK84" s="277"/>
      <c r="AL84" s="11"/>
      <c r="AM84" s="11"/>
      <c r="AN84" s="277"/>
      <c r="AO84" s="277"/>
      <c r="AP84" s="277"/>
      <c r="AQ84" s="277"/>
      <c r="AR84" s="338"/>
      <c r="AS84" s="275"/>
      <c r="AT84" s="306"/>
    </row>
    <row r="85" spans="1:46" s="262" customFormat="1" x14ac:dyDescent="0.2">
      <c r="A85" s="277"/>
      <c r="B85" s="277"/>
      <c r="C85" s="277"/>
      <c r="D85" s="277"/>
      <c r="E85" s="277"/>
      <c r="F85" s="277"/>
      <c r="G85" s="277"/>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c r="AG85" s="277"/>
      <c r="AH85" s="346">
        <f t="shared" si="4"/>
        <v>0</v>
      </c>
      <c r="AI85" s="165"/>
      <c r="AJ85" s="277"/>
      <c r="AK85" s="277"/>
      <c r="AL85" s="11"/>
      <c r="AM85" s="11"/>
      <c r="AN85" s="277"/>
      <c r="AO85" s="277"/>
      <c r="AP85" s="277"/>
      <c r="AQ85" s="277"/>
      <c r="AR85" s="338"/>
      <c r="AS85" s="275"/>
      <c r="AT85" s="306"/>
    </row>
    <row r="86" spans="1:46" s="262" customFormat="1" x14ac:dyDescent="0.2">
      <c r="A86" s="277"/>
      <c r="B86" s="277"/>
      <c r="C86" s="277"/>
      <c r="D86" s="277"/>
      <c r="E86" s="277"/>
      <c r="F86" s="277"/>
      <c r="G86" s="277"/>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c r="AG86" s="277"/>
      <c r="AH86" s="346">
        <f t="shared" si="4"/>
        <v>0</v>
      </c>
      <c r="AI86" s="165"/>
      <c r="AJ86" s="277"/>
      <c r="AK86" s="277"/>
      <c r="AL86" s="11"/>
      <c r="AM86" s="11"/>
      <c r="AN86" s="277"/>
      <c r="AO86" s="277"/>
      <c r="AP86" s="277"/>
      <c r="AQ86" s="277"/>
      <c r="AR86" s="338"/>
      <c r="AS86" s="275"/>
      <c r="AT86" s="306"/>
    </row>
    <row r="87" spans="1:46" s="262" customFormat="1" x14ac:dyDescent="0.2">
      <c r="A87" s="277"/>
      <c r="B87" s="277"/>
      <c r="C87" s="277"/>
      <c r="D87" s="277"/>
      <c r="E87" s="277"/>
      <c r="F87" s="277"/>
      <c r="G87" s="277"/>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c r="AG87" s="277"/>
      <c r="AH87" s="346">
        <f t="shared" si="4"/>
        <v>0</v>
      </c>
      <c r="AI87" s="165"/>
      <c r="AJ87" s="277"/>
      <c r="AK87" s="277"/>
      <c r="AL87" s="11"/>
      <c r="AM87" s="11"/>
      <c r="AN87" s="277"/>
      <c r="AO87" s="277"/>
      <c r="AP87" s="277"/>
      <c r="AQ87" s="277"/>
      <c r="AR87" s="338"/>
      <c r="AS87" s="275"/>
      <c r="AT87" s="306"/>
    </row>
    <row r="88" spans="1:46" s="262" customFormat="1" x14ac:dyDescent="0.2">
      <c r="A88" s="277"/>
      <c r="B88" s="277"/>
      <c r="C88" s="277"/>
      <c r="D88" s="277"/>
      <c r="E88" s="277"/>
      <c r="F88" s="277"/>
      <c r="G88" s="277"/>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c r="AG88" s="277"/>
      <c r="AH88" s="346">
        <f t="shared" si="4"/>
        <v>0</v>
      </c>
      <c r="AI88" s="165"/>
      <c r="AJ88" s="277"/>
      <c r="AK88" s="277"/>
      <c r="AL88" s="11"/>
      <c r="AM88" s="11"/>
      <c r="AN88" s="277"/>
      <c r="AO88" s="277"/>
      <c r="AP88" s="277"/>
      <c r="AQ88" s="277"/>
      <c r="AR88" s="338"/>
      <c r="AS88" s="275"/>
      <c r="AT88" s="306"/>
    </row>
    <row r="89" spans="1:46" s="262" customFormat="1" x14ac:dyDescent="0.2">
      <c r="A89" s="277"/>
      <c r="B89" s="277"/>
      <c r="C89" s="277"/>
      <c r="D89" s="277"/>
      <c r="E89" s="277"/>
      <c r="F89" s="277"/>
      <c r="G89" s="277"/>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c r="AG89" s="277"/>
      <c r="AH89" s="346">
        <f t="shared" si="4"/>
        <v>0</v>
      </c>
      <c r="AI89" s="165"/>
      <c r="AJ89" s="277"/>
      <c r="AK89" s="277"/>
      <c r="AL89" s="11"/>
      <c r="AM89" s="11"/>
      <c r="AN89" s="277"/>
      <c r="AO89" s="277"/>
      <c r="AP89" s="277"/>
      <c r="AQ89" s="277"/>
      <c r="AR89" s="338"/>
      <c r="AS89" s="275"/>
      <c r="AT89" s="306"/>
    </row>
    <row r="90" spans="1:46" s="90" customFormat="1" ht="15.75" x14ac:dyDescent="0.2">
      <c r="A90" s="339"/>
      <c r="B90" s="339"/>
      <c r="C90" s="339"/>
      <c r="D90" s="339"/>
      <c r="E90" s="339"/>
      <c r="F90" s="339"/>
      <c r="G90" s="339"/>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c r="AG90" s="339"/>
      <c r="AH90" s="346">
        <f t="shared" si="4"/>
        <v>0</v>
      </c>
      <c r="AI90" s="335"/>
      <c r="AJ90" s="339"/>
      <c r="AK90" s="339"/>
      <c r="AL90" s="11"/>
      <c r="AM90" s="11"/>
      <c r="AN90" s="339"/>
      <c r="AO90" s="339"/>
      <c r="AP90" s="339"/>
      <c r="AQ90" s="339"/>
      <c r="AR90" s="117"/>
      <c r="AS90" s="337"/>
      <c r="AT90" s="308"/>
    </row>
    <row r="91" spans="1:46" s="90" customFormat="1" ht="15.75" x14ac:dyDescent="0.2">
      <c r="A91" s="339"/>
      <c r="B91" s="339"/>
      <c r="C91" s="339"/>
      <c r="D91" s="339"/>
      <c r="E91" s="339"/>
      <c r="F91" s="339"/>
      <c r="G91" s="339"/>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c r="AG91" s="339"/>
      <c r="AH91" s="346">
        <f t="shared" si="4"/>
        <v>0</v>
      </c>
      <c r="AI91" s="335"/>
      <c r="AJ91" s="339"/>
      <c r="AK91" s="339"/>
      <c r="AL91" s="11"/>
      <c r="AM91" s="11"/>
      <c r="AN91" s="339"/>
      <c r="AO91" s="339"/>
      <c r="AP91" s="339"/>
      <c r="AQ91" s="339"/>
      <c r="AR91" s="117"/>
      <c r="AS91" s="337"/>
      <c r="AT91" s="308"/>
    </row>
    <row r="92" spans="1:46" s="91" customFormat="1" ht="12.75" x14ac:dyDescent="0.2">
      <c r="A92" s="117"/>
      <c r="B92" s="117"/>
      <c r="C92" s="117"/>
      <c r="D92" s="117"/>
      <c r="E92" s="117"/>
      <c r="F92" s="117"/>
      <c r="G92" s="117"/>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c r="AG92" s="117"/>
      <c r="AH92" s="346">
        <f t="shared" si="4"/>
        <v>0</v>
      </c>
      <c r="AI92" s="335"/>
      <c r="AJ92" s="117"/>
      <c r="AK92" s="117"/>
      <c r="AL92" s="11"/>
      <c r="AM92" s="11"/>
      <c r="AN92" s="117"/>
      <c r="AO92" s="117"/>
      <c r="AP92" s="117"/>
      <c r="AQ92" s="117"/>
      <c r="AR92" s="117"/>
      <c r="AS92" s="337"/>
      <c r="AT92" s="309"/>
    </row>
    <row r="93" spans="1:46" s="91" customFormat="1" ht="12.75" x14ac:dyDescent="0.2">
      <c r="A93" s="117"/>
      <c r="B93" s="117"/>
      <c r="C93" s="117"/>
      <c r="D93" s="117"/>
      <c r="E93" s="117"/>
      <c r="F93" s="117"/>
      <c r="G93" s="117"/>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c r="AG93" s="117"/>
      <c r="AH93" s="346">
        <f t="shared" si="4"/>
        <v>0</v>
      </c>
      <c r="AI93" s="335"/>
      <c r="AJ93" s="117"/>
      <c r="AK93" s="117"/>
      <c r="AL93" s="11"/>
      <c r="AM93" s="11"/>
      <c r="AN93" s="117"/>
      <c r="AO93" s="117"/>
      <c r="AP93" s="117"/>
      <c r="AQ93" s="117"/>
      <c r="AR93" s="117"/>
      <c r="AS93" s="337"/>
      <c r="AT93" s="309"/>
    </row>
    <row r="94" spans="1:46" s="91" customFormat="1" ht="12.75" x14ac:dyDescent="0.2">
      <c r="A94" s="117"/>
      <c r="B94" s="117"/>
      <c r="C94" s="117"/>
      <c r="D94" s="117"/>
      <c r="E94" s="117"/>
      <c r="F94" s="117"/>
      <c r="G94" s="117"/>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c r="AG94" s="117"/>
      <c r="AH94" s="346">
        <f t="shared" si="4"/>
        <v>0</v>
      </c>
      <c r="AI94" s="335"/>
      <c r="AJ94" s="117"/>
      <c r="AK94" s="117"/>
      <c r="AL94" s="11"/>
      <c r="AM94" s="11"/>
      <c r="AN94" s="117"/>
      <c r="AO94" s="117"/>
      <c r="AP94" s="117"/>
      <c r="AQ94" s="117"/>
      <c r="AR94" s="117"/>
      <c r="AS94" s="337"/>
      <c r="AT94" s="309"/>
    </row>
    <row r="95" spans="1:46" s="262" customFormat="1" x14ac:dyDescent="0.2">
      <c r="A95" s="277"/>
      <c r="B95" s="277"/>
      <c r="C95" s="277"/>
      <c r="D95" s="277"/>
      <c r="E95" s="277"/>
      <c r="F95" s="277"/>
      <c r="G95" s="277"/>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c r="AG95" s="277"/>
      <c r="AH95" s="346">
        <f t="shared" si="4"/>
        <v>0</v>
      </c>
      <c r="AI95" s="165"/>
      <c r="AJ95" s="277"/>
      <c r="AK95" s="277"/>
      <c r="AL95" s="11"/>
      <c r="AM95" s="11"/>
      <c r="AN95" s="277"/>
      <c r="AO95" s="277"/>
      <c r="AP95" s="277"/>
      <c r="AQ95" s="277"/>
      <c r="AR95" s="338"/>
      <c r="AS95" s="275"/>
      <c r="AT95" s="306"/>
    </row>
    <row r="96" spans="1:46" s="262" customFormat="1" x14ac:dyDescent="0.2">
      <c r="A96" s="277"/>
      <c r="B96" s="277"/>
      <c r="C96" s="277"/>
      <c r="D96" s="277"/>
      <c r="E96" s="277"/>
      <c r="F96" s="277"/>
      <c r="G96" s="277"/>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c r="AG96" s="277"/>
      <c r="AH96" s="346">
        <f t="shared" si="4"/>
        <v>0</v>
      </c>
      <c r="AI96" s="165"/>
      <c r="AJ96" s="277"/>
      <c r="AK96" s="277"/>
      <c r="AL96" s="11"/>
      <c r="AM96" s="11"/>
      <c r="AN96" s="277"/>
      <c r="AO96" s="277"/>
      <c r="AP96" s="277"/>
      <c r="AQ96" s="277"/>
      <c r="AR96" s="338"/>
      <c r="AS96" s="275"/>
      <c r="AT96" s="306"/>
    </row>
    <row r="97" spans="1:46" s="262" customFormat="1" x14ac:dyDescent="0.2">
      <c r="A97" s="277"/>
      <c r="B97" s="277"/>
      <c r="C97" s="277"/>
      <c r="D97" s="277"/>
      <c r="E97" s="277"/>
      <c r="F97" s="277"/>
      <c r="G97" s="277"/>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c r="AG97" s="277"/>
      <c r="AH97" s="346">
        <f t="shared" ref="AH97:AH160" si="7">SUM(Z97:AF97)</f>
        <v>0</v>
      </c>
      <c r="AI97" s="165"/>
      <c r="AJ97" s="277"/>
      <c r="AK97" s="277"/>
      <c r="AL97" s="11"/>
      <c r="AM97" s="11"/>
      <c r="AN97" s="277"/>
      <c r="AO97" s="277"/>
      <c r="AP97" s="277"/>
      <c r="AQ97" s="277"/>
      <c r="AR97" s="338"/>
      <c r="AS97" s="275"/>
      <c r="AT97" s="306"/>
    </row>
    <row r="98" spans="1:46" s="262" customFormat="1" x14ac:dyDescent="0.2">
      <c r="A98" s="277"/>
      <c r="B98" s="277"/>
      <c r="C98" s="277"/>
      <c r="D98" s="277"/>
      <c r="E98" s="277"/>
      <c r="F98" s="277"/>
      <c r="G98" s="277"/>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c r="AG98" s="277"/>
      <c r="AH98" s="346">
        <f t="shared" si="7"/>
        <v>0</v>
      </c>
      <c r="AI98" s="165"/>
      <c r="AJ98" s="277"/>
      <c r="AK98" s="277"/>
      <c r="AL98" s="11"/>
      <c r="AM98" s="11"/>
      <c r="AN98" s="277"/>
      <c r="AO98" s="277"/>
      <c r="AP98" s="277"/>
      <c r="AQ98" s="277"/>
      <c r="AR98" s="338"/>
      <c r="AS98" s="275"/>
      <c r="AT98" s="306"/>
    </row>
    <row r="99" spans="1:46" s="262" customFormat="1" x14ac:dyDescent="0.2">
      <c r="A99" s="277"/>
      <c r="B99" s="277"/>
      <c r="C99" s="277"/>
      <c r="D99" s="277"/>
      <c r="E99" s="277"/>
      <c r="F99" s="277"/>
      <c r="G99" s="277"/>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c r="AG99" s="277"/>
      <c r="AH99" s="346">
        <f t="shared" si="7"/>
        <v>0</v>
      </c>
      <c r="AI99" s="165"/>
      <c r="AJ99" s="277"/>
      <c r="AK99" s="277"/>
      <c r="AL99" s="11"/>
      <c r="AM99" s="11"/>
      <c r="AN99" s="277"/>
      <c r="AO99" s="277"/>
      <c r="AP99" s="277"/>
      <c r="AQ99" s="277"/>
      <c r="AR99" s="338"/>
      <c r="AS99" s="275"/>
      <c r="AT99" s="306"/>
    </row>
    <row r="100" spans="1:46" s="262" customFormat="1" x14ac:dyDescent="0.2">
      <c r="A100" s="277"/>
      <c r="B100" s="277"/>
      <c r="C100" s="277"/>
      <c r="D100" s="277"/>
      <c r="E100" s="277"/>
      <c r="F100" s="277"/>
      <c r="G100" s="277"/>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c r="AG100" s="277"/>
      <c r="AH100" s="346">
        <f t="shared" si="7"/>
        <v>0</v>
      </c>
      <c r="AI100" s="165"/>
      <c r="AJ100" s="277"/>
      <c r="AK100" s="277"/>
      <c r="AL100" s="11"/>
      <c r="AM100" s="11"/>
      <c r="AN100" s="277"/>
      <c r="AO100" s="277"/>
      <c r="AP100" s="277"/>
      <c r="AQ100" s="277"/>
      <c r="AR100" s="338"/>
      <c r="AS100" s="275"/>
      <c r="AT100" s="306"/>
    </row>
    <row r="101" spans="1:46" s="262" customFormat="1" x14ac:dyDescent="0.2">
      <c r="A101" s="277"/>
      <c r="B101" s="277"/>
      <c r="C101" s="277"/>
      <c r="D101" s="277"/>
      <c r="E101" s="277"/>
      <c r="F101" s="277"/>
      <c r="G101" s="277"/>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c r="AG101" s="277"/>
      <c r="AH101" s="346">
        <f t="shared" si="7"/>
        <v>0</v>
      </c>
      <c r="AI101" s="165"/>
      <c r="AJ101" s="277"/>
      <c r="AK101" s="277"/>
      <c r="AL101" s="11"/>
      <c r="AM101" s="11"/>
      <c r="AN101" s="277"/>
      <c r="AO101" s="277"/>
      <c r="AP101" s="277"/>
      <c r="AQ101" s="277"/>
      <c r="AR101" s="338"/>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75" x14ac:dyDescent="0.2">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75" x14ac:dyDescent="0.2">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algorithmName="SHA-512" hashValue="Epih1g86+D9vvRtbb3+DVtfnkyHwizGrN8h7I1Rgs0guyXCED0tcEDyWX83rKBGmCP/x1cG/gAY2astI1ZcglQ==" saltValue="JVjPPQeeUw7hm1t/J7V/I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I3:I8 L15:N15 R1:W8 K13:N14 AA1:AF8 K16:N1048576 R10:W11 S18 V13:W14 U15:W15 Q15:Q1048576 H1:H8 K1:K8 AA12:AH12 H13:J1048576 Z1:Z1048576 AA10:AF11 AA13:AF1048576 H12:P12 R12:Y12 H10:N11 Q1:Q12 L5:N8 J4:J7 L1:N3 R15:R23 R24:T1048576 U21:U1048576 S23:T23 U16:U17 T16:T18 T20:T22 W16:W1048576 V23:V1048576 V16:V20">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T19 S13:U13 T14: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5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N18" sqref="N18"/>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4" t="s">
        <v>8</v>
      </c>
      <c r="B1" s="434"/>
      <c r="C1" s="434"/>
      <c r="D1" s="434"/>
      <c r="E1" s="434"/>
      <c r="F1" s="434"/>
      <c r="G1" s="434"/>
      <c r="H1" s="434"/>
      <c r="I1" s="434"/>
      <c r="J1" s="434"/>
      <c r="K1" s="434"/>
      <c r="L1" s="434"/>
      <c r="M1" s="434"/>
      <c r="N1" s="434"/>
      <c r="O1" s="74"/>
      <c r="P1" s="74"/>
      <c r="Q1" s="74"/>
      <c r="R1" s="74"/>
      <c r="S1" s="74"/>
      <c r="T1" s="74"/>
      <c r="U1" s="74"/>
    </row>
    <row r="2" spans="1:21" s="255" customFormat="1" ht="20.25" customHeight="1" x14ac:dyDescent="0.3">
      <c r="A2" s="435" t="s">
        <v>9</v>
      </c>
      <c r="B2" s="435"/>
      <c r="C2" s="435"/>
      <c r="D2" s="435"/>
      <c r="E2" s="435"/>
      <c r="F2" s="435"/>
      <c r="G2" s="435"/>
      <c r="H2" s="435"/>
      <c r="I2" s="435"/>
      <c r="J2" s="435"/>
      <c r="K2" s="435"/>
      <c r="L2" s="435"/>
      <c r="M2" s="435"/>
      <c r="N2" s="435"/>
      <c r="O2" s="75"/>
      <c r="P2" s="75"/>
      <c r="Q2" s="75"/>
      <c r="R2" s="75"/>
      <c r="S2" s="75"/>
      <c r="T2" s="75"/>
      <c r="U2" s="75"/>
    </row>
    <row r="3" spans="1:21" s="255" customFormat="1" ht="24" customHeight="1" thickBot="1" x14ac:dyDescent="0.25">
      <c r="A3" s="430" t="s">
        <v>1376</v>
      </c>
      <c r="B3" s="430"/>
      <c r="C3" s="430"/>
      <c r="D3" s="430"/>
      <c r="E3" s="430"/>
      <c r="F3" s="430"/>
      <c r="G3" s="430"/>
      <c r="H3" s="430"/>
      <c r="I3" s="430"/>
      <c r="J3" s="430"/>
      <c r="K3" s="430"/>
      <c r="L3" s="430"/>
      <c r="M3" s="430"/>
      <c r="N3" s="430"/>
      <c r="O3" s="76"/>
      <c r="P3" s="76"/>
      <c r="Q3" s="76"/>
      <c r="R3" s="76"/>
      <c r="S3" s="76"/>
      <c r="T3" s="76"/>
      <c r="U3" s="76"/>
    </row>
    <row r="4" spans="1:21" s="79" customFormat="1" ht="33.75" customHeight="1" x14ac:dyDescent="0.2">
      <c r="A4" s="319" t="s">
        <v>10</v>
      </c>
      <c r="B4" s="238" t="str">
        <f>'Start Here'!B4:D4</f>
        <v>Hillsborough</v>
      </c>
      <c r="C4" s="317"/>
      <c r="D4" s="78"/>
      <c r="E4" s="78"/>
      <c r="F4" s="78"/>
      <c r="G4" s="78"/>
      <c r="H4" s="78"/>
      <c r="I4" s="443" t="s">
        <v>1370</v>
      </c>
      <c r="J4" s="444"/>
      <c r="K4" s="444"/>
      <c r="L4" s="444"/>
      <c r="M4" s="445"/>
    </row>
    <row r="5" spans="1:21" s="79" customFormat="1" ht="22.5" customHeight="1" thickBot="1" x14ac:dyDescent="0.35">
      <c r="A5" s="319" t="s">
        <v>36</v>
      </c>
      <c r="B5" s="237">
        <f>'Start Here'!B5:C5</f>
        <v>2018</v>
      </c>
      <c r="C5" s="318" t="str">
        <f>'Table A'!C5</f>
        <v>(Jan. 1 - Dec. 31)</v>
      </c>
      <c r="D5" s="78"/>
      <c r="E5" s="106"/>
      <c r="F5" s="106"/>
      <c r="G5" s="106"/>
      <c r="H5" s="106"/>
      <c r="I5" s="446" t="s">
        <v>1290</v>
      </c>
      <c r="J5" s="447"/>
      <c r="K5" s="447"/>
      <c r="L5" s="447"/>
      <c r="M5" s="448"/>
    </row>
    <row r="7" spans="1:21" ht="18" x14ac:dyDescent="0.25">
      <c r="A7" s="439" t="s">
        <v>13</v>
      </c>
      <c r="B7" s="439"/>
      <c r="C7" s="439"/>
      <c r="D7" s="439"/>
      <c r="E7" s="439"/>
      <c r="F7" s="439"/>
      <c r="G7" s="439"/>
      <c r="H7" s="439"/>
      <c r="I7" s="439"/>
      <c r="J7" s="439"/>
      <c r="K7" s="439"/>
      <c r="L7" s="439"/>
      <c r="M7" s="439"/>
      <c r="N7" s="439"/>
    </row>
    <row r="8" spans="1:21" ht="18" x14ac:dyDescent="0.25">
      <c r="A8" s="439" t="s">
        <v>83</v>
      </c>
      <c r="B8" s="439"/>
      <c r="C8" s="439"/>
      <c r="D8" s="439"/>
      <c r="E8" s="439"/>
      <c r="F8" s="439"/>
      <c r="G8" s="439"/>
      <c r="H8" s="439"/>
      <c r="I8" s="439"/>
      <c r="J8" s="439"/>
      <c r="K8" s="439"/>
      <c r="L8" s="439"/>
      <c r="M8" s="439"/>
      <c r="N8" s="439"/>
    </row>
    <row r="9" spans="1:21" ht="18" x14ac:dyDescent="0.25">
      <c r="A9" s="439" t="s">
        <v>14</v>
      </c>
      <c r="B9" s="439"/>
      <c r="C9" s="439"/>
      <c r="D9" s="439"/>
      <c r="E9" s="439"/>
      <c r="F9" s="439"/>
      <c r="G9" s="439"/>
      <c r="H9" s="439"/>
      <c r="I9" s="439"/>
      <c r="J9" s="439"/>
      <c r="K9" s="439"/>
      <c r="L9" s="439"/>
      <c r="M9" s="439"/>
      <c r="N9" s="439"/>
    </row>
    <row r="10" spans="1:21" x14ac:dyDescent="0.2">
      <c r="A10" s="107"/>
      <c r="B10" s="107"/>
      <c r="C10" s="204">
        <v>1</v>
      </c>
      <c r="D10" s="438">
        <v>2</v>
      </c>
      <c r="E10" s="438"/>
      <c r="F10" s="438"/>
      <c r="G10" s="438"/>
      <c r="H10" s="438"/>
      <c r="I10" s="438"/>
      <c r="J10" s="438"/>
      <c r="K10" s="438"/>
      <c r="L10" s="438"/>
      <c r="M10" s="204">
        <v>3</v>
      </c>
      <c r="N10" s="204">
        <v>4</v>
      </c>
    </row>
    <row r="11" spans="1:21" ht="58.5" customHeight="1" x14ac:dyDescent="0.2">
      <c r="A11" s="452" t="s">
        <v>15</v>
      </c>
      <c r="B11" s="452"/>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6" t="s">
        <v>16</v>
      </c>
      <c r="B12" s="201" t="s">
        <v>5</v>
      </c>
      <c r="C12" s="437">
        <f>VLOOKUP($B$4,'RHNA Allocations'!$C$2:$H$540,2,0)</f>
        <v>32</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42">
        <f>SUM(D12:L12)+SUM(D13:L13)</f>
        <v>34</v>
      </c>
      <c r="N12" s="440">
        <f>MAX(0,C12-M12)</f>
        <v>0</v>
      </c>
    </row>
    <row r="13" spans="1:21" x14ac:dyDescent="0.2">
      <c r="A13" s="436"/>
      <c r="B13" s="201" t="s">
        <v>20</v>
      </c>
      <c r="C13" s="437"/>
      <c r="D13" s="11">
        <f>IF(D$11=$B$5,'Table A2'!$R$12,IF(D$11&lt;$B$5,(VLOOKUP(CONCATENATE($B$4," ",D$11),'RHNA past year values'!$D$2:$V$2433,5,0)),0))</f>
        <v>16</v>
      </c>
      <c r="E13" s="11">
        <f>IF(E$11=$B$5,'Table A2'!$R$12,IF(E$11&lt;$B$5,(VLOOKUP(CONCATENATE($B$4," ",E$11),'RHNA past year values'!$D$2:$V$2433,5,0)),0))</f>
        <v>4</v>
      </c>
      <c r="F13" s="11">
        <f>IF(F$11=$B$5,'Table A2'!$R$12,IF(F$11&lt;$B$5,(VLOOKUP(CONCATENATE($B$4," ",F$11),'RHNA past year values'!$D$2:$V$2433,5,0)),0))</f>
        <v>8</v>
      </c>
      <c r="G13" s="11">
        <f>IF(G$11=$B$5,'Table A2'!$R$12,IF(G$11&lt;$B$5,(VLOOKUP(CONCATENATE($B$4," ",G$11),'RHNA past year values'!$D$2:$V$2433,5,0)),0))</f>
        <v>6</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41"/>
      <c r="N13" s="441"/>
    </row>
    <row r="14" spans="1:21" x14ac:dyDescent="0.2">
      <c r="A14" s="436" t="s">
        <v>17</v>
      </c>
      <c r="B14" s="201" t="s">
        <v>5</v>
      </c>
      <c r="C14" s="437">
        <f>VLOOKUP($B$4,'RHNA Allocations'!$C$2:$H$540,3,0)</f>
        <v>17</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42">
        <f>SUM(D14:L14)+SUM(D15:L15)</f>
        <v>17</v>
      </c>
      <c r="N14" s="440">
        <f>MAX(0,C14-M14)</f>
        <v>0</v>
      </c>
    </row>
    <row r="15" spans="1:21" x14ac:dyDescent="0.2">
      <c r="A15" s="436"/>
      <c r="B15" s="201" t="s">
        <v>20</v>
      </c>
      <c r="C15" s="437"/>
      <c r="D15" s="11">
        <f>IF(D$11=$B$5,'Table A2'!$T$12,IF(D$11&lt;$B$5,(VLOOKUP(CONCATENATE($B$4," ",D$11),'RHNA past year values'!$D$2:$V$2433,10,0)),0))</f>
        <v>8</v>
      </c>
      <c r="E15" s="11">
        <f>IF(E$11=$B$5,'Table A2'!$T$12,IF(E$11&lt;$B$5,(VLOOKUP(CONCATENATE($B$4," ",E$11),'RHNA past year values'!$D$2:$V$2433,10,0)),0))</f>
        <v>2</v>
      </c>
      <c r="F15" s="11">
        <f>IF(F$11=$B$5,'Table A2'!$T$12,IF(F$11&lt;$B$5,(VLOOKUP(CONCATENATE($B$4," ",F$11),'RHNA past year values'!$D$2:$V$2433,10,0)),0))</f>
        <v>3</v>
      </c>
      <c r="G15" s="11">
        <f>IF(G$11=$B$5,'Table A2'!$T$12,IF(G$11&lt;$B$5,(VLOOKUP(CONCATENATE($B$4," ",G$11),'RHNA past year values'!$D$2:$V$2433,10,0)),0))</f>
        <v>4</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41"/>
      <c r="N15" s="441"/>
    </row>
    <row r="16" spans="1:21" x14ac:dyDescent="0.2">
      <c r="A16" s="436" t="s">
        <v>18</v>
      </c>
      <c r="B16" s="201" t="s">
        <v>5</v>
      </c>
      <c r="C16" s="437">
        <f>VLOOKUP($B$4,'RHNA Allocations'!$C$2:$H$540,4,0)</f>
        <v>21</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42">
        <f>SUM(D16:L16)+SUM(D17:L17)</f>
        <v>19</v>
      </c>
      <c r="N16" s="440">
        <f>MAX(0,C16-M16)</f>
        <v>2</v>
      </c>
    </row>
    <row r="17" spans="1:14" x14ac:dyDescent="0.2">
      <c r="A17" s="436"/>
      <c r="B17" s="201" t="s">
        <v>20</v>
      </c>
      <c r="C17" s="437"/>
      <c r="D17" s="11">
        <f>IF(D$11=$B$5,'Table A2'!$V$12,IF(D$11&lt;$B$5,(VLOOKUP(CONCATENATE($B$4," ",D$11),'RHNA past year values'!$D$2:$V$2433,13,0)),0))</f>
        <v>10</v>
      </c>
      <c r="E17" s="11">
        <f>IF(E$11=$B$5,'Table A2'!$V$12,IF(E$11&lt;$B$5,(VLOOKUP(CONCATENATE($B$4," ",E$11),'RHNA past year values'!$D$2:$V$2433,13,0)),0))</f>
        <v>2</v>
      </c>
      <c r="F17" s="11">
        <f>IF(F$11=$B$5,'Table A2'!$V$12,IF(F$11&lt;$B$5,(VLOOKUP(CONCATENATE($B$4," ",F$11),'RHNA past year values'!$D$2:$V$2433,13,0)),0))</f>
        <v>4</v>
      </c>
      <c r="G17" s="11">
        <f>IF(G$11=$B$5,'Table A2'!$V$12,IF(G$11&lt;$B$5,(VLOOKUP(CONCATENATE($B$4," ",G$11),'RHNA past year values'!$D$2:$V$2433,13,0)),0))</f>
        <v>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41"/>
      <c r="N17" s="441"/>
    </row>
    <row r="18" spans="1:14" ht="15" thickBot="1" x14ac:dyDescent="0.25">
      <c r="A18" s="189" t="s">
        <v>19</v>
      </c>
      <c r="B18" s="190"/>
      <c r="C18" s="191">
        <f>VLOOKUP($B$4,'RHNA Allocations'!$C$2:$H$540,5,0)</f>
        <v>21</v>
      </c>
      <c r="D18" s="12">
        <f>IF(D$11=$B$5,'Table A2'!$W$12,IF(D$11&lt;$B$5,(VLOOKUP(CONCATENATE($B$4," ",D$11),'RHNA past year values'!$D$2:$V$2433,16,0)),0))</f>
        <v>5</v>
      </c>
      <c r="E18" s="12">
        <f>IF(E$11=$B$5,'Table A2'!$W$12,IF(E$11&lt;$B$5,(VLOOKUP(CONCATENATE($B$4," ",E$11),'RHNA past year values'!$D$2:$V$2433,16,0)),0))</f>
        <v>2</v>
      </c>
      <c r="F18" s="12">
        <f>IF(F$11=$B$5,'Table A2'!$W$12,IF(F$11&lt;$B$5,(VLOOKUP(CONCATENATE($B$4," ",F$11),'RHNA past year values'!$D$2:$V$2433,16,0)),0))</f>
        <v>3</v>
      </c>
      <c r="G18" s="12">
        <f>IF(G$11=$B$5,'Table A2'!$W$12,IF(G$11&lt;$B$5,(VLOOKUP(CONCATENATE($B$4," ",G$11),'RHNA past year values'!$D$2:$V$2433,16,0)),0))</f>
        <v>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13</v>
      </c>
      <c r="N18" s="193">
        <f>MAX(0,C18-M18)</f>
        <v>8</v>
      </c>
    </row>
    <row r="19" spans="1:14" ht="15" thickTop="1" x14ac:dyDescent="0.2">
      <c r="A19" s="449" t="s">
        <v>79</v>
      </c>
      <c r="B19" s="450"/>
      <c r="C19" s="194">
        <f>SUM(C12:C18)</f>
        <v>91</v>
      </c>
      <c r="D19" s="195"/>
      <c r="E19" s="195"/>
      <c r="F19" s="195"/>
      <c r="G19" s="195"/>
      <c r="H19" s="195"/>
      <c r="I19" s="195"/>
      <c r="J19" s="195"/>
      <c r="K19" s="195"/>
      <c r="L19" s="195"/>
      <c r="M19" s="195"/>
      <c r="N19" s="196"/>
    </row>
    <row r="20" spans="1:14" x14ac:dyDescent="0.2">
      <c r="A20" s="451" t="s">
        <v>1375</v>
      </c>
      <c r="B20" s="451"/>
      <c r="C20" s="451"/>
      <c r="D20" s="197">
        <f t="shared" ref="D20:N20" si="0">SUM(D12:D18)</f>
        <v>39</v>
      </c>
      <c r="E20" s="197">
        <f t="shared" si="0"/>
        <v>10</v>
      </c>
      <c r="F20" s="197">
        <f t="shared" si="0"/>
        <v>18</v>
      </c>
      <c r="G20" s="197">
        <f t="shared" si="0"/>
        <v>16</v>
      </c>
      <c r="H20" s="197">
        <f t="shared" si="0"/>
        <v>0</v>
      </c>
      <c r="I20" s="197">
        <f t="shared" si="0"/>
        <v>0</v>
      </c>
      <c r="J20" s="197">
        <f t="shared" si="0"/>
        <v>0</v>
      </c>
      <c r="K20" s="197">
        <f t="shared" si="0"/>
        <v>0</v>
      </c>
      <c r="L20" s="197">
        <f t="shared" si="0"/>
        <v>0</v>
      </c>
      <c r="M20" s="197">
        <f t="shared" si="0"/>
        <v>83</v>
      </c>
      <c r="N20" s="197">
        <f t="shared" si="0"/>
        <v>10</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48" activePane="bottomLeft" state="frozen"/>
      <selection pane="bottomLeft" activeCell="B65" sqref="B6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4" t="s">
        <v>8</v>
      </c>
      <c r="B1" s="434"/>
      <c r="C1" s="434"/>
      <c r="D1" s="434"/>
      <c r="E1" s="434"/>
      <c r="F1" s="434"/>
      <c r="G1" s="434"/>
      <c r="H1" s="434"/>
      <c r="I1" s="434"/>
      <c r="J1" s="434"/>
      <c r="K1" s="434"/>
      <c r="L1" s="434"/>
      <c r="M1" s="434"/>
      <c r="N1" s="434"/>
      <c r="O1" s="434"/>
      <c r="P1" s="434"/>
      <c r="Q1" s="434"/>
      <c r="R1" s="74"/>
      <c r="S1" s="74"/>
      <c r="T1" s="74"/>
      <c r="U1" s="74"/>
      <c r="V1" s="74"/>
      <c r="W1" s="74"/>
      <c r="X1" s="74"/>
      <c r="Y1" s="74"/>
    </row>
    <row r="2" spans="1:25" s="255" customFormat="1" ht="20.25" customHeight="1" x14ac:dyDescent="0.3">
      <c r="A2" s="435" t="s">
        <v>9</v>
      </c>
      <c r="B2" s="435"/>
      <c r="C2" s="435"/>
      <c r="D2" s="435"/>
      <c r="E2" s="435"/>
      <c r="F2" s="435"/>
      <c r="G2" s="435"/>
      <c r="H2" s="435"/>
      <c r="I2" s="435"/>
      <c r="J2" s="435"/>
      <c r="K2" s="435"/>
      <c r="L2" s="435"/>
      <c r="M2" s="435"/>
      <c r="N2" s="435"/>
      <c r="O2" s="435"/>
      <c r="P2" s="435"/>
      <c r="Q2" s="435"/>
      <c r="R2" s="75"/>
      <c r="S2" s="75"/>
      <c r="T2" s="75"/>
      <c r="U2" s="75"/>
      <c r="V2" s="75"/>
      <c r="W2" s="75"/>
      <c r="X2" s="75"/>
      <c r="Y2" s="75"/>
    </row>
    <row r="3" spans="1:25" s="255" customFormat="1" ht="15.75" customHeight="1" x14ac:dyDescent="0.2">
      <c r="A3" s="430" t="s">
        <v>1376</v>
      </c>
      <c r="B3" s="430"/>
      <c r="C3" s="430"/>
      <c r="D3" s="430"/>
      <c r="E3" s="430"/>
      <c r="F3" s="430"/>
      <c r="G3" s="430"/>
      <c r="H3" s="430"/>
      <c r="I3" s="430"/>
      <c r="J3" s="430"/>
      <c r="K3" s="430"/>
      <c r="L3" s="430"/>
      <c r="M3" s="430"/>
      <c r="N3" s="430"/>
      <c r="O3" s="430"/>
      <c r="P3" s="430"/>
      <c r="Q3" s="430"/>
      <c r="R3" s="76"/>
      <c r="S3" s="76"/>
      <c r="T3" s="76"/>
      <c r="U3" s="76"/>
      <c r="V3" s="76"/>
      <c r="W3" s="76"/>
      <c r="X3" s="76"/>
      <c r="Y3" s="76"/>
    </row>
    <row r="4" spans="1:25" s="79" customFormat="1" ht="25.5" customHeight="1" x14ac:dyDescent="0.2">
      <c r="A4" s="316" t="s">
        <v>10</v>
      </c>
      <c r="B4" s="238" t="str">
        <f>'Start Here'!B4:D4</f>
        <v>Hillsborough</v>
      </c>
      <c r="C4" s="317"/>
      <c r="D4" s="78"/>
      <c r="E4" s="78"/>
      <c r="I4" s="78"/>
      <c r="J4" s="78"/>
      <c r="K4" s="423" t="s">
        <v>1374</v>
      </c>
      <c r="L4" s="424"/>
      <c r="M4" s="424"/>
      <c r="N4" s="425"/>
    </row>
    <row r="5" spans="1:25" s="79" customFormat="1" ht="25.5" customHeight="1" x14ac:dyDescent="0.2">
      <c r="A5" s="316" t="s">
        <v>36</v>
      </c>
      <c r="B5" s="237">
        <f>'Start Here'!B5</f>
        <v>2018</v>
      </c>
      <c r="C5" s="318" t="str">
        <f>'Table A2'!C5</f>
        <v>(Jan. 1 - Dec. 31)</v>
      </c>
      <c r="D5" s="80"/>
      <c r="E5" s="80"/>
      <c r="I5" s="78"/>
      <c r="J5" s="78"/>
      <c r="K5" s="426" t="s">
        <v>106</v>
      </c>
      <c r="L5" s="427"/>
      <c r="M5" s="427"/>
      <c r="N5" s="428"/>
    </row>
    <row r="6" spans="1:25" s="79" customFormat="1" ht="20.25" customHeight="1" x14ac:dyDescent="0.35">
      <c r="A6" s="77"/>
      <c r="B6" s="281"/>
      <c r="C6" s="80"/>
      <c r="D6" s="80"/>
      <c r="E6" s="80"/>
      <c r="I6" s="94"/>
      <c r="J6" s="94"/>
      <c r="K6" s="94"/>
      <c r="L6" s="94"/>
      <c r="M6" s="94"/>
      <c r="N6" s="94"/>
    </row>
    <row r="8" spans="1:25" s="241" customFormat="1" ht="15.75" x14ac:dyDescent="0.25">
      <c r="A8" s="464" t="s">
        <v>21</v>
      </c>
      <c r="B8" s="464"/>
      <c r="C8" s="464"/>
      <c r="D8" s="464"/>
      <c r="E8" s="464"/>
      <c r="F8" s="464"/>
      <c r="G8" s="464"/>
      <c r="H8" s="464"/>
      <c r="I8" s="464"/>
      <c r="J8" s="464"/>
      <c r="K8" s="464"/>
      <c r="L8" s="464"/>
      <c r="M8" s="464"/>
      <c r="N8" s="464"/>
      <c r="O8" s="464"/>
      <c r="P8" s="464"/>
      <c r="Q8" s="464"/>
      <c r="R8" s="465"/>
    </row>
    <row r="9" spans="1:25" s="241" customFormat="1" ht="15.75" x14ac:dyDescent="0.25">
      <c r="A9" s="461" t="s">
        <v>49</v>
      </c>
      <c r="B9" s="462"/>
      <c r="C9" s="462"/>
      <c r="D9" s="462"/>
      <c r="E9" s="462"/>
      <c r="F9" s="462"/>
      <c r="G9" s="462"/>
      <c r="H9" s="462"/>
      <c r="I9" s="462"/>
      <c r="J9" s="462"/>
      <c r="K9" s="462"/>
      <c r="L9" s="462"/>
      <c r="M9" s="462"/>
      <c r="N9" s="462"/>
      <c r="O9" s="462"/>
      <c r="P9" s="462"/>
      <c r="Q9" s="462"/>
      <c r="R9" s="463"/>
    </row>
    <row r="10" spans="1:25" s="282" customFormat="1" ht="39.75" customHeight="1" x14ac:dyDescent="0.25">
      <c r="A10" s="407" t="s">
        <v>43</v>
      </c>
      <c r="B10" s="458"/>
      <c r="C10" s="458"/>
      <c r="D10" s="458"/>
      <c r="E10" s="199" t="s">
        <v>53</v>
      </c>
      <c r="F10" s="407" t="s">
        <v>50</v>
      </c>
      <c r="G10" s="458"/>
      <c r="H10" s="458"/>
      <c r="I10" s="458"/>
      <c r="J10" s="199" t="s">
        <v>116</v>
      </c>
      <c r="K10" s="407" t="s">
        <v>117</v>
      </c>
      <c r="L10" s="459"/>
      <c r="M10" s="459"/>
      <c r="N10" s="459"/>
      <c r="O10" s="459"/>
      <c r="P10" s="459"/>
      <c r="Q10" s="459"/>
      <c r="R10" s="459"/>
    </row>
    <row r="11" spans="1:25" s="97" customFormat="1" x14ac:dyDescent="0.2">
      <c r="A11" s="455">
        <v>1</v>
      </c>
      <c r="B11" s="460"/>
      <c r="C11" s="460"/>
      <c r="D11" s="457"/>
      <c r="E11" s="205">
        <v>2</v>
      </c>
      <c r="F11" s="455">
        <v>3</v>
      </c>
      <c r="G11" s="456"/>
      <c r="H11" s="456"/>
      <c r="I11" s="457"/>
      <c r="J11" s="92">
        <v>4</v>
      </c>
      <c r="K11" s="204">
        <v>5</v>
      </c>
      <c r="L11" s="204">
        <v>6</v>
      </c>
      <c r="M11" s="204">
        <v>7</v>
      </c>
      <c r="N11" s="438">
        <v>8</v>
      </c>
      <c r="O11" s="438"/>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53" t="s">
        <v>136</v>
      </c>
      <c r="B13" s="454"/>
      <c r="C13" s="454"/>
      <c r="D13" s="454"/>
      <c r="E13" s="454"/>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62" activePane="bottomLeft" state="frozen"/>
      <selection pane="bottomLeft" activeCell="D54" sqref="D5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9" t="s">
        <v>8</v>
      </c>
      <c r="B1" s="480"/>
      <c r="C1" s="480"/>
      <c r="D1" s="480"/>
      <c r="E1" s="207"/>
      <c r="F1" s="207"/>
      <c r="G1" s="3"/>
      <c r="H1" s="3"/>
      <c r="I1" s="3"/>
      <c r="J1" s="3"/>
      <c r="K1" s="3"/>
      <c r="L1" s="3"/>
      <c r="M1" s="3"/>
      <c r="N1" s="3"/>
      <c r="O1" s="3"/>
      <c r="P1" s="3"/>
      <c r="Q1" s="3"/>
      <c r="R1" s="3"/>
      <c r="S1" s="3"/>
      <c r="T1" s="3"/>
      <c r="U1" s="3"/>
      <c r="V1" s="3"/>
    </row>
    <row r="2" spans="1:22" s="278" customFormat="1" ht="20.25" customHeight="1" x14ac:dyDescent="0.3">
      <c r="A2" s="481" t="s">
        <v>9</v>
      </c>
      <c r="B2" s="480"/>
      <c r="C2" s="480"/>
      <c r="D2" s="480"/>
      <c r="E2" s="208"/>
      <c r="F2" s="208"/>
      <c r="G2" s="4"/>
      <c r="H2" s="4"/>
      <c r="I2" s="4"/>
      <c r="J2" s="4"/>
      <c r="K2" s="4"/>
      <c r="L2" s="4"/>
      <c r="M2" s="4"/>
      <c r="N2" s="4"/>
      <c r="O2" s="4"/>
      <c r="P2" s="4"/>
      <c r="Q2" s="4"/>
      <c r="R2" s="4"/>
      <c r="S2" s="4"/>
      <c r="T2" s="4"/>
      <c r="U2" s="4"/>
      <c r="V2" s="4"/>
    </row>
    <row r="3" spans="1:22" s="278" customFormat="1" ht="15.75" customHeight="1" x14ac:dyDescent="0.2">
      <c r="A3" s="482" t="s">
        <v>1376</v>
      </c>
      <c r="B3" s="480"/>
      <c r="C3" s="480"/>
      <c r="D3" s="480"/>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Hillsborough</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8" t="s">
        <v>26</v>
      </c>
      <c r="B7" s="478"/>
      <c r="C7" s="478"/>
      <c r="D7" s="478"/>
    </row>
    <row r="8" spans="1:22" ht="15.75" x14ac:dyDescent="0.2">
      <c r="A8" s="478" t="s">
        <v>41</v>
      </c>
      <c r="B8" s="478"/>
      <c r="C8" s="478"/>
      <c r="D8" s="478"/>
    </row>
    <row r="9" spans="1:22" s="17" customFormat="1" ht="52.5" customHeight="1" x14ac:dyDescent="0.2">
      <c r="A9" s="475" t="s">
        <v>42</v>
      </c>
      <c r="B9" s="476"/>
      <c r="C9" s="476"/>
      <c r="D9" s="477"/>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12.75" x14ac:dyDescent="0.25">
      <c r="A12" s="275" t="s">
        <v>1504</v>
      </c>
      <c r="B12" s="275"/>
      <c r="C12" s="275"/>
      <c r="D12" s="275"/>
    </row>
    <row r="13" spans="1:22" s="292" customFormat="1" ht="15" thickBot="1" x14ac:dyDescent="0.3">
      <c r="A13" s="374" t="s">
        <v>1538</v>
      </c>
      <c r="B13" s="275"/>
      <c r="C13" s="275"/>
      <c r="D13" s="275"/>
    </row>
    <row r="14" spans="1:22" s="292" customFormat="1" ht="26.25" thickBot="1" x14ac:dyDescent="0.3">
      <c r="A14" s="370" t="s">
        <v>1517</v>
      </c>
      <c r="B14" s="371" t="s">
        <v>1518</v>
      </c>
      <c r="C14" s="371" t="s">
        <v>1519</v>
      </c>
      <c r="D14" s="371" t="s">
        <v>1520</v>
      </c>
    </row>
    <row r="15" spans="1:22" s="292" customFormat="1" ht="39" thickBot="1" x14ac:dyDescent="0.3">
      <c r="A15" s="370" t="s">
        <v>1521</v>
      </c>
      <c r="B15" s="371" t="s">
        <v>1522</v>
      </c>
      <c r="C15" s="371" t="s">
        <v>1519</v>
      </c>
      <c r="D15" s="371" t="s">
        <v>1608</v>
      </c>
    </row>
    <row r="16" spans="1:22" s="292" customFormat="1" ht="26.25" thickBot="1" x14ac:dyDescent="0.3">
      <c r="A16" s="372" t="s">
        <v>1523</v>
      </c>
      <c r="B16" s="373" t="s">
        <v>1524</v>
      </c>
      <c r="C16" s="373" t="s">
        <v>1525</v>
      </c>
      <c r="D16" s="373" t="s">
        <v>1598</v>
      </c>
    </row>
    <row r="17" spans="1:4" s="292" customFormat="1" ht="39" thickBot="1" x14ac:dyDescent="0.3">
      <c r="A17" s="372" t="s">
        <v>1526</v>
      </c>
      <c r="B17" s="373" t="s">
        <v>1527</v>
      </c>
      <c r="C17" s="373" t="s">
        <v>1519</v>
      </c>
      <c r="D17" s="373" t="s">
        <v>1598</v>
      </c>
    </row>
    <row r="18" spans="1:4" s="292" customFormat="1" ht="26.25" thickBot="1" x14ac:dyDescent="0.3">
      <c r="A18" s="372" t="s">
        <v>1528</v>
      </c>
      <c r="B18" s="373" t="s">
        <v>1529</v>
      </c>
      <c r="C18" s="373" t="s">
        <v>1530</v>
      </c>
      <c r="D18" s="373" t="s">
        <v>1531</v>
      </c>
    </row>
    <row r="19" spans="1:4" s="292" customFormat="1" ht="39" thickBot="1" x14ac:dyDescent="0.3">
      <c r="A19" s="372" t="s">
        <v>1532</v>
      </c>
      <c r="B19" s="373" t="s">
        <v>1533</v>
      </c>
      <c r="C19" s="373" t="s">
        <v>1519</v>
      </c>
      <c r="D19" s="373" t="s">
        <v>1520</v>
      </c>
    </row>
    <row r="20" spans="1:4" s="292" customFormat="1" ht="12.75" x14ac:dyDescent="0.25">
      <c r="A20" s="275"/>
      <c r="B20" s="275"/>
      <c r="C20" s="275"/>
      <c r="D20" s="328"/>
    </row>
    <row r="21" spans="1:4" s="292" customFormat="1" ht="15" thickBot="1" x14ac:dyDescent="0.25">
      <c r="A21" s="374" t="s">
        <v>1534</v>
      </c>
      <c r="B21" s="81"/>
      <c r="C21" s="81"/>
      <c r="D21" s="81"/>
    </row>
    <row r="22" spans="1:4" s="292" customFormat="1" ht="13.5" thickBot="1" x14ac:dyDescent="0.3">
      <c r="A22" s="370" t="s">
        <v>1535</v>
      </c>
      <c r="B22" s="371" t="s">
        <v>1536</v>
      </c>
      <c r="C22" s="371" t="s">
        <v>1537</v>
      </c>
      <c r="D22" s="371" t="s">
        <v>1520</v>
      </c>
    </row>
    <row r="23" spans="1:4" s="292" customFormat="1" ht="12.75" x14ac:dyDescent="0.25">
      <c r="A23" s="275"/>
      <c r="B23" s="275"/>
      <c r="C23" s="275"/>
      <c r="D23" s="275"/>
    </row>
    <row r="24" spans="1:4" s="292" customFormat="1" ht="15" thickBot="1" x14ac:dyDescent="0.25">
      <c r="A24" s="374" t="s">
        <v>1539</v>
      </c>
      <c r="B24" s="81"/>
      <c r="C24" s="81"/>
      <c r="D24" s="81"/>
    </row>
    <row r="25" spans="1:4" s="292" customFormat="1" ht="26.25" thickBot="1" x14ac:dyDescent="0.3">
      <c r="A25" s="370" t="s">
        <v>1540</v>
      </c>
      <c r="B25" s="371" t="s">
        <v>1541</v>
      </c>
      <c r="C25" s="371" t="s">
        <v>1542</v>
      </c>
      <c r="D25" s="371" t="s">
        <v>1599</v>
      </c>
    </row>
    <row r="26" spans="1:4" s="292" customFormat="1" ht="39" thickBot="1" x14ac:dyDescent="0.3">
      <c r="A26" s="372" t="s">
        <v>1543</v>
      </c>
      <c r="B26" s="373" t="s">
        <v>1544</v>
      </c>
      <c r="C26" s="373" t="s">
        <v>1542</v>
      </c>
      <c r="D26" s="373" t="s">
        <v>1609</v>
      </c>
    </row>
    <row r="27" spans="1:4" s="292" customFormat="1" ht="26.25" thickBot="1" x14ac:dyDescent="0.3">
      <c r="A27" s="372" t="s">
        <v>1545</v>
      </c>
      <c r="B27" s="373" t="s">
        <v>1546</v>
      </c>
      <c r="C27" s="373" t="s">
        <v>1542</v>
      </c>
      <c r="D27" s="373" t="s">
        <v>1600</v>
      </c>
    </row>
    <row r="28" spans="1:4" s="292" customFormat="1" ht="15.75" x14ac:dyDescent="0.2">
      <c r="A28" s="375"/>
      <c r="B28" s="81"/>
      <c r="C28" s="81"/>
      <c r="D28" s="81"/>
    </row>
    <row r="29" spans="1:4" s="292" customFormat="1" ht="15" thickBot="1" x14ac:dyDescent="0.25">
      <c r="A29" s="374" t="s">
        <v>1547</v>
      </c>
      <c r="B29" s="81"/>
      <c r="C29" s="81"/>
      <c r="D29" s="81"/>
    </row>
    <row r="30" spans="1:4" s="292" customFormat="1" ht="13.5" thickBot="1" x14ac:dyDescent="0.3">
      <c r="A30" s="370" t="s">
        <v>1548</v>
      </c>
      <c r="B30" s="371" t="s">
        <v>1549</v>
      </c>
      <c r="C30" s="371" t="s">
        <v>1537</v>
      </c>
      <c r="D30" s="371" t="s">
        <v>1550</v>
      </c>
    </row>
    <row r="31" spans="1:4" s="292" customFormat="1" ht="12.75" x14ac:dyDescent="0.25">
      <c r="A31" s="275"/>
      <c r="B31" s="275"/>
      <c r="C31" s="275"/>
      <c r="D31" s="275"/>
    </row>
    <row r="32" spans="1:4" s="292" customFormat="1" ht="15" thickBot="1" x14ac:dyDescent="0.25">
      <c r="A32" s="374" t="s">
        <v>1551</v>
      </c>
      <c r="B32" s="81"/>
      <c r="C32" s="81"/>
      <c r="D32" s="81"/>
    </row>
    <row r="33" spans="1:4" s="292" customFormat="1" ht="26.25" thickBot="1" x14ac:dyDescent="0.3">
      <c r="A33" s="370" t="s">
        <v>1552</v>
      </c>
      <c r="B33" s="371" t="s">
        <v>1553</v>
      </c>
      <c r="C33" s="371" t="s">
        <v>1554</v>
      </c>
      <c r="D33" s="371" t="s">
        <v>1601</v>
      </c>
    </row>
    <row r="34" spans="1:4" s="292" customFormat="1" ht="12.75" x14ac:dyDescent="0.25">
      <c r="A34" s="275"/>
      <c r="B34" s="275"/>
      <c r="C34" s="275"/>
      <c r="D34" s="275"/>
    </row>
    <row r="35" spans="1:4" s="292" customFormat="1" ht="15" thickBot="1" x14ac:dyDescent="0.25">
      <c r="A35" s="374" t="s">
        <v>1555</v>
      </c>
      <c r="B35" s="81"/>
      <c r="C35" s="81"/>
      <c r="D35" s="81"/>
    </row>
    <row r="36" spans="1:4" s="292" customFormat="1" ht="26.25" thickBot="1" x14ac:dyDescent="0.3">
      <c r="A36" s="370" t="s">
        <v>1556</v>
      </c>
      <c r="B36" s="371" t="s">
        <v>1557</v>
      </c>
      <c r="C36" s="371" t="s">
        <v>1519</v>
      </c>
      <c r="D36" s="371" t="s">
        <v>1602</v>
      </c>
    </row>
    <row r="37" spans="1:4" s="292" customFormat="1" ht="12.75" x14ac:dyDescent="0.25">
      <c r="A37" s="275"/>
      <c r="B37" s="275"/>
      <c r="C37" s="275"/>
      <c r="D37" s="275"/>
    </row>
    <row r="38" spans="1:4" s="292" customFormat="1" ht="15" thickBot="1" x14ac:dyDescent="0.25">
      <c r="A38" s="374" t="s">
        <v>1558</v>
      </c>
      <c r="B38" s="81"/>
      <c r="C38" s="81"/>
      <c r="D38" s="81"/>
    </row>
    <row r="39" spans="1:4" s="292" customFormat="1" ht="26.25" thickBot="1" x14ac:dyDescent="0.3">
      <c r="A39" s="370" t="s">
        <v>1559</v>
      </c>
      <c r="B39" s="371" t="s">
        <v>1560</v>
      </c>
      <c r="C39" s="371" t="s">
        <v>1554</v>
      </c>
      <c r="D39" s="371" t="s">
        <v>1520</v>
      </c>
    </row>
    <row r="40" spans="1:4" s="292" customFormat="1" ht="26.25" thickBot="1" x14ac:dyDescent="0.3">
      <c r="A40" s="372" t="s">
        <v>1561</v>
      </c>
      <c r="B40" s="373" t="s">
        <v>1562</v>
      </c>
      <c r="C40" s="373" t="s">
        <v>1519</v>
      </c>
      <c r="D40" s="373" t="s">
        <v>1520</v>
      </c>
    </row>
    <row r="41" spans="1:4" s="292" customFormat="1" ht="39" thickBot="1" x14ac:dyDescent="0.3">
      <c r="A41" s="372" t="s">
        <v>1563</v>
      </c>
      <c r="B41" s="373" t="s">
        <v>1564</v>
      </c>
      <c r="C41" s="373" t="s">
        <v>1537</v>
      </c>
      <c r="D41" s="373" t="s">
        <v>1520</v>
      </c>
    </row>
    <row r="42" spans="1:4" s="292" customFormat="1" ht="26.25" thickBot="1" x14ac:dyDescent="0.3">
      <c r="A42" s="372" t="s">
        <v>1565</v>
      </c>
      <c r="B42" s="373" t="s">
        <v>1566</v>
      </c>
      <c r="C42" s="373" t="s">
        <v>1519</v>
      </c>
      <c r="D42" s="373" t="s">
        <v>1603</v>
      </c>
    </row>
    <row r="43" spans="1:4" s="292" customFormat="1" ht="26.25" thickBot="1" x14ac:dyDescent="0.3">
      <c r="A43" s="372" t="s">
        <v>1567</v>
      </c>
      <c r="B43" s="373" t="s">
        <v>1568</v>
      </c>
      <c r="C43" s="373" t="s">
        <v>1569</v>
      </c>
      <c r="D43" s="373" t="s">
        <v>1604</v>
      </c>
    </row>
    <row r="44" spans="1:4" s="292" customFormat="1" ht="12.75" x14ac:dyDescent="0.25">
      <c r="A44" s="275"/>
      <c r="B44" s="275"/>
      <c r="C44" s="275"/>
      <c r="D44" s="275"/>
    </row>
    <row r="45" spans="1:4" s="292" customFormat="1" ht="15" thickBot="1" x14ac:dyDescent="0.25">
      <c r="A45" s="374" t="s">
        <v>1570</v>
      </c>
      <c r="B45" s="81"/>
      <c r="C45" s="81"/>
      <c r="D45" s="81"/>
    </row>
    <row r="46" spans="1:4" s="292" customFormat="1" ht="13.5" thickBot="1" x14ac:dyDescent="0.3">
      <c r="A46" s="370" t="s">
        <v>1571</v>
      </c>
      <c r="B46" s="371" t="s">
        <v>1572</v>
      </c>
      <c r="C46" s="371" t="s">
        <v>1519</v>
      </c>
      <c r="D46" s="371" t="s">
        <v>1520</v>
      </c>
    </row>
    <row r="47" spans="1:4" s="292" customFormat="1" ht="13.5" thickBot="1" x14ac:dyDescent="0.3">
      <c r="A47" s="372" t="s">
        <v>1573</v>
      </c>
      <c r="B47" s="373" t="s">
        <v>1574</v>
      </c>
      <c r="C47" s="373" t="s">
        <v>1519</v>
      </c>
      <c r="D47" s="373" t="s">
        <v>1605</v>
      </c>
    </row>
    <row r="48" spans="1:4" s="292" customFormat="1" ht="12.75" x14ac:dyDescent="0.25">
      <c r="A48" s="275"/>
      <c r="B48" s="275"/>
      <c r="C48" s="275"/>
      <c r="D48" s="275"/>
    </row>
    <row r="49" spans="1:4" s="292" customFormat="1" ht="15" thickBot="1" x14ac:dyDescent="0.25">
      <c r="A49" s="374" t="s">
        <v>1575</v>
      </c>
      <c r="B49" s="81"/>
      <c r="C49" s="81"/>
      <c r="D49" s="81"/>
    </row>
    <row r="50" spans="1:4" s="292" customFormat="1" ht="26.25" thickBot="1" x14ac:dyDescent="0.3">
      <c r="A50" s="370" t="s">
        <v>1576</v>
      </c>
      <c r="B50" s="371" t="s">
        <v>1577</v>
      </c>
      <c r="C50" s="371" t="s">
        <v>1537</v>
      </c>
      <c r="D50" s="371" t="s">
        <v>1520</v>
      </c>
    </row>
    <row r="51" spans="1:4" s="292" customFormat="1" ht="64.5" thickBot="1" x14ac:dyDescent="0.3">
      <c r="A51" s="372" t="s">
        <v>1578</v>
      </c>
      <c r="B51" s="373" t="s">
        <v>1579</v>
      </c>
      <c r="C51" s="373" t="s">
        <v>1537</v>
      </c>
      <c r="D51" s="373" t="s">
        <v>1606</v>
      </c>
    </row>
    <row r="52" spans="1:4" s="292" customFormat="1" ht="39" thickBot="1" x14ac:dyDescent="0.3">
      <c r="A52" s="372" t="s">
        <v>1580</v>
      </c>
      <c r="B52" s="373" t="s">
        <v>1581</v>
      </c>
      <c r="C52" s="373" t="s">
        <v>1537</v>
      </c>
      <c r="D52" s="373" t="s">
        <v>1520</v>
      </c>
    </row>
    <row r="53" spans="1:4" s="292" customFormat="1" ht="26.25" thickBot="1" x14ac:dyDescent="0.3">
      <c r="A53" s="372" t="s">
        <v>1582</v>
      </c>
      <c r="B53" s="373" t="s">
        <v>1583</v>
      </c>
      <c r="C53" s="373" t="s">
        <v>1584</v>
      </c>
      <c r="D53" s="373" t="s">
        <v>1520</v>
      </c>
    </row>
    <row r="54" spans="1:4" s="292" customFormat="1" ht="39" thickBot="1" x14ac:dyDescent="0.3">
      <c r="A54" s="372" t="s">
        <v>1585</v>
      </c>
      <c r="B54" s="373" t="s">
        <v>1586</v>
      </c>
      <c r="C54" s="373" t="s">
        <v>1587</v>
      </c>
      <c r="D54" s="373" t="s">
        <v>1607</v>
      </c>
    </row>
    <row r="55" spans="1:4" s="292" customFormat="1" ht="13.5" thickBot="1" x14ac:dyDescent="0.3">
      <c r="A55" s="372" t="s">
        <v>1588</v>
      </c>
      <c r="B55" s="373" t="s">
        <v>1589</v>
      </c>
      <c r="C55" s="373" t="s">
        <v>1537</v>
      </c>
      <c r="D55" s="373" t="s">
        <v>1520</v>
      </c>
    </row>
    <row r="56" spans="1:4" s="292" customFormat="1" ht="12.75" x14ac:dyDescent="0.25">
      <c r="A56" s="275"/>
      <c r="B56" s="275"/>
      <c r="C56" s="275"/>
      <c r="D56" s="275"/>
    </row>
    <row r="57" spans="1:4" s="292" customFormat="1" ht="15" thickBot="1" x14ac:dyDescent="0.25">
      <c r="A57" s="374" t="s">
        <v>1590</v>
      </c>
      <c r="B57" s="81"/>
      <c r="C57" s="81"/>
      <c r="D57" s="81"/>
    </row>
    <row r="58" spans="1:4" s="292" customFormat="1" ht="39" thickBot="1" x14ac:dyDescent="0.3">
      <c r="A58" s="370" t="s">
        <v>1591</v>
      </c>
      <c r="B58" s="371" t="s">
        <v>1592</v>
      </c>
      <c r="C58" s="371" t="s">
        <v>1593</v>
      </c>
      <c r="D58" s="371" t="s">
        <v>1520</v>
      </c>
    </row>
    <row r="59" spans="1:4" s="292" customFormat="1" ht="26.25" thickBot="1" x14ac:dyDescent="0.3">
      <c r="A59" s="372" t="s">
        <v>1594</v>
      </c>
      <c r="B59" s="373" t="s">
        <v>1595</v>
      </c>
      <c r="C59" s="373" t="s">
        <v>1584</v>
      </c>
      <c r="D59" s="373" t="s">
        <v>1520</v>
      </c>
    </row>
    <row r="60" spans="1:4" s="292" customFormat="1" ht="39" thickBot="1" x14ac:dyDescent="0.3">
      <c r="A60" s="372" t="s">
        <v>1596</v>
      </c>
      <c r="B60" s="373" t="s">
        <v>1597</v>
      </c>
      <c r="C60" s="373" t="s">
        <v>1584</v>
      </c>
      <c r="D60" s="373" t="s">
        <v>1520</v>
      </c>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6"/>
      <c r="B121" s="467"/>
      <c r="C121" s="467"/>
      <c r="D121" s="468"/>
    </row>
    <row r="122" spans="1:4" s="17" customFormat="1" ht="12.75" x14ac:dyDescent="0.2">
      <c r="A122" s="469"/>
      <c r="B122" s="470"/>
      <c r="C122" s="470"/>
      <c r="D122" s="471"/>
    </row>
    <row r="123" spans="1:4" s="17" customFormat="1" ht="12.75" x14ac:dyDescent="0.2">
      <c r="A123" s="469"/>
      <c r="B123" s="470"/>
      <c r="C123" s="470"/>
      <c r="D123" s="471"/>
    </row>
    <row r="124" spans="1:4" s="17" customFormat="1" ht="12.75" x14ac:dyDescent="0.2">
      <c r="A124" s="469"/>
      <c r="B124" s="470"/>
      <c r="C124" s="470"/>
      <c r="D124" s="471"/>
    </row>
    <row r="125" spans="1:4" s="17" customFormat="1" ht="12.75" x14ac:dyDescent="0.2">
      <c r="A125" s="469"/>
      <c r="B125" s="470"/>
      <c r="C125" s="470"/>
      <c r="D125" s="471"/>
    </row>
    <row r="126" spans="1:4" s="17" customFormat="1" ht="12.75" x14ac:dyDescent="0.2">
      <c r="A126" s="469"/>
      <c r="B126" s="470"/>
      <c r="C126" s="470"/>
      <c r="D126" s="471"/>
    </row>
    <row r="127" spans="1:4" s="17" customFormat="1" ht="12.75" x14ac:dyDescent="0.2">
      <c r="A127" s="469"/>
      <c r="B127" s="470"/>
      <c r="C127" s="470"/>
      <c r="D127" s="471"/>
    </row>
    <row r="128" spans="1:4" s="17" customFormat="1" ht="12.75" x14ac:dyDescent="0.2">
      <c r="A128" s="472"/>
      <c r="B128" s="473"/>
      <c r="C128" s="473"/>
      <c r="D128" s="474"/>
    </row>
  </sheetData>
  <sheetProtection algorithmName="SHA-512" hashValue="cUTX9vuUv/AhavI3xu59EAu6GfGaJ1JfPcX+BN67fABmW1jvNDUZ/fz4QQukIqPVRSeF7dKvzEtT5qSctvJFLg==" saltValue="470u4LAIcRxiWqrydr7LSQ=="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2 C13 C20 C23 C31 C34 C37 C44 C48 C56 C61:C118"/>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4" t="s">
        <v>8</v>
      </c>
      <c r="B1" s="434"/>
      <c r="C1" s="434"/>
      <c r="D1" s="434"/>
      <c r="E1" s="434"/>
      <c r="F1" s="434"/>
      <c r="G1" s="434"/>
      <c r="H1" s="434"/>
      <c r="I1" s="434"/>
      <c r="J1" s="74"/>
      <c r="K1" s="74"/>
      <c r="L1" s="74"/>
      <c r="M1" s="74"/>
      <c r="N1" s="74"/>
      <c r="O1" s="74"/>
      <c r="P1" s="74"/>
      <c r="Q1" s="74"/>
      <c r="R1" s="74"/>
      <c r="S1" s="74"/>
      <c r="T1" s="74"/>
      <c r="U1" s="74"/>
      <c r="V1" s="74"/>
    </row>
    <row r="2" spans="1:22" s="255" customFormat="1" ht="20.25" customHeight="1" x14ac:dyDescent="0.3">
      <c r="A2" s="435" t="s">
        <v>9</v>
      </c>
      <c r="B2" s="435"/>
      <c r="C2" s="435"/>
      <c r="D2" s="435"/>
      <c r="E2" s="435"/>
      <c r="F2" s="435"/>
      <c r="G2" s="435"/>
      <c r="H2" s="435"/>
      <c r="I2" s="435"/>
      <c r="J2" s="75"/>
      <c r="K2" s="75"/>
      <c r="L2" s="75"/>
      <c r="M2" s="75"/>
      <c r="N2" s="75"/>
      <c r="O2" s="75"/>
      <c r="P2" s="75"/>
      <c r="Q2" s="75"/>
      <c r="R2" s="75"/>
      <c r="S2" s="75"/>
      <c r="T2" s="75"/>
      <c r="U2" s="75"/>
      <c r="V2" s="75"/>
    </row>
    <row r="3" spans="1:22" s="255" customFormat="1" ht="15.75" customHeight="1" x14ac:dyDescent="0.2">
      <c r="A3" s="430" t="s">
        <v>1376</v>
      </c>
      <c r="B3" s="430"/>
      <c r="C3" s="430"/>
      <c r="D3" s="430"/>
      <c r="E3" s="430"/>
      <c r="F3" s="430"/>
      <c r="G3" s="430"/>
      <c r="H3" s="430"/>
      <c r="I3" s="430"/>
      <c r="J3" s="76"/>
      <c r="K3" s="76"/>
      <c r="L3" s="76"/>
      <c r="M3" s="76"/>
      <c r="N3" s="76"/>
      <c r="O3" s="76"/>
      <c r="P3" s="76"/>
      <c r="Q3" s="76"/>
      <c r="R3" s="76"/>
      <c r="S3" s="76"/>
      <c r="T3" s="76"/>
      <c r="U3" s="76"/>
      <c r="V3" s="76"/>
    </row>
    <row r="4" spans="1:22" s="79" customFormat="1" ht="25.5" customHeight="1" x14ac:dyDescent="0.2">
      <c r="A4" s="316" t="s">
        <v>10</v>
      </c>
      <c r="B4" s="238" t="str">
        <f>'Start Here'!B4:D4</f>
        <v>Hillsborough</v>
      </c>
      <c r="C4" s="317"/>
      <c r="D4" s="78"/>
      <c r="E4" s="78"/>
      <c r="F4" s="78"/>
      <c r="G4" s="78"/>
      <c r="H4" s="423" t="s">
        <v>1374</v>
      </c>
      <c r="I4" s="424"/>
      <c r="J4" s="425"/>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7" t="s">
        <v>30</v>
      </c>
      <c r="B8" s="487"/>
      <c r="C8" s="487"/>
      <c r="D8" s="487"/>
      <c r="E8" s="487"/>
      <c r="F8" s="487"/>
      <c r="G8" s="487"/>
      <c r="H8" s="487"/>
      <c r="I8" s="487"/>
      <c r="J8" s="465"/>
    </row>
    <row r="9" spans="1:22" s="241" customFormat="1" ht="15.75" x14ac:dyDescent="0.2">
      <c r="A9" s="487" t="s">
        <v>37</v>
      </c>
      <c r="B9" s="487"/>
      <c r="C9" s="487"/>
      <c r="D9" s="487"/>
      <c r="E9" s="487"/>
      <c r="F9" s="487"/>
      <c r="G9" s="487"/>
      <c r="H9" s="487"/>
      <c r="I9" s="487"/>
      <c r="J9" s="465"/>
    </row>
    <row r="10" spans="1:22" s="241" customFormat="1" ht="45" customHeight="1" x14ac:dyDescent="0.2">
      <c r="A10" s="431" t="s">
        <v>43</v>
      </c>
      <c r="B10" s="488"/>
      <c r="C10" s="488"/>
      <c r="D10" s="489"/>
      <c r="E10" s="486" t="s">
        <v>31</v>
      </c>
      <c r="F10" s="486"/>
      <c r="G10" s="486"/>
      <c r="H10" s="486"/>
      <c r="I10" s="210" t="s">
        <v>32</v>
      </c>
      <c r="J10" s="210" t="s">
        <v>33</v>
      </c>
    </row>
    <row r="11" spans="1:22" s="241" customFormat="1" ht="14.25" customHeight="1" x14ac:dyDescent="0.2">
      <c r="A11" s="408">
        <v>1</v>
      </c>
      <c r="B11" s="409"/>
      <c r="C11" s="409"/>
      <c r="D11" s="411"/>
      <c r="E11" s="408">
        <v>2</v>
      </c>
      <c r="F11" s="410"/>
      <c r="G11" s="410"/>
      <c r="H11" s="411"/>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83" t="s">
        <v>136</v>
      </c>
      <c r="B13" s="484"/>
      <c r="C13" s="485"/>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9" t="s">
        <v>8</v>
      </c>
      <c r="B1" s="479"/>
      <c r="C1" s="479"/>
      <c r="D1" s="479"/>
      <c r="E1" s="479"/>
      <c r="F1" s="479"/>
      <c r="G1" s="479"/>
      <c r="H1" s="479"/>
      <c r="I1" s="479"/>
      <c r="J1" s="479"/>
      <c r="K1" s="3"/>
      <c r="L1" s="3"/>
      <c r="M1" s="3"/>
      <c r="N1" s="3"/>
      <c r="O1" s="3"/>
      <c r="P1" s="3"/>
      <c r="Q1" s="3"/>
      <c r="R1" s="3"/>
      <c r="S1" s="3"/>
      <c r="T1" s="3"/>
      <c r="U1" s="3"/>
    </row>
    <row r="2" spans="1:21" s="278" customFormat="1" ht="20.25" customHeight="1" x14ac:dyDescent="0.3">
      <c r="A2" s="481" t="s">
        <v>9</v>
      </c>
      <c r="B2" s="481"/>
      <c r="C2" s="481"/>
      <c r="D2" s="481"/>
      <c r="E2" s="481"/>
      <c r="F2" s="481"/>
      <c r="G2" s="481"/>
      <c r="H2" s="481"/>
      <c r="I2" s="481"/>
      <c r="J2" s="481"/>
      <c r="K2" s="4"/>
      <c r="L2" s="4"/>
      <c r="M2" s="4"/>
      <c r="N2" s="4"/>
      <c r="O2" s="4"/>
      <c r="P2" s="4"/>
      <c r="Q2" s="4"/>
      <c r="R2" s="4"/>
      <c r="S2" s="4"/>
      <c r="T2" s="4"/>
      <c r="U2" s="4"/>
    </row>
    <row r="3" spans="1:21" s="278" customFormat="1" ht="15.75" customHeight="1" x14ac:dyDescent="0.2">
      <c r="A3" s="482" t="s">
        <v>1376</v>
      </c>
      <c r="B3" s="482"/>
      <c r="C3" s="482"/>
      <c r="D3" s="482"/>
      <c r="E3" s="482"/>
      <c r="F3" s="482"/>
      <c r="G3" s="482"/>
      <c r="H3" s="482"/>
      <c r="I3" s="482"/>
      <c r="J3" s="482"/>
      <c r="K3" s="21"/>
      <c r="L3" s="21"/>
      <c r="M3" s="21"/>
      <c r="N3" s="21"/>
      <c r="O3" s="21"/>
      <c r="P3" s="21"/>
      <c r="Q3" s="21"/>
      <c r="R3" s="21"/>
      <c r="S3" s="21"/>
      <c r="T3" s="21"/>
      <c r="U3" s="21"/>
    </row>
    <row r="4" spans="1:21" s="2" customFormat="1" ht="16.5" customHeight="1" x14ac:dyDescent="0.2">
      <c r="A4" s="323" t="s">
        <v>10</v>
      </c>
      <c r="B4" s="238" t="str">
        <f>'Start Here'!B4:D4</f>
        <v>Hillsborough</v>
      </c>
      <c r="C4" s="321"/>
      <c r="D4" s="206"/>
      <c r="E4" s="206"/>
      <c r="F4" s="206"/>
      <c r="G4" s="206"/>
      <c r="H4" s="206"/>
      <c r="I4" s="423" t="s">
        <v>1374</v>
      </c>
      <c r="J4" s="425"/>
      <c r="K4" s="313"/>
      <c r="L4" s="313"/>
      <c r="M4" s="500"/>
      <c r="N4" s="500"/>
      <c r="O4" s="500"/>
      <c r="P4" s="500"/>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97" t="s">
        <v>40</v>
      </c>
      <c r="B8" s="498"/>
      <c r="C8" s="498"/>
      <c r="D8" s="498"/>
      <c r="E8" s="498"/>
      <c r="F8" s="498"/>
      <c r="G8" s="498"/>
      <c r="H8" s="498"/>
      <c r="I8" s="498"/>
      <c r="J8" s="499"/>
    </row>
    <row r="9" spans="1:21" ht="15.75" customHeight="1" x14ac:dyDescent="0.2">
      <c r="A9" s="497" t="s">
        <v>1361</v>
      </c>
      <c r="B9" s="498"/>
      <c r="C9" s="498"/>
      <c r="D9" s="498"/>
      <c r="E9" s="498"/>
      <c r="F9" s="498"/>
      <c r="G9" s="498"/>
      <c r="H9" s="498"/>
      <c r="I9" s="498"/>
      <c r="J9" s="499"/>
    </row>
    <row r="10" spans="1:21" ht="58.5" customHeight="1" x14ac:dyDescent="0.2">
      <c r="A10" s="490" t="s">
        <v>1362</v>
      </c>
      <c r="B10" s="491"/>
      <c r="C10" s="491"/>
      <c r="D10" s="491"/>
      <c r="E10" s="491"/>
      <c r="F10" s="491"/>
      <c r="G10" s="491"/>
      <c r="H10" s="491"/>
      <c r="I10" s="491"/>
      <c r="J10" s="492"/>
    </row>
    <row r="11" spans="1:21" ht="77.25" customHeight="1" x14ac:dyDescent="0.2">
      <c r="A11" s="493" t="s">
        <v>34</v>
      </c>
      <c r="B11" s="494" t="s">
        <v>1352</v>
      </c>
      <c r="C11" s="495"/>
      <c r="D11" s="495"/>
      <c r="E11" s="496"/>
      <c r="F11" s="493" t="s">
        <v>1357</v>
      </c>
      <c r="G11" s="493"/>
      <c r="H11" s="493"/>
      <c r="I11" s="493"/>
      <c r="J11" s="493" t="s">
        <v>1358</v>
      </c>
    </row>
    <row r="12" spans="1:21" ht="60" customHeight="1" x14ac:dyDescent="0.2">
      <c r="A12" s="493"/>
      <c r="B12" s="146" t="s">
        <v>1353</v>
      </c>
      <c r="C12" s="146" t="s">
        <v>1354</v>
      </c>
      <c r="D12" s="146" t="s">
        <v>1355</v>
      </c>
      <c r="E12" s="146" t="s">
        <v>1356</v>
      </c>
      <c r="F12" s="146" t="s">
        <v>1353</v>
      </c>
      <c r="G12" s="146" t="s">
        <v>1354</v>
      </c>
      <c r="H12" s="146" t="s">
        <v>1355</v>
      </c>
      <c r="I12" s="146" t="s">
        <v>1356</v>
      </c>
      <c r="J12" s="493"/>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D1" sqref="D1"/>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Hillsborough</v>
      </c>
      <c r="C3" s="325"/>
    </row>
    <row r="4" spans="1:3" ht="18" customHeight="1" x14ac:dyDescent="0.2">
      <c r="A4" s="326" t="s">
        <v>36</v>
      </c>
      <c r="B4" s="239">
        <f>'Start Here'!B5</f>
        <v>2018</v>
      </c>
      <c r="C4" s="327" t="s">
        <v>52</v>
      </c>
    </row>
    <row r="7" spans="1:3" ht="16.5" thickBot="1" x14ac:dyDescent="0.3">
      <c r="A7" s="501"/>
      <c r="B7" s="501"/>
      <c r="C7" s="501"/>
    </row>
    <row r="8" spans="1:3" ht="15" customHeight="1" x14ac:dyDescent="0.2">
      <c r="A8" s="509" t="s">
        <v>1380</v>
      </c>
      <c r="B8" s="510"/>
      <c r="C8" s="511"/>
    </row>
    <row r="9" spans="1:3" x14ac:dyDescent="0.2">
      <c r="A9" s="512" t="s">
        <v>15</v>
      </c>
      <c r="B9" s="513"/>
      <c r="C9" s="98" t="s">
        <v>60</v>
      </c>
    </row>
    <row r="10" spans="1:3" x14ac:dyDescent="0.2">
      <c r="A10" s="514" t="s">
        <v>16</v>
      </c>
      <c r="B10" s="242" t="s">
        <v>5</v>
      </c>
      <c r="C10" s="99">
        <f>'Table A2'!H12</f>
        <v>0</v>
      </c>
    </row>
    <row r="11" spans="1:3" ht="25.5" x14ac:dyDescent="0.2">
      <c r="A11" s="514"/>
      <c r="B11" s="242" t="s">
        <v>20</v>
      </c>
      <c r="C11" s="99">
        <f>'Table A2'!I12</f>
        <v>8</v>
      </c>
    </row>
    <row r="12" spans="1:3" x14ac:dyDescent="0.2">
      <c r="A12" s="514" t="s">
        <v>17</v>
      </c>
      <c r="B12" s="242" t="s">
        <v>5</v>
      </c>
      <c r="C12" s="99">
        <f>'Table A2'!J12</f>
        <v>0</v>
      </c>
    </row>
    <row r="13" spans="1:3" ht="25.5" x14ac:dyDescent="0.2">
      <c r="A13" s="514"/>
      <c r="B13" s="242" t="s">
        <v>20</v>
      </c>
      <c r="C13" s="99">
        <f>'Table A2'!K12</f>
        <v>4</v>
      </c>
    </row>
    <row r="14" spans="1:3" x14ac:dyDescent="0.2">
      <c r="A14" s="514" t="s">
        <v>18</v>
      </c>
      <c r="B14" s="242" t="s">
        <v>5</v>
      </c>
      <c r="C14" s="99">
        <f>'Table A2'!L12</f>
        <v>0</v>
      </c>
    </row>
    <row r="15" spans="1:3" ht="25.5" x14ac:dyDescent="0.2">
      <c r="A15" s="514"/>
      <c r="B15" s="242" t="s">
        <v>20</v>
      </c>
      <c r="C15" s="99">
        <f>'Table A2'!M12</f>
        <v>5</v>
      </c>
    </row>
    <row r="16" spans="1:3" ht="28.5" customHeight="1" thickBot="1" x14ac:dyDescent="0.25">
      <c r="A16" s="243" t="s">
        <v>19</v>
      </c>
      <c r="B16" s="244"/>
      <c r="C16" s="100">
        <f>'Table A2'!N12</f>
        <v>2</v>
      </c>
    </row>
    <row r="17" spans="1:9" ht="15.75" thickTop="1" thickBot="1" x14ac:dyDescent="0.25">
      <c r="A17" s="515" t="s">
        <v>1375</v>
      </c>
      <c r="B17" s="516"/>
      <c r="C17" s="101">
        <f>SUM(C10:C16)</f>
        <v>19</v>
      </c>
    </row>
    <row r="18" spans="1:9" ht="29.25" customHeight="1" x14ac:dyDescent="0.2">
      <c r="A18" s="520" t="s">
        <v>78</v>
      </c>
      <c r="B18" s="520"/>
      <c r="C18" s="520"/>
      <c r="D18" s="520"/>
    </row>
    <row r="20" spans="1:9" ht="15" thickBot="1" x14ac:dyDescent="0.25"/>
    <row r="21" spans="1:9" ht="15" customHeight="1" x14ac:dyDescent="0.2">
      <c r="A21" s="517" t="s">
        <v>1379</v>
      </c>
      <c r="B21" s="518"/>
      <c r="C21" s="518"/>
      <c r="D21" s="215"/>
    </row>
    <row r="22" spans="1:9" ht="15" customHeight="1" x14ac:dyDescent="0.2">
      <c r="A22" s="504" t="s">
        <v>87</v>
      </c>
      <c r="B22" s="505"/>
      <c r="C22" s="506"/>
      <c r="D22" s="245">
        <f>COUNTIF('Table A'!P13:P1000,"&gt;0")</f>
        <v>19</v>
      </c>
    </row>
    <row r="23" spans="1:9" ht="17.25" customHeight="1" x14ac:dyDescent="0.2">
      <c r="A23" s="504" t="s">
        <v>70</v>
      </c>
      <c r="B23" s="505"/>
      <c r="C23" s="506"/>
      <c r="D23" s="245">
        <f>'Table A'!P12</f>
        <v>21</v>
      </c>
    </row>
    <row r="24" spans="1:9" ht="15" customHeight="1" x14ac:dyDescent="0.2">
      <c r="A24" s="504" t="s">
        <v>71</v>
      </c>
      <c r="B24" s="505"/>
      <c r="C24" s="506"/>
      <c r="D24" s="245">
        <f>'Table A'!Q12</f>
        <v>19</v>
      </c>
    </row>
    <row r="25" spans="1:9" ht="15.75" customHeight="1" thickBot="1" x14ac:dyDescent="0.25">
      <c r="A25" s="502" t="s">
        <v>72</v>
      </c>
      <c r="B25" s="507"/>
      <c r="C25" s="508"/>
      <c r="D25" s="246">
        <f>'Table A'!R12</f>
        <v>0</v>
      </c>
    </row>
    <row r="26" spans="1:9" ht="15" x14ac:dyDescent="0.25">
      <c r="A26" s="247"/>
      <c r="B26" s="247"/>
    </row>
    <row r="27" spans="1:9" ht="15.75" thickBot="1" x14ac:dyDescent="0.3">
      <c r="A27" s="247"/>
      <c r="B27" s="247"/>
      <c r="G27" s="102"/>
      <c r="H27" s="102"/>
      <c r="I27" s="102"/>
    </row>
    <row r="28" spans="1:9" ht="15" customHeight="1" x14ac:dyDescent="0.2">
      <c r="A28" s="517" t="s">
        <v>73</v>
      </c>
      <c r="B28" s="518"/>
      <c r="C28" s="518"/>
      <c r="D28" s="519"/>
      <c r="G28" s="102"/>
      <c r="H28" s="102"/>
      <c r="I28" s="102"/>
    </row>
    <row r="29" spans="1:9" x14ac:dyDescent="0.2">
      <c r="A29" s="504" t="s">
        <v>74</v>
      </c>
      <c r="B29" s="521"/>
      <c r="C29" s="521"/>
      <c r="D29" s="248">
        <f>(COUNTIFS('Table A'!S:S,"Yes-but no action taken"))+(COUNTIF('Table A'!S:S,"Yes-Approved"))+(COUNTIF('Table A'!S:S,"Yes-Denied"))</f>
        <v>0</v>
      </c>
    </row>
    <row r="30" spans="1:9" x14ac:dyDescent="0.2">
      <c r="A30" s="504" t="s">
        <v>75</v>
      </c>
      <c r="B30" s="521"/>
      <c r="C30" s="521"/>
      <c r="D30" s="248">
        <f>SUMIF('Table A'!S:S, "Yes-Approved",'Table A'!Q:Q )</f>
        <v>0</v>
      </c>
    </row>
    <row r="31" spans="1:9" x14ac:dyDescent="0.2">
      <c r="A31" s="504" t="s">
        <v>76</v>
      </c>
      <c r="B31" s="521"/>
      <c r="C31" s="521"/>
      <c r="D31" s="249">
        <f>COUNTIF('Table A'!S:S, "Yes-Approved")</f>
        <v>0</v>
      </c>
    </row>
    <row r="32" spans="1:9" ht="15" thickBot="1" x14ac:dyDescent="0.25">
      <c r="A32" s="502" t="s">
        <v>77</v>
      </c>
      <c r="B32" s="503"/>
      <c r="C32" s="503"/>
      <c r="D32" s="246">
        <f>SUMIF('Table A2'!AJ:AJ, "Y",'Table A2'!AH:AH)</f>
        <v>0</v>
      </c>
    </row>
    <row r="34" spans="1:5" ht="21" thickBot="1" x14ac:dyDescent="0.35">
      <c r="A34" s="103"/>
      <c r="B34" s="250"/>
      <c r="C34" s="250"/>
      <c r="D34" s="94"/>
      <c r="E34" s="94"/>
    </row>
    <row r="35" spans="1:5" ht="15" customHeight="1" x14ac:dyDescent="0.2">
      <c r="A35" s="522" t="s">
        <v>111</v>
      </c>
      <c r="B35" s="523"/>
      <c r="C35" s="523"/>
      <c r="D35" s="524"/>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A53F41C-EB0A-475B-B49C-D3CADDDD0D19}"/>
</file>

<file path=customXml/itemProps2.xml><?xml version="1.0" encoding="utf-8"?>
<ds:datastoreItem xmlns:ds="http://schemas.openxmlformats.org/officeDocument/2006/customXml" ds:itemID="{0206F7E2-CE05-42BC-B797-DC5820215FE2}"/>
</file>

<file path=customXml/itemProps3.xml><?xml version="1.0" encoding="utf-8"?>
<ds:datastoreItem xmlns:ds="http://schemas.openxmlformats.org/officeDocument/2006/customXml" ds:itemID="{068739EF-2660-4357-AFCA-083D6D7D5CB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test</cp:lastModifiedBy>
  <cp:lastPrinted>2019-03-20T23:30:36Z</cp:lastPrinted>
  <dcterms:created xsi:type="dcterms:W3CDTF">2018-09-27T21:13:30Z</dcterms:created>
  <dcterms:modified xsi:type="dcterms:W3CDTF">2019-03-20T23:34:04Z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