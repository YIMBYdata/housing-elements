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qfiles\groups\HPD\APR\apr2018\Test\Unsuccessful\"/>
    </mc:Choice>
  </mc:AlternateContent>
  <workbookProtection lockStructure="1"/>
  <bookViews>
    <workbookView xWindow="0" yWindow="0" windowWidth="24000" windowHeight="90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c r="G13" i="4"/>
  <c r="I13" i="4"/>
  <c r="H13" i="4"/>
  <c r="F13" i="4"/>
  <c r="AF12" i="1"/>
  <c r="AE12" i="1"/>
  <c r="AD12" i="1"/>
  <c r="AC12" i="1"/>
  <c r="AB12" i="1"/>
  <c r="AA12" i="1"/>
  <c r="Z12" i="1"/>
  <c r="W12" i="1"/>
  <c r="V12" i="1"/>
  <c r="U12" i="1"/>
  <c r="T12" i="1"/>
  <c r="S12" i="1"/>
  <c r="R12" i="1"/>
  <c r="Q12" i="1"/>
  <c r="N12" i="1"/>
  <c r="C16" i="11"/>
  <c r="M12" i="1"/>
  <c r="L12" i="1"/>
  <c r="K12" i="1"/>
  <c r="J12" i="1"/>
  <c r="C12" i="11"/>
  <c r="I12" i="1"/>
  <c r="C11" i="11"/>
  <c r="H12" i="1"/>
  <c r="C10" i="1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H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B378" i="18"/>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B90" i="18"/>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67" i="18"/>
  <c r="B3" i="18"/>
  <c r="B2" i="18"/>
  <c r="B8" i="18"/>
  <c r="B6" i="18"/>
  <c r="B18" i="18"/>
  <c r="B57" i="18"/>
  <c r="B49" i="18"/>
  <c r="B41" i="18"/>
  <c r="B9" i="18"/>
  <c r="B56" i="18"/>
  <c r="B32" i="18"/>
  <c r="B24" i="18"/>
  <c r="B39" i="18"/>
  <c r="B15" i="18"/>
  <c r="B13" i="18"/>
  <c r="B5" i="18"/>
  <c r="B7" i="18"/>
  <c r="B52" i="18"/>
  <c r="B44" i="18"/>
  <c r="B20" i="18"/>
  <c r="B12" i="18"/>
  <c r="B4" i="18"/>
  <c r="C39" i="11"/>
  <c r="D32" i="11"/>
  <c r="C38" i="11"/>
  <c r="B40" i="11"/>
  <c r="C37" i="11"/>
  <c r="B393" i="18"/>
  <c r="B305" i="18"/>
  <c r="B386" i="18"/>
  <c r="B106" i="18"/>
  <c r="B311" i="18"/>
  <c r="B444" i="18"/>
  <c r="B342" i="18"/>
  <c r="B183" i="18"/>
  <c r="B110" i="18"/>
  <c r="B434" i="18"/>
  <c r="B210" i="18"/>
  <c r="B421" i="18"/>
  <c r="B232" i="18"/>
  <c r="B442" i="18"/>
  <c r="B200" i="18"/>
  <c r="B291" i="18"/>
  <c r="B226" i="18"/>
  <c r="B243" i="18"/>
  <c r="B227" i="18"/>
  <c r="B138" i="18"/>
  <c r="B336" i="18"/>
  <c r="B151" i="18"/>
  <c r="B277" i="18"/>
  <c r="B165" i="18"/>
  <c r="B379" i="18"/>
  <c r="B159" i="18"/>
  <c r="B188" i="18"/>
  <c r="B358" i="18"/>
  <c r="B105" i="18"/>
  <c r="B317" i="18"/>
  <c r="B104" i="18"/>
  <c r="B453" i="18"/>
  <c r="B111" i="18"/>
  <c r="B394" i="18"/>
  <c r="B185" i="18"/>
  <c r="B372" i="18"/>
  <c r="B2063" i="18"/>
  <c r="B1834" i="18"/>
  <c r="B1994" i="18"/>
  <c r="B2158" i="18"/>
  <c r="B2057" i="18"/>
  <c r="B1858" i="18"/>
  <c r="B1646" i="18"/>
  <c r="B1552" i="18"/>
  <c r="B1304" i="18"/>
  <c r="B2412" i="18"/>
  <c r="B1931" i="18"/>
  <c r="B1533" i="18"/>
  <c r="B1255" i="18"/>
  <c r="B1483" i="18"/>
  <c r="B2359" i="18"/>
  <c r="B2264" i="18"/>
  <c r="B1923" i="18"/>
  <c r="B1206" i="18"/>
  <c r="B1829" i="18"/>
  <c r="B2038" i="18"/>
  <c r="B2027" i="18"/>
  <c r="B2419" i="18"/>
  <c r="B1682" i="18"/>
  <c r="B1663" i="18"/>
  <c r="B1385" i="18"/>
  <c r="B1238" i="18"/>
  <c r="B1626" i="18"/>
  <c r="B1606" i="18"/>
  <c r="B1971" i="18"/>
  <c r="B1883" i="18"/>
  <c r="B2387" i="18"/>
  <c r="B2386" i="18"/>
  <c r="B1464" i="18"/>
  <c r="B1516" i="18"/>
  <c r="B1376" i="18"/>
  <c r="B1367" i="18"/>
  <c r="B2161" i="18"/>
  <c r="B1203" i="18"/>
  <c r="B1582" i="18"/>
  <c r="B2159" i="18"/>
  <c r="B1541" i="18"/>
  <c r="B2275" i="18"/>
  <c r="B1508" i="18"/>
  <c r="B1574" i="18"/>
  <c r="B1537" i="18"/>
  <c r="B2263" i="18"/>
  <c r="B1425" i="18"/>
  <c r="B1506" i="18"/>
  <c r="B1163" i="18"/>
  <c r="B2080" i="18"/>
  <c r="B1449" i="18"/>
  <c r="B1510" i="18"/>
  <c r="B1740" i="18"/>
  <c r="B2336" i="18"/>
  <c r="B1409" i="18"/>
  <c r="B1369" i="18"/>
  <c r="B2168" i="18"/>
  <c r="B1949" i="18"/>
  <c r="B1742" i="18"/>
  <c r="B1775" i="18"/>
  <c r="B1888" i="18"/>
  <c r="B1417" i="18"/>
  <c r="B1368" i="18"/>
  <c r="B2228" i="18"/>
  <c r="B2240" i="18"/>
  <c r="B1666" i="18"/>
  <c r="B2284" i="18"/>
  <c r="B1857" i="18"/>
  <c r="B1427" i="18"/>
  <c r="B1232" i="18"/>
  <c r="B1596" i="18"/>
  <c r="B1833" i="18"/>
  <c r="B1713" i="18"/>
  <c r="B1675" i="18"/>
  <c r="B1538" i="18"/>
  <c r="B1357" i="18"/>
  <c r="B1635" i="18"/>
  <c r="B1896" i="18"/>
  <c r="B1428" i="18"/>
  <c r="B1749" i="18"/>
  <c r="B2300" i="18"/>
  <c r="R15" i="2"/>
  <c r="P12" i="2"/>
  <c r="D23" i="11"/>
  <c r="D30" i="11"/>
  <c r="B37" i="11"/>
  <c r="B38" i="11"/>
  <c r="B41" i="11"/>
  <c r="D38" i="11"/>
  <c r="B2381" i="18"/>
  <c r="B2001" i="18"/>
  <c r="B1179" i="18"/>
  <c r="B1880" i="18"/>
  <c r="B1477" i="18"/>
  <c r="B1965" i="18"/>
  <c r="B1707" i="18"/>
  <c r="B2290" i="18"/>
  <c r="B1503" i="18"/>
  <c r="B1932" i="18"/>
  <c r="B1601" i="18"/>
  <c r="B1572" i="18"/>
  <c r="B2146" i="18"/>
  <c r="B1359" i="18"/>
  <c r="B1855" i="18"/>
  <c r="B1686" i="18"/>
  <c r="B1889" i="18"/>
  <c r="B2229" i="18"/>
  <c r="B1769" i="18"/>
  <c r="B2011" i="18"/>
  <c r="B2129" i="18"/>
  <c r="B1613" i="18"/>
  <c r="B1550" i="18"/>
  <c r="B1999" i="18"/>
  <c r="B1324" i="18"/>
  <c r="B2041" i="18"/>
  <c r="B1806" i="18"/>
  <c r="B1279" i="18"/>
  <c r="B1652" i="18"/>
  <c r="B1544" i="18"/>
  <c r="B1743" i="18"/>
  <c r="B2344" i="18"/>
  <c r="B1715" i="18"/>
  <c r="B2114" i="18"/>
  <c r="B1694" i="18"/>
  <c r="B1562" i="18"/>
  <c r="B1632" i="18"/>
  <c r="B2283" i="18"/>
  <c r="B1961" i="18"/>
  <c r="B1928" i="18"/>
  <c r="B1945" i="18"/>
  <c r="B285" i="18"/>
  <c r="B308" i="18"/>
  <c r="B407" i="18"/>
  <c r="B169" i="18"/>
  <c r="B244" i="18"/>
  <c r="B367" i="18"/>
  <c r="B445" i="18"/>
  <c r="B179" i="18"/>
  <c r="B158" i="18"/>
  <c r="B240" i="18"/>
  <c r="B131" i="18"/>
  <c r="B147" i="18"/>
  <c r="B310" i="18"/>
  <c r="B321" i="18"/>
  <c r="B202" i="18"/>
  <c r="B213" i="18"/>
  <c r="B389" i="18"/>
  <c r="B380" i="18"/>
  <c r="B1866" i="18"/>
  <c r="B1629" i="18"/>
  <c r="B1958" i="18"/>
  <c r="B1648" i="18"/>
  <c r="B1540" i="18"/>
  <c r="B2353" i="18"/>
  <c r="B1569" i="18"/>
  <c r="B1809" i="18"/>
  <c r="B1995" i="18"/>
  <c r="B1570" i="18"/>
  <c r="B1460" i="18"/>
  <c r="B1465" i="18"/>
  <c r="B1725" i="18"/>
  <c r="B2237" i="18"/>
  <c r="B2151" i="18"/>
  <c r="B1714" i="18"/>
  <c r="B2040" i="18"/>
  <c r="B1706" i="18"/>
  <c r="B1639" i="18"/>
  <c r="B2379" i="18"/>
  <c r="B1679" i="18"/>
  <c r="B1528" i="18"/>
  <c r="B1617" i="18"/>
  <c r="B1306" i="18"/>
  <c r="B1394" i="18"/>
  <c r="B2111" i="18"/>
  <c r="B2216" i="18"/>
  <c r="B1559" i="18"/>
  <c r="B2032" i="18"/>
  <c r="B1612" i="18"/>
  <c r="B1813" i="18"/>
  <c r="B1393" i="18"/>
  <c r="B1856" i="18"/>
  <c r="B2390" i="18"/>
  <c r="B2299" i="18"/>
  <c r="B1864" i="18"/>
  <c r="B1783" i="18"/>
  <c r="B1848" i="18"/>
  <c r="B2233" i="18"/>
  <c r="B2201" i="18"/>
  <c r="B2324" i="18"/>
  <c r="B186" i="18"/>
  <c r="B167" i="18"/>
  <c r="B339" i="18"/>
  <c r="B387" i="18"/>
  <c r="B426" i="18"/>
  <c r="B398" i="18"/>
  <c r="B307" i="18"/>
  <c r="B164" i="18"/>
  <c r="B420" i="18"/>
  <c r="B171" i="18"/>
  <c r="B431" i="18"/>
  <c r="B331" i="18"/>
  <c r="B122" i="18"/>
  <c r="B109" i="18"/>
  <c r="B114" i="18"/>
  <c r="B270" i="18"/>
  <c r="B458" i="18"/>
  <c r="B294" i="18"/>
  <c r="B94" i="18"/>
  <c r="B416" i="18"/>
  <c r="B2025" i="18"/>
  <c r="B1231" i="18"/>
  <c r="B1496" i="18"/>
  <c r="B1975" i="18"/>
  <c r="B1448" i="18"/>
  <c r="B1386" i="18"/>
  <c r="B1288" i="18"/>
  <c r="B1873" i="18"/>
  <c r="B1786" i="18"/>
  <c r="B1214" i="18"/>
  <c r="B2254" i="18"/>
  <c r="B1432" i="18"/>
  <c r="B1897" i="18"/>
  <c r="B1272" i="18"/>
  <c r="B1598" i="18"/>
  <c r="B1669" i="18"/>
  <c r="B1708" i="18"/>
  <c r="B1287" i="18"/>
  <c r="B1447" i="18"/>
  <c r="B1307" i="18"/>
  <c r="B1399" i="18"/>
  <c r="B1642" i="18"/>
  <c r="B1161" i="18"/>
  <c r="B1445" i="18"/>
  <c r="B1604" i="18"/>
  <c r="B1804" i="18"/>
  <c r="B1729" i="18"/>
  <c r="B1697" i="18"/>
  <c r="B1525" i="18"/>
  <c r="B1871" i="18"/>
  <c r="B2162" i="18"/>
  <c r="B2103" i="18"/>
  <c r="B2196" i="18"/>
  <c r="B2108" i="18"/>
  <c r="B1322" i="18"/>
  <c r="B2136" i="18"/>
  <c r="B1401" i="18"/>
  <c r="B1741" i="18"/>
  <c r="B2331" i="18"/>
  <c r="B1814" i="18"/>
  <c r="B1664" i="18"/>
  <c r="B274" i="18"/>
  <c r="B324" i="18"/>
  <c r="B306" i="18"/>
  <c r="B176" i="18"/>
  <c r="B287" i="18"/>
  <c r="B447" i="18"/>
  <c r="B417" i="18"/>
  <c r="B364" i="18"/>
  <c r="B368" i="18"/>
  <c r="B112" i="18"/>
  <c r="B149" i="18"/>
  <c r="B304" i="18"/>
  <c r="B282" i="18"/>
  <c r="B365" i="18"/>
  <c r="B410" i="18"/>
  <c r="B1547" i="18"/>
  <c r="B275" i="18"/>
  <c r="B322" i="18"/>
  <c r="P12" i="1"/>
  <c r="B1654" i="18"/>
  <c r="B1594" i="18"/>
  <c r="B1589" i="18"/>
  <c r="B2250" i="18"/>
  <c r="B1609" i="18"/>
  <c r="B1580" i="18"/>
  <c r="B1280" i="18"/>
  <c r="B1614" i="18"/>
  <c r="B1171" i="18"/>
  <c r="B1785" i="18"/>
  <c r="B1841" i="18"/>
  <c r="B1818" i="18"/>
  <c r="B2142" i="18"/>
  <c r="B1685" i="18"/>
  <c r="B1271" i="18"/>
  <c r="B1586" i="18"/>
  <c r="B1768" i="18"/>
  <c r="B2118" i="18"/>
  <c r="B1305" i="18"/>
  <c r="B1846" i="18"/>
  <c r="B1799" i="18"/>
  <c r="B2404" i="18"/>
  <c r="B1621" i="18"/>
  <c r="B1762" i="18"/>
  <c r="B1727" i="18"/>
  <c r="B1917" i="18"/>
  <c r="B2318" i="18"/>
  <c r="B255" i="18"/>
  <c r="B406" i="18"/>
  <c r="B438" i="18"/>
  <c r="B309" i="18"/>
  <c r="B205" i="18"/>
  <c r="B408" i="18"/>
  <c r="B428" i="18"/>
  <c r="B162" i="18"/>
  <c r="B115" i="18"/>
  <c r="B381" i="18"/>
  <c r="B1221" i="18"/>
  <c r="B1578" i="18"/>
  <c r="B1957" i="18"/>
  <c r="B1476" i="18"/>
  <c r="B2145" i="18"/>
  <c r="B2203" i="18"/>
  <c r="B1699" i="18"/>
  <c r="B1436" i="18"/>
  <c r="B2019" i="18"/>
  <c r="B1793" i="18"/>
  <c r="B1274" i="18"/>
  <c r="B2378" i="18"/>
  <c r="B2169" i="18"/>
  <c r="B2385" i="18"/>
  <c r="B366" i="18"/>
  <c r="B116" i="18"/>
  <c r="B140" i="18"/>
  <c r="B129" i="18"/>
  <c r="B403" i="18"/>
  <c r="B271" i="18"/>
  <c r="B252" i="18"/>
  <c r="B332" i="18"/>
  <c r="B87" i="18"/>
  <c r="B79" i="18"/>
  <c r="B335" i="18"/>
  <c r="B415" i="18"/>
  <c r="B293" i="18"/>
  <c r="B425" i="18"/>
  <c r="B273" i="18"/>
  <c r="B118" i="18"/>
  <c r="B207" i="18"/>
  <c r="B405" i="18"/>
  <c r="B117" i="18"/>
  <c r="B272" i="18"/>
  <c r="B414" i="18"/>
  <c r="B125" i="18"/>
  <c r="B208" i="18"/>
  <c r="B422" i="18"/>
  <c r="B459" i="18"/>
  <c r="B148" i="18"/>
  <c r="B256" i="18"/>
  <c r="B330" i="18"/>
  <c r="B228" i="18"/>
  <c r="B265" i="18"/>
  <c r="B124" i="18"/>
  <c r="B182" i="18"/>
  <c r="B113" i="18"/>
  <c r="B423" i="18"/>
  <c r="B2261" i="18"/>
  <c r="B1728" i="18"/>
  <c r="B2012" i="18"/>
  <c r="B2139" i="18"/>
  <c r="B1944" i="18"/>
  <c r="B1273" i="18"/>
  <c r="B2425" i="18"/>
  <c r="B1490" i="18"/>
  <c r="B1504" i="18"/>
  <c r="B1343" i="18"/>
  <c r="B1822" i="18"/>
  <c r="B2177" i="18"/>
  <c r="B1673" i="18"/>
  <c r="B2329" i="18"/>
  <c r="B2119" i="18"/>
  <c r="B1333" i="18"/>
  <c r="B1247" i="18"/>
  <c r="B2197" i="18"/>
  <c r="B1956" i="18"/>
  <c r="B2320" i="18"/>
  <c r="B2316" i="18"/>
  <c r="B2110" i="18"/>
  <c r="B2034" i="18"/>
  <c r="B1722" i="18"/>
  <c r="B1890" i="18"/>
  <c r="B2195" i="18"/>
  <c r="B2421" i="18"/>
  <c r="B1497" i="18"/>
  <c r="B1800" i="18"/>
  <c r="B1678" i="18"/>
  <c r="B1711" i="18"/>
  <c r="B1246" i="18"/>
  <c r="B1315" i="18"/>
  <c r="B2210" i="18"/>
  <c r="B1647" i="18"/>
  <c r="B2370" i="18"/>
  <c r="B1551" i="18"/>
  <c r="B1527" i="18"/>
  <c r="B1398" i="18"/>
  <c r="B1656" i="18"/>
  <c r="B2403" i="18"/>
  <c r="B1560" i="18"/>
  <c r="B1587" i="18"/>
  <c r="B2221" i="18"/>
  <c r="B1529" i="18"/>
  <c r="B2405" i="18"/>
  <c r="B1966" i="18"/>
  <c r="B2285" i="18"/>
  <c r="B1395" i="18"/>
  <c r="B75" i="18"/>
  <c r="B85" i="18"/>
  <c r="B194" i="18"/>
  <c r="B347" i="18"/>
  <c r="B221" i="18"/>
  <c r="B313" i="18"/>
  <c r="B413" i="18"/>
  <c r="B295" i="18"/>
  <c r="B280" i="18"/>
  <c r="B222" i="18"/>
  <c r="B189" i="18"/>
  <c r="B343" i="18"/>
  <c r="B427" i="18"/>
  <c r="B197" i="18"/>
  <c r="B281" i="18"/>
  <c r="B152" i="18"/>
  <c r="B599" i="18"/>
  <c r="B218" i="18"/>
  <c r="B345" i="18"/>
  <c r="B215" i="18"/>
  <c r="B299" i="18"/>
  <c r="B355" i="18"/>
  <c r="B267" i="18"/>
  <c r="B253" i="18"/>
  <c r="B184" i="18"/>
  <c r="B616" i="18"/>
  <c r="B2172" i="18"/>
  <c r="B2366" i="18"/>
  <c r="B1735" i="18"/>
  <c r="B2319" i="18"/>
  <c r="B2365" i="18"/>
  <c r="B1680" i="18"/>
  <c r="B1918" i="18"/>
  <c r="B1865" i="18"/>
  <c r="B1435" i="18"/>
  <c r="B1870" i="18"/>
  <c r="B1752" i="18"/>
  <c r="B1906" i="18"/>
  <c r="B1534" i="18"/>
  <c r="B2055" i="18"/>
  <c r="B1915" i="18"/>
  <c r="B1265" i="18"/>
  <c r="B2307" i="18"/>
  <c r="B1924" i="18"/>
  <c r="B2394" i="18"/>
  <c r="B1850" i="18"/>
  <c r="B2246" i="18"/>
  <c r="B1674" i="18"/>
  <c r="B1653" i="18"/>
  <c r="B1644" i="18"/>
  <c r="B1689" i="18"/>
  <c r="B1405" i="18"/>
  <c r="B1581" i="18"/>
  <c r="B1636" i="18"/>
  <c r="B2102" i="18"/>
  <c r="B1615" i="18"/>
  <c r="B2083" i="18"/>
  <c r="B1384" i="18"/>
  <c r="B1518" i="18"/>
  <c r="B1422" i="18"/>
  <c r="B1803" i="18"/>
  <c r="B1312" i="18"/>
  <c r="B1690" i="18"/>
  <c r="B2075" i="18"/>
  <c r="B1641" i="18"/>
  <c r="B1838" i="18"/>
  <c r="B1321" i="18"/>
  <c r="B1698" i="18"/>
  <c r="B2315" i="18"/>
  <c r="B1450" i="18"/>
  <c r="B1640" i="18"/>
  <c r="B1904" i="18"/>
  <c r="B1438" i="18"/>
  <c r="B1452" i="18"/>
  <c r="B1991" i="18"/>
  <c r="B1500" i="18"/>
  <c r="B1794" i="18"/>
  <c r="B1418" i="18"/>
  <c r="B1470" i="18"/>
  <c r="B1475" i="18"/>
  <c r="B1377" i="18"/>
  <c r="B2372" i="18"/>
  <c r="B1520" i="18"/>
  <c r="B2148" i="18"/>
  <c r="B1724" i="18"/>
  <c r="B1593" i="18"/>
  <c r="B1546" i="18"/>
  <c r="B2104" i="18"/>
  <c r="B1662" i="18"/>
  <c r="B1590" i="18"/>
  <c r="B1796" i="18"/>
  <c r="B1498" i="18"/>
  <c r="B2077" i="18"/>
  <c r="B1339" i="18"/>
  <c r="B1505" i="18"/>
  <c r="B1189" i="18"/>
  <c r="B1837" i="18"/>
  <c r="B2154" i="18"/>
  <c r="B2227" i="18"/>
  <c r="B1515" i="18"/>
  <c r="B2069" i="18"/>
  <c r="B2187" i="18"/>
  <c r="B2351" i="18"/>
  <c r="B1553" i="18"/>
  <c r="B2035" i="18"/>
  <c r="B2179" i="18"/>
  <c r="B1402" i="18"/>
  <c r="B1491" i="18"/>
  <c r="B1360" i="18"/>
  <c r="B2074" i="18"/>
  <c r="B2286" i="18"/>
  <c r="B2232" i="18"/>
  <c r="B146" i="18"/>
  <c r="B446" i="18"/>
  <c r="B296" i="18"/>
  <c r="B266" i="18"/>
  <c r="B454" i="18"/>
  <c r="B384" i="18"/>
  <c r="B430" i="18"/>
  <c r="B320" i="18"/>
  <c r="B371" i="18"/>
  <c r="B340" i="18"/>
  <c r="B327" i="18"/>
  <c r="B360" i="18"/>
  <c r="B359" i="18"/>
  <c r="B137" i="18"/>
  <c r="B397" i="18"/>
  <c r="B128" i="18"/>
  <c r="B363" i="18"/>
  <c r="B204" i="18"/>
  <c r="B69" i="18"/>
  <c r="B2258" i="18"/>
  <c r="B1240" i="18"/>
  <c r="B1313" i="18"/>
  <c r="B2325" i="18"/>
  <c r="B2256" i="18"/>
  <c r="B2238" i="18"/>
  <c r="B1223" i="18"/>
  <c r="B1922" i="18"/>
  <c r="B1985" i="18"/>
  <c r="B1181" i="18"/>
  <c r="B1821" i="18"/>
  <c r="B2247" i="18"/>
  <c r="B1987" i="18"/>
  <c r="B1561" i="18"/>
  <c r="B1451" i="18"/>
  <c r="B1455" i="18"/>
  <c r="B1717" i="18"/>
  <c r="B1524" i="18"/>
  <c r="B2112" i="18"/>
  <c r="B1787" i="18"/>
  <c r="B1297" i="18"/>
  <c r="B1733" i="18"/>
  <c r="B1479" i="18"/>
  <c r="B1577" i="18"/>
  <c r="B1257" i="18"/>
  <c r="B1974" i="18"/>
  <c r="B2432" i="18"/>
  <c r="B1212" i="18"/>
  <c r="B1585" i="18"/>
  <c r="B2346" i="18"/>
  <c r="B2255" i="18"/>
  <c r="B2067" i="18"/>
  <c r="B1620" i="18"/>
  <c r="B2310" i="18"/>
  <c r="B1622" i="18"/>
  <c r="B1681" i="18"/>
  <c r="B1941" i="18"/>
  <c r="B1638" i="18"/>
  <c r="B2044" i="18"/>
  <c r="B2383" i="18"/>
  <c r="B2124" i="18"/>
  <c r="B136" i="18"/>
  <c r="B154" i="18"/>
  <c r="B448" i="18"/>
  <c r="B315" i="18"/>
  <c r="B234" i="18"/>
  <c r="B290" i="18"/>
  <c r="B250" i="18"/>
  <c r="B300" i="18"/>
  <c r="B269" i="18"/>
  <c r="B230" i="18"/>
  <c r="B217" i="18"/>
  <c r="B338" i="18"/>
  <c r="B460" i="18"/>
  <c r="B302" i="18"/>
  <c r="B452" i="18"/>
  <c r="B107" i="18"/>
  <c r="B350" i="18"/>
  <c r="B101" i="18"/>
  <c r="B83" i="18"/>
  <c r="D40" i="11"/>
  <c r="B28" i="18"/>
  <c r="B93" i="18"/>
  <c r="B48" i="18"/>
  <c r="B58" i="18"/>
  <c r="B31" i="18"/>
  <c r="B341" i="18"/>
  <c r="B391" i="18"/>
  <c r="B354" i="18"/>
  <c r="B155" i="18"/>
  <c r="B400" i="18"/>
  <c r="B412" i="18"/>
  <c r="B142" i="18"/>
  <c r="B451" i="18"/>
  <c r="B437" i="18"/>
  <c r="B439" i="18"/>
  <c r="B108" i="18"/>
  <c r="B349" i="18"/>
  <c r="B361" i="18"/>
  <c r="B440" i="18"/>
  <c r="B144" i="18"/>
  <c r="B157" i="18"/>
  <c r="B456" i="18"/>
  <c r="B436" i="18"/>
  <c r="B225" i="18"/>
  <c r="B462" i="18"/>
  <c r="B326" i="18"/>
  <c r="B1262" i="18"/>
  <c r="B1996" i="18"/>
  <c r="B2005" i="18"/>
  <c r="B1832" i="18"/>
  <c r="B1781" i="18"/>
  <c r="B2373" i="18"/>
  <c r="B2009" i="18"/>
  <c r="B1584" i="18"/>
  <c r="B2078" i="18"/>
  <c r="B1215" i="18"/>
  <c r="B1716" i="18"/>
  <c r="B1554" i="18"/>
  <c r="B1910" i="18"/>
  <c r="B2128" i="18"/>
  <c r="B1342" i="18"/>
  <c r="B1256" i="18"/>
  <c r="B2302" i="18"/>
  <c r="B1984" i="18"/>
  <c r="B1474" i="18"/>
  <c r="B1453" i="18"/>
  <c r="B1444" i="18"/>
  <c r="B1416" i="18"/>
  <c r="B2281" i="18"/>
  <c r="B2294" i="18"/>
  <c r="B2178" i="18"/>
  <c r="B1836" i="18"/>
  <c r="B2309" i="18"/>
  <c r="B1239" i="18"/>
  <c r="B1230" i="18"/>
  <c r="B1408" i="18"/>
  <c r="B1439" i="18"/>
  <c r="B2050" i="18"/>
  <c r="B2167" i="18"/>
  <c r="B1828" i="18"/>
  <c r="B1424" i="18"/>
  <c r="B1501" i="18"/>
  <c r="B1568" i="18"/>
  <c r="B1350" i="18"/>
  <c r="B2160" i="18"/>
  <c r="B1607" i="18"/>
  <c r="D39" i="11"/>
  <c r="Y12" i="1"/>
  <c r="B59" i="18"/>
  <c r="B26" i="18"/>
  <c r="B54" i="18"/>
  <c r="B47" i="18"/>
  <c r="B77" i="18"/>
  <c r="B36" i="18"/>
  <c r="B206" i="18"/>
  <c r="B375" i="18"/>
  <c r="B276" i="18"/>
  <c r="B1107" i="18"/>
  <c r="B150" i="18"/>
  <c r="B143" i="18"/>
  <c r="B199" i="18"/>
  <c r="B344" i="18"/>
  <c r="B329" i="18"/>
  <c r="B180" i="18"/>
  <c r="B334" i="18"/>
  <c r="B211" i="18"/>
  <c r="B173" i="18"/>
  <c r="B260" i="18"/>
  <c r="B811" i="18"/>
  <c r="B362" i="18"/>
  <c r="B356" i="18"/>
  <c r="B312" i="18"/>
  <c r="B156" i="18"/>
  <c r="B353" i="18"/>
  <c r="B238" i="18"/>
  <c r="B314" i="18"/>
  <c r="B134" i="18"/>
  <c r="B377" i="18"/>
  <c r="B237" i="18"/>
  <c r="B160" i="18"/>
  <c r="B258" i="18"/>
  <c r="B174" i="18"/>
  <c r="B369" i="18"/>
  <c r="B11" i="18"/>
  <c r="B10" i="18"/>
  <c r="B40" i="18"/>
  <c r="B14" i="18"/>
  <c r="B120" i="18"/>
  <c r="B181" i="18"/>
  <c r="B191" i="18"/>
  <c r="B193" i="18"/>
  <c r="B178" i="18"/>
  <c r="B141" i="18"/>
  <c r="B383" i="18"/>
  <c r="B463" i="18"/>
  <c r="B212" i="18"/>
  <c r="B251" i="18"/>
  <c r="B139" i="18"/>
  <c r="B123" i="18"/>
  <c r="B374" i="18"/>
  <c r="B289" i="18"/>
  <c r="B220" i="18"/>
  <c r="B231" i="18"/>
  <c r="B382" i="18"/>
  <c r="B298" i="18"/>
  <c r="B229" i="18"/>
  <c r="B239" i="18"/>
  <c r="B390" i="18"/>
  <c r="B235" i="18"/>
  <c r="B168" i="18"/>
  <c r="B257" i="18"/>
  <c r="B399" i="18"/>
  <c r="B385" i="18"/>
  <c r="B247" i="18"/>
  <c r="B170" i="18"/>
  <c r="B196" i="18"/>
  <c r="B435" i="18"/>
  <c r="B236" i="18"/>
  <c r="B396" i="18"/>
  <c r="B161" i="18"/>
  <c r="B2165" i="18"/>
  <c r="B1960" i="18"/>
  <c r="B2306" i="18"/>
  <c r="B2189" i="18"/>
  <c r="B2415" i="18"/>
  <c r="B2292" i="18"/>
  <c r="B1731" i="18"/>
  <c r="B2301" i="18"/>
  <c r="B2122" i="18"/>
  <c r="B1939" i="18"/>
  <c r="B2101" i="18"/>
  <c r="B1914" i="18"/>
  <c r="B1275" i="18"/>
  <c r="B2170" i="18"/>
  <c r="B1992" i="18"/>
  <c r="B1482" i="18"/>
  <c r="B1463" i="18"/>
  <c r="B1868" i="18"/>
  <c r="B2395" i="18"/>
  <c r="B2143" i="18"/>
  <c r="B1198" i="18"/>
  <c r="B1314" i="18"/>
  <c r="B1375" i="18"/>
  <c r="B1487" i="18"/>
  <c r="B1845" i="18"/>
  <c r="B2045" i="18"/>
  <c r="B1734" i="18"/>
  <c r="B1907" i="18"/>
  <c r="B1536" i="18"/>
  <c r="B1760" i="18"/>
  <c r="B2273" i="18"/>
  <c r="B1296" i="18"/>
  <c r="B254" i="18"/>
  <c r="B242" i="18"/>
  <c r="B449" i="18"/>
  <c r="B177" i="18"/>
  <c r="B433" i="18"/>
  <c r="B190" i="18"/>
  <c r="H463" i="16"/>
  <c r="B2087" i="18"/>
  <c r="B2016" i="18"/>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c r="D25" i="11"/>
  <c r="D22" i="11"/>
  <c r="B611" i="18"/>
  <c r="C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37" i="11"/>
  <c r="D41" i="11"/>
  <c r="D15" i="13"/>
  <c r="D17" i="13"/>
  <c r="E11" i="13"/>
  <c r="D18" i="13"/>
  <c r="D13" i="13"/>
  <c r="D14" i="13"/>
  <c r="D12" i="13"/>
  <c r="D16" i="13"/>
  <c r="C19" i="13"/>
  <c r="E13" i="13"/>
  <c r="E17" i="13"/>
  <c r="F11" i="13"/>
  <c r="E16" i="13"/>
  <c r="E15" i="13"/>
  <c r="E18" i="13"/>
  <c r="D20" i="13"/>
  <c r="F15" i="13"/>
  <c r="G11" i="13"/>
  <c r="F13" i="13"/>
  <c r="F14" i="13"/>
  <c r="F17" i="13"/>
  <c r="F12" i="13"/>
  <c r="F16" i="13"/>
  <c r="F18" i="13"/>
  <c r="E20" i="13"/>
  <c r="F20" i="13"/>
  <c r="G12" i="13"/>
  <c r="G16" i="13"/>
  <c r="G13" i="13"/>
  <c r="G18" i="13"/>
  <c r="G15" i="13"/>
  <c r="G17" i="13"/>
  <c r="G14" i="13"/>
  <c r="H11" i="13"/>
  <c r="H17" i="13"/>
  <c r="H14" i="13"/>
  <c r="H15" i="13"/>
  <c r="H13" i="13"/>
  <c r="H18" i="13"/>
  <c r="I11" i="13"/>
  <c r="H12" i="13"/>
  <c r="H16" i="13"/>
  <c r="G20" i="13"/>
  <c r="H20" i="13"/>
  <c r="I17" i="13"/>
  <c r="J11" i="13"/>
  <c r="I15" i="13"/>
  <c r="I18" i="13"/>
  <c r="I13" i="13"/>
  <c r="I16" i="13"/>
  <c r="I12" i="13"/>
  <c r="I14" i="13"/>
  <c r="I20" i="13"/>
  <c r="J14" i="13"/>
  <c r="J13" i="13"/>
  <c r="K11" i="13"/>
  <c r="J18" i="13"/>
  <c r="J12" i="13"/>
  <c r="J17" i="13"/>
  <c r="J16" i="13"/>
  <c r="J15" i="13"/>
  <c r="K16" i="13"/>
  <c r="K14" i="13"/>
  <c r="K15" i="13"/>
  <c r="K18" i="13"/>
  <c r="K12" i="13"/>
  <c r="K13" i="13"/>
  <c r="L11" i="13"/>
  <c r="K17" i="13"/>
  <c r="J20" i="13"/>
  <c r="K20" i="13"/>
  <c r="L18" i="13"/>
  <c r="M18" i="13"/>
  <c r="N18" i="13"/>
  <c r="L15" i="13"/>
  <c r="L16" i="13"/>
  <c r="L14" i="13"/>
  <c r="M14" i="13"/>
  <c r="N14" i="13"/>
  <c r="L17" i="13"/>
  <c r="L12" i="13"/>
  <c r="L13" i="13"/>
  <c r="M16" i="13"/>
  <c r="N16" i="13"/>
  <c r="M12" i="13"/>
  <c r="L20" i="13"/>
  <c r="M20" i="13"/>
  <c r="N12" i="13"/>
  <c r="N20" i="13"/>
</calcChain>
</file>

<file path=xl/sharedStrings.xml><?xml version="1.0" encoding="utf-8"?>
<sst xmlns="http://schemas.openxmlformats.org/spreadsheetml/2006/main" count="6876" uniqueCount="1553">
  <si>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</si>
  <si>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</si>
  <si>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</si>
  <si>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</si>
  <si>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</si>
  <si>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</si>
  <si>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</si>
  <si>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</si>
  <si>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</si>
  <si>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</si>
  <si>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</si>
  <si>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</si>
  <si>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</si>
  <si>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</si>
  <si>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</si>
  <si>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</si>
  <si>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</si>
  <si>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</si>
  <si>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</si>
  <si>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</si>
  <si>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</si>
  <si>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</si>
  <si>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</si>
  <si>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</si>
  <si>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</si>
  <si>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</si>
  <si>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</si>
  <si>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</si>
  <si>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</si>
  <si>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</si>
  <si>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</si>
  <si>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</si>
  <si>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</si>
  <si>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</si>
  <si>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</si>
  <si>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</si>
  <si>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</si>
  <si>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</si>
  <si>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</si>
  <si>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</si>
  <si>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</si>
  <si>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</si>
  <si>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</si>
  <si>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</si>
  <si>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</si>
  <si>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</si>
  <si>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</si>
  <si>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</si>
  <si>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</si>
  <si>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</si>
  <si>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</si>
  <si>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</si>
  <si>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</si>
  <si>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</si>
  <si>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</si>
  <si>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</si>
  <si>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</si>
  <si>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</si>
  <si>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</si>
  <si>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</si>
  <si>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</si>
  <si>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</si>
  <si>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</si>
  <si>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</si>
  <si>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</si>
  <si>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</si>
  <si>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</si>
  <si>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</si>
  <si>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</si>
  <si>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</si>
  <si>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</si>
  <si>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</si>
  <si>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</si>
  <si>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</si>
  <si>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</si>
  <si>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</si>
  <si>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</si>
  <si>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</si>
  <si>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</si>
  <si>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</si>
  <si>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</si>
  <si>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</si>
  <si>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</si>
  <si>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</si>
  <si>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</si>
  <si>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</si>
  <si>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</si>
  <si>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</si>
  <si>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</si>
  <si>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</si>
  <si>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</si>
  <si>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</si>
  <si>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</si>
  <si>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</si>
  <si>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</si>
  <si>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</si>
  <si>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</si>
  <si>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</si>
  <si>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</si>
  <si>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</si>
  <si>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</si>
  <si>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</si>
  <si>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</si>
  <si>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</si>
  <si>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</si>
  <si>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</si>
  <si>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</si>
  <si>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</si>
  <si>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</si>
  <si>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</si>
  <si>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</si>
  <si>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</si>
  <si>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</si>
  <si>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</si>
  <si>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</si>
  <si>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</si>
  <si>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</si>
  <si>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</si>
  <si>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</si>
  <si>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</si>
  <si>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</si>
  <si>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</si>
  <si>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</si>
  <si>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</si>
  <si>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</si>
  <si>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</si>
  <si>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</si>
  <si>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</si>
  <si>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</si>
  <si>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</si>
  <si>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</si>
  <si>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</si>
  <si>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</si>
  <si>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</si>
  <si>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</si>
  <si>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</si>
  <si>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</si>
  <si>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</si>
  <si>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</si>
  <si>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</si>
  <si>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</si>
  <si>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</si>
  <si>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</si>
  <si>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</si>
  <si>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</si>
  <si>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</si>
  <si>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</si>
  <si>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</si>
  <si>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</si>
  <si>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</si>
  <si>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</si>
  <si>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</si>
  <si>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</si>
  <si>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</si>
  <si>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</si>
  <si>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</si>
  <si>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</si>
  <si>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</si>
  <si>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</si>
  <si>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</si>
  <si>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</si>
  <si>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</si>
  <si>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</si>
  <si>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</si>
  <si>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</si>
  <si>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</si>
  <si>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</si>
  <si>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</si>
  <si>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</si>
  <si>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</si>
  <si>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</si>
  <si>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</si>
  <si>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</si>
  <si>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</si>
  <si>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</si>
  <si>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</si>
  <si>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</si>
  <si>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</si>
  <si>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</si>
  <si>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</si>
  <si>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</si>
  <si>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</si>
  <si>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</si>
  <si>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</si>
  <si>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</si>
  <si>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</si>
  <si>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</si>
  <si>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</si>
  <si>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</si>
  <si>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</si>
  <si>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</si>
  <si>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</si>
  <si>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</si>
  <si>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</si>
  <si>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</si>
  <si>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</si>
  <si>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</si>
  <si>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</si>
  <si>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</si>
  <si>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</si>
  <si>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</si>
  <si>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</si>
  <si>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</si>
  <si>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</si>
  <si>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</si>
  <si>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</si>
  <si>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</si>
  <si>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</si>
  <si>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</si>
  <si>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</si>
  <si>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</si>
  <si>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</si>
  <si>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</si>
  <si>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</si>
  <si>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</si>
  <si>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</si>
  <si>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</si>
  <si>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</si>
  <si>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</si>
  <si>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</si>
  <si>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</si>
  <si>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</si>
  <si>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</si>
  <si>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</si>
  <si>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</si>
  <si>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</si>
  <si>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</si>
  <si>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</si>
  <si>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</si>
  <si>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</si>
  <si>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</si>
  <si>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</si>
  <si>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</si>
  <si>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</si>
  <si>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</si>
  <si>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</si>
  <si>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</si>
  <si>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</si>
  <si>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</si>
  <si>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</si>
  <si>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</si>
  <si>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</si>
  <si>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</si>
  <si>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</si>
  <si>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</si>
  <si>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</si>
  <si>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</si>
  <si>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</si>
  <si>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</si>
  <si>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</si>
  <si>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</si>
  <si>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</si>
  <si>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</si>
  <si>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</si>
  <si>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</si>
  <si>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</si>
  <si>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</si>
  <si>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</si>
  <si>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</si>
  <si>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</si>
  <si>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</si>
  <si>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</si>
  <si>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</si>
  <si>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</si>
  <si>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</si>
  <si>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</si>
  <si>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</si>
  <si>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</si>
  <si>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</si>
  <si>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</si>
  <si>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</si>
  <si>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</si>
  <si>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</si>
  <si>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</si>
  <si>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</si>
  <si>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</si>
  <si>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</si>
  <si>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</si>
  <si>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</si>
  <si>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</si>
  <si>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</si>
  <si>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</si>
  <si>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</si>
  <si>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</si>
  <si>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</si>
  <si>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</si>
  <si>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</si>
  <si>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</si>
  <si>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</si>
  <si>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</si>
  <si>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</si>
  <si>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</si>
  <si>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</si>
  <si>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</si>
  <si>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</si>
  <si>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</si>
  <si>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</si>
  <si>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</si>
  <si>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</si>
  <si>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</si>
  <si>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</si>
  <si>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</si>
  <si>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</si>
  <si>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</si>
  <si>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</si>
  <si>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</si>
  <si>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</si>
  <si>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</si>
  <si>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</si>
  <si>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</si>
  <si>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</si>
  <si>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</si>
  <si>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</si>
  <si>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</si>
  <si>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</si>
  <si>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</si>
  <si>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</si>
  <si>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</si>
  <si>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</si>
  <si>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</si>
  <si>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</si>
  <si>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</si>
  <si>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</si>
  <si>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</si>
  <si>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</si>
  <si>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</si>
  <si>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</si>
  <si>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</si>
  <si>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</si>
  <si>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</si>
  <si>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</si>
  <si>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</si>
  <si>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</si>
  <si>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</si>
  <si>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</si>
  <si>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</si>
  <si>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</si>
  <si>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</si>
  <si>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</si>
  <si>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</si>
  <si>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</si>
  <si>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</si>
  <si>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</si>
  <si>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</si>
  <si>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</si>
  <si>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</si>
  <si>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</si>
  <si>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</si>
  <si>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</si>
  <si>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</si>
  <si>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</si>
  <si>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</si>
  <si>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</si>
  <si>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</si>
  <si>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</si>
  <si>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</si>
  <si>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</si>
  <si>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</si>
  <si>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</si>
  <si>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</si>
  <si>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</si>
  <si>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</si>
  <si>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</si>
  <si>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</si>
  <si>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</si>
  <si>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</si>
  <si>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</si>
  <si>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</si>
  <si>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</si>
  <si>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</si>
  <si>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</si>
  <si>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</si>
  <si>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</si>
  <si>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</si>
  <si>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</si>
  <si>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</si>
  <si>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</si>
  <si>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</si>
  <si>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</si>
  <si>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</si>
  <si>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</si>
  <si>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</si>
  <si>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</si>
  <si>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</si>
  <si>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</si>
  <si>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</si>
  <si>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</si>
  <si>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</si>
  <si>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</si>
  <si>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</si>
  <si>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</si>
  <si>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</si>
  <si>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</si>
  <si>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</si>
  <si>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</si>
  <si>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</si>
  <si>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</si>
  <si>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</si>
  <si>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</si>
  <si>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</si>
  <si>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</si>
  <si>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</si>
  <si>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</si>
  <si>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</si>
  <si>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</si>
  <si>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</si>
  <si>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</si>
  <si>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</si>
  <si>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</si>
  <si>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</si>
  <si>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</si>
  <si>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</si>
  <si>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</si>
  <si>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</si>
  <si>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</si>
  <si>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</si>
  <si>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</si>
  <si>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</si>
  <si>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</si>
  <si>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</si>
  <si>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</si>
  <si>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</si>
  <si>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</si>
  <si>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</si>
  <si>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</si>
  <si>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</si>
  <si>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</si>
  <si>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</si>
  <si>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</si>
  <si>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</si>
  <si>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</si>
  <si>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</si>
  <si>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</si>
  <si>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</si>
  <si>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</si>
  <si>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</si>
  <si>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</si>
  <si>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</si>
  <si>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</si>
  <si>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</si>
  <si>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</si>
  <si>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</si>
  <si>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</si>
  <si>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</si>
  <si>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</si>
  <si>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</si>
  <si>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</si>
  <si>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</si>
  <si>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</si>
  <si>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</si>
  <si>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</si>
  <si>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</si>
  <si>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</si>
  <si>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</si>
  <si>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</si>
  <si>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</si>
  <si>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</si>
  <si>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</si>
  <si>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</si>
  <si>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</si>
  <si>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</si>
  <si>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</si>
  <si>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</si>
  <si>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</si>
  <si>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</si>
  <si>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</si>
  <si>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</si>
  <si>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</si>
  <si>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</si>
  <si>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</si>
  <si>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</si>
  <si>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</si>
  <si>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</si>
  <si>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</si>
  <si>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</si>
  <si>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</si>
  <si>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</si>
  <si>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</si>
  <si>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</si>
  <si>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</si>
  <si>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</si>
  <si>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</si>
  <si>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</si>
  <si>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</si>
  <si>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</si>
  <si>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</si>
  <si>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</si>
  <si>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</si>
  <si>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</si>
  <si>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</si>
  <si>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</si>
  <si>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</si>
  <si>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</si>
  <si>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</si>
  <si>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</si>
  <si>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</si>
  <si>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</si>
  <si>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</si>
  <si>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</si>
  <si>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</si>
  <si>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</si>
  <si>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</si>
  <si>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</si>
  <si>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</si>
  <si>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</si>
  <si>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</si>
  <si>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</si>
  <si>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</si>
  <si>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</si>
  <si>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</si>
  <si>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</si>
  <si>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</si>
  <si>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</si>
  <si>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</si>
  <si>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</si>
  <si>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</si>
  <si>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</si>
  <si>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</si>
  <si>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</si>
  <si>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</si>
  <si>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</si>
  <si>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</si>
  <si>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</si>
  <si>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</si>
  <si>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</si>
  <si>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</si>
  <si>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</si>
  <si>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</si>
  <si>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</si>
  <si>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</si>
  <si>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</si>
  <si>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</si>
  <si>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</si>
  <si>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</si>
  <si>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</si>
  <si>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</si>
  <si>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</si>
  <si>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</si>
  <si>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</si>
  <si>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</si>
  <si>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</si>
  <si>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</si>
  <si>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</si>
  <si>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</si>
  <si>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</si>
  <si>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</si>
  <si>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</si>
  <si>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</si>
  <si>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</si>
  <si>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</si>
  <si>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</si>
  <si>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</si>
  <si>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</si>
  <si>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</si>
  <si>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</si>
  <si>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</si>
  <si>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</si>
  <si>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</si>
  <si>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</si>
  <si>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</si>
  <si>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</si>
  <si>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</si>
  <si>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</si>
  <si>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</si>
  <si>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</si>
  <si>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</si>
  <si>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</si>
  <si>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</si>
  <si>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</si>
  <si>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</si>
  <si>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</si>
  <si>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</si>
  <si>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</si>
  <si>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</si>
  <si>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</si>
  <si>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</si>
  <si>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</si>
  <si>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</si>
  <si>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</si>
  <si>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</si>
  <si>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</si>
  <si>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</si>
  <si>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</si>
  <si>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</si>
  <si>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</si>
  <si>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</si>
  <si>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</si>
  <si>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</si>
  <si>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</si>
  <si>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</si>
  <si>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</si>
  <si>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</si>
  <si>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</si>
  <si>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</si>
  <si>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</si>
  <si>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</si>
  <si>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</si>
  <si>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</si>
  <si>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</si>
  <si>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</si>
  <si>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</si>
  <si>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</si>
  <si>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</si>
  <si>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</si>
  <si>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</si>
  <si>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</si>
  <si>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</si>
  <si>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</si>
  <si>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</si>
  <si>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</si>
  <si>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</si>
  <si>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</si>
  <si>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</si>
  <si>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</si>
  <si>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</si>
  <si>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</si>
  <si>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</si>
  <si>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</si>
  <si>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</si>
  <si>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</si>
  <si>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</si>
  <si>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</si>
  <si>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</si>
  <si>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</si>
  <si>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</si>
  <si>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</si>
  <si>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</si>
  <si>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</si>
  <si>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</si>
  <si>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</si>
  <si>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</si>
  <si>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</si>
  <si>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</si>
  <si>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</si>
  <si>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</si>
  <si>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</si>
  <si>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</si>
  <si>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</si>
  <si>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</si>
  <si>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</si>
  <si>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</si>
  <si>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</si>
  <si>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</si>
  <si>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</si>
  <si>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</si>
  <si>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</si>
  <si>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</si>
  <si>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</si>
  <si>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</si>
  <si>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</si>
  <si>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</si>
  <si>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</si>
  <si>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</si>
  <si>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</si>
  <si>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</si>
  <si>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</si>
  <si>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</si>
  <si>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</si>
  <si>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</si>
  <si>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</si>
  <si>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</si>
  <si>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</si>
  <si>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</si>
  <si>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</si>
  <si>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</si>
  <si>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</si>
  <si>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</si>
  <si>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</si>
  <si>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</si>
  <si>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</si>
  <si>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</si>
  <si>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</si>
  <si>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</si>
  <si>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</si>
  <si>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</si>
  <si>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</si>
  <si>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</si>
  <si>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</si>
  <si>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</si>
  <si>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</si>
  <si>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</si>
  <si>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</si>
  <si>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</si>
  <si>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</si>
  <si>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</si>
  <si>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</si>
  <si>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</si>
  <si>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</si>
  <si>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</si>
  <si>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</si>
  <si>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</si>
  <si>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</si>
  <si>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</si>
  <si>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</si>
  <si>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</si>
  <si>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</si>
  <si>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</si>
  <si>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</si>
  <si>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</si>
  <si>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</si>
  <si>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</si>
  <si>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</si>
  <si>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</si>
  <si>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</si>
  <si>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</si>
  <si>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</si>
  <si>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</si>
  <si>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</si>
  <si>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</si>
  <si>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</si>
  <si>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</si>
  <si>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</si>
  <si>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</si>
  <si>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</si>
  <si>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</si>
  <si>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</si>
  <si>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</si>
  <si>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</si>
  <si>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</si>
  <si>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</si>
  <si>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</si>
  <si>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</si>
  <si>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</si>
  <si>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</si>
  <si>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</si>
  <si>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</si>
  <si>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</si>
  <si>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</si>
  <si>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</si>
  <si>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</si>
  <si>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</si>
  <si>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</si>
  <si>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</si>
  <si>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</si>
  <si>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</si>
  <si>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</si>
  <si>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</si>
  <si>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</si>
  <si>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</si>
  <si>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</si>
  <si>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</si>
  <si>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</si>
  <si>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</si>
  <si>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</si>
  <si>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</si>
  <si>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</si>
  <si>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</si>
  <si>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</si>
  <si>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</si>
  <si>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</si>
  <si>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</si>
  <si>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</si>
  <si>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</si>
  <si>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</si>
  <si>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</si>
  <si>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</si>
  <si>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</si>
  <si>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</si>
  <si>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</si>
  <si>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</si>
  <si>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</si>
  <si>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</si>
  <si>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</si>
  <si>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</si>
  <si>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</si>
  <si>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</si>
  <si>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</si>
  <si>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</si>
  <si>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</si>
  <si>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</si>
  <si>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</si>
  <si>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</si>
  <si>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</si>
  <si>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</si>
  <si>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</si>
  <si>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</si>
  <si>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</si>
  <si>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</si>
  <si>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</si>
  <si>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</si>
  <si>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</si>
  <si>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</si>
  <si>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</si>
  <si>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</si>
  <si>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</si>
  <si>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</si>
  <si>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</si>
  <si>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</si>
  <si>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</si>
  <si>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</si>
  <si>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</si>
  <si>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</si>
  <si>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</si>
  <si>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</si>
  <si>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</si>
  <si>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</si>
  <si>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</si>
  <si>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</si>
  <si>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</si>
  <si>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</si>
  <si>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</si>
  <si>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</si>
  <si>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</si>
  <si>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</si>
  <si>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</si>
  <si>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</si>
  <si>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</si>
  <si>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</si>
  <si>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</si>
  <si>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</si>
  <si>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</si>
  <si>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</si>
  <si>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</si>
  <si>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</si>
  <si>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</si>
  <si>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</si>
  <si>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</si>
  <si>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</si>
  <si>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</si>
  <si>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</si>
  <si>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</si>
  <si>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</si>
  <si>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</si>
  <si>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</si>
  <si>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</si>
  <si>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</si>
  <si>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</si>
  <si>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</si>
  <si>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</si>
  <si>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</si>
  <si>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</si>
  <si>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</si>
  <si>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</si>
  <si>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</si>
  <si>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</si>
  <si>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</si>
  <si>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</si>
  <si>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</si>
  <si>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</si>
  <si>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</si>
  <si>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</si>
  <si>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</si>
  <si>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</si>
  <si>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</si>
  <si>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</si>
  <si>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</si>
  <si>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</si>
  <si>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</si>
  <si>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</si>
  <si>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</si>
  <si>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</si>
  <si>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</si>
  <si>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</si>
  <si>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</si>
  <si>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</si>
  <si>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</si>
  <si>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</si>
  <si>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</si>
  <si>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</si>
  <si>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</si>
  <si>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</si>
  <si>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</si>
  <si>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</si>
  <si>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</si>
  <si>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</si>
  <si>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</si>
  <si>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</si>
  <si>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</si>
  <si>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</si>
  <si>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</si>
  <si>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</si>
  <si>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</si>
  <si>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</si>
  <si>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</si>
  <si>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</si>
  <si>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</si>
  <si>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</si>
  <si>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</si>
  <si>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</si>
  <si>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</si>
  <si>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</si>
  <si>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</si>
  <si>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</si>
  <si>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</si>
  <si>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</si>
  <si>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</si>
  <si>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</si>
  <si>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</si>
  <si>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</si>
  <si>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</si>
  <si>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</si>
  <si>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</si>
  <si>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</si>
  <si>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</si>
  <si>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</si>
  <si>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</si>
  <si>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</si>
  <si>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</si>
  <si>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</si>
  <si>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</si>
  <si>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</si>
  <si>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</si>
  <si>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</si>
  <si>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</si>
  <si>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</si>
  <si>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</si>
  <si>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</si>
  <si>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</si>
  <si>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</si>
  <si>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</si>
  <si>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</si>
  <si>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</si>
  <si>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</si>
  <si>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</si>
  <si>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</si>
  <si>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</si>
  <si>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</si>
  <si>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</si>
  <si>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</si>
  <si>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</si>
  <si>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</si>
  <si>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</si>
  <si>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</si>
  <si>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</si>
  <si>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</si>
  <si>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</si>
  <si>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</si>
  <si>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</si>
  <si>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</si>
  <si>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</si>
  <si>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</si>
  <si>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</si>
  <si>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</si>
  <si>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</si>
  <si>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</si>
  <si>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</si>
  <si>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</si>
  <si>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</si>
  <si>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</si>
  <si>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</si>
  <si>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</si>
  <si>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</si>
  <si>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</si>
  <si>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</si>
  <si>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</si>
  <si>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</si>
  <si>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</si>
  <si>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</si>
  <si>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</si>
  <si>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</si>
  <si>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</si>
  <si>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</si>
  <si>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</si>
  <si>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</si>
  <si>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</si>
  <si>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</si>
  <si>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</si>
  <si>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</si>
  <si>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</si>
  <si>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</si>
  <si>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</si>
  <si>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</si>
  <si>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</si>
  <si>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</si>
  <si>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</si>
  <si>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</si>
  <si>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</si>
  <si>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</si>
  <si>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</si>
  <si>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</si>
  <si>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</si>
  <si>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</si>
  <si>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</si>
  <si>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</si>
  <si>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</si>
  <si>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</si>
  <si>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</si>
  <si>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</si>
  <si>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</si>
  <si>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</si>
  <si>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</si>
  <si>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</si>
  <si>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</si>
  <si>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</si>
  <si>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</si>
  <si>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</si>
  <si>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</si>
  <si>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</si>
  <si>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</si>
  <si>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</si>
  <si>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</si>
  <si>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</si>
  <si>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</si>
  <si>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</si>
  <si>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</si>
  <si>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</si>
  <si>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</si>
  <si>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</si>
  <si>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</si>
  <si>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</si>
  <si>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</si>
  <si>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</si>
  <si>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</si>
  <si>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</si>
  <si>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</si>
  <si>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</si>
  <si>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</si>
  <si>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</si>
  <si>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</si>
  <si>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</si>
  <si>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</si>
  <si>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</si>
  <si>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</si>
  <si>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</si>
  <si>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</si>
  <si>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</si>
  <si>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</si>
  <si>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</si>
  <si>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</si>
  <si>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</si>
  <si>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</si>
  <si>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</si>
  <si>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</si>
  <si>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</si>
  <si>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</si>
  <si>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</si>
  <si>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</si>
  <si>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</si>
  <si>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</si>
  <si>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</si>
  <si>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</si>
  <si>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</si>
  <si>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</si>
  <si>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</si>
  <si>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</si>
  <si>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</si>
  <si>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</si>
  <si>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</si>
  <si>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</si>
  <si>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</si>
  <si>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</si>
  <si>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</si>
  <si>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</si>
  <si>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</si>
  <si>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</si>
  <si>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</si>
  <si>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</si>
  <si>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</si>
  <si>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</si>
  <si>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</si>
  <si>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</si>
  <si>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</si>
  <si>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</si>
  <si>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</si>
  <si>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</si>
  <si>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</si>
  <si>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</si>
  <si>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</si>
  <si>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</si>
  <si>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</si>
  <si>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</si>
  <si>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</si>
  <si>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</si>
  <si>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</si>
  <si>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</si>
  <si>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</si>
  <si>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</si>
  <si>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</si>
  <si>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</si>
  <si>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</si>
  <si>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</si>
  <si>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</si>
  <si>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</si>
  <si>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</si>
  <si>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</si>
  <si>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</si>
  <si>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</si>
  <si>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</si>
  <si>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</si>
  <si>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</si>
  <si>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</si>
  <si>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</si>
  <si>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</si>
  <si>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</si>
  <si>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</si>
  <si>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</si>
  <si>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</si>
  <si>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</si>
  <si>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</si>
  <si>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</si>
  <si>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</si>
  <si>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</si>
  <si>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</si>
  <si>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</si>
  <si>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</si>
  <si>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</si>
  <si>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</si>
  <si>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</si>
  <si>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</si>
  <si>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</si>
  <si>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</si>
  <si>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</si>
  <si>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</si>
  <si>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</si>
  <si>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</si>
  <si>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</si>
  <si>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</si>
  <si>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</si>
  <si>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</si>
  <si>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</si>
  <si>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</si>
  <si>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</si>
  <si>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</si>
  <si>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</si>
  <si>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</si>
  <si>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</si>
  <si>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</si>
  <si>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</si>
  <si>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</si>
  <si>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</si>
  <si>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</si>
  <si>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</si>
  <si>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</si>
  <si>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</si>
  <si>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</si>
  <si>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</si>
  <si>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</si>
  <si>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</si>
  <si>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</si>
  <si>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</si>
  <si>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</si>
  <si>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</si>
  <si>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</si>
  <si>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</si>
  <si>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</si>
  <si>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</si>
  <si>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</si>
  <si>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</si>
  <si>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</si>
  <si>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</si>
  <si>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</si>
  <si>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</si>
  <si>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</si>
  <si>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</si>
  <si>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</si>
  <si>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</si>
  <si>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</si>
  <si>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</si>
  <si>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</si>
  <si>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</si>
  <si>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</si>
  <si>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</si>
  <si>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</si>
  <si>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</si>
  <si>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</si>
  <si>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</si>
  <si>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</si>
  <si>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</si>
  <si>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</si>
  <si>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</si>
  <si>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</si>
  <si>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</si>
  <si>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</si>
  <si>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</si>
  <si>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</si>
  <si>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</si>
  <si>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</si>
  <si>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</si>
  <si>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</si>
  <si>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</si>
  <si>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</si>
  <si>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</si>
  <si>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</si>
  <si>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</si>
  <si>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</si>
  <si>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</si>
  <si>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</si>
  <si>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</si>
  <si>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</si>
  <si>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</si>
  <si>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</si>
  <si>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</si>
  <si>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</si>
  <si>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</si>
  <si>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</si>
  <si>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</si>
  <si>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</si>
  <si>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</si>
  <si>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</si>
  <si>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</si>
  <si>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</si>
  <si>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</si>
  <si>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</si>
  <si>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</si>
  <si>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</si>
  <si>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</si>
  <si>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</si>
  <si>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</si>
  <si>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</si>
  <si>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</si>
  <si>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</si>
  <si>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</si>
  <si>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</si>
  <si>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</si>
  <si>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</si>
  <si>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</si>
  <si>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</si>
  <si>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</si>
  <si>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</si>
  <si>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</si>
  <si>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</si>
  <si>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</si>
  <si>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</si>
  <si>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</si>
  <si>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</si>
  <si>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</si>
  <si>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</si>
  <si>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</si>
  <si>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</si>
  <si>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</si>
  <si>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</si>
  <si>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</si>
  <si>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</si>
  <si>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</si>
  <si>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</si>
  <si>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</si>
  <si>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</si>
  <si>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</si>
  <si>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</si>
  <si>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</si>
  <si>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</si>
  <si>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</si>
  <si>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</si>
  <si>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</si>
  <si>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</si>
  <si>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</si>
  <si>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</si>
  <si>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</si>
  <si>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</si>
  <si>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</si>
  <si>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</si>
  <si>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</si>
  <si>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</si>
  <si>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</si>
  <si>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</si>
  <si>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</si>
  <si>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</si>
  <si>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</si>
  <si>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</si>
  <si>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</si>
  <si>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</si>
  <si>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</si>
  <si>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</si>
  <si>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</si>
  <si>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</si>
  <si>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</si>
  <si>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</si>
  <si>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</si>
  <si>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</si>
  <si>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</si>
  <si>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</si>
  <si>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</si>
  <si>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</si>
  <si>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</si>
  <si>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</si>
  <si>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</si>
  <si>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</si>
  <si>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</si>
  <si>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</si>
  <si>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</si>
  <si>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</si>
  <si>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</si>
  <si>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</si>
  <si>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</si>
  <si>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</si>
  <si>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</si>
  <si>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</si>
  <si>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</si>
  <si>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</si>
  <si>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</si>
  <si>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</si>
  <si>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</si>
  <si>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</si>
  <si>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</si>
  <si>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</si>
  <si>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</si>
  <si>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</si>
  <si>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</si>
  <si>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</si>
  <si>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</si>
  <si>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</si>
  <si>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</si>
  <si>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</si>
  <si>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</si>
  <si>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</si>
  <si>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</si>
  <si>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</si>
  <si>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</si>
  <si>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</si>
  <si>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</si>
  <si>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</si>
  <si>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</si>
  <si>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</si>
  <si>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</si>
  <si>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</si>
  <si>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</si>
  <si>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</si>
  <si>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</si>
  <si>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</si>
  <si>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</si>
  <si>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</si>
  <si>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</si>
  <si>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</si>
  <si>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</si>
  <si>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</si>
  <si>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</si>
  <si>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</si>
  <si>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</si>
  <si>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</si>
  <si>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</si>
  <si>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</si>
  <si>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</si>
  <si>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</si>
  <si>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</si>
  <si>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</si>
  <si>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</si>
  <si>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</si>
  <si>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</si>
  <si>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</si>
  <si>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</si>
  <si>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</si>
  <si>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</si>
  <si>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</si>
  <si>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</si>
  <si>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</si>
  <si>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</si>
  <si>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</si>
  <si>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</si>
  <si>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</si>
  <si>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</si>
  <si>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</si>
  <si>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</si>
  <si>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</si>
  <si>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</si>
  <si>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</si>
  <si>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</si>
  <si>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</si>
  <si>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</si>
  <si>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</si>
  <si>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</si>
  <si>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</si>
  <si>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</si>
  <si>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</si>
  <si>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</si>
  <si>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</si>
  <si>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</si>
  <si>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</si>
  <si>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</si>
  <si>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</si>
  <si>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</si>
  <si>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</si>
  <si>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</si>
  <si>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</si>
  <si>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</si>
  <si>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</si>
  <si>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</si>
  <si>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</si>
  <si>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</si>
  <si>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</si>
  <si>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</si>
  <si>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</si>
  <si>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</si>
  <si>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</si>
  <si>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</si>
  <si>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</si>
  <si>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</si>
  <si>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</si>
  <si>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</si>
  <si>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</si>
  <si>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</si>
  <si>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</si>
  <si>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</si>
  <si>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007-211-20</t>
  </si>
  <si>
    <t>14/16 Tamalpais Avenue, Units 2 and 3</t>
  </si>
  <si>
    <t>PRO2018-0018</t>
  </si>
  <si>
    <t>2 to 4</t>
  </si>
  <si>
    <t>R</t>
  </si>
  <si>
    <t>005-172-33</t>
  </si>
  <si>
    <t>7 Wood Court</t>
  </si>
  <si>
    <t>PRO2018-0023</t>
  </si>
  <si>
    <t>SFD</t>
  </si>
  <si>
    <t>O</t>
  </si>
  <si>
    <t>006-181-45</t>
  </si>
  <si>
    <t>75 Crest, Unit A</t>
  </si>
  <si>
    <t>B2018-0227</t>
  </si>
  <si>
    <t>ADU</t>
  </si>
  <si>
    <t>005-271-04</t>
  </si>
  <si>
    <t>135 Woodside, Unit A</t>
  </si>
  <si>
    <t>B2018-0245</t>
  </si>
  <si>
    <t>006-241-39</t>
  </si>
  <si>
    <t>35 Entrada, Unit A</t>
  </si>
  <si>
    <t>B2018-0299</t>
  </si>
  <si>
    <t>007-063-10</t>
  </si>
  <si>
    <t>134 Scenic Avenue, Unit A</t>
  </si>
  <si>
    <t>B2018-0454</t>
  </si>
  <si>
    <t>006-074-40</t>
  </si>
  <si>
    <t>31 Nokomis, Unit A</t>
  </si>
  <si>
    <t>B2018-0516</t>
  </si>
  <si>
    <t>005-212-06</t>
  </si>
  <si>
    <t>77 Mountain View, Unit A</t>
  </si>
  <si>
    <t>B2018-0553</t>
  </si>
  <si>
    <t>007-064-39</t>
  </si>
  <si>
    <t>530 Scenic Avenue, Unit A</t>
  </si>
  <si>
    <t>B2018-0564</t>
  </si>
  <si>
    <t>005-191-03</t>
  </si>
  <si>
    <t>1654 A San Anselmo Avenue</t>
  </si>
  <si>
    <t>PRO2018-0072</t>
  </si>
  <si>
    <t xml:space="preserve">006-011-10 </t>
  </si>
  <si>
    <t>234  San Francisco Blvd. Unit A</t>
  </si>
  <si>
    <t>B2018-0696</t>
  </si>
  <si>
    <t>Yes-Approved</t>
  </si>
  <si>
    <t>Elise</t>
  </si>
  <si>
    <t>Semonian</t>
  </si>
  <si>
    <t>Planning Director</t>
  </si>
  <si>
    <t>esemonian@townofsananselmo.org</t>
  </si>
  <si>
    <t>525 San Anselmo Avenue</t>
  </si>
  <si>
    <t>006-023-03</t>
  </si>
  <si>
    <t>2 Alderny Road, Unit A</t>
  </si>
  <si>
    <t>MRSU2015-0001/B2018-0445</t>
  </si>
  <si>
    <t>006-254-12</t>
  </si>
  <si>
    <t>1 Lincoln Park</t>
  </si>
  <si>
    <t>Lincoln Park Residential Project</t>
  </si>
  <si>
    <t>B2016-0480</t>
  </si>
  <si>
    <t>5+</t>
  </si>
  <si>
    <t>007-302-09</t>
  </si>
  <si>
    <t>23 Belle Ave, 23 Belle Ave Unit A</t>
  </si>
  <si>
    <t>PRO2018-0037/B2016-0542</t>
  </si>
  <si>
    <t>006-115-17</t>
  </si>
  <si>
    <t>148 Knoll Road</t>
  </si>
  <si>
    <t>006-091-39</t>
  </si>
  <si>
    <t>754 Sir Francis Drake</t>
  </si>
  <si>
    <t>754 Sir Francis Drake Residential Project</t>
  </si>
  <si>
    <t>B2018-0327</t>
  </si>
  <si>
    <t>005-300-26</t>
  </si>
  <si>
    <t>111 Woodside Drive, Unit A</t>
  </si>
  <si>
    <t>B2017-0081</t>
  </si>
  <si>
    <t>007-051-02</t>
  </si>
  <si>
    <t>1382 San Anselmo Avenue</t>
  </si>
  <si>
    <t>B2017-0338</t>
  </si>
  <si>
    <t>005-052-29</t>
  </si>
  <si>
    <t>282 Butterfield Road, Unit A</t>
  </si>
  <si>
    <t>B2017-0632</t>
  </si>
  <si>
    <t>005-164-01</t>
  </si>
  <si>
    <t>14 Sunview, Unit A</t>
  </si>
  <si>
    <t>B2018-0180</t>
  </si>
  <si>
    <t>006-181-20</t>
  </si>
  <si>
    <t>31 Woodruff</t>
  </si>
  <si>
    <t>PRO2017-0055/B2018-0073</t>
  </si>
  <si>
    <t>007-162-13</t>
  </si>
  <si>
    <t>821 San Anselmo Avenue, Unit A</t>
  </si>
  <si>
    <t>B2017-0472</t>
  </si>
  <si>
    <t>007-095-50</t>
  </si>
  <si>
    <t>360 Redwood, Unit A</t>
  </si>
  <si>
    <t>B2017-0189</t>
  </si>
  <si>
    <t>007-091-05</t>
  </si>
  <si>
    <t>109 Floribel, Unit A</t>
  </si>
  <si>
    <t>B2017-0698</t>
  </si>
  <si>
    <t>006-091-13</t>
  </si>
  <si>
    <t>600 Red Hill Avenue</t>
  </si>
  <si>
    <t>600 Red Hill Residential Project</t>
  </si>
  <si>
    <t>PRO2015-0052</t>
  </si>
  <si>
    <t>PRO2018-0018/B2018-0642</t>
  </si>
  <si>
    <t>PRO2018-0023/B2018-0750</t>
  </si>
  <si>
    <t>Y</t>
  </si>
  <si>
    <t>Based on size of unit, location (hillside or close to amenities), attached or detached, condition (for example, legalized old construction in an understory versus new detached unit), and comparable rental prices</t>
  </si>
  <si>
    <r>
      <t xml:space="preserve">H1.A </t>
    </r>
    <r>
      <rPr>
        <b/>
        <sz val="9"/>
        <color theme="1"/>
        <rFont val="Arial"/>
        <family val="2"/>
      </rPr>
      <t>Create a Housing Element Implementation Subcommittee.</t>
    </r>
    <r>
      <rPr>
        <sz val="9"/>
        <color theme="1"/>
        <rFont val="Arial"/>
        <family val="2"/>
      </rPr>
      <t xml:space="preserve"> </t>
    </r>
  </si>
  <si>
    <t>Assistance in implementing Housing Element programs</t>
  </si>
  <si>
    <t>Establish Subcommittee in 2015 and develop work program in 2015</t>
  </si>
  <si>
    <r>
      <t xml:space="preserve">H1.B </t>
    </r>
    <r>
      <rPr>
        <b/>
        <sz val="9"/>
        <color theme="1"/>
        <rFont val="Arial"/>
        <family val="2"/>
      </rPr>
      <t>Review the Housing Element Annually.</t>
    </r>
    <r>
      <rPr>
        <sz val="9"/>
        <color theme="1"/>
        <rFont val="Arial"/>
        <family val="2"/>
      </rPr>
      <t xml:space="preserve"> </t>
    </r>
  </si>
  <si>
    <t>Review and monitoring of Housing Element implementation; submittal to HCD</t>
  </si>
  <si>
    <t>Annually by April 1st</t>
  </si>
  <si>
    <r>
      <t xml:space="preserve">H1.C </t>
    </r>
    <r>
      <rPr>
        <b/>
        <sz val="9"/>
        <color theme="1"/>
        <rFont val="Arial"/>
        <family val="2"/>
      </rPr>
      <t>Publicize Fair Housing Laws and Respond to Discrimination Complaints.</t>
    </r>
    <r>
      <rPr>
        <sz val="9"/>
        <color theme="1"/>
        <rFont val="Arial"/>
        <family val="2"/>
      </rPr>
      <t xml:space="preserve"> </t>
    </r>
  </si>
  <si>
    <t>Obtain and distribute materials (see Program H4.D) and respond to complaints</t>
  </si>
  <si>
    <t>Ongoing and in response to complaints</t>
  </si>
  <si>
    <r>
      <t xml:space="preserve">H1.D </t>
    </r>
    <r>
      <rPr>
        <b/>
        <sz val="9"/>
        <color theme="1"/>
        <rFont val="Arial"/>
        <family val="2"/>
      </rPr>
      <t>Provide Information on Housing Programs.</t>
    </r>
  </si>
  <si>
    <t>Objectives:  Update website and provide information to residents.</t>
  </si>
  <si>
    <t xml:space="preserve"> Review and update website links by September 2015; distribute and post information at least once annually</t>
  </si>
  <si>
    <r>
      <t xml:space="preserve">H1.E </t>
    </r>
    <r>
      <rPr>
        <b/>
        <sz val="9"/>
        <color theme="1"/>
        <rFont val="Arial"/>
        <family val="2"/>
      </rPr>
      <t>Community Outreach when Implementing Housing Element Programs.</t>
    </r>
    <r>
      <rPr>
        <sz val="9"/>
        <color theme="1"/>
        <rFont val="Arial"/>
        <family val="2"/>
      </rPr>
      <t xml:space="preserve"> </t>
    </r>
  </si>
  <si>
    <t>Conduct outreach and distribute materials</t>
  </si>
  <si>
    <t>Consistent with implementing programs</t>
  </si>
  <si>
    <t>Ongoing</t>
  </si>
  <si>
    <r>
      <t xml:space="preserve">H1.F   </t>
    </r>
    <r>
      <rPr>
        <b/>
        <sz val="9"/>
        <color theme="1"/>
        <rFont val="Arial"/>
        <family val="2"/>
      </rPr>
      <t>Work with the Marin Housing Authority.</t>
    </r>
    <r>
      <rPr>
        <sz val="9"/>
        <color theme="1"/>
        <rFont val="Arial"/>
        <family val="2"/>
      </rPr>
      <t xml:space="preserve"> </t>
    </r>
  </si>
  <si>
    <t>Implement agreements to maintain affordability</t>
  </si>
  <si>
    <r>
      <t xml:space="preserve">H1.G  </t>
    </r>
    <r>
      <rPr>
        <b/>
        <sz val="9"/>
        <color theme="1"/>
        <rFont val="Arial"/>
        <family val="2"/>
      </rPr>
      <t>Establish an Affordable Housing Fund.</t>
    </r>
    <r>
      <rPr>
        <sz val="9"/>
        <color theme="1"/>
        <rFont val="Arial"/>
        <family val="2"/>
      </rPr>
      <t xml:space="preserve"> </t>
    </r>
  </si>
  <si>
    <t>Accumulation of funds for affordable housing</t>
  </si>
  <si>
    <t xml:space="preserve">Not Completed </t>
  </si>
  <si>
    <r>
      <t xml:space="preserve">H1.H </t>
    </r>
    <r>
      <rPr>
        <b/>
        <sz val="9"/>
        <color theme="1"/>
        <rFont val="Arial"/>
        <family val="2"/>
      </rPr>
      <t>Work with Non-Profits on Housing.</t>
    </r>
    <r>
      <rPr>
        <sz val="9"/>
        <color theme="1"/>
        <rFont val="Arial"/>
        <family val="2"/>
      </rPr>
      <t xml:space="preserve">  </t>
    </r>
  </si>
  <si>
    <t>Working relationship with non-profit housing sponsors</t>
  </si>
  <si>
    <t>As development proposals are submitted and as other opportunities arise</t>
  </si>
  <si>
    <r>
      <t xml:space="preserve">H1.I </t>
    </r>
    <r>
      <rPr>
        <b/>
        <sz val="9"/>
        <color theme="1"/>
        <rFont val="Arial"/>
        <family val="2"/>
      </rPr>
      <t>Update the Housing Element.</t>
    </r>
    <r>
      <rPr>
        <sz val="9"/>
        <color theme="1"/>
        <rFont val="Arial"/>
        <family val="2"/>
      </rPr>
      <t xml:space="preserve">  </t>
    </r>
  </si>
  <si>
    <t>Consistency with Housing Element law</t>
  </si>
  <si>
    <t>Update the Housing Element by 2023</t>
  </si>
  <si>
    <r>
      <t xml:space="preserve">H2.A </t>
    </r>
    <r>
      <rPr>
        <b/>
        <sz val="9"/>
        <color theme="1"/>
        <rFont val="Arial"/>
        <family val="2"/>
      </rPr>
      <t>Monitor “At Risk” Units.</t>
    </r>
    <r>
      <rPr>
        <sz val="9"/>
        <color theme="1"/>
        <rFont val="Arial"/>
        <family val="2"/>
      </rPr>
      <t xml:space="preserve"> </t>
    </r>
  </si>
  <si>
    <t>Establish regular contact with owners of at risk units to preserve affordable units</t>
  </si>
  <si>
    <t>Annually</t>
  </si>
  <si>
    <r>
      <t xml:space="preserve">H2.B </t>
    </r>
    <r>
      <rPr>
        <b/>
        <sz val="9"/>
        <color theme="1"/>
        <rFont val="Arial"/>
        <family val="2"/>
      </rPr>
      <t>Implement Rehabilitation and Energy Loan Programs.</t>
    </r>
    <r>
      <rPr>
        <sz val="9"/>
        <color theme="1"/>
        <rFont val="Arial"/>
        <family val="2"/>
      </rPr>
      <t xml:space="preserve"> </t>
    </r>
  </si>
  <si>
    <t>Loans provided to rehabilitate or improve energy efficiency of housing (8 Residential Rehabilitation loans to very low income households and 20 PACE loans)</t>
  </si>
  <si>
    <r>
      <t xml:space="preserve">H2.C </t>
    </r>
    <r>
      <rPr>
        <b/>
        <sz val="9"/>
        <color theme="1"/>
        <rFont val="Arial"/>
        <family val="2"/>
      </rPr>
      <t xml:space="preserve">Conduct Home Presale Inspections. </t>
    </r>
  </si>
  <si>
    <t>Conduct presale inspections</t>
  </si>
  <si>
    <r>
      <t xml:space="preserve">H2.D </t>
    </r>
    <r>
      <rPr>
        <b/>
        <sz val="9"/>
        <color theme="1"/>
        <rFont val="Arial"/>
        <family val="2"/>
      </rPr>
      <t xml:space="preserve">Implement Effective Design Review. </t>
    </r>
  </si>
  <si>
    <r>
      <t xml:space="preserve">H2.E </t>
    </r>
    <r>
      <rPr>
        <b/>
        <sz val="9"/>
        <color theme="1"/>
        <rFont val="Arial"/>
        <family val="2"/>
      </rPr>
      <t>Amend Zoning to Provide for Single Room Occupancy Units.</t>
    </r>
    <r>
      <rPr>
        <sz val="9"/>
        <color theme="1"/>
        <rFont val="Arial"/>
        <family val="2"/>
      </rPr>
      <t xml:space="preserve"> </t>
    </r>
  </si>
  <si>
    <t>Facilitate housing for extremely low income individuals.</t>
  </si>
  <si>
    <r>
      <t xml:space="preserve">H3.A  </t>
    </r>
    <r>
      <rPr>
        <b/>
        <sz val="9"/>
        <color theme="1"/>
        <rFont val="Arial"/>
        <family val="2"/>
      </rPr>
      <t>Modify Development Standards to Encourage Infill Housing.</t>
    </r>
    <r>
      <rPr>
        <sz val="9"/>
        <color theme="1"/>
        <rFont val="Arial"/>
        <family val="2"/>
      </rPr>
      <t xml:space="preserve"> </t>
    </r>
  </si>
  <si>
    <t>Provide flexibility in the application of development standards fitting the location and type of development, consistent with community goals</t>
  </si>
  <si>
    <r>
      <t xml:space="preserve">H3.B   </t>
    </r>
    <r>
      <rPr>
        <b/>
        <sz val="9"/>
        <color theme="1"/>
        <rFont val="Arial"/>
        <family val="2"/>
      </rPr>
      <t>Adopt Standards for an “Affordable Housing Overlay Zone.”</t>
    </r>
    <r>
      <rPr>
        <sz val="9"/>
        <color theme="1"/>
        <rFont val="Arial"/>
        <family val="2"/>
      </rPr>
      <t xml:space="preserve"> </t>
    </r>
  </si>
  <si>
    <t>Provide flexibility in the application of development standards for affordable projects</t>
  </si>
  <si>
    <r>
      <t xml:space="preserve">H3.C  </t>
    </r>
    <r>
      <rPr>
        <b/>
        <sz val="9"/>
        <color theme="1"/>
        <rFont val="Arial"/>
        <family val="2"/>
      </rPr>
      <t>Adopt Inclusionary Housing Regulations and Establish Housing Impact Fees.</t>
    </r>
    <r>
      <rPr>
        <vertAlign val="superscript"/>
        <sz val="9"/>
        <color theme="1"/>
        <rFont val="Arial"/>
        <family val="2"/>
      </rPr>
      <t xml:space="preserve"> </t>
    </r>
  </si>
  <si>
    <t>Provide housing for very low, low and moderate income households</t>
  </si>
  <si>
    <r>
      <t xml:space="preserve">H3.D   </t>
    </r>
    <r>
      <rPr>
        <b/>
        <sz val="9"/>
        <color theme="1"/>
        <rFont val="Arial"/>
        <family val="2"/>
      </rPr>
      <t>Junior Second Units.</t>
    </r>
    <r>
      <rPr>
        <sz val="9"/>
        <color theme="1"/>
        <rFont val="Arial"/>
        <family val="2"/>
      </rPr>
      <t xml:space="preserve">  </t>
    </r>
  </si>
  <si>
    <t>18 new second units, including junior second units, by October 2022</t>
  </si>
  <si>
    <t>Consider adoption of standards in 2015</t>
  </si>
  <si>
    <t xml:space="preserve">The Town will work with special districts to reduce or waive fees for junior second units. </t>
  </si>
  <si>
    <t>Completed. Town Council wrote letters to sewer agency. State law eliminated connection fees for junior second units.</t>
  </si>
  <si>
    <r>
      <t xml:space="preserve">H3.E   </t>
    </r>
    <r>
      <rPr>
        <b/>
        <sz val="9"/>
        <color theme="1"/>
        <rFont val="Arial"/>
        <family val="2"/>
      </rPr>
      <t>Work with Non-Profits and Property Owners on Housing Opportunity Sites.</t>
    </r>
  </si>
  <si>
    <t>Development of affordable housing</t>
  </si>
  <si>
    <t>Undertake items a-d, above, during 2015. Undertake rezoning, environmental review and other actions during 2016</t>
  </si>
  <si>
    <r>
      <t xml:space="preserve">H4.A </t>
    </r>
    <r>
      <rPr>
        <b/>
        <sz val="9"/>
        <color theme="1"/>
        <rFont val="Arial"/>
        <family val="2"/>
      </rPr>
      <t>Use of Rental Assistance Programs.</t>
    </r>
    <r>
      <rPr>
        <sz val="9"/>
        <color theme="1"/>
        <rFont val="Arial"/>
        <family val="2"/>
      </rPr>
      <t xml:space="preserve"> </t>
    </r>
  </si>
  <si>
    <t>Publicity of Housing Choice Vouchers</t>
  </si>
  <si>
    <r>
      <t>H4.B</t>
    </r>
    <r>
      <rPr>
        <b/>
        <sz val="9"/>
        <color theme="1"/>
        <rFont val="Arial"/>
        <family val="2"/>
      </rPr>
      <t xml:space="preserve"> Investigate Possible Multi-Jurisdictional Emergency Shelter.</t>
    </r>
    <r>
      <rPr>
        <sz val="9"/>
        <color theme="1"/>
        <rFont val="Arial"/>
        <family val="2"/>
      </rPr>
      <t xml:space="preserve"> </t>
    </r>
  </si>
  <si>
    <t>Construction of homeless facility (if determined feasible)</t>
  </si>
  <si>
    <t>As the opportunity arises</t>
  </si>
  <si>
    <t>San Anselmo churches have historically participated in a rotational, emergency shelter program, known as the Rotating Emergency Shelter Team (REST) program. The program was discontinued in 2018.</t>
  </si>
  <si>
    <t>-</t>
  </si>
  <si>
    <t>In Progress or Partially Complete. In 2016 two Planning Commission members appointed to Subcommittee. Town scheduled to work on in 2019</t>
  </si>
  <si>
    <t>2015-2018 completed. Report submitted to State Housing and Community Development Department Annually.</t>
  </si>
  <si>
    <t>The Town did not receive any discrimination complaints in 2018. The Town posted links to Fair Housing of Marin and the Marin Housing Authority on its website and obtained and makes fair housing literature available. The Town Council adopted Ordinance 1131 to prohibit discrimination based on source of income on December 11, 2018.</t>
  </si>
  <si>
    <t xml:space="preserve">The Town Council has promoted fair housing by proclaiming April to be Fair Housing Month. The Town receives information from the Marin Housing Authority on affordable housing availability and posts this information on bulletin boards and social media. Staff promotes a County program that offers loans to owners that will create units available to those using Housing Choice Vouchers and other incentives. Staff abated an illegal unit on Saunders built along a creek and below flood levels and an illegal unit on Redwood with uninhabitable conditions in 2018. </t>
  </si>
  <si>
    <t xml:space="preserve">Ongoing Town continues community outreach when implementing Housing Element programs. </t>
  </si>
  <si>
    <t>Ongoing Marin Housing Authority (MHA) continues to manage three below market rate ownership units in San Anselmo at Sohner Court and at Willow Glen. MHA assisted Town with agreement for 2 affordable rental units at 1 Lincoln Park in 2018.</t>
  </si>
  <si>
    <t>Not Completed. This program has not yet been implemented. The Town Considered an in-lieu housing fee in 2009 but the ordinance did not move forward. In 2018 Town staff formed a housing work group with other Marin County agency staff and the group is discussing a County-wide housing fund.</t>
  </si>
  <si>
    <t>Ongoing. Town staff continues contact with nonprofit housing developers regarding high priority housing sites and seek information on how they may be developed.</t>
  </si>
  <si>
    <t xml:space="preserve">Ongoing. No at-risk units identified in 2018. Town would identify at risk units through the presale inspection process and then contact agencies who may be interested in managing or purchasing units. </t>
  </si>
  <si>
    <t xml:space="preserve">Ongoing. The Town continues to work with Marin Housing Authority as necessary to implement Residential Rehabilitation Loans.  In 2015 the Town adopted an ordinance that permits residents and multi-family property owners to participate in Property Assessed Clean Energy (PACE) programs.  PACE programs allow property owners to finance energy and water efficiency projects and solar installations on their property tax bills. The Town publicizes information on energy loan programs, including Energy Upgrade California Loans provided to rehabilitate or improve energy efficiency of housing. </t>
  </si>
  <si>
    <t>Completed. Ordinance 1126 adopted on 9/11/2018.</t>
  </si>
  <si>
    <t>In Progress or Partially Complete. Town subject to SB 35 in 2018 and approved one duplex applying only objective standards. Town will be developing objective design standards for multifamily projects in 2019.</t>
  </si>
  <si>
    <t>Not Completed. 2019 work program includes objective design review standards for multifamily developments that may involve overlay zone.</t>
  </si>
  <si>
    <t>In Progress or Partially Complete. Ordinance considered in 2009 but did not move forward. Staff to work with Affordable Housing Subcommittee on program. Town has budgeted funds to further housing programs and staff is scheduled to work on this issue in 2019.</t>
  </si>
  <si>
    <t>Completed. Planning Department reviewed existing regulations in 2015 and found no new standards necessary for Junior Second Units. Implementation of program would impose additional restrictions on development of housing. No Junior Second Units developed in 2018 but several Accessory Dwelling Units developed. More than 18 units have been approved.</t>
  </si>
  <si>
    <t>In Progress. Town staff continues to seek nonprofits to develop affordable housing. Town Council has budgeted funds towards development of objective design standards and has authorized staff to apply for SB 2 funds to assist with this program.</t>
  </si>
  <si>
    <t>Ongoing. Links to information provided on Town web site.</t>
  </si>
  <si>
    <t>No</t>
  </si>
  <si>
    <t>N</t>
  </si>
  <si>
    <t>PRO2015-0008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</si>
</sst>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222222"/>
      <name val="Arial"/>
      <family val="2"/>
    </font>
    <font>
      <b/>
      <sz val="9"/>
      <color theme="1"/>
      <name val="Arial"/>
      <family val="2"/>
    </font>
    <font>
      <vertAlign val="superscript"/>
      <sz val="9"/>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7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8"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39"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0"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3" fillId="0" borderId="15" xfId="0" applyFont="1" applyBorder="1" applyAlignment="1" applyProtection="1">
      <alignment vertical="top"/>
      <protection locked="0"/>
    </xf>
    <xf numFmtId="14" fontId="33" fillId="0" borderId="15" xfId="0" applyNumberFormat="1" applyFont="1" applyBorder="1" applyAlignment="1" applyProtection="1">
      <alignment horizontal="center" vertical="top"/>
      <protection locked="0"/>
    </xf>
    <xf numFmtId="0" fontId="3" fillId="0" borderId="15" xfId="0" applyFont="1" applyBorder="1" applyProtection="1">
      <protection locked="0"/>
    </xf>
    <xf numFmtId="14" fontId="3" fillId="0" borderId="15" xfId="0" applyNumberFormat="1" applyFont="1" applyBorder="1" applyAlignment="1" applyProtection="1">
      <alignment horizontal="center"/>
      <protection locked="0"/>
    </xf>
    <xf numFmtId="0" fontId="33" fillId="0" borderId="15" xfId="0" applyFont="1" applyBorder="1" applyAlignment="1" applyProtection="1">
      <alignment horizontal="center" vertical="top"/>
      <protection locked="0"/>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3" fillId="0" borderId="1" xfId="0" applyFont="1" applyBorder="1" applyAlignment="1" applyProtection="1">
      <alignment horizontal="right" wrapText="1"/>
      <protection locked="0"/>
    </xf>
    <xf numFmtId="0" fontId="3" fillId="0" borderId="15" xfId="0" applyFont="1" applyBorder="1" applyAlignment="1" applyProtection="1">
      <alignment vertical="top"/>
      <protection locked="0"/>
    </xf>
    <xf numFmtId="0" fontId="3" fillId="0" borderId="15" xfId="0" applyFont="1" applyBorder="1" applyAlignment="1" applyProtection="1">
      <alignment horizontal="center" vertical="top"/>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14" fontId="3"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3" fillId="0" borderId="38" xfId="0" applyFont="1" applyBorder="1" applyAlignment="1" applyProtection="1">
      <alignment vertical="center" wrapText="1"/>
      <protection locked="0"/>
    </xf>
    <xf numFmtId="0" fontId="27" fillId="0" borderId="56" xfId="0" applyFont="1" applyBorder="1" applyAlignment="1" applyProtection="1">
      <alignment vertical="center" wrapText="1"/>
      <protection locked="0"/>
    </xf>
    <xf numFmtId="0" fontId="3" fillId="0" borderId="42" xfId="0" applyFont="1" applyBorder="1" applyAlignment="1" applyProtection="1">
      <alignment vertical="center" wrapText="1"/>
      <protection locked="0"/>
    </xf>
    <xf numFmtId="0" fontId="27" fillId="0" borderId="57" xfId="0" applyFont="1" applyBorder="1" applyAlignment="1" applyProtection="1">
      <alignment vertical="center" wrapText="1"/>
      <protection locked="0"/>
    </xf>
    <xf numFmtId="0" fontId="3" fillId="0" borderId="40" xfId="0" applyFont="1" applyBorder="1" applyAlignment="1" applyProtection="1">
      <alignment vertical="center" wrapText="1"/>
      <protection locked="0"/>
    </xf>
    <xf numFmtId="0" fontId="3" fillId="0" borderId="42" xfId="0" applyFont="1" applyBorder="1" applyAlignment="1" applyProtection="1">
      <alignment horizontal="center" vertical="center" wrapText="1"/>
      <protection locked="0"/>
    </xf>
    <xf numFmtId="0" fontId="0" fillId="0" borderId="57" xfId="0" applyBorder="1" applyAlignment="1" applyProtection="1">
      <alignment vertical="top" wrapText="1"/>
      <protection locked="0"/>
    </xf>
    <xf numFmtId="0" fontId="3" fillId="0" borderId="40" xfId="0" applyFont="1" applyBorder="1" applyAlignment="1" applyProtection="1">
      <alignment vertical="top" wrapText="1"/>
      <protection locked="0"/>
    </xf>
    <xf numFmtId="0" fontId="3" fillId="0" borderId="40" xfId="0" applyFont="1" applyBorder="1" applyAlignment="1" applyProtection="1">
      <alignment horizontal="center" vertical="center" wrapText="1"/>
      <protection locked="0"/>
    </xf>
    <xf numFmtId="0" fontId="27" fillId="0" borderId="55" xfId="0" applyFont="1" applyBorder="1" applyAlignment="1" applyProtection="1">
      <alignment vertical="center" wrapText="1"/>
      <protection locked="0"/>
    </xf>
    <xf numFmtId="0" fontId="3" fillId="0" borderId="55" xfId="0" applyFont="1" applyBorder="1" applyAlignment="1" applyProtection="1">
      <alignment vertical="center" wrapText="1"/>
      <protection locked="0"/>
    </xf>
    <xf numFmtId="14" fontId="2"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horizontal="righ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3" borderId="1" xfId="0" applyFont="1" applyFill="1" applyBorder="1" applyAlignment="1" applyProtection="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27" fillId="0" borderId="55" xfId="0" applyFont="1" applyBorder="1" applyAlignment="1" applyProtection="1">
      <alignment vertical="center" wrapText="1"/>
      <protection locked="0"/>
    </xf>
    <xf numFmtId="0" fontId="27" fillId="0" borderId="56" xfId="0" applyFont="1" applyBorder="1" applyAlignment="1" applyProtection="1">
      <alignment vertical="center" wrapText="1"/>
      <protection locked="0"/>
    </xf>
    <xf numFmtId="0" fontId="27" fillId="0" borderId="57" xfId="0" applyFont="1" applyBorder="1" applyAlignment="1" applyProtection="1">
      <alignment vertical="center" wrapText="1"/>
      <protection locked="0"/>
    </xf>
    <xf numFmtId="0" fontId="3" fillId="0" borderId="55" xfId="0" applyFont="1" applyBorder="1" applyAlignment="1" applyProtection="1">
      <alignment horizontal="center" vertical="center" wrapText="1"/>
      <protection locked="0"/>
    </xf>
    <xf numFmtId="0" fontId="3" fillId="0" borderId="56" xfId="0" applyFont="1" applyBorder="1" applyAlignment="1" applyProtection="1">
      <alignment horizontal="center" vertical="center" wrapText="1"/>
      <protection locked="0"/>
    </xf>
    <xf numFmtId="0" fontId="3" fillId="0" borderId="57" xfId="0" applyFont="1" applyBorder="1" applyAlignment="1" applyProtection="1">
      <alignment horizontal="center" vertical="center" wrapText="1"/>
      <protection locked="0"/>
    </xf>
    <xf numFmtId="0" fontId="3" fillId="0" borderId="55" xfId="0" applyFont="1" applyBorder="1" applyAlignment="1" applyProtection="1">
      <alignment vertical="center" wrapText="1"/>
      <protection locked="0"/>
    </xf>
    <xf numFmtId="0" fontId="3" fillId="0" borderId="57" xfId="0" applyFont="1" applyBorder="1" applyAlignment="1" applyProtection="1">
      <alignment vertical="center" wrapText="1"/>
      <protection locked="0"/>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esemonian@townofsananselm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A17" sqref="A1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36" t="s">
        <v>130</v>
      </c>
      <c r="B1" s="337"/>
      <c r="C1" s="337"/>
      <c r="D1" s="337"/>
      <c r="E1" s="337"/>
      <c r="F1" s="33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45" t="s">
        <v>51</v>
      </c>
      <c r="B3" s="346"/>
      <c r="C3" s="347"/>
      <c r="E3" s="339" t="s">
        <v>131</v>
      </c>
      <c r="F3" s="340"/>
    </row>
    <row r="4" spans="1:12" ht="21.6" customHeight="1" x14ac:dyDescent="0.25">
      <c r="A4" s="30" t="s">
        <v>125</v>
      </c>
      <c r="B4" s="350" t="s">
        <v>1322</v>
      </c>
      <c r="C4" s="351"/>
      <c r="D4" s="24"/>
      <c r="E4" s="341" t="s">
        <v>1377</v>
      </c>
      <c r="F4" s="342"/>
      <c r="L4" s="23"/>
    </row>
    <row r="5" spans="1:12" ht="21.6" customHeight="1" thickBot="1" x14ac:dyDescent="0.3">
      <c r="A5" s="31" t="s">
        <v>126</v>
      </c>
      <c r="B5" s="348">
        <v>2018</v>
      </c>
      <c r="C5" s="349"/>
      <c r="D5" s="23"/>
      <c r="E5" s="341"/>
      <c r="F5" s="342"/>
      <c r="G5" s="23"/>
      <c r="H5" s="23"/>
      <c r="I5" s="23"/>
      <c r="J5" s="23"/>
      <c r="K5" s="23"/>
      <c r="L5" s="23"/>
    </row>
    <row r="6" spans="1:12" ht="21.6" customHeight="1" x14ac:dyDescent="0.25">
      <c r="A6" s="352" t="s">
        <v>124</v>
      </c>
      <c r="B6" s="353"/>
      <c r="C6" s="354"/>
      <c r="D6" s="23"/>
      <c r="E6" s="341"/>
      <c r="F6" s="342"/>
      <c r="G6" s="23"/>
      <c r="H6" s="23"/>
      <c r="I6" s="23"/>
      <c r="J6" s="23"/>
      <c r="K6" s="23"/>
      <c r="L6" s="23"/>
    </row>
    <row r="7" spans="1:12" ht="21.6" customHeight="1" x14ac:dyDescent="0.25">
      <c r="A7" s="29" t="s">
        <v>121</v>
      </c>
      <c r="B7" s="355" t="s">
        <v>1421</v>
      </c>
      <c r="C7" s="356"/>
      <c r="D7" s="25"/>
      <c r="E7" s="341"/>
      <c r="F7" s="342"/>
      <c r="G7" s="23"/>
      <c r="H7" s="23"/>
      <c r="I7" s="23"/>
      <c r="J7" s="23"/>
      <c r="K7" s="23"/>
      <c r="L7" s="23"/>
    </row>
    <row r="8" spans="1:12" ht="21.6" customHeight="1" x14ac:dyDescent="0.25">
      <c r="A8" s="30" t="s">
        <v>122</v>
      </c>
      <c r="B8" s="355" t="s">
        <v>1422</v>
      </c>
      <c r="C8" s="356"/>
      <c r="D8" s="23"/>
      <c r="E8" s="341"/>
      <c r="F8" s="342"/>
      <c r="G8" s="23"/>
      <c r="H8" s="23"/>
      <c r="I8" s="23"/>
      <c r="J8" s="23"/>
      <c r="K8" s="23"/>
      <c r="L8" s="23"/>
    </row>
    <row r="9" spans="1:12" ht="21.6" customHeight="1" x14ac:dyDescent="0.25">
      <c r="A9" s="30" t="s">
        <v>127</v>
      </c>
      <c r="B9" s="355" t="s">
        <v>1423</v>
      </c>
      <c r="C9" s="356"/>
      <c r="D9" s="23"/>
      <c r="E9" s="341"/>
      <c r="F9" s="342"/>
      <c r="G9" s="23"/>
      <c r="H9" s="23"/>
      <c r="I9" s="23"/>
      <c r="J9" s="23"/>
      <c r="K9" s="23"/>
      <c r="L9" s="23"/>
    </row>
    <row r="10" spans="1:12" ht="21.6" customHeight="1" x14ac:dyDescent="0.25">
      <c r="A10" s="30" t="s">
        <v>128</v>
      </c>
      <c r="B10" s="357" t="s">
        <v>1424</v>
      </c>
      <c r="C10" s="356"/>
      <c r="D10" s="23"/>
      <c r="E10" s="341"/>
      <c r="F10" s="342"/>
      <c r="G10" s="23"/>
      <c r="H10" s="23"/>
      <c r="I10" s="23"/>
      <c r="J10" s="23"/>
      <c r="K10" s="23"/>
      <c r="L10" s="23"/>
    </row>
    <row r="11" spans="1:12" ht="21.6" customHeight="1" thickBot="1" x14ac:dyDescent="0.3">
      <c r="A11" s="32" t="s">
        <v>129</v>
      </c>
      <c r="B11" s="358">
        <v>4152584636</v>
      </c>
      <c r="C11" s="359"/>
      <c r="D11" s="23"/>
      <c r="E11" s="341"/>
      <c r="F11" s="342"/>
      <c r="G11" s="23"/>
      <c r="H11" s="23"/>
      <c r="I11" s="23"/>
      <c r="J11" s="23"/>
      <c r="K11" s="23"/>
      <c r="L11" s="23"/>
    </row>
    <row r="12" spans="1:12" ht="21.6" customHeight="1" x14ac:dyDescent="0.25">
      <c r="A12" s="360" t="s">
        <v>123</v>
      </c>
      <c r="B12" s="361"/>
      <c r="C12" s="362"/>
      <c r="D12" s="23"/>
      <c r="E12" s="341"/>
      <c r="F12" s="342"/>
      <c r="G12" s="23"/>
      <c r="H12" s="23"/>
      <c r="I12" s="23"/>
      <c r="J12" s="23"/>
      <c r="K12" s="23"/>
      <c r="L12" s="23"/>
    </row>
    <row r="13" spans="1:12" ht="21.6" customHeight="1" x14ac:dyDescent="0.25">
      <c r="A13" s="28" t="s">
        <v>2</v>
      </c>
      <c r="B13" s="332" t="s">
        <v>1425</v>
      </c>
      <c r="C13" s="333"/>
      <c r="D13" s="26"/>
      <c r="E13" s="341"/>
      <c r="F13" s="342"/>
      <c r="G13" s="26"/>
      <c r="H13" s="26"/>
      <c r="I13" s="26"/>
      <c r="J13" s="26"/>
      <c r="K13" s="26"/>
      <c r="L13" s="23"/>
    </row>
    <row r="14" spans="1:12" ht="21.6" customHeight="1" x14ac:dyDescent="0.25">
      <c r="A14" s="27" t="s">
        <v>119</v>
      </c>
      <c r="B14" s="334" t="s">
        <v>1322</v>
      </c>
      <c r="C14" s="334"/>
      <c r="D14" s="23"/>
      <c r="E14" s="341"/>
      <c r="F14" s="342"/>
      <c r="G14" s="23"/>
      <c r="H14" s="23"/>
      <c r="I14" s="23"/>
      <c r="J14" s="23"/>
      <c r="K14" s="23"/>
      <c r="L14" s="23"/>
    </row>
    <row r="15" spans="1:12" ht="21.6" customHeight="1" thickBot="1" x14ac:dyDescent="0.3">
      <c r="A15" s="27" t="s">
        <v>120</v>
      </c>
      <c r="B15" s="335">
        <v>94960</v>
      </c>
      <c r="C15" s="335"/>
      <c r="D15" s="24"/>
      <c r="E15" s="343"/>
      <c r="F15" s="344"/>
      <c r="H15" s="24"/>
      <c r="I15" s="24"/>
      <c r="J15" s="24"/>
      <c r="K15" s="24"/>
      <c r="L15" s="23"/>
    </row>
    <row r="16" spans="1:12" ht="14.45" customHeight="1" x14ac:dyDescent="0.2">
      <c r="D16" s="20"/>
      <c r="E16" s="270" t="s">
        <v>1380</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E1" zoomScale="90" zoomScaleNormal="90" zoomScaleSheetLayoutView="50" zoomScalePageLayoutView="80" workbookViewId="0">
      <pane ySplit="12" topLeftCell="A21" activePane="bottomLeft" state="frozen"/>
      <selection pane="bottomLeft" activeCell="T21" sqref="T21"/>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85" t="s">
        <v>8</v>
      </c>
      <c r="B1" s="385"/>
      <c r="C1" s="385"/>
      <c r="D1" s="385"/>
      <c r="E1" s="385"/>
      <c r="F1" s="385"/>
      <c r="G1" s="385"/>
      <c r="H1" s="385"/>
      <c r="I1" s="385"/>
      <c r="J1" s="385"/>
      <c r="K1" s="385"/>
      <c r="L1" s="385"/>
      <c r="M1" s="385"/>
      <c r="N1" s="385"/>
      <c r="O1" s="385"/>
      <c r="P1" s="385"/>
      <c r="Q1" s="385"/>
      <c r="R1" s="385"/>
      <c r="S1" s="385"/>
      <c r="T1" s="385"/>
      <c r="U1" s="3"/>
      <c r="V1" s="3"/>
      <c r="W1" s="3"/>
    </row>
    <row r="2" spans="1:23" s="217" customFormat="1" ht="27.75" customHeight="1" x14ac:dyDescent="0.35">
      <c r="A2" s="385" t="s">
        <v>9</v>
      </c>
      <c r="B2" s="385"/>
      <c r="C2" s="385"/>
      <c r="D2" s="385"/>
      <c r="E2" s="385"/>
      <c r="F2" s="385"/>
      <c r="G2" s="385"/>
      <c r="H2" s="385"/>
      <c r="I2" s="385"/>
      <c r="J2" s="385"/>
      <c r="K2" s="385"/>
      <c r="L2" s="385"/>
      <c r="M2" s="385"/>
      <c r="N2" s="385"/>
      <c r="O2" s="385"/>
      <c r="P2" s="385"/>
      <c r="Q2" s="385"/>
      <c r="R2" s="385"/>
      <c r="S2" s="385"/>
      <c r="T2" s="385"/>
      <c r="U2" s="4"/>
      <c r="V2" s="4"/>
      <c r="W2" s="4"/>
    </row>
    <row r="3" spans="1:23" s="217" customFormat="1" ht="15.75" customHeight="1" x14ac:dyDescent="0.2">
      <c r="A3" s="386" t="s">
        <v>1375</v>
      </c>
      <c r="B3" s="386"/>
      <c r="C3" s="386"/>
      <c r="D3" s="386"/>
      <c r="E3" s="386"/>
      <c r="F3" s="386"/>
      <c r="G3" s="386"/>
      <c r="H3" s="386"/>
      <c r="I3" s="386"/>
      <c r="J3" s="386"/>
      <c r="K3" s="386"/>
      <c r="L3" s="386"/>
      <c r="M3" s="386"/>
      <c r="N3" s="386"/>
      <c r="O3" s="386"/>
      <c r="P3" s="386"/>
      <c r="Q3" s="386"/>
      <c r="R3" s="386"/>
      <c r="S3" s="386"/>
      <c r="T3" s="386"/>
      <c r="U3" s="21"/>
      <c r="V3" s="21"/>
      <c r="W3" s="21"/>
    </row>
    <row r="4" spans="1:23" s="2" customFormat="1" ht="21" customHeight="1" x14ac:dyDescent="0.2">
      <c r="A4" s="256" t="s">
        <v>10</v>
      </c>
      <c r="B4" s="201" t="str">
        <f>'Start Here'!B4:D4</f>
        <v>San Anselmo</v>
      </c>
      <c r="C4" s="257"/>
      <c r="L4" s="379" t="s">
        <v>1374</v>
      </c>
      <c r="M4" s="380"/>
      <c r="N4" s="380"/>
      <c r="O4" s="381"/>
    </row>
    <row r="5" spans="1:23" s="2" customFormat="1" ht="25.5" customHeight="1" x14ac:dyDescent="0.2">
      <c r="A5" s="258" t="s">
        <v>36</v>
      </c>
      <c r="B5" s="202">
        <f>'Start Here'!B5</f>
        <v>2018</v>
      </c>
      <c r="C5" s="260" t="str">
        <f>'Table A2'!C5</f>
        <v>(Jan. 1 - Dec. 31)</v>
      </c>
      <c r="D5" s="7"/>
      <c r="L5" s="382" t="s">
        <v>106</v>
      </c>
      <c r="M5" s="383"/>
      <c r="N5" s="383"/>
      <c r="O5" s="384"/>
    </row>
    <row r="6" spans="1:23" s="217" customFormat="1" x14ac:dyDescent="0.2"/>
    <row r="7" spans="1:23" s="16" customFormat="1" ht="18" x14ac:dyDescent="0.25">
      <c r="A7" s="376" t="s">
        <v>0</v>
      </c>
      <c r="B7" s="377"/>
      <c r="C7" s="377"/>
      <c r="D7" s="377"/>
      <c r="E7" s="377"/>
      <c r="F7" s="377"/>
      <c r="G7" s="377"/>
      <c r="H7" s="377"/>
      <c r="I7" s="377"/>
      <c r="J7" s="377"/>
      <c r="K7" s="377"/>
      <c r="L7" s="377"/>
      <c r="M7" s="377"/>
      <c r="N7" s="377"/>
      <c r="O7" s="377"/>
      <c r="P7" s="377"/>
      <c r="Q7" s="377"/>
      <c r="R7" s="377"/>
      <c r="S7" s="377"/>
      <c r="T7" s="378"/>
    </row>
    <row r="8" spans="1:23" s="16" customFormat="1" ht="22.9" customHeight="1" x14ac:dyDescent="0.2">
      <c r="A8" s="373" t="s">
        <v>64</v>
      </c>
      <c r="B8" s="374"/>
      <c r="C8" s="374"/>
      <c r="D8" s="374"/>
      <c r="E8" s="374"/>
      <c r="F8" s="374"/>
      <c r="G8" s="374"/>
      <c r="H8" s="374"/>
      <c r="I8" s="374"/>
      <c r="J8" s="374"/>
      <c r="K8" s="374"/>
      <c r="L8" s="374"/>
      <c r="M8" s="374"/>
      <c r="N8" s="374"/>
      <c r="O8" s="374"/>
      <c r="P8" s="374"/>
      <c r="Q8" s="374"/>
      <c r="R8" s="374"/>
      <c r="S8" s="374"/>
      <c r="T8" s="375"/>
    </row>
    <row r="9" spans="1:23" s="16" customFormat="1" ht="68.45" customHeight="1" x14ac:dyDescent="0.2">
      <c r="A9" s="368" t="s">
        <v>43</v>
      </c>
      <c r="B9" s="369"/>
      <c r="C9" s="369"/>
      <c r="D9" s="369"/>
      <c r="E9" s="370"/>
      <c r="F9" s="368" t="s">
        <v>112</v>
      </c>
      <c r="G9" s="370"/>
      <c r="H9" s="192" t="s">
        <v>63</v>
      </c>
      <c r="I9" s="368" t="s">
        <v>1363</v>
      </c>
      <c r="J9" s="371"/>
      <c r="K9" s="371"/>
      <c r="L9" s="371"/>
      <c r="M9" s="371"/>
      <c r="N9" s="371"/>
      <c r="O9" s="371"/>
      <c r="P9" s="372"/>
      <c r="Q9" s="192" t="s">
        <v>1364</v>
      </c>
      <c r="R9" s="192" t="s">
        <v>1365</v>
      </c>
      <c r="S9" s="192" t="s">
        <v>113</v>
      </c>
      <c r="T9" s="192" t="s">
        <v>58</v>
      </c>
    </row>
    <row r="10" spans="1:23" s="17" customFormat="1" x14ac:dyDescent="0.2">
      <c r="A10" s="364">
        <v>1</v>
      </c>
      <c r="B10" s="365"/>
      <c r="C10" s="365"/>
      <c r="D10" s="366"/>
      <c r="E10" s="367"/>
      <c r="F10" s="183">
        <v>2</v>
      </c>
      <c r="G10" s="179">
        <v>3</v>
      </c>
      <c r="H10" s="179">
        <v>4</v>
      </c>
      <c r="I10" s="363">
        <v>5</v>
      </c>
      <c r="J10" s="363"/>
      <c r="K10" s="363"/>
      <c r="L10" s="363"/>
      <c r="M10" s="363"/>
      <c r="N10" s="363"/>
      <c r="O10" s="363"/>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0</v>
      </c>
      <c r="K12" s="278">
        <f t="shared" si="0"/>
        <v>0</v>
      </c>
      <c r="L12" s="278">
        <f t="shared" si="0"/>
        <v>2</v>
      </c>
      <c r="M12" s="278">
        <f t="shared" si="0"/>
        <v>0</v>
      </c>
      <c r="N12" s="278">
        <f t="shared" si="0"/>
        <v>7</v>
      </c>
      <c r="O12" s="278">
        <f t="shared" si="0"/>
        <v>3</v>
      </c>
      <c r="P12" s="278">
        <f>SUM(P13:P1000)</f>
        <v>12</v>
      </c>
      <c r="Q12" s="278">
        <f>SUM(Q13:Q1000)</f>
        <v>12</v>
      </c>
      <c r="R12" s="278">
        <f>SUM(R13:R1000)</f>
        <v>0</v>
      </c>
      <c r="S12" s="279">
        <f>COUNTIF(S13:S1000,"*Yes*")</f>
        <v>1</v>
      </c>
      <c r="T12" s="280"/>
    </row>
    <row r="13" spans="1:23" x14ac:dyDescent="0.2">
      <c r="A13" s="288" t="s">
        <v>1382</v>
      </c>
      <c r="B13" s="288" t="s">
        <v>1382</v>
      </c>
      <c r="C13" s="288" t="s">
        <v>1383</v>
      </c>
      <c r="D13" s="288" t="s">
        <v>1383</v>
      </c>
      <c r="E13" s="146" t="s">
        <v>1384</v>
      </c>
      <c r="F13" s="146" t="s">
        <v>1385</v>
      </c>
      <c r="G13" s="146" t="s">
        <v>1386</v>
      </c>
      <c r="H13" s="289">
        <v>43161</v>
      </c>
      <c r="I13" s="146"/>
      <c r="J13" s="146"/>
      <c r="K13" s="146"/>
      <c r="L13" s="146"/>
      <c r="M13" s="146"/>
      <c r="N13" s="146"/>
      <c r="O13" s="146">
        <v>2</v>
      </c>
      <c r="P13" s="272">
        <f t="shared" ref="P13:P76" si="1">SUM(I13:O13)</f>
        <v>2</v>
      </c>
      <c r="Q13" s="146">
        <v>2</v>
      </c>
      <c r="R13" s="146">
        <f>P13-Q13</f>
        <v>0</v>
      </c>
      <c r="S13" s="146" t="s">
        <v>1420</v>
      </c>
      <c r="T13" s="269"/>
    </row>
    <row r="14" spans="1:23" x14ac:dyDescent="0.2">
      <c r="A14" s="288" t="s">
        <v>1387</v>
      </c>
      <c r="B14" s="288" t="s">
        <v>1387</v>
      </c>
      <c r="C14" s="288" t="s">
        <v>1388</v>
      </c>
      <c r="D14" s="288" t="s">
        <v>1388</v>
      </c>
      <c r="E14" s="146" t="s">
        <v>1389</v>
      </c>
      <c r="F14" s="146" t="s">
        <v>1390</v>
      </c>
      <c r="G14" s="146" t="s">
        <v>1391</v>
      </c>
      <c r="H14" s="289">
        <v>43180</v>
      </c>
      <c r="I14" s="146"/>
      <c r="J14" s="146"/>
      <c r="K14" s="146"/>
      <c r="L14" s="146"/>
      <c r="M14" s="146"/>
      <c r="N14" s="146"/>
      <c r="O14" s="146">
        <v>1</v>
      </c>
      <c r="P14" s="272">
        <f>SUM(I14:O14)</f>
        <v>1</v>
      </c>
      <c r="Q14" s="146">
        <v>1</v>
      </c>
      <c r="R14" s="146">
        <f t="shared" ref="R14:R22" si="2">P14-Q14</f>
        <v>0</v>
      </c>
      <c r="S14" s="146" t="s">
        <v>1550</v>
      </c>
      <c r="T14" s="269"/>
    </row>
    <row r="15" spans="1:23" x14ac:dyDescent="0.2">
      <c r="A15" s="290" t="s">
        <v>1392</v>
      </c>
      <c r="B15" s="290" t="s">
        <v>1392</v>
      </c>
      <c r="C15" s="290" t="s">
        <v>1393</v>
      </c>
      <c r="D15" s="290" t="s">
        <v>1393</v>
      </c>
      <c r="E15" s="146" t="s">
        <v>1394</v>
      </c>
      <c r="F15" s="146" t="s">
        <v>1395</v>
      </c>
      <c r="G15" s="146" t="s">
        <v>1386</v>
      </c>
      <c r="H15" s="291">
        <v>43221</v>
      </c>
      <c r="I15" s="146"/>
      <c r="J15" s="146"/>
      <c r="K15" s="146"/>
      <c r="L15" s="146">
        <v>1</v>
      </c>
      <c r="M15" s="146"/>
      <c r="N15" s="146"/>
      <c r="O15" s="146"/>
      <c r="P15" s="272">
        <f>SUM(I15:O15)</f>
        <v>1</v>
      </c>
      <c r="Q15" s="146">
        <v>1</v>
      </c>
      <c r="R15" s="146">
        <f t="shared" si="2"/>
        <v>0</v>
      </c>
      <c r="S15" s="146" t="s">
        <v>1550</v>
      </c>
      <c r="T15" s="269"/>
    </row>
    <row r="16" spans="1:23" x14ac:dyDescent="0.2">
      <c r="A16" s="288" t="s">
        <v>1396</v>
      </c>
      <c r="B16" s="288" t="s">
        <v>1396</v>
      </c>
      <c r="C16" s="288" t="s">
        <v>1397</v>
      </c>
      <c r="D16" s="288" t="s">
        <v>1397</v>
      </c>
      <c r="E16" s="146" t="s">
        <v>1398</v>
      </c>
      <c r="F16" s="146" t="s">
        <v>1395</v>
      </c>
      <c r="G16" s="146" t="s">
        <v>1386</v>
      </c>
      <c r="H16" s="289">
        <v>43227</v>
      </c>
      <c r="I16" s="146"/>
      <c r="J16" s="146"/>
      <c r="K16" s="146"/>
      <c r="L16" s="146"/>
      <c r="M16" s="146"/>
      <c r="N16" s="146">
        <v>1</v>
      </c>
      <c r="O16" s="146"/>
      <c r="P16" s="272">
        <f t="shared" si="1"/>
        <v>1</v>
      </c>
      <c r="Q16" s="146">
        <v>1</v>
      </c>
      <c r="R16" s="146">
        <f t="shared" si="2"/>
        <v>0</v>
      </c>
      <c r="S16" s="146" t="s">
        <v>1550</v>
      </c>
      <c r="T16" s="269"/>
    </row>
    <row r="17" spans="1:20" x14ac:dyDescent="0.2">
      <c r="A17" s="288" t="s">
        <v>1399</v>
      </c>
      <c r="B17" s="288" t="s">
        <v>1399</v>
      </c>
      <c r="C17" s="288" t="s">
        <v>1400</v>
      </c>
      <c r="D17" s="288" t="s">
        <v>1400</v>
      </c>
      <c r="E17" s="146" t="s">
        <v>1401</v>
      </c>
      <c r="F17" s="146" t="s">
        <v>1395</v>
      </c>
      <c r="G17" s="146" t="s">
        <v>1386</v>
      </c>
      <c r="H17" s="289">
        <v>43244</v>
      </c>
      <c r="I17" s="146"/>
      <c r="J17" s="146"/>
      <c r="K17" s="146"/>
      <c r="L17" s="146">
        <v>1</v>
      </c>
      <c r="M17" s="146"/>
      <c r="N17" s="146"/>
      <c r="O17" s="146"/>
      <c r="P17" s="272">
        <f t="shared" si="1"/>
        <v>1</v>
      </c>
      <c r="Q17" s="146">
        <v>1</v>
      </c>
      <c r="R17" s="146">
        <f t="shared" si="2"/>
        <v>0</v>
      </c>
      <c r="S17" s="146" t="s">
        <v>1550</v>
      </c>
      <c r="T17" s="269"/>
    </row>
    <row r="18" spans="1:20" x14ac:dyDescent="0.2">
      <c r="A18" s="288" t="s">
        <v>1402</v>
      </c>
      <c r="B18" s="288" t="s">
        <v>1402</v>
      </c>
      <c r="C18" s="288" t="s">
        <v>1403</v>
      </c>
      <c r="D18" s="288" t="s">
        <v>1403</v>
      </c>
      <c r="E18" s="146" t="s">
        <v>1404</v>
      </c>
      <c r="F18" s="146" t="s">
        <v>1395</v>
      </c>
      <c r="G18" s="146" t="s">
        <v>1386</v>
      </c>
      <c r="H18" s="289">
        <v>43305</v>
      </c>
      <c r="I18" s="146"/>
      <c r="J18" s="146"/>
      <c r="K18" s="146"/>
      <c r="L18" s="146"/>
      <c r="M18" s="146"/>
      <c r="N18" s="146">
        <v>1</v>
      </c>
      <c r="O18" s="146"/>
      <c r="P18" s="272">
        <f t="shared" si="1"/>
        <v>1</v>
      </c>
      <c r="Q18" s="146">
        <v>1</v>
      </c>
      <c r="R18" s="146">
        <f t="shared" si="2"/>
        <v>0</v>
      </c>
      <c r="S18" s="146" t="s">
        <v>1550</v>
      </c>
      <c r="T18" s="269"/>
    </row>
    <row r="19" spans="1:20" x14ac:dyDescent="0.2">
      <c r="A19" s="288" t="s">
        <v>1405</v>
      </c>
      <c r="B19" s="288" t="s">
        <v>1405</v>
      </c>
      <c r="C19" s="288" t="s">
        <v>1406</v>
      </c>
      <c r="D19" s="288" t="s">
        <v>1406</v>
      </c>
      <c r="E19" s="146" t="s">
        <v>1407</v>
      </c>
      <c r="F19" s="146" t="s">
        <v>1395</v>
      </c>
      <c r="G19" s="146" t="s">
        <v>1386</v>
      </c>
      <c r="H19" s="289">
        <v>43336</v>
      </c>
      <c r="I19" s="146"/>
      <c r="J19" s="146"/>
      <c r="K19" s="146"/>
      <c r="L19" s="146"/>
      <c r="M19" s="146"/>
      <c r="N19" s="146">
        <v>1</v>
      </c>
      <c r="O19" s="146"/>
      <c r="P19" s="272">
        <f t="shared" si="1"/>
        <v>1</v>
      </c>
      <c r="Q19" s="146">
        <v>1</v>
      </c>
      <c r="R19" s="146">
        <f t="shared" si="2"/>
        <v>0</v>
      </c>
      <c r="S19" s="146" t="s">
        <v>1550</v>
      </c>
      <c r="T19" s="269"/>
    </row>
    <row r="20" spans="1:20" x14ac:dyDescent="0.2">
      <c r="A20" s="288" t="s">
        <v>1408</v>
      </c>
      <c r="B20" s="288" t="s">
        <v>1408</v>
      </c>
      <c r="C20" s="288" t="s">
        <v>1409</v>
      </c>
      <c r="D20" s="288" t="s">
        <v>1409</v>
      </c>
      <c r="E20" s="146" t="s">
        <v>1410</v>
      </c>
      <c r="F20" s="146" t="s">
        <v>1395</v>
      </c>
      <c r="G20" s="146" t="s">
        <v>1386</v>
      </c>
      <c r="H20" s="289">
        <v>43349</v>
      </c>
      <c r="I20" s="146"/>
      <c r="J20" s="146"/>
      <c r="K20" s="146"/>
      <c r="L20" s="146"/>
      <c r="M20" s="146"/>
      <c r="N20" s="146">
        <v>1</v>
      </c>
      <c r="O20" s="146"/>
      <c r="P20" s="272">
        <f t="shared" si="1"/>
        <v>1</v>
      </c>
      <c r="Q20" s="146">
        <v>1</v>
      </c>
      <c r="R20" s="146">
        <f t="shared" si="2"/>
        <v>0</v>
      </c>
      <c r="S20" s="146" t="s">
        <v>1550</v>
      </c>
      <c r="T20" s="269"/>
    </row>
    <row r="21" spans="1:20" x14ac:dyDescent="0.2">
      <c r="A21" s="288" t="s">
        <v>1411</v>
      </c>
      <c r="B21" s="288" t="s">
        <v>1411</v>
      </c>
      <c r="C21" s="288" t="s">
        <v>1412</v>
      </c>
      <c r="D21" s="288" t="s">
        <v>1412</v>
      </c>
      <c r="E21" s="146" t="s">
        <v>1413</v>
      </c>
      <c r="F21" s="146" t="s">
        <v>1395</v>
      </c>
      <c r="G21" s="146" t="s">
        <v>1386</v>
      </c>
      <c r="H21" s="289">
        <v>43353</v>
      </c>
      <c r="I21" s="146"/>
      <c r="J21" s="146"/>
      <c r="K21" s="146"/>
      <c r="L21" s="146"/>
      <c r="M21" s="146"/>
      <c r="N21" s="146">
        <v>1</v>
      </c>
      <c r="O21" s="146"/>
      <c r="P21" s="272">
        <f t="shared" si="1"/>
        <v>1</v>
      </c>
      <c r="Q21" s="146">
        <v>1</v>
      </c>
      <c r="R21" s="146">
        <f t="shared" si="2"/>
        <v>0</v>
      </c>
      <c r="S21" s="146" t="s">
        <v>1550</v>
      </c>
      <c r="T21" s="269"/>
    </row>
    <row r="22" spans="1:20" x14ac:dyDescent="0.2">
      <c r="A22" s="288" t="s">
        <v>1414</v>
      </c>
      <c r="B22" s="288" t="s">
        <v>1414</v>
      </c>
      <c r="C22" s="288" t="s">
        <v>1415</v>
      </c>
      <c r="D22" s="288" t="s">
        <v>1415</v>
      </c>
      <c r="E22" s="146" t="s">
        <v>1416</v>
      </c>
      <c r="F22" s="146" t="s">
        <v>1395</v>
      </c>
      <c r="G22" s="146" t="s">
        <v>1386</v>
      </c>
      <c r="H22" s="289">
        <v>43375</v>
      </c>
      <c r="I22" s="146"/>
      <c r="J22" s="146"/>
      <c r="K22" s="146"/>
      <c r="L22" s="146"/>
      <c r="M22" s="146"/>
      <c r="N22" s="146">
        <v>1</v>
      </c>
      <c r="O22" s="146"/>
      <c r="P22" s="272">
        <f t="shared" si="1"/>
        <v>1</v>
      </c>
      <c r="Q22" s="146">
        <v>1</v>
      </c>
      <c r="R22" s="146">
        <f t="shared" si="2"/>
        <v>0</v>
      </c>
      <c r="S22" s="146" t="s">
        <v>1550</v>
      </c>
      <c r="T22" s="269"/>
    </row>
    <row r="23" spans="1:20" x14ac:dyDescent="0.2">
      <c r="A23" s="288" t="s">
        <v>1417</v>
      </c>
      <c r="B23" s="288" t="s">
        <v>1417</v>
      </c>
      <c r="C23" s="288" t="s">
        <v>1418</v>
      </c>
      <c r="D23" s="288" t="s">
        <v>1418</v>
      </c>
      <c r="E23" s="146" t="s">
        <v>1419</v>
      </c>
      <c r="F23" s="146" t="s">
        <v>1395</v>
      </c>
      <c r="G23" s="146" t="s">
        <v>1386</v>
      </c>
      <c r="H23" s="289">
        <v>43405</v>
      </c>
      <c r="I23" s="146"/>
      <c r="J23" s="146"/>
      <c r="K23" s="146"/>
      <c r="L23" s="146"/>
      <c r="M23" s="146"/>
      <c r="N23" s="146">
        <v>1</v>
      </c>
      <c r="O23" s="146"/>
      <c r="P23" s="272">
        <f t="shared" si="1"/>
        <v>1</v>
      </c>
      <c r="Q23" s="146">
        <v>1</v>
      </c>
      <c r="R23" s="146">
        <f t="shared" ref="R23:R89" si="3">P23-Q23</f>
        <v>0</v>
      </c>
      <c r="S23" s="146" t="s">
        <v>1550</v>
      </c>
      <c r="T23" s="269"/>
    </row>
    <row r="24" spans="1:20" x14ac:dyDescent="0.2">
      <c r="A24" s="146"/>
      <c r="B24" s="146"/>
      <c r="C24" s="146"/>
      <c r="D24" s="146"/>
      <c r="E24" s="146"/>
      <c r="F24" s="146"/>
      <c r="G24" s="146"/>
      <c r="H24" s="268"/>
      <c r="I24" s="146"/>
      <c r="J24" s="146"/>
      <c r="K24" s="146"/>
      <c r="L24" s="146"/>
      <c r="M24" s="146"/>
      <c r="N24" s="146"/>
      <c r="O24" s="146"/>
      <c r="P24" s="272">
        <f t="shared" si="1"/>
        <v>0</v>
      </c>
      <c r="Q24" s="146"/>
      <c r="R24" s="146">
        <f t="shared" si="3"/>
        <v>0</v>
      </c>
      <c r="S24" s="146"/>
      <c r="T24" s="269"/>
    </row>
    <row r="25" spans="1:20" x14ac:dyDescent="0.2">
      <c r="A25" s="146"/>
      <c r="B25" s="146"/>
      <c r="C25" s="146"/>
      <c r="D25" s="146"/>
      <c r="E25" s="146"/>
      <c r="F25" s="146"/>
      <c r="G25" s="146"/>
      <c r="H25" s="268"/>
      <c r="I25" s="146"/>
      <c r="J25" s="146"/>
      <c r="K25" s="146"/>
      <c r="L25" s="146"/>
      <c r="M25" s="146"/>
      <c r="N25" s="146"/>
      <c r="O25" s="146"/>
      <c r="P25" s="272">
        <f t="shared" si="1"/>
        <v>0</v>
      </c>
      <c r="Q25" s="146"/>
      <c r="R25" s="146">
        <f t="shared" si="3"/>
        <v>0</v>
      </c>
      <c r="S25" s="146"/>
      <c r="T25" s="269"/>
    </row>
    <row r="26" spans="1:20" x14ac:dyDescent="0.2">
      <c r="A26" s="146"/>
      <c r="B26" s="146"/>
      <c r="C26" s="146"/>
      <c r="D26" s="146"/>
      <c r="E26" s="146"/>
      <c r="F26" s="146"/>
      <c r="G26" s="146"/>
      <c r="H26" s="268"/>
      <c r="I26" s="146"/>
      <c r="J26" s="146"/>
      <c r="K26" s="146"/>
      <c r="L26" s="146"/>
      <c r="M26" s="146"/>
      <c r="N26" s="146"/>
      <c r="O26" s="146"/>
      <c r="P26" s="272">
        <f t="shared" si="1"/>
        <v>0</v>
      </c>
      <c r="Q26" s="146"/>
      <c r="R26" s="146">
        <f t="shared" si="3"/>
        <v>0</v>
      </c>
      <c r="S26" s="146"/>
      <c r="T26" s="269"/>
    </row>
    <row r="27" spans="1:20" x14ac:dyDescent="0.2">
      <c r="A27" s="146"/>
      <c r="B27" s="146"/>
      <c r="C27" s="146"/>
      <c r="D27" s="146"/>
      <c r="E27" s="146"/>
      <c r="F27" s="146"/>
      <c r="G27" s="146"/>
      <c r="H27" s="268"/>
      <c r="I27" s="146"/>
      <c r="J27" s="146"/>
      <c r="K27" s="146"/>
      <c r="L27" s="146"/>
      <c r="M27" s="146"/>
      <c r="N27" s="146"/>
      <c r="O27" s="146"/>
      <c r="P27" s="272">
        <f t="shared" si="1"/>
        <v>0</v>
      </c>
      <c r="Q27" s="146"/>
      <c r="R27" s="146">
        <f t="shared" si="3"/>
        <v>0</v>
      </c>
      <c r="S27" s="146"/>
      <c r="T27" s="269"/>
    </row>
    <row r="28" spans="1:20" x14ac:dyDescent="0.2">
      <c r="A28" s="146"/>
      <c r="B28" s="146"/>
      <c r="C28" s="146"/>
      <c r="D28" s="146"/>
      <c r="E28" s="146"/>
      <c r="F28" s="146"/>
      <c r="G28" s="146"/>
      <c r="H28" s="268"/>
      <c r="I28" s="146"/>
      <c r="J28" s="146"/>
      <c r="K28" s="146"/>
      <c r="L28" s="146"/>
      <c r="M28" s="146"/>
      <c r="N28" s="146"/>
      <c r="O28" s="146"/>
      <c r="P28" s="272">
        <f t="shared" si="1"/>
        <v>0</v>
      </c>
      <c r="Q28" s="146"/>
      <c r="R28" s="146">
        <f t="shared" si="3"/>
        <v>0</v>
      </c>
      <c r="S28" s="146"/>
      <c r="T28" s="269"/>
    </row>
    <row r="29" spans="1:20" x14ac:dyDescent="0.2">
      <c r="A29" s="146"/>
      <c r="B29" s="146"/>
      <c r="C29" s="146"/>
      <c r="D29" s="146"/>
      <c r="E29" s="146"/>
      <c r="F29" s="146"/>
      <c r="G29" s="146"/>
      <c r="H29" s="268"/>
      <c r="I29" s="146"/>
      <c r="J29" s="146"/>
      <c r="K29" s="146"/>
      <c r="L29" s="146"/>
      <c r="M29" s="146"/>
      <c r="N29" s="146"/>
      <c r="O29" s="146"/>
      <c r="P29" s="272">
        <f t="shared" si="1"/>
        <v>0</v>
      </c>
      <c r="Q29" s="146"/>
      <c r="R29" s="146">
        <f t="shared" si="3"/>
        <v>0</v>
      </c>
      <c r="S29" s="146"/>
      <c r="T29" s="269"/>
    </row>
    <row r="30" spans="1:20" x14ac:dyDescent="0.2">
      <c r="A30" s="146"/>
      <c r="B30" s="146"/>
      <c r="C30" s="146"/>
      <c r="D30" s="146"/>
      <c r="E30" s="146"/>
      <c r="F30" s="146"/>
      <c r="G30" s="146"/>
      <c r="H30" s="268"/>
      <c r="I30" s="146"/>
      <c r="J30" s="146"/>
      <c r="K30" s="146"/>
      <c r="L30" s="146"/>
      <c r="M30" s="146"/>
      <c r="N30" s="146"/>
      <c r="O30" s="146"/>
      <c r="P30" s="272">
        <f t="shared" si="1"/>
        <v>0</v>
      </c>
      <c r="Q30" s="146"/>
      <c r="R30" s="146">
        <f t="shared" si="3"/>
        <v>0</v>
      </c>
      <c r="S30" s="146"/>
      <c r="T30" s="269"/>
    </row>
    <row r="31" spans="1:20" x14ac:dyDescent="0.2">
      <c r="A31" s="146"/>
      <c r="B31" s="146"/>
      <c r="C31" s="146"/>
      <c r="D31" s="146"/>
      <c r="E31" s="146"/>
      <c r="F31" s="146"/>
      <c r="G31" s="146"/>
      <c r="H31" s="268"/>
      <c r="I31" s="146"/>
      <c r="J31" s="146"/>
      <c r="K31" s="146"/>
      <c r="L31" s="146"/>
      <c r="M31" s="146"/>
      <c r="N31" s="146"/>
      <c r="O31" s="146"/>
      <c r="P31" s="272">
        <f t="shared" si="1"/>
        <v>0</v>
      </c>
      <c r="Q31" s="146"/>
      <c r="R31" s="146">
        <f t="shared" si="3"/>
        <v>0</v>
      </c>
      <c r="S31" s="146"/>
      <c r="T31" s="269"/>
    </row>
    <row r="32" spans="1:20" x14ac:dyDescent="0.2">
      <c r="A32" s="146"/>
      <c r="B32" s="146"/>
      <c r="C32" s="146"/>
      <c r="D32" s="146"/>
      <c r="E32" s="146"/>
      <c r="F32" s="146"/>
      <c r="G32" s="146"/>
      <c r="H32" s="268"/>
      <c r="I32" s="146"/>
      <c r="J32" s="146"/>
      <c r="K32" s="146"/>
      <c r="L32" s="146"/>
      <c r="M32" s="146"/>
      <c r="N32" s="146"/>
      <c r="O32" s="146"/>
      <c r="P32" s="272">
        <f t="shared" si="1"/>
        <v>0</v>
      </c>
      <c r="Q32" s="146"/>
      <c r="R32" s="146">
        <f t="shared" si="3"/>
        <v>0</v>
      </c>
      <c r="S32" s="146"/>
      <c r="T32" s="269"/>
    </row>
    <row r="33" spans="1:20" x14ac:dyDescent="0.2">
      <c r="A33" s="146"/>
      <c r="B33" s="146"/>
      <c r="C33" s="146"/>
      <c r="D33" s="146"/>
      <c r="E33" s="146"/>
      <c r="F33" s="146"/>
      <c r="G33" s="146"/>
      <c r="H33" s="268"/>
      <c r="I33" s="146"/>
      <c r="J33" s="146"/>
      <c r="K33" s="146"/>
      <c r="L33" s="146"/>
      <c r="M33" s="146"/>
      <c r="N33" s="146"/>
      <c r="O33" s="146"/>
      <c r="P33" s="272">
        <f t="shared" si="1"/>
        <v>0</v>
      </c>
      <c r="Q33" s="146"/>
      <c r="R33" s="146">
        <f t="shared" si="3"/>
        <v>0</v>
      </c>
      <c r="S33" s="146"/>
      <c r="T33" s="269"/>
    </row>
    <row r="34" spans="1:20" x14ac:dyDescent="0.2">
      <c r="A34" s="146"/>
      <c r="B34" s="146"/>
      <c r="C34" s="146"/>
      <c r="D34" s="146"/>
      <c r="E34" s="146"/>
      <c r="F34" s="146"/>
      <c r="G34" s="146"/>
      <c r="H34" s="268"/>
      <c r="I34" s="146"/>
      <c r="J34" s="146"/>
      <c r="K34" s="146"/>
      <c r="L34" s="146"/>
      <c r="M34" s="146"/>
      <c r="N34" s="146"/>
      <c r="O34" s="146"/>
      <c r="P34" s="272">
        <f t="shared" si="1"/>
        <v>0</v>
      </c>
      <c r="Q34" s="146"/>
      <c r="R34" s="146">
        <f t="shared" si="3"/>
        <v>0</v>
      </c>
      <c r="S34" s="146"/>
      <c r="T34" s="269"/>
    </row>
    <row r="35" spans="1:20" x14ac:dyDescent="0.2">
      <c r="A35" s="146"/>
      <c r="B35" s="146"/>
      <c r="C35" s="146"/>
      <c r="D35" s="146"/>
      <c r="E35" s="146"/>
      <c r="F35" s="146"/>
      <c r="G35" s="146"/>
      <c r="H35" s="268"/>
      <c r="I35" s="146"/>
      <c r="J35" s="146"/>
      <c r="K35" s="146"/>
      <c r="L35" s="146"/>
      <c r="M35" s="146"/>
      <c r="N35" s="146"/>
      <c r="O35" s="146"/>
      <c r="P35" s="272">
        <f t="shared" si="1"/>
        <v>0</v>
      </c>
      <c r="Q35" s="146"/>
      <c r="R35" s="146">
        <f t="shared" si="3"/>
        <v>0</v>
      </c>
      <c r="S35" s="146"/>
      <c r="T35" s="269"/>
    </row>
    <row r="36" spans="1:20" x14ac:dyDescent="0.2">
      <c r="A36" s="146"/>
      <c r="B36" s="146"/>
      <c r="C36" s="146"/>
      <c r="D36" s="146"/>
      <c r="E36" s="146"/>
      <c r="F36" s="146"/>
      <c r="G36" s="146"/>
      <c r="H36" s="268"/>
      <c r="I36" s="146"/>
      <c r="J36" s="146"/>
      <c r="K36" s="146"/>
      <c r="L36" s="146"/>
      <c r="M36" s="146"/>
      <c r="N36" s="146"/>
      <c r="O36" s="146"/>
      <c r="P36" s="272">
        <f t="shared" si="1"/>
        <v>0</v>
      </c>
      <c r="Q36" s="146"/>
      <c r="R36" s="146">
        <f t="shared" si="3"/>
        <v>0</v>
      </c>
      <c r="S36" s="146"/>
      <c r="T36" s="269"/>
    </row>
    <row r="37" spans="1:20" x14ac:dyDescent="0.2">
      <c r="A37" s="240"/>
      <c r="B37" s="240"/>
      <c r="C37" s="240"/>
      <c r="D37" s="240"/>
      <c r="E37" s="240"/>
      <c r="F37" s="240"/>
      <c r="G37" s="240"/>
      <c r="H37" s="268"/>
      <c r="I37" s="240"/>
      <c r="J37" s="240"/>
      <c r="K37" s="240"/>
      <c r="L37" s="240"/>
      <c r="M37" s="240"/>
      <c r="N37" s="240"/>
      <c r="O37" s="240"/>
      <c r="P37" s="272">
        <f t="shared" si="1"/>
        <v>0</v>
      </c>
      <c r="Q37" s="240"/>
      <c r="R37" s="146">
        <f t="shared" si="3"/>
        <v>0</v>
      </c>
      <c r="S37" s="240"/>
      <c r="T37" s="269"/>
    </row>
    <row r="38" spans="1:20" x14ac:dyDescent="0.2">
      <c r="A38" s="240"/>
      <c r="B38" s="240"/>
      <c r="C38" s="240"/>
      <c r="D38" s="240"/>
      <c r="E38" s="240"/>
      <c r="F38" s="240"/>
      <c r="G38" s="240"/>
      <c r="H38" s="268"/>
      <c r="I38" s="240"/>
      <c r="J38" s="240"/>
      <c r="K38" s="240"/>
      <c r="L38" s="240"/>
      <c r="M38" s="240"/>
      <c r="N38" s="240"/>
      <c r="O38" s="240"/>
      <c r="P38" s="272">
        <f t="shared" si="1"/>
        <v>0</v>
      </c>
      <c r="Q38" s="240"/>
      <c r="R38" s="146">
        <f t="shared" si="3"/>
        <v>0</v>
      </c>
      <c r="S38" s="240"/>
      <c r="T38" s="269"/>
    </row>
    <row r="39" spans="1:20" x14ac:dyDescent="0.2">
      <c r="A39" s="240"/>
      <c r="B39" s="240"/>
      <c r="C39" s="240"/>
      <c r="D39" s="240"/>
      <c r="E39" s="240"/>
      <c r="F39" s="240"/>
      <c r="G39" s="240"/>
      <c r="H39" s="268"/>
      <c r="I39" s="240"/>
      <c r="J39" s="240"/>
      <c r="K39" s="240"/>
      <c r="L39" s="240"/>
      <c r="M39" s="240"/>
      <c r="N39" s="240"/>
      <c r="O39" s="240"/>
      <c r="P39" s="272">
        <f t="shared" si="1"/>
        <v>0</v>
      </c>
      <c r="Q39" s="240"/>
      <c r="R39" s="146">
        <f t="shared" si="3"/>
        <v>0</v>
      </c>
      <c r="S39" s="240"/>
      <c r="T39" s="269"/>
    </row>
    <row r="40" spans="1:20" x14ac:dyDescent="0.2">
      <c r="A40" s="240"/>
      <c r="B40" s="240"/>
      <c r="C40" s="240"/>
      <c r="D40" s="240"/>
      <c r="E40" s="240"/>
      <c r="F40" s="240"/>
      <c r="G40" s="240"/>
      <c r="H40" s="268"/>
      <c r="I40" s="240"/>
      <c r="J40" s="240"/>
      <c r="K40" s="240"/>
      <c r="L40" s="240"/>
      <c r="M40" s="240"/>
      <c r="N40" s="240"/>
      <c r="O40" s="240"/>
      <c r="P40" s="272">
        <f t="shared" si="1"/>
        <v>0</v>
      </c>
      <c r="Q40" s="240"/>
      <c r="R40" s="146">
        <f t="shared" si="3"/>
        <v>0</v>
      </c>
      <c r="S40" s="240"/>
      <c r="T40" s="269"/>
    </row>
    <row r="41" spans="1:20" x14ac:dyDescent="0.2">
      <c r="A41" s="240"/>
      <c r="B41" s="240"/>
      <c r="C41" s="240"/>
      <c r="D41" s="240"/>
      <c r="E41" s="240"/>
      <c r="F41" s="240"/>
      <c r="G41" s="240"/>
      <c r="H41" s="268"/>
      <c r="I41" s="240"/>
      <c r="J41" s="240"/>
      <c r="K41" s="240"/>
      <c r="L41" s="240"/>
      <c r="M41" s="240"/>
      <c r="N41" s="240"/>
      <c r="O41" s="240"/>
      <c r="P41" s="272">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72">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72">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72">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72">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72">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72">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72">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72">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72">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72">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72">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72">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72">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72">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72">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72">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72">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72">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72">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72">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72">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72">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72">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72">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72">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72">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72">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72">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72">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72">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72">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72">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72">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72">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72">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72">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72">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72">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72">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72">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72">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72">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72">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72">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72">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72">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72">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72">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72">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72">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72">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72">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72">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72">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72">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72">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72">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72">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72">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72">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72">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72">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72">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72">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72">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72">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72">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72">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72">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72">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72">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72">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72">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72">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72">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72">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72">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72">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72">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72">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72">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72">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72">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72">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72">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72">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72">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72">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72">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72">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72">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72">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72">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72">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72">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72">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72">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72">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72">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72">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72">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72">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72">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72">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72">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72">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72">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72">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72">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72">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72">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72">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72">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72">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72">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72">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72">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72">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72">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72">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72">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72">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72">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72">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72">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72">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72">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72">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72">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72">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72">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72">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72">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72">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72">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72">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72">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72">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72">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72">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72">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72">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72">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72">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72">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72">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72">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72">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72">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72">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72">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72">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72">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72">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72">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72">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72">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72">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72">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72">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72">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72">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72">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72">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72">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72">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72">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72">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72">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72">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72">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72">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72">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72">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72">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72">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72">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72">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72">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72">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72">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72">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72">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72">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72">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72">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72">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72">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72">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72">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72">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72">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72">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72">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72">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72">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72">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72">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72">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72">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72">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72">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72">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72">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72">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72">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72">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72">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72">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72">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72">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72">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72">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72">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72">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72">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72">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72">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72">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72">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72">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72">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72">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72">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72">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72">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72">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72">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72">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72">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72">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72">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72">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72">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72">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72">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72">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72">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72">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72">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72">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72">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72">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72">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72">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72">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72">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72">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72">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72">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72">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72">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72">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72">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72">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72">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72">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72">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72">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72">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72">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72">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72">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72">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72">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72">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72">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72">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72">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72">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72">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72">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72">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72">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72">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72">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72">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72">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72">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72">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72">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72">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72">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72">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72">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72">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72">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72">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72">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72">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72">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72">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72">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72">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72">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72">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72">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72">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72">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72">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72">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72">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72">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72">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72">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72">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72">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72">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72">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72">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72">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72">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72">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72">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72">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72">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72">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72">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72">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72">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72">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72">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72">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72">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72">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72">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72">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72">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72">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72">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72">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72">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72">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72">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72">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72">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72">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72">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72">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72">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72">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72">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72">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72">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72">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72">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72">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72">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72">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72">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72">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72">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72">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72">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72">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72">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72">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72">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72">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72">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72">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72">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72">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72">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72">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72">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72">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72">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72">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72">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72">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72">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72">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72">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72">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72">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72">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72">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72">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72">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72">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72">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72">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72">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72">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72">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72">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72">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72">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72">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72">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72">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72">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72">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72">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72">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72">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72">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72">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72">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72">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72">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72">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72">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72">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72">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72">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72">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72">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72">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72">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72">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72">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72">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72">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72">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72">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72">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72">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72">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72">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72">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72">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72">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72">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72">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72">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72">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72">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72">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72">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72">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72">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72">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72">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72">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72">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72">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72">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72">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72">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72">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72">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72">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72">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72">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72">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72">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72">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72">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72">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72">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72">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72">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72">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72">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72">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72">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72">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72">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72">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72">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72">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72">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72">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72">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72">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72">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72">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72">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72">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72">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72">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72">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72">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72">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72">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72">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72">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72">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72">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72">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72">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72">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72">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72">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72">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72">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72">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72">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72">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72">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72">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72">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72">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72">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72">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72">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72">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72">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72">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72">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72">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72">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72">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72">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72">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72">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72">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72">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72">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72">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72">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72">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72">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72">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72">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72">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72">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72">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72">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72">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72">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72">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72">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72">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72">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72">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72">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72">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72">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72">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72">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72">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72">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72">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72">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72">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72">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72">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72">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72">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72">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72">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72">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72">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72">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72">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72">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72">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72">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72">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72">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72">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72">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72">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72">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72">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72">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72">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72">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72">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72">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72">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72">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72">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72">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72">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72">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72">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72">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72">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72">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72">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72">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72">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72">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72">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72">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72">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72">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72">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72">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72">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72">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72">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72">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72">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72">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72">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72">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72">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72">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72">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72">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72">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72">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72">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72">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72">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72">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72">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72">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72">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72">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72">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72">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72">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72">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72">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72">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72">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72">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72">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72">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72">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72">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72">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72">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72">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72">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72">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72">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72">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72">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72">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72">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72">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72">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72">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72">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72">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72">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72">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72">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72">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72">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72">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72">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72">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72">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72">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72">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72">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72">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72">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72">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72">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72">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72">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72">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72">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72">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72">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72">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72">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72">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72">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72">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72">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72">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72">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72">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72">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72">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72">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72">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72">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72">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72">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72">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72">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72">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72">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72">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72">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72">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72">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72">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72">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72">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72">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72">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72">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72">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72">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72">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72">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72">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72">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72">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72">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72">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72">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72">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72">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72">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72">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72">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72">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72">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72">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72">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72">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72">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72">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72">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72">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72">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72">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72">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72">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72">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72">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72">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72">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72">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72">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72">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72">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72">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72">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72">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72">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72">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72">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72">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72">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72">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72">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72">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72">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72">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72">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72">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72">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72">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72">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72">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72">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72">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72">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72">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72">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72">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72">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72">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72">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72">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72">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72">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72">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72">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72">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72">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72">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72">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72">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72">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72">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72">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72">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72">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72">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72">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72">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72">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72">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72">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72">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72">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72">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72">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72">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72">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72">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72">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72">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72">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72">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72">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72">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72">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72">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72">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72">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72">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72">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72">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72">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72">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72">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72">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72">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72">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72">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72">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72">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72">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72">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72">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72">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72">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72">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72">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72">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72">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72">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72">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72">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72">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72">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72">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72">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72">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72">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72">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72">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72">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72">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72">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72">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72">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72">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72">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72">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72">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72">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72">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72">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72">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72">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72">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72">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72">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72">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72">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72">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72">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72">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72">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72">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72">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72">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72">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72">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72">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72">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72">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72">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72">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72">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72">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72">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72">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72">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72">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72">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72">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72">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72">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72">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72">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72">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72">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72">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72">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72">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72">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72">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72">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72">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72">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72">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72">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72">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72">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72">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72">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72">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72">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72">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72">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72">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72">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72">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72">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72">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72">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72">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72">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72">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72">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72">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72">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72">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72">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72">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72">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72">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72">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72">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72">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72">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72">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72">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72">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72">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72">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72">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72">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72">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72">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72">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72">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72">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72">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72">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72">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72">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72">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72">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72">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72">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72">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72">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72">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72">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72">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72">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72">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72">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72">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72">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72">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72">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72">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72">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72">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72">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72">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72">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72">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72">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72">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72">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72">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72">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72">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72">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72">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72">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72">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72">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72">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72">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72">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72">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72">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YlhwNW1gES1gFxzLMKRdTydECShtjiM9gNABy0B08EievOsLs2uaBP2IdjvcWlDMF+BCYm+FgO+vINobIDM0Xw==" saltValue="NsCeUrxWROUrvUbOOcRJ2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4" activePane="bottomRight" state="frozen"/>
      <selection pane="topRight" activeCell="E1" sqref="E1"/>
      <selection pane="bottomLeft" activeCell="A13" sqref="A13"/>
      <selection pane="bottomRight" activeCell="E16" sqref="E16"/>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322" customWidth="1"/>
    <col min="17" max="21" width="12.7109375" style="217" customWidth="1"/>
    <col min="22" max="22" width="14.85546875" style="217" customWidth="1"/>
    <col min="23" max="23" width="14.42578125" style="217" customWidth="1"/>
    <col min="24" max="24" width="17.7109375" style="217" customWidth="1"/>
    <col min="25" max="25" width="19.140625" style="322"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318"/>
      <c r="Q1" s="88"/>
      <c r="R1" s="88"/>
      <c r="S1" s="88"/>
      <c r="T1" s="88"/>
      <c r="U1" s="88"/>
      <c r="V1" s="88"/>
      <c r="W1" s="88"/>
      <c r="X1" s="88"/>
      <c r="Y1" s="31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319"/>
      <c r="Q2" s="182"/>
      <c r="R2" s="182"/>
      <c r="S2" s="182"/>
      <c r="T2" s="182"/>
      <c r="U2" s="182"/>
      <c r="V2" s="182"/>
      <c r="W2" s="182"/>
      <c r="X2" s="182"/>
      <c r="Y2" s="319"/>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320"/>
      <c r="Q3" s="178"/>
      <c r="R3" s="178"/>
      <c r="S3" s="178"/>
      <c r="T3" s="178"/>
      <c r="U3" s="178"/>
      <c r="V3" s="178"/>
      <c r="W3" s="178"/>
      <c r="X3" s="178"/>
      <c r="Y3" s="320"/>
      <c r="Z3" s="178"/>
      <c r="AA3" s="178"/>
      <c r="AB3" s="178"/>
      <c r="AC3" s="178"/>
      <c r="AD3" s="178"/>
      <c r="AE3" s="178"/>
      <c r="AF3" s="178"/>
      <c r="AG3" s="178"/>
      <c r="AH3" s="178"/>
      <c r="AI3" s="100"/>
      <c r="AJ3" s="178"/>
    </row>
    <row r="4" spans="1:46" s="2" customFormat="1" ht="17.45" customHeight="1" x14ac:dyDescent="0.2">
      <c r="A4" s="258" t="s">
        <v>10</v>
      </c>
      <c r="B4" s="203" t="str">
        <f>'Start Here'!B4:D4</f>
        <v>San Anselmo</v>
      </c>
      <c r="C4" s="259"/>
      <c r="L4" s="379" t="s">
        <v>1374</v>
      </c>
      <c r="M4" s="380"/>
      <c r="N4" s="380"/>
      <c r="O4" s="381"/>
      <c r="P4" s="321"/>
      <c r="Y4" s="321"/>
      <c r="AI4" s="69"/>
      <c r="AR4" s="93"/>
      <c r="AS4" s="69"/>
    </row>
    <row r="5" spans="1:46" s="2" customFormat="1" ht="18.600000000000001" customHeight="1" x14ac:dyDescent="0.2">
      <c r="A5" s="258" t="s">
        <v>36</v>
      </c>
      <c r="B5" s="202">
        <f>'Start Here'!B5</f>
        <v>2018</v>
      </c>
      <c r="C5" s="260" t="s">
        <v>52</v>
      </c>
      <c r="D5" s="9"/>
      <c r="L5" s="71" t="s">
        <v>106</v>
      </c>
      <c r="M5" s="223"/>
      <c r="N5" s="223"/>
      <c r="O5" s="224"/>
      <c r="P5" s="321"/>
      <c r="Y5" s="321"/>
      <c r="AI5" s="69"/>
      <c r="AR5" s="93"/>
      <c r="AS5" s="69"/>
    </row>
    <row r="6" spans="1:46" ht="8.4499999999999993" customHeight="1" x14ac:dyDescent="0.2"/>
    <row r="7" spans="1:46" s="198" customFormat="1" ht="20.45" customHeight="1" x14ac:dyDescent="0.25">
      <c r="A7" s="254"/>
      <c r="B7" s="190"/>
      <c r="C7" s="190"/>
      <c r="D7" s="190"/>
      <c r="E7" s="190"/>
      <c r="F7" s="190"/>
      <c r="G7" s="190"/>
      <c r="H7" s="190"/>
      <c r="I7" s="190"/>
      <c r="J7" s="199" t="s">
        <v>12</v>
      </c>
      <c r="K7" s="190"/>
      <c r="L7" s="190"/>
      <c r="M7" s="190"/>
      <c r="N7" s="190"/>
      <c r="O7" s="190"/>
      <c r="P7" s="323"/>
      <c r="Q7" s="190"/>
      <c r="R7" s="190"/>
      <c r="S7" s="190"/>
      <c r="T7" s="190"/>
      <c r="U7" s="190"/>
      <c r="V7" s="190"/>
      <c r="W7" s="190"/>
      <c r="X7" s="190"/>
      <c r="Y7" s="323"/>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9.25" customHeight="1" x14ac:dyDescent="0.25">
      <c r="A8" s="193"/>
      <c r="B8" s="194"/>
      <c r="C8" s="194"/>
      <c r="D8" s="194"/>
      <c r="E8" s="194"/>
      <c r="F8" s="194"/>
      <c r="G8" s="194"/>
      <c r="H8" s="194"/>
      <c r="I8" s="194"/>
      <c r="J8" s="195" t="s">
        <v>1294</v>
      </c>
      <c r="K8" s="194"/>
      <c r="L8" s="194"/>
      <c r="M8" s="194"/>
      <c r="N8" s="194"/>
      <c r="O8" s="194"/>
      <c r="P8" s="324"/>
      <c r="Q8" s="194"/>
      <c r="R8" s="194"/>
      <c r="S8" s="194"/>
      <c r="T8" s="194"/>
      <c r="U8" s="194"/>
      <c r="V8" s="194"/>
      <c r="W8" s="194"/>
      <c r="X8" s="194"/>
      <c r="Y8" s="32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68" t="s">
        <v>43</v>
      </c>
      <c r="B9" s="371"/>
      <c r="C9" s="371"/>
      <c r="D9" s="371"/>
      <c r="E9" s="372"/>
      <c r="F9" s="368" t="s">
        <v>112</v>
      </c>
      <c r="G9" s="372"/>
      <c r="H9" s="368" t="s">
        <v>1295</v>
      </c>
      <c r="I9" s="371"/>
      <c r="J9" s="371"/>
      <c r="K9" s="371"/>
      <c r="L9" s="371"/>
      <c r="M9" s="371"/>
      <c r="N9" s="371"/>
      <c r="O9" s="372"/>
      <c r="P9" s="325"/>
      <c r="Q9" s="368" t="s">
        <v>68</v>
      </c>
      <c r="R9" s="371"/>
      <c r="S9" s="371"/>
      <c r="T9" s="371"/>
      <c r="U9" s="371"/>
      <c r="V9" s="371"/>
      <c r="W9" s="372"/>
      <c r="X9" s="225"/>
      <c r="Y9" s="325"/>
      <c r="Z9" s="368" t="s">
        <v>69</v>
      </c>
      <c r="AA9" s="371"/>
      <c r="AB9" s="371"/>
      <c r="AC9" s="371"/>
      <c r="AD9" s="371"/>
      <c r="AE9" s="371"/>
      <c r="AF9" s="371"/>
      <c r="AG9" s="371"/>
      <c r="AH9" s="372"/>
      <c r="AI9" s="226"/>
      <c r="AJ9" s="192" t="s">
        <v>113</v>
      </c>
      <c r="AK9" s="192" t="s">
        <v>114</v>
      </c>
      <c r="AL9" s="368" t="s">
        <v>6</v>
      </c>
      <c r="AM9" s="372"/>
      <c r="AN9" s="192" t="s">
        <v>7</v>
      </c>
      <c r="AO9" s="192" t="s">
        <v>115</v>
      </c>
      <c r="AP9" s="368" t="s">
        <v>118</v>
      </c>
      <c r="AQ9" s="371"/>
      <c r="AR9" s="372"/>
      <c r="AS9" s="72" t="s">
        <v>58</v>
      </c>
    </row>
    <row r="10" spans="1:46" s="10" customFormat="1" ht="15.6" customHeight="1" x14ac:dyDescent="0.25">
      <c r="A10" s="364">
        <v>1</v>
      </c>
      <c r="B10" s="365"/>
      <c r="C10" s="365"/>
      <c r="D10" s="365"/>
      <c r="E10" s="387"/>
      <c r="F10" s="179">
        <v>2</v>
      </c>
      <c r="G10" s="179">
        <v>3</v>
      </c>
      <c r="H10" s="188">
        <v>4</v>
      </c>
      <c r="I10" s="227"/>
      <c r="J10" s="227"/>
      <c r="K10" s="227"/>
      <c r="L10" s="227"/>
      <c r="M10" s="227"/>
      <c r="N10" s="228"/>
      <c r="O10" s="179">
        <v>5</v>
      </c>
      <c r="P10" s="326">
        <v>6</v>
      </c>
      <c r="Q10" s="188">
        <v>7</v>
      </c>
      <c r="R10" s="189"/>
      <c r="S10" s="189"/>
      <c r="T10" s="189"/>
      <c r="U10" s="189"/>
      <c r="V10" s="189"/>
      <c r="W10" s="96"/>
      <c r="X10" s="179">
        <v>8</v>
      </c>
      <c r="Y10" s="326">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25"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27" t="s">
        <v>66</v>
      </c>
      <c r="Q11" s="67" t="s">
        <v>94</v>
      </c>
      <c r="R11" s="67" t="s">
        <v>95</v>
      </c>
      <c r="S11" s="67" t="s">
        <v>96</v>
      </c>
      <c r="T11" s="67" t="s">
        <v>97</v>
      </c>
      <c r="U11" s="67" t="s">
        <v>98</v>
      </c>
      <c r="V11" s="67" t="s">
        <v>99</v>
      </c>
      <c r="W11" s="67" t="s">
        <v>4</v>
      </c>
      <c r="X11" s="67" t="s">
        <v>103</v>
      </c>
      <c r="Y11" s="330"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7" t="s">
        <v>136</v>
      </c>
      <c r="B12" s="281"/>
      <c r="C12" s="281"/>
      <c r="D12" s="282"/>
      <c r="E12" s="283"/>
      <c r="F12" s="281"/>
      <c r="G12" s="281"/>
      <c r="H12" s="282">
        <f>SUM(H13:H1000)</f>
        <v>0</v>
      </c>
      <c r="I12" s="282">
        <f t="shared" ref="I12:AH12" si="0">SUM(I13:I1000)</f>
        <v>0</v>
      </c>
      <c r="J12" s="282">
        <f t="shared" si="0"/>
        <v>0</v>
      </c>
      <c r="K12" s="282">
        <f t="shared" si="0"/>
        <v>2</v>
      </c>
      <c r="L12" s="282">
        <f t="shared" si="0"/>
        <v>0</v>
      </c>
      <c r="M12" s="282">
        <f t="shared" si="0"/>
        <v>8</v>
      </c>
      <c r="N12" s="282">
        <f t="shared" si="0"/>
        <v>7</v>
      </c>
      <c r="O12" s="282"/>
      <c r="P12" s="328">
        <f t="shared" si="0"/>
        <v>17</v>
      </c>
      <c r="Q12" s="282">
        <f t="shared" si="0"/>
        <v>2</v>
      </c>
      <c r="R12" s="282">
        <f t="shared" si="0"/>
        <v>0</v>
      </c>
      <c r="S12" s="282">
        <f t="shared" si="0"/>
        <v>2</v>
      </c>
      <c r="T12" s="282">
        <f t="shared" si="0"/>
        <v>1</v>
      </c>
      <c r="U12" s="282">
        <f t="shared" si="0"/>
        <v>0</v>
      </c>
      <c r="V12" s="282">
        <f t="shared" si="0"/>
        <v>7</v>
      </c>
      <c r="W12" s="282">
        <f t="shared" si="0"/>
        <v>25</v>
      </c>
      <c r="X12" s="282"/>
      <c r="Y12" s="328">
        <f t="shared" si="0"/>
        <v>37</v>
      </c>
      <c r="Z12" s="282">
        <f t="shared" si="0"/>
        <v>0</v>
      </c>
      <c r="AA12" s="282">
        <f t="shared" si="0"/>
        <v>1</v>
      </c>
      <c r="AB12" s="282">
        <f t="shared" si="0"/>
        <v>0</v>
      </c>
      <c r="AC12" s="282">
        <f t="shared" si="0"/>
        <v>1</v>
      </c>
      <c r="AD12" s="282">
        <f t="shared" si="0"/>
        <v>0</v>
      </c>
      <c r="AE12" s="282">
        <f t="shared" si="0"/>
        <v>2</v>
      </c>
      <c r="AF12" s="282">
        <f t="shared" si="0"/>
        <v>1</v>
      </c>
      <c r="AG12" s="282"/>
      <c r="AH12" s="282">
        <f t="shared" si="0"/>
        <v>5</v>
      </c>
      <c r="AI12" s="284">
        <f>SUM(AI13:AI1000)</f>
        <v>0</v>
      </c>
      <c r="AJ12" s="275">
        <f>COUNTIF(AJ13:AJ1000,"Y")</f>
        <v>1</v>
      </c>
      <c r="AK12" s="285"/>
      <c r="AL12" s="285"/>
      <c r="AM12" s="285"/>
      <c r="AN12" s="285"/>
      <c r="AO12" s="285"/>
      <c r="AP12" s="275">
        <f>SUM(AP13:AP1000)</f>
        <v>0</v>
      </c>
      <c r="AQ12" s="275">
        <f>SUM(AQ13:AQ1000)</f>
        <v>0</v>
      </c>
      <c r="AR12" s="275">
        <f>SUM(AR13:AR1000)</f>
        <v>0</v>
      </c>
      <c r="AS12" s="286"/>
    </row>
    <row r="13" spans="1:46" s="2" customFormat="1" ht="89.25" x14ac:dyDescent="0.2">
      <c r="A13" s="288" t="s">
        <v>1426</v>
      </c>
      <c r="B13" s="288" t="s">
        <v>1426</v>
      </c>
      <c r="C13" s="288" t="s">
        <v>1427</v>
      </c>
      <c r="D13" s="288" t="s">
        <v>1427</v>
      </c>
      <c r="E13" s="292" t="s">
        <v>1428</v>
      </c>
      <c r="F13" s="11" t="s">
        <v>1395</v>
      </c>
      <c r="G13" s="11" t="s">
        <v>1386</v>
      </c>
      <c r="H13" s="293"/>
      <c r="I13" s="293"/>
      <c r="J13" s="293"/>
      <c r="K13" s="293"/>
      <c r="L13" s="293"/>
      <c r="M13" s="293"/>
      <c r="N13" s="293"/>
      <c r="O13" s="294"/>
      <c r="P13" s="329">
        <f t="shared" ref="P13:P76" si="1">SUM(H13:N13)</f>
        <v>0</v>
      </c>
      <c r="Q13" s="146"/>
      <c r="R13" s="146"/>
      <c r="S13" s="146"/>
      <c r="T13" s="146"/>
      <c r="U13" s="146"/>
      <c r="V13" s="11">
        <v>1</v>
      </c>
      <c r="W13" s="11"/>
      <c r="X13" s="300">
        <v>43304</v>
      </c>
      <c r="Y13" s="331">
        <f t="shared" ref="Y13:Y76" si="2">SUM(Q13:W13)</f>
        <v>1</v>
      </c>
      <c r="Z13" s="146"/>
      <c r="AA13" s="146"/>
      <c r="AB13" s="146"/>
      <c r="AC13" s="146"/>
      <c r="AD13" s="146"/>
      <c r="AE13" s="146"/>
      <c r="AF13" s="146"/>
      <c r="AG13" s="300"/>
      <c r="AH13" s="331">
        <f>SUM(Z13:AF13)</f>
        <v>0</v>
      </c>
      <c r="AI13" s="146"/>
      <c r="AJ13" s="11" t="s">
        <v>1551</v>
      </c>
      <c r="AK13" s="11" t="s">
        <v>1473</v>
      </c>
      <c r="AL13" s="11"/>
      <c r="AM13" s="11"/>
      <c r="AN13" s="11" t="s">
        <v>1474</v>
      </c>
      <c r="AO13" s="11"/>
      <c r="AP13" s="11"/>
      <c r="AQ13" s="11"/>
      <c r="AR13" s="11"/>
      <c r="AS13" s="230"/>
    </row>
    <row r="14" spans="1:46" s="2" customFormat="1" ht="12.75" x14ac:dyDescent="0.2">
      <c r="A14" s="288" t="s">
        <v>1429</v>
      </c>
      <c r="B14" s="288" t="s">
        <v>1429</v>
      </c>
      <c r="C14" s="288" t="s">
        <v>1430</v>
      </c>
      <c r="D14" s="288" t="s">
        <v>1431</v>
      </c>
      <c r="E14" s="292" t="s">
        <v>1432</v>
      </c>
      <c r="F14" s="11" t="s">
        <v>1433</v>
      </c>
      <c r="G14" s="11" t="s">
        <v>1386</v>
      </c>
      <c r="H14" s="293"/>
      <c r="I14" s="293"/>
      <c r="J14" s="293"/>
      <c r="K14" s="293"/>
      <c r="L14" s="293"/>
      <c r="M14" s="293"/>
      <c r="N14" s="293"/>
      <c r="O14" s="294"/>
      <c r="P14" s="329">
        <f t="shared" si="1"/>
        <v>0</v>
      </c>
      <c r="Q14" s="146"/>
      <c r="R14" s="146"/>
      <c r="S14" s="146">
        <v>2</v>
      </c>
      <c r="T14" s="146"/>
      <c r="U14" s="146"/>
      <c r="V14" s="11"/>
      <c r="W14" s="11">
        <v>14</v>
      </c>
      <c r="X14" s="300">
        <v>43332</v>
      </c>
      <c r="Y14" s="331">
        <f t="shared" si="2"/>
        <v>16</v>
      </c>
      <c r="Z14" s="146"/>
      <c r="AA14" s="146"/>
      <c r="AB14" s="146"/>
      <c r="AC14" s="146"/>
      <c r="AD14" s="146"/>
      <c r="AE14" s="146"/>
      <c r="AF14" s="146"/>
      <c r="AG14" s="300"/>
      <c r="AH14" s="331">
        <f>SUM(Z14:AF14)</f>
        <v>0</v>
      </c>
      <c r="AI14" s="146"/>
      <c r="AJ14" s="11" t="s">
        <v>1551</v>
      </c>
      <c r="AK14" s="11" t="s">
        <v>1473</v>
      </c>
      <c r="AL14" s="11"/>
      <c r="AM14" s="11" t="s">
        <v>1262</v>
      </c>
      <c r="AN14" s="11"/>
      <c r="AO14" s="11">
        <v>55</v>
      </c>
      <c r="AP14" s="11"/>
      <c r="AQ14" s="11"/>
      <c r="AR14" s="11"/>
      <c r="AS14" s="230"/>
    </row>
    <row r="15" spans="1:46" s="2" customFormat="1" ht="89.25" x14ac:dyDescent="0.2">
      <c r="A15" s="288" t="s">
        <v>1434</v>
      </c>
      <c r="B15" s="288" t="s">
        <v>1434</v>
      </c>
      <c r="C15" s="288" t="s">
        <v>1435</v>
      </c>
      <c r="D15" s="288" t="s">
        <v>1435</v>
      </c>
      <c r="E15" s="289" t="s">
        <v>1436</v>
      </c>
      <c r="F15" s="11" t="s">
        <v>1395</v>
      </c>
      <c r="G15" s="11" t="s">
        <v>1386</v>
      </c>
      <c r="H15" s="293"/>
      <c r="I15" s="293"/>
      <c r="J15" s="293"/>
      <c r="K15" s="295"/>
      <c r="L15" s="293"/>
      <c r="M15" s="293"/>
      <c r="N15" s="293"/>
      <c r="O15" s="294"/>
      <c r="P15" s="329">
        <f t="shared" si="1"/>
        <v>0</v>
      </c>
      <c r="Q15" s="11"/>
      <c r="R15" s="11"/>
      <c r="S15" s="11"/>
      <c r="T15" s="231"/>
      <c r="U15" s="11"/>
      <c r="V15" s="11"/>
      <c r="W15" s="11"/>
      <c r="X15" s="300"/>
      <c r="Y15" s="331">
        <f t="shared" si="2"/>
        <v>0</v>
      </c>
      <c r="Z15" s="146"/>
      <c r="AA15" s="146"/>
      <c r="AB15" s="146"/>
      <c r="AC15" s="146"/>
      <c r="AD15" s="146"/>
      <c r="AE15" s="146">
        <v>1</v>
      </c>
      <c r="AF15" s="146"/>
      <c r="AG15" s="300">
        <v>43370</v>
      </c>
      <c r="AH15" s="331">
        <f t="shared" ref="AH15:AH31" si="3">SUM(Z15:AF15)</f>
        <v>1</v>
      </c>
      <c r="AI15" s="146"/>
      <c r="AJ15" s="11" t="s">
        <v>1551</v>
      </c>
      <c r="AK15" s="11" t="s">
        <v>1473</v>
      </c>
      <c r="AL15" s="11"/>
      <c r="AM15" s="11"/>
      <c r="AN15" s="11" t="s">
        <v>1474</v>
      </c>
      <c r="AO15" s="11"/>
      <c r="AP15" s="11"/>
      <c r="AQ15" s="11"/>
      <c r="AR15" s="11"/>
      <c r="AS15" s="230"/>
    </row>
    <row r="16" spans="1:46" s="2" customFormat="1" ht="12.75" x14ac:dyDescent="0.2">
      <c r="A16" s="288" t="s">
        <v>1437</v>
      </c>
      <c r="B16" s="288" t="s">
        <v>1437</v>
      </c>
      <c r="C16" s="288" t="s">
        <v>1438</v>
      </c>
      <c r="D16" s="288" t="s">
        <v>1438</v>
      </c>
      <c r="E16" s="289" t="s">
        <v>1552</v>
      </c>
      <c r="F16" s="146" t="s">
        <v>1390</v>
      </c>
      <c r="G16" s="146" t="s">
        <v>1391</v>
      </c>
      <c r="H16" s="293"/>
      <c r="I16" s="293"/>
      <c r="J16" s="293"/>
      <c r="K16" s="293"/>
      <c r="L16" s="293"/>
      <c r="M16" s="293"/>
      <c r="N16" s="293"/>
      <c r="O16" s="294"/>
      <c r="P16" s="329">
        <f t="shared" si="1"/>
        <v>0</v>
      </c>
      <c r="Q16" s="11"/>
      <c r="R16" s="11"/>
      <c r="S16" s="11"/>
      <c r="T16" s="11"/>
      <c r="U16" s="11"/>
      <c r="V16" s="11"/>
      <c r="W16" s="11"/>
      <c r="X16" s="300"/>
      <c r="Y16" s="331">
        <f t="shared" si="2"/>
        <v>0</v>
      </c>
      <c r="Z16" s="146"/>
      <c r="AA16" s="146"/>
      <c r="AB16" s="146"/>
      <c r="AC16" s="146"/>
      <c r="AD16" s="146"/>
      <c r="AE16" s="146"/>
      <c r="AF16" s="146">
        <v>1</v>
      </c>
      <c r="AG16" s="300">
        <v>43157</v>
      </c>
      <c r="AH16" s="331">
        <f t="shared" si="3"/>
        <v>1</v>
      </c>
      <c r="AI16" s="146"/>
      <c r="AJ16" s="11" t="s">
        <v>1551</v>
      </c>
      <c r="AK16" s="11" t="s">
        <v>1473</v>
      </c>
      <c r="AL16" s="11"/>
      <c r="AM16" s="11"/>
      <c r="AN16" s="11"/>
      <c r="AO16" s="11"/>
      <c r="AP16" s="11"/>
      <c r="AQ16" s="11"/>
      <c r="AR16" s="11"/>
      <c r="AS16" s="230"/>
    </row>
    <row r="17" spans="1:45" s="2" customFormat="1" ht="12.75" x14ac:dyDescent="0.2">
      <c r="A17" s="288" t="s">
        <v>1439</v>
      </c>
      <c r="B17" s="288" t="s">
        <v>1439</v>
      </c>
      <c r="C17" s="288" t="s">
        <v>1440</v>
      </c>
      <c r="D17" s="288" t="s">
        <v>1441</v>
      </c>
      <c r="E17" s="292" t="s">
        <v>1442</v>
      </c>
      <c r="F17" s="146" t="s">
        <v>1433</v>
      </c>
      <c r="G17" s="146" t="s">
        <v>1386</v>
      </c>
      <c r="H17" s="293"/>
      <c r="I17" s="293"/>
      <c r="J17" s="293"/>
      <c r="K17" s="293"/>
      <c r="L17" s="293"/>
      <c r="M17" s="293"/>
      <c r="N17" s="293"/>
      <c r="O17" s="294"/>
      <c r="P17" s="329">
        <f t="shared" si="1"/>
        <v>0</v>
      </c>
      <c r="Q17" s="11">
        <v>2</v>
      </c>
      <c r="R17" s="11"/>
      <c r="S17" s="11"/>
      <c r="T17" s="11"/>
      <c r="U17" s="11"/>
      <c r="V17" s="11"/>
      <c r="W17" s="11">
        <v>10</v>
      </c>
      <c r="X17" s="300">
        <v>43258</v>
      </c>
      <c r="Y17" s="331">
        <f t="shared" si="2"/>
        <v>12</v>
      </c>
      <c r="Z17" s="146"/>
      <c r="AA17" s="146"/>
      <c r="AB17" s="146"/>
      <c r="AC17" s="146"/>
      <c r="AD17" s="146"/>
      <c r="AE17" s="146"/>
      <c r="AF17" s="146"/>
      <c r="AG17" s="300"/>
      <c r="AH17" s="331">
        <f t="shared" si="3"/>
        <v>0</v>
      </c>
      <c r="AI17" s="146"/>
      <c r="AJ17" s="11" t="s">
        <v>1551</v>
      </c>
      <c r="AK17" s="11" t="s">
        <v>1473</v>
      </c>
      <c r="AL17" s="11"/>
      <c r="AM17" s="11" t="s">
        <v>1262</v>
      </c>
      <c r="AN17" s="11"/>
      <c r="AO17" s="11">
        <v>55</v>
      </c>
      <c r="AP17" s="11"/>
      <c r="AQ17" s="11"/>
      <c r="AR17" s="11"/>
      <c r="AS17" s="230"/>
    </row>
    <row r="18" spans="1:45" s="2" customFormat="1" ht="89.25" x14ac:dyDescent="0.2">
      <c r="A18" s="288" t="s">
        <v>1443</v>
      </c>
      <c r="B18" s="288" t="s">
        <v>1443</v>
      </c>
      <c r="C18" s="288" t="s">
        <v>1444</v>
      </c>
      <c r="D18" s="288" t="s">
        <v>1444</v>
      </c>
      <c r="E18" s="289" t="s">
        <v>1445</v>
      </c>
      <c r="F18" s="146" t="s">
        <v>1395</v>
      </c>
      <c r="G18" s="146" t="s">
        <v>1386</v>
      </c>
      <c r="H18" s="293"/>
      <c r="I18" s="293"/>
      <c r="J18" s="293"/>
      <c r="K18" s="293"/>
      <c r="L18" s="293"/>
      <c r="M18" s="293"/>
      <c r="N18" s="293"/>
      <c r="O18" s="294"/>
      <c r="P18" s="329">
        <f t="shared" si="1"/>
        <v>0</v>
      </c>
      <c r="Q18" s="11"/>
      <c r="R18" s="11"/>
      <c r="S18" s="11"/>
      <c r="T18" s="11"/>
      <c r="U18" s="11"/>
      <c r="V18" s="11">
        <v>1</v>
      </c>
      <c r="W18" s="11"/>
      <c r="X18" s="300">
        <v>43123</v>
      </c>
      <c r="Y18" s="331">
        <f t="shared" si="2"/>
        <v>1</v>
      </c>
      <c r="Z18" s="146"/>
      <c r="AA18" s="146"/>
      <c r="AB18" s="146"/>
      <c r="AC18" s="146"/>
      <c r="AD18" s="146"/>
      <c r="AE18" s="146">
        <v>1</v>
      </c>
      <c r="AF18" s="146"/>
      <c r="AG18" s="300">
        <v>43133</v>
      </c>
      <c r="AH18" s="331">
        <f t="shared" si="3"/>
        <v>1</v>
      </c>
      <c r="AI18" s="146"/>
      <c r="AJ18" s="11" t="s">
        <v>1551</v>
      </c>
      <c r="AK18" s="11" t="s">
        <v>1473</v>
      </c>
      <c r="AL18" s="11"/>
      <c r="AM18" s="11"/>
      <c r="AN18" s="11" t="s">
        <v>1474</v>
      </c>
      <c r="AO18" s="11"/>
      <c r="AP18" s="11"/>
      <c r="AQ18" s="11"/>
      <c r="AR18" s="11"/>
      <c r="AS18" s="230"/>
    </row>
    <row r="19" spans="1:45" s="2" customFormat="1" ht="12.75" x14ac:dyDescent="0.2">
      <c r="A19" s="296" t="s">
        <v>1446</v>
      </c>
      <c r="B19" s="296" t="s">
        <v>1446</v>
      </c>
      <c r="C19" s="296" t="s">
        <v>1447</v>
      </c>
      <c r="D19" s="296" t="s">
        <v>1447</v>
      </c>
      <c r="E19" s="297" t="s">
        <v>1448</v>
      </c>
      <c r="F19" s="146" t="s">
        <v>1390</v>
      </c>
      <c r="G19" s="146" t="s">
        <v>1391</v>
      </c>
      <c r="H19" s="293"/>
      <c r="I19" s="293"/>
      <c r="J19" s="293"/>
      <c r="K19" s="293"/>
      <c r="L19" s="293"/>
      <c r="M19" s="293"/>
      <c r="N19" s="293"/>
      <c r="O19" s="294"/>
      <c r="P19" s="329">
        <f t="shared" si="1"/>
        <v>0</v>
      </c>
      <c r="Q19" s="11"/>
      <c r="R19" s="11"/>
      <c r="S19" s="11"/>
      <c r="T19" s="11"/>
      <c r="U19" s="11"/>
      <c r="V19" s="11"/>
      <c r="W19" s="11">
        <v>1</v>
      </c>
      <c r="X19" s="300">
        <v>43213</v>
      </c>
      <c r="Y19" s="331">
        <f t="shared" si="2"/>
        <v>1</v>
      </c>
      <c r="Z19" s="146"/>
      <c r="AA19" s="146"/>
      <c r="AB19" s="146"/>
      <c r="AC19" s="146"/>
      <c r="AD19" s="146"/>
      <c r="AE19" s="146"/>
      <c r="AF19" s="146"/>
      <c r="AG19" s="300"/>
      <c r="AH19" s="331">
        <f t="shared" si="3"/>
        <v>0</v>
      </c>
      <c r="AI19" s="146"/>
      <c r="AJ19" s="11" t="s">
        <v>1551</v>
      </c>
      <c r="AK19" s="11" t="s">
        <v>1473</v>
      </c>
      <c r="AL19" s="11"/>
      <c r="AM19" s="11"/>
      <c r="AN19" s="11"/>
      <c r="AO19" s="11"/>
      <c r="AP19" s="11"/>
      <c r="AQ19" s="11"/>
      <c r="AR19" s="11"/>
      <c r="AS19" s="230"/>
    </row>
    <row r="20" spans="1:45" s="2" customFormat="1" ht="89.25" x14ac:dyDescent="0.2">
      <c r="A20" s="288" t="s">
        <v>1449</v>
      </c>
      <c r="B20" s="288" t="s">
        <v>1449</v>
      </c>
      <c r="C20" s="288" t="s">
        <v>1450</v>
      </c>
      <c r="D20" s="288" t="s">
        <v>1450</v>
      </c>
      <c r="E20" s="292" t="s">
        <v>1451</v>
      </c>
      <c r="F20" s="146" t="s">
        <v>1395</v>
      </c>
      <c r="G20" s="146" t="s">
        <v>1386</v>
      </c>
      <c r="H20" s="293"/>
      <c r="I20" s="293"/>
      <c r="J20" s="293"/>
      <c r="K20" s="293"/>
      <c r="L20" s="293"/>
      <c r="M20" s="293"/>
      <c r="N20" s="293"/>
      <c r="O20" s="294"/>
      <c r="P20" s="329">
        <f t="shared" si="1"/>
        <v>0</v>
      </c>
      <c r="Q20" s="11"/>
      <c r="R20" s="11"/>
      <c r="S20" s="11"/>
      <c r="T20" s="11"/>
      <c r="U20" s="11"/>
      <c r="V20" s="11">
        <v>1</v>
      </c>
      <c r="W20" s="11"/>
      <c r="X20" s="300">
        <v>43145</v>
      </c>
      <c r="Y20" s="331">
        <f t="shared" si="2"/>
        <v>1</v>
      </c>
      <c r="Z20" s="146"/>
      <c r="AA20" s="146"/>
      <c r="AB20" s="146"/>
      <c r="AC20" s="146"/>
      <c r="AD20" s="146"/>
      <c r="AE20" s="146"/>
      <c r="AF20" s="146"/>
      <c r="AG20" s="300"/>
      <c r="AH20" s="331">
        <f t="shared" si="3"/>
        <v>0</v>
      </c>
      <c r="AI20" s="146"/>
      <c r="AJ20" s="11" t="s">
        <v>1551</v>
      </c>
      <c r="AK20" s="11" t="s">
        <v>1473</v>
      </c>
      <c r="AL20" s="11"/>
      <c r="AM20" s="11"/>
      <c r="AN20" s="11" t="s">
        <v>1474</v>
      </c>
      <c r="AO20" s="11"/>
      <c r="AP20" s="11"/>
      <c r="AQ20" s="11"/>
      <c r="AR20" s="11"/>
      <c r="AS20" s="230"/>
    </row>
    <row r="21" spans="1:45" s="2" customFormat="1" ht="89.25" x14ac:dyDescent="0.2">
      <c r="A21" s="296" t="s">
        <v>1452</v>
      </c>
      <c r="B21" s="296" t="s">
        <v>1452</v>
      </c>
      <c r="C21" s="296" t="s">
        <v>1453</v>
      </c>
      <c r="D21" s="296" t="s">
        <v>1453</v>
      </c>
      <c r="E21" s="297" t="s">
        <v>1454</v>
      </c>
      <c r="F21" s="146" t="s">
        <v>1395</v>
      </c>
      <c r="G21" s="146" t="s">
        <v>1386</v>
      </c>
      <c r="H21" s="293"/>
      <c r="I21" s="293"/>
      <c r="J21" s="293"/>
      <c r="K21" s="293"/>
      <c r="L21" s="293"/>
      <c r="M21" s="293"/>
      <c r="N21" s="293"/>
      <c r="O21" s="294"/>
      <c r="P21" s="329">
        <f t="shared" si="1"/>
        <v>0</v>
      </c>
      <c r="Q21" s="11"/>
      <c r="R21" s="11"/>
      <c r="S21" s="11"/>
      <c r="T21" s="11"/>
      <c r="U21" s="11"/>
      <c r="V21" s="11">
        <v>1</v>
      </c>
      <c r="W21" s="11"/>
      <c r="X21" s="300">
        <v>43214</v>
      </c>
      <c r="Y21" s="331">
        <f t="shared" si="2"/>
        <v>1</v>
      </c>
      <c r="Z21" s="146"/>
      <c r="AA21" s="146"/>
      <c r="AB21" s="146"/>
      <c r="AC21" s="146"/>
      <c r="AD21" s="146"/>
      <c r="AE21" s="146"/>
      <c r="AF21" s="146"/>
      <c r="AG21" s="300"/>
      <c r="AH21" s="331">
        <f t="shared" si="3"/>
        <v>0</v>
      </c>
      <c r="AI21" s="146"/>
      <c r="AJ21" s="11" t="s">
        <v>1551</v>
      </c>
      <c r="AK21" s="11" t="s">
        <v>1473</v>
      </c>
      <c r="AL21" s="11"/>
      <c r="AM21" s="11"/>
      <c r="AN21" s="11" t="s">
        <v>1474</v>
      </c>
      <c r="AO21" s="11"/>
      <c r="AP21" s="11"/>
      <c r="AQ21" s="11"/>
      <c r="AR21" s="11"/>
      <c r="AS21" s="230"/>
    </row>
    <row r="22" spans="1:45" s="2" customFormat="1" ht="89.25" x14ac:dyDescent="0.2">
      <c r="A22" s="296" t="s">
        <v>1455</v>
      </c>
      <c r="B22" s="296" t="s">
        <v>1455</v>
      </c>
      <c r="C22" s="296" t="s">
        <v>1456</v>
      </c>
      <c r="D22" s="296" t="s">
        <v>1456</v>
      </c>
      <c r="E22" s="297" t="s">
        <v>1457</v>
      </c>
      <c r="F22" s="146" t="s">
        <v>1395</v>
      </c>
      <c r="G22" s="146" t="s">
        <v>1386</v>
      </c>
      <c r="H22" s="293"/>
      <c r="I22" s="293"/>
      <c r="J22" s="293"/>
      <c r="K22" s="293"/>
      <c r="L22" s="293"/>
      <c r="M22" s="293"/>
      <c r="N22" s="293"/>
      <c r="O22" s="294"/>
      <c r="P22" s="329">
        <f t="shared" si="1"/>
        <v>0</v>
      </c>
      <c r="Q22" s="11"/>
      <c r="R22" s="11"/>
      <c r="S22" s="11"/>
      <c r="T22" s="11"/>
      <c r="U22" s="11"/>
      <c r="V22" s="11"/>
      <c r="W22" s="11"/>
      <c r="X22" s="300"/>
      <c r="Y22" s="331">
        <f t="shared" si="2"/>
        <v>0</v>
      </c>
      <c r="Z22" s="146"/>
      <c r="AA22" s="146"/>
      <c r="AB22" s="146"/>
      <c r="AC22" s="146"/>
      <c r="AD22" s="146"/>
      <c r="AE22" s="146"/>
      <c r="AF22" s="146"/>
      <c r="AG22" s="300"/>
      <c r="AH22" s="331">
        <f t="shared" si="3"/>
        <v>0</v>
      </c>
      <c r="AI22" s="146"/>
      <c r="AJ22" s="11" t="s">
        <v>1551</v>
      </c>
      <c r="AK22" s="11" t="s">
        <v>1473</v>
      </c>
      <c r="AL22" s="11"/>
      <c r="AM22" s="11"/>
      <c r="AN22" s="11" t="s">
        <v>1474</v>
      </c>
      <c r="AO22" s="11"/>
      <c r="AP22" s="11"/>
      <c r="AQ22" s="11"/>
      <c r="AR22" s="11"/>
      <c r="AS22" s="230"/>
    </row>
    <row r="23" spans="1:45" s="2" customFormat="1" ht="89.25" x14ac:dyDescent="0.2">
      <c r="A23" s="288" t="s">
        <v>1458</v>
      </c>
      <c r="B23" s="288" t="s">
        <v>1458</v>
      </c>
      <c r="C23" s="288" t="s">
        <v>1459</v>
      </c>
      <c r="D23" s="288" t="s">
        <v>1459</v>
      </c>
      <c r="E23" s="289" t="s">
        <v>1460</v>
      </c>
      <c r="F23" s="146" t="s">
        <v>1395</v>
      </c>
      <c r="G23" s="146" t="s">
        <v>1386</v>
      </c>
      <c r="H23" s="293"/>
      <c r="I23" s="293"/>
      <c r="J23" s="293"/>
      <c r="K23" s="293"/>
      <c r="L23" s="293"/>
      <c r="M23" s="293"/>
      <c r="N23" s="293"/>
      <c r="O23" s="294"/>
      <c r="P23" s="329">
        <f t="shared" si="1"/>
        <v>0</v>
      </c>
      <c r="Q23" s="11"/>
      <c r="R23" s="11"/>
      <c r="S23" s="11"/>
      <c r="T23" s="11"/>
      <c r="U23" s="11"/>
      <c r="V23" s="11"/>
      <c r="W23" s="11"/>
      <c r="X23" s="300"/>
      <c r="Y23" s="331">
        <f t="shared" si="2"/>
        <v>0</v>
      </c>
      <c r="Z23" s="146"/>
      <c r="AA23" s="146">
        <v>1</v>
      </c>
      <c r="AB23" s="146"/>
      <c r="AC23" s="146"/>
      <c r="AD23" s="146"/>
      <c r="AE23" s="146"/>
      <c r="AF23" s="146"/>
      <c r="AG23" s="300">
        <v>43301</v>
      </c>
      <c r="AH23" s="331">
        <f t="shared" si="3"/>
        <v>1</v>
      </c>
      <c r="AI23" s="146"/>
      <c r="AJ23" s="11" t="s">
        <v>1551</v>
      </c>
      <c r="AK23" s="11" t="s">
        <v>1473</v>
      </c>
      <c r="AL23" s="11"/>
      <c r="AM23" s="11"/>
      <c r="AN23" s="11" t="s">
        <v>1474</v>
      </c>
      <c r="AO23" s="11"/>
      <c r="AP23" s="11"/>
      <c r="AQ23" s="11"/>
      <c r="AR23" s="11"/>
      <c r="AS23" s="230"/>
    </row>
    <row r="24" spans="1:45" s="2" customFormat="1" ht="89.25" x14ac:dyDescent="0.2">
      <c r="A24" s="296" t="s">
        <v>1461</v>
      </c>
      <c r="B24" s="296" t="s">
        <v>1461</v>
      </c>
      <c r="C24" s="296" t="s">
        <v>1462</v>
      </c>
      <c r="D24" s="296" t="s">
        <v>1462</v>
      </c>
      <c r="E24" s="297" t="s">
        <v>1463</v>
      </c>
      <c r="F24" s="11" t="s">
        <v>1395</v>
      </c>
      <c r="G24" s="11" t="s">
        <v>1386</v>
      </c>
      <c r="H24" s="293"/>
      <c r="I24" s="293"/>
      <c r="J24" s="293"/>
      <c r="K24" s="293"/>
      <c r="L24" s="293"/>
      <c r="M24" s="293">
        <v>1</v>
      </c>
      <c r="N24" s="293"/>
      <c r="O24" s="294">
        <v>43171</v>
      </c>
      <c r="P24" s="329">
        <f t="shared" si="1"/>
        <v>1</v>
      </c>
      <c r="Q24" s="11"/>
      <c r="R24" s="11"/>
      <c r="S24" s="11"/>
      <c r="T24" s="11"/>
      <c r="U24" s="11"/>
      <c r="V24" s="11">
        <v>1</v>
      </c>
      <c r="W24" s="11"/>
      <c r="X24" s="300">
        <v>43220</v>
      </c>
      <c r="Y24" s="331">
        <f t="shared" si="2"/>
        <v>1</v>
      </c>
      <c r="Z24" s="146"/>
      <c r="AA24" s="146"/>
      <c r="AB24" s="146"/>
      <c r="AC24" s="146"/>
      <c r="AD24" s="146"/>
      <c r="AE24" s="146"/>
      <c r="AF24" s="146"/>
      <c r="AG24" s="300"/>
      <c r="AH24" s="331">
        <f t="shared" si="3"/>
        <v>0</v>
      </c>
      <c r="AI24" s="146"/>
      <c r="AJ24" s="11" t="s">
        <v>1551</v>
      </c>
      <c r="AK24" s="11" t="s">
        <v>1473</v>
      </c>
      <c r="AL24" s="11"/>
      <c r="AM24" s="11"/>
      <c r="AN24" s="11" t="s">
        <v>1474</v>
      </c>
      <c r="AO24" s="11"/>
      <c r="AP24" s="11"/>
      <c r="AQ24" s="11"/>
      <c r="AR24" s="11"/>
      <c r="AS24" s="230"/>
    </row>
    <row r="25" spans="1:45" s="2" customFormat="1" ht="89.25" x14ac:dyDescent="0.2">
      <c r="A25" s="288" t="s">
        <v>1464</v>
      </c>
      <c r="B25" s="288" t="s">
        <v>1464</v>
      </c>
      <c r="C25" s="288" t="s">
        <v>1465</v>
      </c>
      <c r="D25" s="288" t="s">
        <v>1465</v>
      </c>
      <c r="E25" s="292" t="s">
        <v>1466</v>
      </c>
      <c r="F25" s="11" t="s">
        <v>1395</v>
      </c>
      <c r="G25" s="11" t="s">
        <v>1386</v>
      </c>
      <c r="H25" s="293"/>
      <c r="I25" s="293"/>
      <c r="J25" s="293"/>
      <c r="K25" s="293"/>
      <c r="L25" s="293"/>
      <c r="M25" s="293">
        <v>1</v>
      </c>
      <c r="N25" s="293"/>
      <c r="O25" s="294">
        <v>43173</v>
      </c>
      <c r="P25" s="329">
        <f t="shared" si="1"/>
        <v>1</v>
      </c>
      <c r="Q25" s="11"/>
      <c r="R25" s="11"/>
      <c r="S25" s="11"/>
      <c r="T25" s="11"/>
      <c r="U25" s="11"/>
      <c r="V25" s="11">
        <v>1</v>
      </c>
      <c r="W25" s="11"/>
      <c r="X25" s="300">
        <v>43230</v>
      </c>
      <c r="Y25" s="331">
        <f t="shared" si="2"/>
        <v>1</v>
      </c>
      <c r="Z25" s="146"/>
      <c r="AA25" s="146"/>
      <c r="AB25" s="146"/>
      <c r="AC25" s="146"/>
      <c r="AD25" s="146"/>
      <c r="AE25" s="146"/>
      <c r="AF25" s="146"/>
      <c r="AG25" s="300"/>
      <c r="AH25" s="331">
        <f t="shared" si="3"/>
        <v>0</v>
      </c>
      <c r="AI25" s="146"/>
      <c r="AJ25" s="11" t="s">
        <v>1551</v>
      </c>
      <c r="AK25" s="11" t="s">
        <v>1473</v>
      </c>
      <c r="AL25" s="11"/>
      <c r="AM25" s="11"/>
      <c r="AN25" s="11" t="s">
        <v>1474</v>
      </c>
      <c r="AO25" s="11"/>
      <c r="AP25" s="11"/>
      <c r="AQ25" s="11"/>
      <c r="AR25" s="11"/>
      <c r="AS25" s="230"/>
    </row>
    <row r="26" spans="1:45" s="2" customFormat="1" ht="89.25" x14ac:dyDescent="0.2">
      <c r="A26" s="290" t="s">
        <v>1392</v>
      </c>
      <c r="B26" s="290" t="s">
        <v>1392</v>
      </c>
      <c r="C26" s="290" t="s">
        <v>1393</v>
      </c>
      <c r="D26" s="290" t="s">
        <v>1393</v>
      </c>
      <c r="E26" s="291" t="s">
        <v>1394</v>
      </c>
      <c r="F26" s="11" t="s">
        <v>1395</v>
      </c>
      <c r="G26" s="11" t="s">
        <v>1386</v>
      </c>
      <c r="H26" s="293"/>
      <c r="I26" s="293"/>
      <c r="J26" s="293"/>
      <c r="K26" s="293">
        <v>1</v>
      </c>
      <c r="L26" s="293"/>
      <c r="M26" s="293"/>
      <c r="N26" s="293"/>
      <c r="O26" s="294">
        <v>43221</v>
      </c>
      <c r="P26" s="329">
        <f t="shared" si="1"/>
        <v>1</v>
      </c>
      <c r="Q26" s="11"/>
      <c r="R26" s="11"/>
      <c r="S26" s="11"/>
      <c r="T26" s="11">
        <v>1</v>
      </c>
      <c r="U26" s="11"/>
      <c r="V26" s="11"/>
      <c r="W26" s="11"/>
      <c r="X26" s="300">
        <v>43222</v>
      </c>
      <c r="Y26" s="331">
        <f t="shared" si="2"/>
        <v>1</v>
      </c>
      <c r="Z26" s="146"/>
      <c r="AA26" s="146"/>
      <c r="AB26" s="146"/>
      <c r="AC26" s="146">
        <v>1</v>
      </c>
      <c r="AD26" s="146"/>
      <c r="AE26" s="146"/>
      <c r="AF26" s="146"/>
      <c r="AG26" s="300">
        <v>43223</v>
      </c>
      <c r="AH26" s="331">
        <f t="shared" si="3"/>
        <v>1</v>
      </c>
      <c r="AI26" s="146"/>
      <c r="AJ26" s="11" t="s">
        <v>1551</v>
      </c>
      <c r="AK26" s="11" t="s">
        <v>1473</v>
      </c>
      <c r="AL26" s="11"/>
      <c r="AM26" s="11"/>
      <c r="AN26" s="11" t="s">
        <v>1474</v>
      </c>
      <c r="AO26" s="11"/>
      <c r="AP26" s="11"/>
      <c r="AQ26" s="11"/>
      <c r="AR26" s="11"/>
      <c r="AS26" s="230"/>
    </row>
    <row r="27" spans="1:45" s="2" customFormat="1" ht="12.75" x14ac:dyDescent="0.2">
      <c r="A27" s="288" t="s">
        <v>1467</v>
      </c>
      <c r="B27" s="288" t="s">
        <v>1467</v>
      </c>
      <c r="C27" s="288" t="s">
        <v>1468</v>
      </c>
      <c r="D27" s="288" t="s">
        <v>1469</v>
      </c>
      <c r="E27" s="292" t="s">
        <v>1470</v>
      </c>
      <c r="F27" s="11" t="s">
        <v>1385</v>
      </c>
      <c r="G27" s="11" t="s">
        <v>1391</v>
      </c>
      <c r="H27" s="293"/>
      <c r="I27" s="293"/>
      <c r="J27" s="293"/>
      <c r="K27" s="293"/>
      <c r="L27" s="293"/>
      <c r="M27" s="293"/>
      <c r="N27" s="293">
        <v>4</v>
      </c>
      <c r="O27" s="294">
        <v>43228</v>
      </c>
      <c r="P27" s="329">
        <f t="shared" si="1"/>
        <v>4</v>
      </c>
      <c r="Q27" s="11"/>
      <c r="R27" s="11"/>
      <c r="S27" s="11"/>
      <c r="T27" s="11"/>
      <c r="U27" s="11"/>
      <c r="V27" s="11"/>
      <c r="W27" s="11"/>
      <c r="X27" s="300"/>
      <c r="Y27" s="331">
        <f t="shared" si="2"/>
        <v>0</v>
      </c>
      <c r="Z27" s="146"/>
      <c r="AA27" s="146"/>
      <c r="AB27" s="146"/>
      <c r="AC27" s="146"/>
      <c r="AD27" s="146"/>
      <c r="AE27" s="146"/>
      <c r="AF27" s="146"/>
      <c r="AG27" s="300"/>
      <c r="AH27" s="331">
        <f t="shared" si="3"/>
        <v>0</v>
      </c>
      <c r="AI27" s="146"/>
      <c r="AJ27" s="11" t="s">
        <v>1551</v>
      </c>
      <c r="AK27" s="11" t="s">
        <v>1473</v>
      </c>
      <c r="AL27" s="11"/>
      <c r="AM27" s="11"/>
      <c r="AN27" s="11"/>
      <c r="AO27" s="11"/>
      <c r="AP27" s="11"/>
      <c r="AQ27" s="11"/>
      <c r="AR27" s="11"/>
      <c r="AS27" s="230"/>
    </row>
    <row r="28" spans="1:45" s="2" customFormat="1" ht="89.25" x14ac:dyDescent="0.2">
      <c r="A28" s="288" t="s">
        <v>1399</v>
      </c>
      <c r="B28" s="288" t="s">
        <v>1399</v>
      </c>
      <c r="C28" s="288" t="s">
        <v>1400</v>
      </c>
      <c r="D28" s="288" t="s">
        <v>1400</v>
      </c>
      <c r="E28" s="292" t="s">
        <v>1401</v>
      </c>
      <c r="F28" s="11" t="s">
        <v>1395</v>
      </c>
      <c r="G28" s="11" t="s">
        <v>1386</v>
      </c>
      <c r="H28" s="293"/>
      <c r="I28" s="293"/>
      <c r="J28" s="293"/>
      <c r="K28" s="293">
        <v>1</v>
      </c>
      <c r="L28" s="293"/>
      <c r="M28" s="293"/>
      <c r="N28" s="293"/>
      <c r="O28" s="294">
        <v>43249</v>
      </c>
      <c r="P28" s="329">
        <f t="shared" si="1"/>
        <v>1</v>
      </c>
      <c r="Q28" s="11"/>
      <c r="R28" s="11"/>
      <c r="S28" s="11"/>
      <c r="T28" s="11"/>
      <c r="U28" s="11"/>
      <c r="V28" s="11"/>
      <c r="W28" s="11"/>
      <c r="X28" s="300"/>
      <c r="Y28" s="331">
        <f t="shared" si="2"/>
        <v>0</v>
      </c>
      <c r="Z28" s="146"/>
      <c r="AA28" s="146"/>
      <c r="AB28" s="146"/>
      <c r="AC28" s="146"/>
      <c r="AD28" s="146"/>
      <c r="AE28" s="146"/>
      <c r="AF28" s="146"/>
      <c r="AG28" s="300"/>
      <c r="AH28" s="331">
        <f t="shared" si="3"/>
        <v>0</v>
      </c>
      <c r="AI28" s="146"/>
      <c r="AJ28" s="11" t="s">
        <v>1551</v>
      </c>
      <c r="AK28" s="11" t="s">
        <v>1473</v>
      </c>
      <c r="AL28" s="11"/>
      <c r="AM28" s="11"/>
      <c r="AN28" s="11" t="s">
        <v>1474</v>
      </c>
      <c r="AO28" s="11"/>
      <c r="AP28" s="11"/>
      <c r="AQ28" s="11"/>
      <c r="AR28" s="11"/>
      <c r="AS28" s="230"/>
    </row>
    <row r="29" spans="1:45" s="2" customFormat="1" ht="89.25" x14ac:dyDescent="0.2">
      <c r="A29" s="288" t="s">
        <v>1402</v>
      </c>
      <c r="B29" s="288" t="s">
        <v>1402</v>
      </c>
      <c r="C29" s="288" t="s">
        <v>1403</v>
      </c>
      <c r="D29" s="288" t="s">
        <v>1403</v>
      </c>
      <c r="E29" s="292" t="s">
        <v>1404</v>
      </c>
      <c r="F29" s="11" t="s">
        <v>1395</v>
      </c>
      <c r="G29" s="11" t="s">
        <v>1386</v>
      </c>
      <c r="H29" s="293"/>
      <c r="I29" s="293"/>
      <c r="J29" s="293"/>
      <c r="K29" s="293"/>
      <c r="L29" s="293"/>
      <c r="M29" s="293">
        <v>1</v>
      </c>
      <c r="N29" s="293"/>
      <c r="O29" s="294">
        <v>43307</v>
      </c>
      <c r="P29" s="329">
        <f t="shared" si="1"/>
        <v>1</v>
      </c>
      <c r="Q29" s="11"/>
      <c r="R29" s="11"/>
      <c r="S29" s="11"/>
      <c r="T29" s="11"/>
      <c r="U29" s="11"/>
      <c r="V29" s="11"/>
      <c r="W29" s="11"/>
      <c r="X29" s="300"/>
      <c r="Y29" s="331">
        <f t="shared" si="2"/>
        <v>0</v>
      </c>
      <c r="Z29" s="146"/>
      <c r="AA29" s="146"/>
      <c r="AB29" s="146"/>
      <c r="AC29" s="146"/>
      <c r="AD29" s="146"/>
      <c r="AE29" s="146"/>
      <c r="AF29" s="146"/>
      <c r="AG29" s="300"/>
      <c r="AH29" s="331">
        <f t="shared" si="3"/>
        <v>0</v>
      </c>
      <c r="AI29" s="146"/>
      <c r="AJ29" s="11" t="s">
        <v>1551</v>
      </c>
      <c r="AK29" s="11" t="s">
        <v>1473</v>
      </c>
      <c r="AL29" s="11"/>
      <c r="AM29" s="11"/>
      <c r="AN29" s="11" t="s">
        <v>1474</v>
      </c>
      <c r="AO29" s="11"/>
      <c r="AP29" s="11"/>
      <c r="AQ29" s="11"/>
      <c r="AR29" s="11"/>
      <c r="AS29" s="230"/>
    </row>
    <row r="30" spans="1:45" s="2" customFormat="1" ht="89.25" x14ac:dyDescent="0.2">
      <c r="A30" s="288" t="s">
        <v>1382</v>
      </c>
      <c r="B30" s="288" t="s">
        <v>1382</v>
      </c>
      <c r="C30" s="288" t="s">
        <v>1383</v>
      </c>
      <c r="D30" s="288" t="s">
        <v>1383</v>
      </c>
      <c r="E30" s="292" t="s">
        <v>1471</v>
      </c>
      <c r="F30" s="11" t="s">
        <v>1385</v>
      </c>
      <c r="G30" s="11" t="s">
        <v>1386</v>
      </c>
      <c r="H30" s="293"/>
      <c r="I30" s="293"/>
      <c r="J30" s="293"/>
      <c r="K30" s="293"/>
      <c r="L30" s="293"/>
      <c r="M30" s="293"/>
      <c r="N30" s="293">
        <v>2</v>
      </c>
      <c r="O30" s="294">
        <v>43318</v>
      </c>
      <c r="P30" s="329">
        <f t="shared" si="1"/>
        <v>2</v>
      </c>
      <c r="Q30" s="11"/>
      <c r="R30" s="11"/>
      <c r="S30" s="11"/>
      <c r="T30" s="11"/>
      <c r="U30" s="11"/>
      <c r="V30" s="11"/>
      <c r="W30" s="11"/>
      <c r="X30" s="300"/>
      <c r="Y30" s="331">
        <f t="shared" si="2"/>
        <v>0</v>
      </c>
      <c r="Z30" s="146"/>
      <c r="AA30" s="146"/>
      <c r="AB30" s="146"/>
      <c r="AC30" s="146"/>
      <c r="AD30" s="146"/>
      <c r="AE30" s="146"/>
      <c r="AF30" s="146"/>
      <c r="AG30" s="300"/>
      <c r="AH30" s="331">
        <f t="shared" si="3"/>
        <v>0</v>
      </c>
      <c r="AI30" s="146"/>
      <c r="AJ30" s="11" t="s">
        <v>1473</v>
      </c>
      <c r="AK30" s="11" t="s">
        <v>1473</v>
      </c>
      <c r="AL30" s="11"/>
      <c r="AM30" s="11"/>
      <c r="AN30" s="11" t="s">
        <v>1474</v>
      </c>
      <c r="AO30" s="11"/>
      <c r="AP30" s="11"/>
      <c r="AQ30" s="11"/>
      <c r="AR30" s="11"/>
      <c r="AS30" s="230"/>
    </row>
    <row r="31" spans="1:45" s="2" customFormat="1" ht="12.75" x14ac:dyDescent="0.2">
      <c r="A31" s="288" t="s">
        <v>1387</v>
      </c>
      <c r="B31" s="288" t="s">
        <v>1387</v>
      </c>
      <c r="C31" s="288" t="s">
        <v>1388</v>
      </c>
      <c r="D31" s="288" t="s">
        <v>1388</v>
      </c>
      <c r="E31" s="292" t="s">
        <v>1472</v>
      </c>
      <c r="F31" s="11" t="s">
        <v>1390</v>
      </c>
      <c r="G31" s="11" t="s">
        <v>1391</v>
      </c>
      <c r="H31" s="293"/>
      <c r="I31" s="293"/>
      <c r="J31" s="293"/>
      <c r="K31" s="293"/>
      <c r="L31" s="293"/>
      <c r="M31" s="293"/>
      <c r="N31" s="293">
        <v>1</v>
      </c>
      <c r="O31" s="294">
        <v>43318</v>
      </c>
      <c r="P31" s="329">
        <f t="shared" si="1"/>
        <v>1</v>
      </c>
      <c r="Q31" s="11"/>
      <c r="R31" s="11"/>
      <c r="S31" s="11"/>
      <c r="T31" s="11"/>
      <c r="U31" s="11"/>
      <c r="V31" s="11"/>
      <c r="W31" s="11"/>
      <c r="X31" s="300"/>
      <c r="Y31" s="331">
        <f t="shared" si="2"/>
        <v>0</v>
      </c>
      <c r="Z31" s="146"/>
      <c r="AA31" s="146"/>
      <c r="AB31" s="146"/>
      <c r="AC31" s="146"/>
      <c r="AD31" s="146"/>
      <c r="AE31" s="146"/>
      <c r="AF31" s="146"/>
      <c r="AG31" s="300"/>
      <c r="AH31" s="331">
        <f t="shared" si="3"/>
        <v>0</v>
      </c>
      <c r="AI31" s="146"/>
      <c r="AJ31" s="11" t="s">
        <v>1551</v>
      </c>
      <c r="AK31" s="11" t="s">
        <v>1473</v>
      </c>
      <c r="AL31" s="11"/>
      <c r="AM31" s="11"/>
      <c r="AN31" s="11"/>
      <c r="AO31" s="11"/>
      <c r="AP31" s="11"/>
      <c r="AQ31" s="11"/>
      <c r="AR31" s="11"/>
      <c r="AS31" s="230"/>
    </row>
    <row r="32" spans="1:45" s="2" customFormat="1" ht="89.25" x14ac:dyDescent="0.2">
      <c r="A32" s="288" t="s">
        <v>1405</v>
      </c>
      <c r="B32" s="288" t="s">
        <v>1405</v>
      </c>
      <c r="C32" s="288" t="s">
        <v>1406</v>
      </c>
      <c r="D32" s="288" t="s">
        <v>1406</v>
      </c>
      <c r="E32" s="292" t="s">
        <v>1407</v>
      </c>
      <c r="F32" s="11" t="s">
        <v>1395</v>
      </c>
      <c r="G32" s="11" t="s">
        <v>1386</v>
      </c>
      <c r="H32" s="293"/>
      <c r="I32" s="293"/>
      <c r="J32" s="293"/>
      <c r="K32" s="293"/>
      <c r="L32" s="293"/>
      <c r="M32" s="293">
        <v>1</v>
      </c>
      <c r="N32" s="293"/>
      <c r="O32" s="294">
        <v>43340</v>
      </c>
      <c r="P32" s="329">
        <f t="shared" si="1"/>
        <v>1</v>
      </c>
      <c r="Q32" s="11"/>
      <c r="R32" s="11"/>
      <c r="S32" s="11"/>
      <c r="T32" s="11"/>
      <c r="U32" s="11"/>
      <c r="V32" s="11"/>
      <c r="W32" s="11"/>
      <c r="X32" s="300"/>
      <c r="Y32" s="331">
        <f t="shared" si="2"/>
        <v>0</v>
      </c>
      <c r="Z32" s="146"/>
      <c r="AA32" s="146"/>
      <c r="AB32" s="146"/>
      <c r="AC32" s="146"/>
      <c r="AD32" s="146"/>
      <c r="AE32" s="146"/>
      <c r="AF32" s="146"/>
      <c r="AG32" s="300"/>
      <c r="AH32" s="331">
        <f t="shared" ref="AH32:AH96" si="4">SUM(Z32:AF32)</f>
        <v>0</v>
      </c>
      <c r="AI32" s="146"/>
      <c r="AJ32" s="11" t="s">
        <v>1551</v>
      </c>
      <c r="AK32" s="11" t="s">
        <v>1473</v>
      </c>
      <c r="AL32" s="11"/>
      <c r="AM32" s="11"/>
      <c r="AN32" s="11" t="s">
        <v>1474</v>
      </c>
      <c r="AO32" s="11"/>
      <c r="AP32" s="11"/>
      <c r="AQ32" s="11"/>
      <c r="AR32" s="11"/>
      <c r="AS32" s="230"/>
    </row>
    <row r="33" spans="1:132" s="231" customFormat="1" ht="89.25" x14ac:dyDescent="0.2">
      <c r="A33" s="288" t="s">
        <v>1396</v>
      </c>
      <c r="B33" s="288" t="s">
        <v>1396</v>
      </c>
      <c r="C33" s="288" t="s">
        <v>1397</v>
      </c>
      <c r="D33" s="288" t="s">
        <v>1397</v>
      </c>
      <c r="E33" s="292" t="s">
        <v>1398</v>
      </c>
      <c r="F33" s="11" t="s">
        <v>1395</v>
      </c>
      <c r="G33" s="11" t="s">
        <v>1386</v>
      </c>
      <c r="H33" s="293"/>
      <c r="I33" s="293"/>
      <c r="J33" s="293"/>
      <c r="K33" s="293"/>
      <c r="L33" s="293"/>
      <c r="M33" s="293">
        <v>1</v>
      </c>
      <c r="N33" s="293"/>
      <c r="O33" s="294">
        <v>43350</v>
      </c>
      <c r="P33" s="329">
        <f t="shared" si="1"/>
        <v>1</v>
      </c>
      <c r="Q33" s="11"/>
      <c r="R33" s="11"/>
      <c r="S33" s="11"/>
      <c r="T33" s="11"/>
      <c r="U33" s="11"/>
      <c r="V33" s="11"/>
      <c r="W33" s="11"/>
      <c r="X33" s="300"/>
      <c r="Y33" s="331">
        <f t="shared" si="2"/>
        <v>0</v>
      </c>
      <c r="Z33" s="146"/>
      <c r="AA33" s="146"/>
      <c r="AB33" s="146"/>
      <c r="AC33" s="146"/>
      <c r="AD33" s="146"/>
      <c r="AE33" s="146"/>
      <c r="AF33" s="146"/>
      <c r="AG33" s="300"/>
      <c r="AH33" s="331">
        <f t="shared" si="4"/>
        <v>0</v>
      </c>
      <c r="AI33" s="146"/>
      <c r="AJ33" s="11" t="s">
        <v>1551</v>
      </c>
      <c r="AK33" s="11" t="s">
        <v>1473</v>
      </c>
      <c r="AL33" s="11"/>
      <c r="AM33" s="11"/>
      <c r="AN33" s="11" t="s">
        <v>1474</v>
      </c>
      <c r="AO33" s="11"/>
      <c r="AP33" s="11"/>
      <c r="AQ33" s="11"/>
      <c r="AR33" s="11"/>
      <c r="AS33" s="23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02.75" x14ac:dyDescent="0.25">
      <c r="A34" s="288" t="s">
        <v>1411</v>
      </c>
      <c r="B34" s="288" t="s">
        <v>1411</v>
      </c>
      <c r="C34" s="288" t="s">
        <v>1412</v>
      </c>
      <c r="D34" s="288" t="s">
        <v>1412</v>
      </c>
      <c r="E34" s="146" t="s">
        <v>1413</v>
      </c>
      <c r="F34" s="298" t="s">
        <v>1395</v>
      </c>
      <c r="G34" s="298" t="s">
        <v>1386</v>
      </c>
      <c r="H34" s="299"/>
      <c r="I34" s="299"/>
      <c r="J34" s="299"/>
      <c r="K34" s="299"/>
      <c r="L34" s="299"/>
      <c r="M34" s="299">
        <v>1</v>
      </c>
      <c r="N34" s="299"/>
      <c r="O34" s="316">
        <v>43360</v>
      </c>
      <c r="P34" s="329">
        <f t="shared" si="1"/>
        <v>1</v>
      </c>
      <c r="Q34" s="298"/>
      <c r="R34" s="298"/>
      <c r="S34" s="298"/>
      <c r="T34" s="298"/>
      <c r="U34" s="298"/>
      <c r="V34" s="298">
        <v>1</v>
      </c>
      <c r="W34" s="298"/>
      <c r="X34" s="300">
        <v>43402</v>
      </c>
      <c r="Y34" s="331">
        <f t="shared" si="2"/>
        <v>1</v>
      </c>
      <c r="Z34" s="301"/>
      <c r="AA34" s="301"/>
      <c r="AB34" s="301"/>
      <c r="AC34" s="301"/>
      <c r="AD34" s="301"/>
      <c r="AE34" s="301"/>
      <c r="AF34" s="301"/>
      <c r="AG34" s="298"/>
      <c r="AH34" s="331">
        <f t="shared" si="4"/>
        <v>0</v>
      </c>
      <c r="AI34" s="301"/>
      <c r="AJ34" s="298" t="s">
        <v>1551</v>
      </c>
      <c r="AK34" s="298" t="s">
        <v>1473</v>
      </c>
      <c r="AL34" s="11"/>
      <c r="AM34" s="11"/>
      <c r="AN34" s="298" t="s">
        <v>1474</v>
      </c>
      <c r="AO34" s="298"/>
      <c r="AP34" s="298"/>
      <c r="AQ34" s="298"/>
      <c r="AR34" s="302"/>
      <c r="AS34" s="303"/>
    </row>
    <row r="35" spans="1:132" s="75" customFormat="1" ht="89.25" x14ac:dyDescent="0.2">
      <c r="A35" s="288" t="s">
        <v>1417</v>
      </c>
      <c r="B35" s="288" t="s">
        <v>1417</v>
      </c>
      <c r="C35" s="288" t="s">
        <v>1418</v>
      </c>
      <c r="D35" s="288" t="s">
        <v>1418</v>
      </c>
      <c r="E35" s="292" t="s">
        <v>1419</v>
      </c>
      <c r="F35" s="231" t="s">
        <v>1395</v>
      </c>
      <c r="G35" s="231" t="s">
        <v>1386</v>
      </c>
      <c r="H35" s="295"/>
      <c r="I35" s="295"/>
      <c r="J35" s="295"/>
      <c r="K35" s="295"/>
      <c r="L35" s="295"/>
      <c r="M35" s="295">
        <v>1</v>
      </c>
      <c r="N35" s="295"/>
      <c r="O35" s="317">
        <v>43419</v>
      </c>
      <c r="P35" s="329">
        <f t="shared" si="1"/>
        <v>1</v>
      </c>
      <c r="Q35" s="231"/>
      <c r="R35" s="231"/>
      <c r="S35" s="231"/>
      <c r="T35" s="231"/>
      <c r="U35" s="231"/>
      <c r="V35" s="231"/>
      <c r="W35" s="231"/>
      <c r="X35" s="300"/>
      <c r="Y35" s="331">
        <f t="shared" si="2"/>
        <v>0</v>
      </c>
      <c r="Z35" s="146"/>
      <c r="AA35" s="146"/>
      <c r="AB35" s="146"/>
      <c r="AC35" s="146"/>
      <c r="AD35" s="146"/>
      <c r="AE35" s="146"/>
      <c r="AF35" s="146"/>
      <c r="AG35" s="231"/>
      <c r="AH35" s="331">
        <f t="shared" si="4"/>
        <v>0</v>
      </c>
      <c r="AI35" s="146"/>
      <c r="AJ35" s="231" t="s">
        <v>1551</v>
      </c>
      <c r="AK35" s="231" t="s">
        <v>1473</v>
      </c>
      <c r="AL35" s="11"/>
      <c r="AM35" s="11"/>
      <c r="AN35" s="231" t="s">
        <v>1474</v>
      </c>
      <c r="AO35" s="231"/>
      <c r="AP35" s="231"/>
      <c r="AQ35" s="231"/>
      <c r="AR35" s="304"/>
      <c r="AS35" s="230"/>
    </row>
    <row r="36" spans="1:132" s="75" customFormat="1" ht="89.25" x14ac:dyDescent="0.2">
      <c r="A36" s="288" t="s">
        <v>1408</v>
      </c>
      <c r="B36" s="288" t="s">
        <v>1408</v>
      </c>
      <c r="C36" s="288" t="s">
        <v>1409</v>
      </c>
      <c r="D36" s="288" t="s">
        <v>1409</v>
      </c>
      <c r="E36" s="292" t="s">
        <v>1410</v>
      </c>
      <c r="F36" s="231" t="s">
        <v>1395</v>
      </c>
      <c r="G36" s="231" t="s">
        <v>1386</v>
      </c>
      <c r="H36" s="295"/>
      <c r="I36" s="295"/>
      <c r="J36" s="295"/>
      <c r="K36" s="295"/>
      <c r="L36" s="295"/>
      <c r="M36" s="295">
        <v>1</v>
      </c>
      <c r="N36" s="295"/>
      <c r="O36" s="317">
        <v>43425</v>
      </c>
      <c r="P36" s="329">
        <f t="shared" si="1"/>
        <v>1</v>
      </c>
      <c r="Q36" s="231"/>
      <c r="R36" s="231"/>
      <c r="S36" s="231"/>
      <c r="T36" s="231"/>
      <c r="U36" s="231"/>
      <c r="V36" s="231"/>
      <c r="W36" s="231"/>
      <c r="X36" s="300"/>
      <c r="Y36" s="331">
        <f t="shared" si="2"/>
        <v>0</v>
      </c>
      <c r="Z36" s="146"/>
      <c r="AA36" s="146"/>
      <c r="AB36" s="146"/>
      <c r="AC36" s="146"/>
      <c r="AD36" s="146"/>
      <c r="AE36" s="146"/>
      <c r="AF36" s="146"/>
      <c r="AG36" s="231"/>
      <c r="AH36" s="331">
        <f t="shared" si="4"/>
        <v>0</v>
      </c>
      <c r="AI36" s="146"/>
      <c r="AJ36" s="231" t="s">
        <v>1551</v>
      </c>
      <c r="AK36" s="231" t="s">
        <v>1473</v>
      </c>
      <c r="AL36" s="11"/>
      <c r="AM36" s="11"/>
      <c r="AN36" s="231" t="s">
        <v>1474</v>
      </c>
      <c r="AO36" s="231"/>
      <c r="AP36" s="231"/>
      <c r="AQ36" s="231"/>
      <c r="AR36" s="304"/>
      <c r="AS36" s="230"/>
    </row>
    <row r="37" spans="1:132" s="75" customFormat="1" ht="12.75" x14ac:dyDescent="0.2">
      <c r="A37" s="146"/>
      <c r="B37" s="146"/>
      <c r="C37" s="146"/>
      <c r="D37" s="146"/>
      <c r="E37" s="146"/>
      <c r="F37" s="146"/>
      <c r="G37" s="146"/>
      <c r="H37" s="146"/>
      <c r="I37" s="146"/>
      <c r="J37" s="146"/>
      <c r="K37" s="146"/>
      <c r="L37" s="146"/>
      <c r="M37" s="146"/>
      <c r="N37" s="146"/>
      <c r="O37" s="146"/>
      <c r="P37" s="329">
        <f t="shared" si="1"/>
        <v>0</v>
      </c>
      <c r="Q37" s="146"/>
      <c r="R37" s="146"/>
      <c r="S37" s="146"/>
      <c r="T37" s="146"/>
      <c r="U37" s="146"/>
      <c r="V37" s="146"/>
      <c r="W37" s="146"/>
      <c r="X37" s="268"/>
      <c r="Y37" s="331">
        <f t="shared" si="2"/>
        <v>0</v>
      </c>
      <c r="Z37" s="146"/>
      <c r="AA37" s="146"/>
      <c r="AB37" s="146"/>
      <c r="AC37" s="146"/>
      <c r="AD37" s="146"/>
      <c r="AE37" s="146"/>
      <c r="AF37" s="146"/>
      <c r="AG37" s="231"/>
      <c r="AH37" s="331">
        <f t="shared" si="4"/>
        <v>0</v>
      </c>
      <c r="AI37" s="146"/>
      <c r="AJ37" s="231"/>
      <c r="AK37" s="231"/>
      <c r="AL37" s="11"/>
      <c r="AM37" s="11"/>
      <c r="AN37" s="231"/>
      <c r="AO37" s="231"/>
      <c r="AP37" s="231"/>
      <c r="AQ37" s="231"/>
      <c r="AR37" s="304"/>
      <c r="AS37" s="230"/>
    </row>
    <row r="38" spans="1:132" s="75" customFormat="1" ht="12.75" x14ac:dyDescent="0.2">
      <c r="A38" s="146"/>
      <c r="B38" s="146"/>
      <c r="C38" s="146"/>
      <c r="D38" s="146"/>
      <c r="E38" s="146"/>
      <c r="F38" s="146"/>
      <c r="G38" s="146"/>
      <c r="H38" s="146"/>
      <c r="I38" s="146"/>
      <c r="J38" s="146"/>
      <c r="K38" s="146"/>
      <c r="L38" s="146"/>
      <c r="M38" s="146"/>
      <c r="N38" s="146"/>
      <c r="O38" s="146"/>
      <c r="P38" s="329">
        <f t="shared" si="1"/>
        <v>0</v>
      </c>
      <c r="Q38" s="146"/>
      <c r="R38" s="146"/>
      <c r="S38" s="146"/>
      <c r="T38" s="146"/>
      <c r="U38" s="146"/>
      <c r="V38" s="146"/>
      <c r="W38" s="146"/>
      <c r="X38" s="268"/>
      <c r="Y38" s="331">
        <f t="shared" si="2"/>
        <v>0</v>
      </c>
      <c r="Z38" s="146"/>
      <c r="AA38" s="146"/>
      <c r="AB38" s="146"/>
      <c r="AC38" s="146"/>
      <c r="AD38" s="146"/>
      <c r="AE38" s="146"/>
      <c r="AF38" s="146"/>
      <c r="AG38" s="231"/>
      <c r="AH38" s="331">
        <f t="shared" si="4"/>
        <v>0</v>
      </c>
      <c r="AI38" s="146"/>
      <c r="AJ38" s="231"/>
      <c r="AK38" s="231"/>
      <c r="AL38" s="11"/>
      <c r="AM38" s="11"/>
      <c r="AN38" s="231"/>
      <c r="AO38" s="231"/>
      <c r="AP38" s="231"/>
      <c r="AQ38" s="231"/>
      <c r="AR38" s="304"/>
      <c r="AS38" s="230"/>
    </row>
    <row r="39" spans="1:132" s="75" customFormat="1" ht="12.75" x14ac:dyDescent="0.2">
      <c r="A39" s="146"/>
      <c r="B39" s="146"/>
      <c r="C39" s="146"/>
      <c r="D39" s="146"/>
      <c r="E39" s="146"/>
      <c r="F39" s="146"/>
      <c r="G39" s="146"/>
      <c r="H39" s="146"/>
      <c r="I39" s="146"/>
      <c r="J39" s="146"/>
      <c r="K39" s="146"/>
      <c r="L39" s="146"/>
      <c r="M39" s="146"/>
      <c r="N39" s="146"/>
      <c r="O39" s="146"/>
      <c r="P39" s="329">
        <f t="shared" si="1"/>
        <v>0</v>
      </c>
      <c r="Q39" s="146"/>
      <c r="R39" s="146"/>
      <c r="S39" s="146"/>
      <c r="T39" s="146"/>
      <c r="U39" s="146"/>
      <c r="V39" s="146"/>
      <c r="W39" s="146"/>
      <c r="X39" s="268"/>
      <c r="Y39" s="331">
        <f t="shared" si="2"/>
        <v>0</v>
      </c>
      <c r="Z39" s="146"/>
      <c r="AA39" s="146"/>
      <c r="AB39" s="146"/>
      <c r="AC39" s="146"/>
      <c r="AD39" s="146"/>
      <c r="AE39" s="146"/>
      <c r="AF39" s="146"/>
      <c r="AG39" s="231"/>
      <c r="AH39" s="331">
        <f t="shared" si="4"/>
        <v>0</v>
      </c>
      <c r="AI39" s="146"/>
      <c r="AJ39" s="231"/>
      <c r="AK39" s="231"/>
      <c r="AL39" s="11"/>
      <c r="AM39" s="11"/>
      <c r="AN39" s="231"/>
      <c r="AO39" s="231"/>
      <c r="AP39" s="231"/>
      <c r="AQ39" s="231"/>
      <c r="AR39" s="304"/>
      <c r="AS39" s="230"/>
    </row>
    <row r="40" spans="1:132" s="75" customFormat="1" ht="12.75" x14ac:dyDescent="0.2">
      <c r="A40" s="146"/>
      <c r="B40" s="146"/>
      <c r="C40" s="146"/>
      <c r="D40" s="146"/>
      <c r="E40" s="146"/>
      <c r="F40" s="146"/>
      <c r="G40" s="146"/>
      <c r="H40" s="146"/>
      <c r="I40" s="146"/>
      <c r="J40" s="146"/>
      <c r="K40" s="146"/>
      <c r="L40" s="146"/>
      <c r="M40" s="146"/>
      <c r="N40" s="146"/>
      <c r="O40" s="146"/>
      <c r="P40" s="329">
        <f t="shared" si="1"/>
        <v>0</v>
      </c>
      <c r="Q40" s="146"/>
      <c r="R40" s="146"/>
      <c r="S40" s="146"/>
      <c r="T40" s="146"/>
      <c r="U40" s="146"/>
      <c r="V40" s="146"/>
      <c r="W40" s="146"/>
      <c r="X40" s="268"/>
      <c r="Y40" s="331">
        <f t="shared" si="2"/>
        <v>0</v>
      </c>
      <c r="Z40" s="146"/>
      <c r="AA40" s="146"/>
      <c r="AB40" s="146"/>
      <c r="AC40" s="146"/>
      <c r="AD40" s="146"/>
      <c r="AE40" s="146"/>
      <c r="AF40" s="146"/>
      <c r="AG40" s="231"/>
      <c r="AH40" s="331">
        <f t="shared" si="4"/>
        <v>0</v>
      </c>
      <c r="AI40" s="146"/>
      <c r="AJ40" s="231"/>
      <c r="AK40" s="231"/>
      <c r="AL40" s="11"/>
      <c r="AM40" s="11"/>
      <c r="AN40" s="231"/>
      <c r="AO40" s="231"/>
      <c r="AP40" s="231"/>
      <c r="AQ40" s="231"/>
      <c r="AR40" s="304"/>
      <c r="AS40" s="230"/>
    </row>
    <row r="41" spans="1:132" s="75" customFormat="1" ht="12.75" x14ac:dyDescent="0.2">
      <c r="A41" s="146"/>
      <c r="B41" s="146"/>
      <c r="C41" s="146"/>
      <c r="D41" s="146"/>
      <c r="E41" s="146"/>
      <c r="F41" s="146"/>
      <c r="G41" s="146"/>
      <c r="H41" s="146"/>
      <c r="I41" s="146"/>
      <c r="J41" s="146"/>
      <c r="K41" s="146"/>
      <c r="L41" s="146"/>
      <c r="M41" s="146"/>
      <c r="N41" s="146"/>
      <c r="O41" s="146"/>
      <c r="P41" s="329">
        <f t="shared" si="1"/>
        <v>0</v>
      </c>
      <c r="Q41" s="146"/>
      <c r="R41" s="146"/>
      <c r="S41" s="146"/>
      <c r="T41" s="146"/>
      <c r="U41" s="146"/>
      <c r="V41" s="146"/>
      <c r="W41" s="146"/>
      <c r="X41" s="268"/>
      <c r="Y41" s="331">
        <f t="shared" si="2"/>
        <v>0</v>
      </c>
      <c r="Z41" s="146"/>
      <c r="AA41" s="146"/>
      <c r="AB41" s="146"/>
      <c r="AC41" s="146"/>
      <c r="AD41" s="146"/>
      <c r="AE41" s="146"/>
      <c r="AF41" s="146"/>
      <c r="AG41" s="146"/>
      <c r="AH41" s="331">
        <f t="shared" si="4"/>
        <v>0</v>
      </c>
      <c r="AI41" s="146"/>
      <c r="AJ41" s="231"/>
      <c r="AK41" s="231"/>
      <c r="AL41" s="11"/>
      <c r="AM41" s="11"/>
      <c r="AN41" s="231"/>
      <c r="AO41" s="231"/>
      <c r="AP41" s="231"/>
      <c r="AQ41" s="231"/>
      <c r="AR41" s="304"/>
      <c r="AS41" s="230"/>
    </row>
    <row r="42" spans="1:132" s="75" customFormat="1" ht="12.75" x14ac:dyDescent="0.2">
      <c r="A42" s="146"/>
      <c r="B42" s="146"/>
      <c r="C42" s="146"/>
      <c r="D42" s="146"/>
      <c r="E42" s="146"/>
      <c r="F42" s="146"/>
      <c r="G42" s="146"/>
      <c r="H42" s="146"/>
      <c r="I42" s="146"/>
      <c r="J42" s="146"/>
      <c r="K42" s="146"/>
      <c r="L42" s="146"/>
      <c r="M42" s="146"/>
      <c r="N42" s="146"/>
      <c r="O42" s="146"/>
      <c r="P42" s="329">
        <f t="shared" si="1"/>
        <v>0</v>
      </c>
      <c r="Q42" s="146"/>
      <c r="R42" s="146"/>
      <c r="S42" s="146"/>
      <c r="T42" s="146"/>
      <c r="U42" s="146"/>
      <c r="V42" s="146"/>
      <c r="W42" s="146"/>
      <c r="X42" s="268"/>
      <c r="Y42" s="331">
        <f t="shared" si="2"/>
        <v>0</v>
      </c>
      <c r="Z42" s="146"/>
      <c r="AA42" s="146"/>
      <c r="AB42" s="146"/>
      <c r="AC42" s="146"/>
      <c r="AD42" s="146"/>
      <c r="AE42" s="146"/>
      <c r="AF42" s="146"/>
      <c r="AG42" s="146"/>
      <c r="AH42" s="331">
        <f t="shared" si="4"/>
        <v>0</v>
      </c>
      <c r="AI42" s="146"/>
      <c r="AJ42" s="231"/>
      <c r="AK42" s="231"/>
      <c r="AL42" s="11"/>
      <c r="AM42" s="11"/>
      <c r="AN42" s="231"/>
      <c r="AO42" s="231"/>
      <c r="AP42" s="231"/>
      <c r="AQ42" s="231"/>
      <c r="AR42" s="304"/>
      <c r="AS42" s="230"/>
    </row>
    <row r="43" spans="1:132" s="75" customFormat="1" ht="12.75" x14ac:dyDescent="0.2">
      <c r="A43" s="146"/>
      <c r="B43" s="146"/>
      <c r="C43" s="146"/>
      <c r="D43" s="146"/>
      <c r="E43" s="146"/>
      <c r="F43" s="146"/>
      <c r="G43" s="146"/>
      <c r="H43" s="146"/>
      <c r="I43" s="146"/>
      <c r="J43" s="146"/>
      <c r="K43" s="146"/>
      <c r="L43" s="146"/>
      <c r="M43" s="146"/>
      <c r="N43" s="146"/>
      <c r="O43" s="146"/>
      <c r="P43" s="329">
        <f t="shared" si="1"/>
        <v>0</v>
      </c>
      <c r="Q43" s="146"/>
      <c r="R43" s="146"/>
      <c r="S43" s="146"/>
      <c r="T43" s="146"/>
      <c r="U43" s="146"/>
      <c r="V43" s="146"/>
      <c r="W43" s="146"/>
      <c r="X43" s="268"/>
      <c r="Y43" s="331">
        <f t="shared" si="2"/>
        <v>0</v>
      </c>
      <c r="Z43" s="146"/>
      <c r="AA43" s="146"/>
      <c r="AB43" s="146"/>
      <c r="AC43" s="146"/>
      <c r="AD43" s="146"/>
      <c r="AE43" s="146"/>
      <c r="AF43" s="146"/>
      <c r="AG43" s="146"/>
      <c r="AH43" s="331">
        <f t="shared" si="4"/>
        <v>0</v>
      </c>
      <c r="AI43" s="146"/>
      <c r="AJ43" s="231"/>
      <c r="AK43" s="231"/>
      <c r="AL43" s="11"/>
      <c r="AM43" s="11"/>
      <c r="AN43" s="231"/>
      <c r="AO43" s="231"/>
      <c r="AP43" s="231"/>
      <c r="AQ43" s="231"/>
      <c r="AR43" s="304"/>
      <c r="AS43" s="230"/>
    </row>
    <row r="44" spans="1:132" s="75" customFormat="1" ht="12.75" x14ac:dyDescent="0.2">
      <c r="A44" s="146"/>
      <c r="B44" s="146"/>
      <c r="C44" s="146"/>
      <c r="D44" s="146"/>
      <c r="E44" s="146"/>
      <c r="F44" s="146"/>
      <c r="G44" s="146"/>
      <c r="H44" s="146"/>
      <c r="I44" s="146"/>
      <c r="J44" s="146"/>
      <c r="K44" s="146"/>
      <c r="L44" s="146"/>
      <c r="M44" s="146"/>
      <c r="N44" s="146"/>
      <c r="O44" s="146"/>
      <c r="P44" s="329">
        <f t="shared" si="1"/>
        <v>0</v>
      </c>
      <c r="Q44" s="146"/>
      <c r="R44" s="146"/>
      <c r="S44" s="146"/>
      <c r="T44" s="146"/>
      <c r="U44" s="146"/>
      <c r="V44" s="146"/>
      <c r="W44" s="146"/>
      <c r="X44" s="268"/>
      <c r="Y44" s="331">
        <f t="shared" si="2"/>
        <v>0</v>
      </c>
      <c r="Z44" s="146"/>
      <c r="AA44" s="146"/>
      <c r="AB44" s="146"/>
      <c r="AC44" s="146"/>
      <c r="AD44" s="146"/>
      <c r="AE44" s="146"/>
      <c r="AF44" s="146"/>
      <c r="AG44" s="146"/>
      <c r="AH44" s="331">
        <f t="shared" si="4"/>
        <v>0</v>
      </c>
      <c r="AI44" s="146"/>
      <c r="AJ44" s="231"/>
      <c r="AK44" s="231"/>
      <c r="AL44" s="11"/>
      <c r="AM44" s="11"/>
      <c r="AN44" s="231"/>
      <c r="AO44" s="231"/>
      <c r="AP44" s="231"/>
      <c r="AQ44" s="231"/>
      <c r="AR44" s="304"/>
      <c r="AS44" s="230"/>
    </row>
    <row r="45" spans="1:132" s="75" customFormat="1" ht="12.75" x14ac:dyDescent="0.2">
      <c r="A45" s="146"/>
      <c r="B45" s="146"/>
      <c r="C45" s="146"/>
      <c r="D45" s="146"/>
      <c r="E45" s="146"/>
      <c r="F45" s="146"/>
      <c r="G45" s="146"/>
      <c r="H45" s="146"/>
      <c r="I45" s="146"/>
      <c r="J45" s="146"/>
      <c r="K45" s="146"/>
      <c r="L45" s="146"/>
      <c r="M45" s="146"/>
      <c r="N45" s="146"/>
      <c r="O45" s="146"/>
      <c r="P45" s="329">
        <f t="shared" si="1"/>
        <v>0</v>
      </c>
      <c r="Q45" s="146"/>
      <c r="R45" s="146"/>
      <c r="S45" s="146"/>
      <c r="T45" s="146"/>
      <c r="U45" s="146"/>
      <c r="V45" s="146"/>
      <c r="W45" s="146"/>
      <c r="X45" s="268"/>
      <c r="Y45" s="331">
        <f t="shared" si="2"/>
        <v>0</v>
      </c>
      <c r="Z45" s="146"/>
      <c r="AA45" s="146"/>
      <c r="AB45" s="146"/>
      <c r="AC45" s="146"/>
      <c r="AD45" s="146"/>
      <c r="AE45" s="146"/>
      <c r="AF45" s="146"/>
      <c r="AG45" s="146"/>
      <c r="AH45" s="331">
        <f t="shared" si="4"/>
        <v>0</v>
      </c>
      <c r="AI45" s="146"/>
      <c r="AJ45" s="231"/>
      <c r="AK45" s="231"/>
      <c r="AL45" s="11"/>
      <c r="AM45" s="11"/>
      <c r="AN45" s="231"/>
      <c r="AO45" s="231"/>
      <c r="AP45" s="231"/>
      <c r="AQ45" s="231"/>
      <c r="AR45" s="304"/>
      <c r="AS45" s="230"/>
    </row>
    <row r="46" spans="1:132" s="75" customFormat="1" ht="12.75" x14ac:dyDescent="0.2">
      <c r="A46" s="146"/>
      <c r="B46" s="146"/>
      <c r="C46" s="146"/>
      <c r="D46" s="146"/>
      <c r="E46" s="146"/>
      <c r="F46" s="146"/>
      <c r="G46" s="146"/>
      <c r="H46" s="146"/>
      <c r="I46" s="146"/>
      <c r="J46" s="146"/>
      <c r="K46" s="146"/>
      <c r="L46" s="146"/>
      <c r="M46" s="146"/>
      <c r="N46" s="146"/>
      <c r="O46" s="146"/>
      <c r="P46" s="329">
        <f t="shared" si="1"/>
        <v>0</v>
      </c>
      <c r="Q46" s="146"/>
      <c r="R46" s="146"/>
      <c r="S46" s="146"/>
      <c r="T46" s="146"/>
      <c r="U46" s="146"/>
      <c r="V46" s="146"/>
      <c r="W46" s="146"/>
      <c r="X46" s="268"/>
      <c r="Y46" s="331">
        <f t="shared" si="2"/>
        <v>0</v>
      </c>
      <c r="Z46" s="146"/>
      <c r="AA46" s="146"/>
      <c r="AB46" s="146"/>
      <c r="AC46" s="146"/>
      <c r="AD46" s="146"/>
      <c r="AE46" s="146"/>
      <c r="AF46" s="146"/>
      <c r="AG46" s="146"/>
      <c r="AH46" s="331">
        <f t="shared" si="4"/>
        <v>0</v>
      </c>
      <c r="AI46" s="146"/>
      <c r="AJ46" s="231"/>
      <c r="AK46" s="231"/>
      <c r="AL46" s="11"/>
      <c r="AM46" s="11"/>
      <c r="AN46" s="231"/>
      <c r="AO46" s="231"/>
      <c r="AP46" s="231"/>
      <c r="AQ46" s="231"/>
      <c r="AR46" s="304"/>
      <c r="AS46" s="230"/>
    </row>
    <row r="47" spans="1:132" s="75" customFormat="1" ht="12.75" x14ac:dyDescent="0.2">
      <c r="A47" s="146"/>
      <c r="B47" s="146"/>
      <c r="C47" s="146"/>
      <c r="D47" s="146"/>
      <c r="E47" s="146"/>
      <c r="F47" s="146"/>
      <c r="G47" s="146"/>
      <c r="H47" s="146"/>
      <c r="I47" s="146"/>
      <c r="J47" s="146"/>
      <c r="K47" s="146"/>
      <c r="L47" s="146"/>
      <c r="M47" s="146"/>
      <c r="N47" s="146"/>
      <c r="O47" s="146"/>
      <c r="P47" s="329">
        <f t="shared" si="1"/>
        <v>0</v>
      </c>
      <c r="Q47" s="146"/>
      <c r="R47" s="146"/>
      <c r="S47" s="146"/>
      <c r="T47" s="146"/>
      <c r="U47" s="146"/>
      <c r="V47" s="146"/>
      <c r="W47" s="146"/>
      <c r="X47" s="268"/>
      <c r="Y47" s="331">
        <f t="shared" si="2"/>
        <v>0</v>
      </c>
      <c r="Z47" s="146"/>
      <c r="AA47" s="146"/>
      <c r="AB47" s="146"/>
      <c r="AC47" s="146"/>
      <c r="AD47" s="146"/>
      <c r="AE47" s="146"/>
      <c r="AF47" s="146"/>
      <c r="AG47" s="146"/>
      <c r="AH47" s="331">
        <f t="shared" si="4"/>
        <v>0</v>
      </c>
      <c r="AI47" s="146"/>
      <c r="AJ47" s="231"/>
      <c r="AK47" s="231"/>
      <c r="AL47" s="11"/>
      <c r="AM47" s="11"/>
      <c r="AN47" s="231"/>
      <c r="AO47" s="231"/>
      <c r="AP47" s="231"/>
      <c r="AQ47" s="231"/>
      <c r="AR47" s="304"/>
      <c r="AS47" s="230"/>
    </row>
    <row r="48" spans="1:132" s="222" customFormat="1" x14ac:dyDescent="0.2">
      <c r="A48" s="146"/>
      <c r="B48" s="146"/>
      <c r="C48" s="146"/>
      <c r="D48" s="146"/>
      <c r="E48" s="146"/>
      <c r="F48" s="146"/>
      <c r="G48" s="146"/>
      <c r="H48" s="146"/>
      <c r="I48" s="146"/>
      <c r="J48" s="146"/>
      <c r="K48" s="146"/>
      <c r="L48" s="146"/>
      <c r="M48" s="146"/>
      <c r="N48" s="146"/>
      <c r="O48" s="146"/>
      <c r="P48" s="329">
        <f t="shared" si="1"/>
        <v>0</v>
      </c>
      <c r="Q48" s="146"/>
      <c r="R48" s="146"/>
      <c r="S48" s="146"/>
      <c r="T48" s="146"/>
      <c r="U48" s="146"/>
      <c r="V48" s="146"/>
      <c r="W48" s="146"/>
      <c r="X48" s="268"/>
      <c r="Y48" s="331">
        <f t="shared" si="2"/>
        <v>0</v>
      </c>
      <c r="Z48" s="146"/>
      <c r="AA48" s="146"/>
      <c r="AB48" s="146"/>
      <c r="AC48" s="146"/>
      <c r="AD48" s="146"/>
      <c r="AE48" s="146"/>
      <c r="AF48" s="146"/>
      <c r="AG48" s="146"/>
      <c r="AH48" s="331">
        <f t="shared" si="4"/>
        <v>0</v>
      </c>
      <c r="AI48" s="146"/>
      <c r="AJ48" s="231"/>
      <c r="AK48" s="231"/>
      <c r="AL48" s="11"/>
      <c r="AM48" s="11"/>
      <c r="AN48" s="231"/>
      <c r="AO48" s="231"/>
      <c r="AP48" s="231"/>
      <c r="AQ48" s="231"/>
      <c r="AR48" s="304"/>
      <c r="AS48" s="230"/>
    </row>
    <row r="49" spans="1:45" s="222" customFormat="1" x14ac:dyDescent="0.2">
      <c r="A49" s="146"/>
      <c r="B49" s="146"/>
      <c r="C49" s="146"/>
      <c r="D49" s="146"/>
      <c r="E49" s="146"/>
      <c r="F49" s="146"/>
      <c r="G49" s="146"/>
      <c r="H49" s="146"/>
      <c r="I49" s="146"/>
      <c r="J49" s="146"/>
      <c r="K49" s="146"/>
      <c r="L49" s="146"/>
      <c r="M49" s="146"/>
      <c r="N49" s="146"/>
      <c r="O49" s="146"/>
      <c r="P49" s="329">
        <f t="shared" si="1"/>
        <v>0</v>
      </c>
      <c r="Q49" s="146"/>
      <c r="R49" s="146"/>
      <c r="S49" s="146"/>
      <c r="T49" s="146"/>
      <c r="U49" s="146"/>
      <c r="V49" s="146"/>
      <c r="W49" s="146"/>
      <c r="X49" s="268"/>
      <c r="Y49" s="331">
        <f t="shared" si="2"/>
        <v>0</v>
      </c>
      <c r="Z49" s="146"/>
      <c r="AA49" s="146"/>
      <c r="AB49" s="146"/>
      <c r="AC49" s="146"/>
      <c r="AD49" s="146"/>
      <c r="AE49" s="146"/>
      <c r="AF49" s="146"/>
      <c r="AG49" s="146"/>
      <c r="AH49" s="331">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29">
        <f t="shared" si="1"/>
        <v>0</v>
      </c>
      <c r="Q50" s="146"/>
      <c r="R50" s="146"/>
      <c r="S50" s="146"/>
      <c r="T50" s="146"/>
      <c r="U50" s="146"/>
      <c r="V50" s="146"/>
      <c r="W50" s="146"/>
      <c r="X50" s="268"/>
      <c r="Y50" s="331">
        <f t="shared" si="2"/>
        <v>0</v>
      </c>
      <c r="Z50" s="146"/>
      <c r="AA50" s="146"/>
      <c r="AB50" s="146"/>
      <c r="AC50" s="146"/>
      <c r="AD50" s="146"/>
      <c r="AE50" s="146"/>
      <c r="AF50" s="146"/>
      <c r="AG50" s="146"/>
      <c r="AH50" s="331">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29">
        <f t="shared" si="1"/>
        <v>0</v>
      </c>
      <c r="Q51" s="146"/>
      <c r="R51" s="146"/>
      <c r="S51" s="146"/>
      <c r="T51" s="146"/>
      <c r="U51" s="146"/>
      <c r="V51" s="146"/>
      <c r="W51" s="146"/>
      <c r="X51" s="268"/>
      <c r="Y51" s="331">
        <f t="shared" si="2"/>
        <v>0</v>
      </c>
      <c r="Z51" s="146"/>
      <c r="AA51" s="146"/>
      <c r="AB51" s="146"/>
      <c r="AC51" s="146"/>
      <c r="AD51" s="146"/>
      <c r="AE51" s="146"/>
      <c r="AF51" s="146"/>
      <c r="AG51" s="146"/>
      <c r="AH51" s="331">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29">
        <f t="shared" si="1"/>
        <v>0</v>
      </c>
      <c r="Q52" s="146"/>
      <c r="R52" s="146"/>
      <c r="S52" s="146"/>
      <c r="T52" s="146"/>
      <c r="U52" s="146"/>
      <c r="V52" s="146"/>
      <c r="W52" s="146"/>
      <c r="X52" s="268"/>
      <c r="Y52" s="331">
        <f t="shared" si="2"/>
        <v>0</v>
      </c>
      <c r="Z52" s="146"/>
      <c r="AA52" s="146"/>
      <c r="AB52" s="146"/>
      <c r="AC52" s="146"/>
      <c r="AD52" s="146"/>
      <c r="AE52" s="146"/>
      <c r="AF52" s="146"/>
      <c r="AG52" s="146"/>
      <c r="AH52" s="331">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29">
        <f t="shared" si="1"/>
        <v>0</v>
      </c>
      <c r="Q53" s="146"/>
      <c r="R53" s="146"/>
      <c r="S53" s="146"/>
      <c r="T53" s="146"/>
      <c r="U53" s="146"/>
      <c r="V53" s="146"/>
      <c r="W53" s="146"/>
      <c r="X53" s="268"/>
      <c r="Y53" s="331">
        <f t="shared" si="2"/>
        <v>0</v>
      </c>
      <c r="Z53" s="146"/>
      <c r="AA53" s="146"/>
      <c r="AB53" s="146"/>
      <c r="AC53" s="146"/>
      <c r="AD53" s="146"/>
      <c r="AE53" s="146"/>
      <c r="AF53" s="146"/>
      <c r="AG53" s="146"/>
      <c r="AH53" s="331">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29">
        <f t="shared" si="1"/>
        <v>0</v>
      </c>
      <c r="Q54" s="146"/>
      <c r="R54" s="146"/>
      <c r="S54" s="146"/>
      <c r="T54" s="146"/>
      <c r="U54" s="146"/>
      <c r="V54" s="146"/>
      <c r="W54" s="146"/>
      <c r="X54" s="268"/>
      <c r="Y54" s="331">
        <f t="shared" si="2"/>
        <v>0</v>
      </c>
      <c r="Z54" s="146"/>
      <c r="AA54" s="146"/>
      <c r="AB54" s="146"/>
      <c r="AC54" s="146"/>
      <c r="AD54" s="146"/>
      <c r="AE54" s="146"/>
      <c r="AF54" s="146"/>
      <c r="AG54" s="146"/>
      <c r="AH54" s="331">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29">
        <f t="shared" si="1"/>
        <v>0</v>
      </c>
      <c r="Q55" s="146"/>
      <c r="R55" s="146"/>
      <c r="S55" s="146"/>
      <c r="T55" s="146"/>
      <c r="U55" s="146"/>
      <c r="V55" s="146"/>
      <c r="W55" s="146"/>
      <c r="X55" s="268"/>
      <c r="Y55" s="331">
        <f t="shared" si="2"/>
        <v>0</v>
      </c>
      <c r="Z55" s="146"/>
      <c r="AA55" s="146"/>
      <c r="AB55" s="146"/>
      <c r="AC55" s="146"/>
      <c r="AD55" s="146"/>
      <c r="AE55" s="146"/>
      <c r="AF55" s="146"/>
      <c r="AG55" s="146"/>
      <c r="AH55" s="331">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29">
        <f t="shared" si="1"/>
        <v>0</v>
      </c>
      <c r="Q56" s="146"/>
      <c r="R56" s="146"/>
      <c r="S56" s="146"/>
      <c r="T56" s="146"/>
      <c r="U56" s="146"/>
      <c r="V56" s="146"/>
      <c r="W56" s="146"/>
      <c r="X56" s="268"/>
      <c r="Y56" s="331">
        <f t="shared" si="2"/>
        <v>0</v>
      </c>
      <c r="Z56" s="146"/>
      <c r="AA56" s="146"/>
      <c r="AB56" s="146"/>
      <c r="AC56" s="146"/>
      <c r="AD56" s="146"/>
      <c r="AE56" s="146"/>
      <c r="AF56" s="146"/>
      <c r="AG56" s="146"/>
      <c r="AH56" s="331">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29">
        <f t="shared" si="1"/>
        <v>0</v>
      </c>
      <c r="Q57" s="146"/>
      <c r="R57" s="146"/>
      <c r="S57" s="146"/>
      <c r="T57" s="146"/>
      <c r="U57" s="146"/>
      <c r="V57" s="146"/>
      <c r="W57" s="146"/>
      <c r="X57" s="268"/>
      <c r="Y57" s="331">
        <f t="shared" si="2"/>
        <v>0</v>
      </c>
      <c r="Z57" s="146"/>
      <c r="AA57" s="146"/>
      <c r="AB57" s="146"/>
      <c r="AC57" s="146"/>
      <c r="AD57" s="146"/>
      <c r="AE57" s="146"/>
      <c r="AF57" s="146"/>
      <c r="AG57" s="146"/>
      <c r="AH57" s="331">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29">
        <f t="shared" si="1"/>
        <v>0</v>
      </c>
      <c r="Q58" s="146"/>
      <c r="R58" s="146"/>
      <c r="S58" s="146"/>
      <c r="T58" s="146"/>
      <c r="U58" s="146"/>
      <c r="V58" s="146"/>
      <c r="W58" s="146"/>
      <c r="X58" s="268"/>
      <c r="Y58" s="331">
        <f t="shared" si="2"/>
        <v>0</v>
      </c>
      <c r="Z58" s="146"/>
      <c r="AA58" s="146"/>
      <c r="AB58" s="146"/>
      <c r="AC58" s="146"/>
      <c r="AD58" s="146"/>
      <c r="AE58" s="146"/>
      <c r="AF58" s="146"/>
      <c r="AG58" s="146"/>
      <c r="AH58" s="331">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29">
        <f t="shared" si="1"/>
        <v>0</v>
      </c>
      <c r="Q59" s="146"/>
      <c r="R59" s="146"/>
      <c r="S59" s="146"/>
      <c r="T59" s="146"/>
      <c r="U59" s="146"/>
      <c r="V59" s="146"/>
      <c r="W59" s="146"/>
      <c r="X59" s="268"/>
      <c r="Y59" s="331">
        <f t="shared" si="2"/>
        <v>0</v>
      </c>
      <c r="Z59" s="146"/>
      <c r="AA59" s="146"/>
      <c r="AB59" s="146"/>
      <c r="AC59" s="146"/>
      <c r="AD59" s="146"/>
      <c r="AE59" s="146"/>
      <c r="AF59" s="146"/>
      <c r="AG59" s="146"/>
      <c r="AH59" s="331">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29">
        <f t="shared" si="1"/>
        <v>0</v>
      </c>
      <c r="Q60" s="146"/>
      <c r="R60" s="146"/>
      <c r="S60" s="146"/>
      <c r="T60" s="146"/>
      <c r="U60" s="146"/>
      <c r="V60" s="146"/>
      <c r="W60" s="146"/>
      <c r="X60" s="268"/>
      <c r="Y60" s="331">
        <f t="shared" si="2"/>
        <v>0</v>
      </c>
      <c r="Z60" s="146"/>
      <c r="AA60" s="146"/>
      <c r="AB60" s="146"/>
      <c r="AC60" s="146"/>
      <c r="AD60" s="146"/>
      <c r="AE60" s="146"/>
      <c r="AF60" s="146"/>
      <c r="AG60" s="146"/>
      <c r="AH60" s="331">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29">
        <f t="shared" si="1"/>
        <v>0</v>
      </c>
      <c r="Q61" s="146"/>
      <c r="R61" s="146"/>
      <c r="S61" s="146"/>
      <c r="T61" s="146"/>
      <c r="U61" s="146"/>
      <c r="V61" s="146"/>
      <c r="W61" s="146"/>
      <c r="X61" s="268"/>
      <c r="Y61" s="331">
        <f t="shared" si="2"/>
        <v>0</v>
      </c>
      <c r="Z61" s="146"/>
      <c r="AA61" s="146"/>
      <c r="AB61" s="146"/>
      <c r="AC61" s="146"/>
      <c r="AD61" s="146"/>
      <c r="AE61" s="146"/>
      <c r="AF61" s="146"/>
      <c r="AG61" s="146"/>
      <c r="AH61" s="331">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29">
        <f t="shared" si="1"/>
        <v>0</v>
      </c>
      <c r="Q62" s="146"/>
      <c r="R62" s="146"/>
      <c r="S62" s="146"/>
      <c r="T62" s="146"/>
      <c r="U62" s="146"/>
      <c r="V62" s="146"/>
      <c r="W62" s="146"/>
      <c r="X62" s="268"/>
      <c r="Y62" s="331">
        <f t="shared" si="2"/>
        <v>0</v>
      </c>
      <c r="Z62" s="146"/>
      <c r="AA62" s="146"/>
      <c r="AB62" s="146"/>
      <c r="AC62" s="146"/>
      <c r="AD62" s="146"/>
      <c r="AE62" s="146"/>
      <c r="AF62" s="146"/>
      <c r="AG62" s="146"/>
      <c r="AH62" s="331">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29">
        <f t="shared" si="1"/>
        <v>0</v>
      </c>
      <c r="Q63" s="146"/>
      <c r="R63" s="146"/>
      <c r="S63" s="146"/>
      <c r="T63" s="146"/>
      <c r="U63" s="146"/>
      <c r="V63" s="146"/>
      <c r="W63" s="146"/>
      <c r="X63" s="268"/>
      <c r="Y63" s="331">
        <f t="shared" si="2"/>
        <v>0</v>
      </c>
      <c r="Z63" s="146"/>
      <c r="AA63" s="146"/>
      <c r="AB63" s="146"/>
      <c r="AC63" s="146"/>
      <c r="AD63" s="146"/>
      <c r="AE63" s="146"/>
      <c r="AF63" s="146"/>
      <c r="AG63" s="146"/>
      <c r="AH63" s="331">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29">
        <f t="shared" si="1"/>
        <v>0</v>
      </c>
      <c r="Q64" s="146"/>
      <c r="R64" s="146"/>
      <c r="S64" s="146"/>
      <c r="T64" s="146"/>
      <c r="U64" s="146"/>
      <c r="V64" s="146"/>
      <c r="W64" s="146"/>
      <c r="X64" s="268"/>
      <c r="Y64" s="331">
        <f t="shared" si="2"/>
        <v>0</v>
      </c>
      <c r="Z64" s="146"/>
      <c r="AA64" s="146"/>
      <c r="AB64" s="146"/>
      <c r="AC64" s="146"/>
      <c r="AD64" s="146"/>
      <c r="AE64" s="146"/>
      <c r="AF64" s="146"/>
      <c r="AG64" s="146"/>
      <c r="AH64" s="331">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29">
        <f t="shared" si="1"/>
        <v>0</v>
      </c>
      <c r="Q65" s="146"/>
      <c r="R65" s="146"/>
      <c r="S65" s="146"/>
      <c r="T65" s="146"/>
      <c r="U65" s="146"/>
      <c r="V65" s="146"/>
      <c r="W65" s="146"/>
      <c r="X65" s="268"/>
      <c r="Y65" s="331">
        <f t="shared" si="2"/>
        <v>0</v>
      </c>
      <c r="Z65" s="146"/>
      <c r="AA65" s="146"/>
      <c r="AB65" s="146"/>
      <c r="AC65" s="146"/>
      <c r="AD65" s="146"/>
      <c r="AE65" s="146"/>
      <c r="AF65" s="146"/>
      <c r="AG65" s="146"/>
      <c r="AH65" s="331">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29">
        <f t="shared" si="1"/>
        <v>0</v>
      </c>
      <c r="Q66" s="146"/>
      <c r="R66" s="146"/>
      <c r="S66" s="146"/>
      <c r="T66" s="146"/>
      <c r="U66" s="146"/>
      <c r="V66" s="146"/>
      <c r="W66" s="146"/>
      <c r="X66" s="268"/>
      <c r="Y66" s="331">
        <f t="shared" si="2"/>
        <v>0</v>
      </c>
      <c r="Z66" s="146"/>
      <c r="AA66" s="146"/>
      <c r="AB66" s="146"/>
      <c r="AC66" s="146"/>
      <c r="AD66" s="146"/>
      <c r="AE66" s="146"/>
      <c r="AF66" s="146"/>
      <c r="AG66" s="146"/>
      <c r="AH66" s="331">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29">
        <f t="shared" si="1"/>
        <v>0</v>
      </c>
      <c r="Q67" s="146"/>
      <c r="R67" s="146"/>
      <c r="S67" s="146"/>
      <c r="T67" s="146"/>
      <c r="U67" s="146"/>
      <c r="V67" s="146"/>
      <c r="W67" s="146"/>
      <c r="X67" s="268"/>
      <c r="Y67" s="331">
        <f t="shared" si="2"/>
        <v>0</v>
      </c>
      <c r="Z67" s="146"/>
      <c r="AA67" s="146"/>
      <c r="AB67" s="146"/>
      <c r="AC67" s="146"/>
      <c r="AD67" s="146"/>
      <c r="AE67" s="146"/>
      <c r="AF67" s="146"/>
      <c r="AG67" s="146"/>
      <c r="AH67" s="331">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29">
        <f t="shared" si="1"/>
        <v>0</v>
      </c>
      <c r="Q68" s="146"/>
      <c r="R68" s="146"/>
      <c r="S68" s="146"/>
      <c r="T68" s="146"/>
      <c r="U68" s="146"/>
      <c r="V68" s="146"/>
      <c r="W68" s="146"/>
      <c r="X68" s="268"/>
      <c r="Y68" s="331">
        <f t="shared" si="2"/>
        <v>0</v>
      </c>
      <c r="Z68" s="146"/>
      <c r="AA68" s="146"/>
      <c r="AB68" s="146"/>
      <c r="AC68" s="146"/>
      <c r="AD68" s="146"/>
      <c r="AE68" s="146"/>
      <c r="AF68" s="146"/>
      <c r="AG68" s="146"/>
      <c r="AH68" s="331">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29">
        <f t="shared" si="1"/>
        <v>0</v>
      </c>
      <c r="Q69" s="146"/>
      <c r="R69" s="146"/>
      <c r="S69" s="146"/>
      <c r="T69" s="146"/>
      <c r="U69" s="146"/>
      <c r="V69" s="146"/>
      <c r="W69" s="146"/>
      <c r="X69" s="268"/>
      <c r="Y69" s="331">
        <f t="shared" si="2"/>
        <v>0</v>
      </c>
      <c r="Z69" s="146"/>
      <c r="AA69" s="146"/>
      <c r="AB69" s="146"/>
      <c r="AC69" s="146"/>
      <c r="AD69" s="146"/>
      <c r="AE69" s="146"/>
      <c r="AF69" s="146"/>
      <c r="AG69" s="146"/>
      <c r="AH69" s="331">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29">
        <f t="shared" si="1"/>
        <v>0</v>
      </c>
      <c r="Q70" s="146"/>
      <c r="R70" s="146"/>
      <c r="S70" s="146"/>
      <c r="T70" s="146"/>
      <c r="U70" s="146"/>
      <c r="V70" s="146"/>
      <c r="W70" s="146"/>
      <c r="X70" s="268"/>
      <c r="Y70" s="331">
        <f t="shared" si="2"/>
        <v>0</v>
      </c>
      <c r="Z70" s="146"/>
      <c r="AA70" s="146"/>
      <c r="AB70" s="146"/>
      <c r="AC70" s="146"/>
      <c r="AD70" s="146"/>
      <c r="AE70" s="146"/>
      <c r="AF70" s="146"/>
      <c r="AG70" s="146"/>
      <c r="AH70" s="331">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29">
        <f t="shared" si="1"/>
        <v>0</v>
      </c>
      <c r="Q71" s="146"/>
      <c r="R71" s="146"/>
      <c r="S71" s="146"/>
      <c r="T71" s="146"/>
      <c r="U71" s="146"/>
      <c r="V71" s="146"/>
      <c r="W71" s="146"/>
      <c r="X71" s="268"/>
      <c r="Y71" s="331">
        <f t="shared" si="2"/>
        <v>0</v>
      </c>
      <c r="Z71" s="146"/>
      <c r="AA71" s="146"/>
      <c r="AB71" s="146"/>
      <c r="AC71" s="146"/>
      <c r="AD71" s="146"/>
      <c r="AE71" s="146"/>
      <c r="AF71" s="146"/>
      <c r="AG71" s="146"/>
      <c r="AH71" s="331">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29">
        <f t="shared" si="1"/>
        <v>0</v>
      </c>
      <c r="Q72" s="146"/>
      <c r="R72" s="146"/>
      <c r="S72" s="146"/>
      <c r="T72" s="146"/>
      <c r="U72" s="146"/>
      <c r="V72" s="146"/>
      <c r="W72" s="146"/>
      <c r="X72" s="268"/>
      <c r="Y72" s="331">
        <f t="shared" si="2"/>
        <v>0</v>
      </c>
      <c r="Z72" s="146"/>
      <c r="AA72" s="146"/>
      <c r="AB72" s="146"/>
      <c r="AC72" s="146"/>
      <c r="AD72" s="146"/>
      <c r="AE72" s="146"/>
      <c r="AF72" s="146"/>
      <c r="AG72" s="146"/>
      <c r="AH72" s="331">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29">
        <f t="shared" si="1"/>
        <v>0</v>
      </c>
      <c r="Q73" s="146"/>
      <c r="R73" s="146"/>
      <c r="S73" s="146"/>
      <c r="T73" s="146"/>
      <c r="U73" s="146"/>
      <c r="V73" s="146"/>
      <c r="W73" s="146"/>
      <c r="X73" s="268"/>
      <c r="Y73" s="331">
        <f t="shared" si="2"/>
        <v>0</v>
      </c>
      <c r="Z73" s="146"/>
      <c r="AA73" s="146"/>
      <c r="AB73" s="146"/>
      <c r="AC73" s="146"/>
      <c r="AD73" s="146"/>
      <c r="AE73" s="146"/>
      <c r="AF73" s="146"/>
      <c r="AG73" s="146"/>
      <c r="AH73" s="331">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29">
        <f t="shared" si="1"/>
        <v>0</v>
      </c>
      <c r="Q74" s="146"/>
      <c r="R74" s="146"/>
      <c r="S74" s="146"/>
      <c r="T74" s="146"/>
      <c r="U74" s="146"/>
      <c r="V74" s="146"/>
      <c r="W74" s="146"/>
      <c r="X74" s="268"/>
      <c r="Y74" s="331">
        <f t="shared" si="2"/>
        <v>0</v>
      </c>
      <c r="Z74" s="146"/>
      <c r="AA74" s="146"/>
      <c r="AB74" s="146"/>
      <c r="AC74" s="146"/>
      <c r="AD74" s="146"/>
      <c r="AE74" s="146"/>
      <c r="AF74" s="146"/>
      <c r="AG74" s="146"/>
      <c r="AH74" s="331">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29">
        <f t="shared" si="1"/>
        <v>0</v>
      </c>
      <c r="Q75" s="146"/>
      <c r="R75" s="146"/>
      <c r="S75" s="146"/>
      <c r="T75" s="146"/>
      <c r="U75" s="146"/>
      <c r="V75" s="146"/>
      <c r="W75" s="146"/>
      <c r="X75" s="268"/>
      <c r="Y75" s="331">
        <f t="shared" si="2"/>
        <v>0</v>
      </c>
      <c r="Z75" s="146"/>
      <c r="AA75" s="146"/>
      <c r="AB75" s="146"/>
      <c r="AC75" s="146"/>
      <c r="AD75" s="146"/>
      <c r="AE75" s="146"/>
      <c r="AF75" s="146"/>
      <c r="AG75" s="146"/>
      <c r="AH75" s="331">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29">
        <f t="shared" si="1"/>
        <v>0</v>
      </c>
      <c r="Q76" s="146"/>
      <c r="R76" s="146"/>
      <c r="S76" s="146"/>
      <c r="T76" s="146"/>
      <c r="U76" s="146"/>
      <c r="V76" s="146"/>
      <c r="W76" s="146"/>
      <c r="X76" s="268"/>
      <c r="Y76" s="331">
        <f t="shared" si="2"/>
        <v>0</v>
      </c>
      <c r="Z76" s="146"/>
      <c r="AA76" s="146"/>
      <c r="AB76" s="146"/>
      <c r="AC76" s="146"/>
      <c r="AD76" s="146"/>
      <c r="AE76" s="146"/>
      <c r="AF76" s="146"/>
      <c r="AG76" s="146"/>
      <c r="AH76" s="331">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29">
        <f t="shared" ref="P77:P140" si="5">SUM(H77:N77)</f>
        <v>0</v>
      </c>
      <c r="Q77" s="146"/>
      <c r="R77" s="146"/>
      <c r="S77" s="146"/>
      <c r="T77" s="146"/>
      <c r="U77" s="146"/>
      <c r="V77" s="146"/>
      <c r="W77" s="146"/>
      <c r="X77" s="268"/>
      <c r="Y77" s="331">
        <f t="shared" ref="Y77:Y140" si="6">SUM(Q77:W77)</f>
        <v>0</v>
      </c>
      <c r="Z77" s="146"/>
      <c r="AA77" s="146"/>
      <c r="AB77" s="146"/>
      <c r="AC77" s="146"/>
      <c r="AD77" s="146"/>
      <c r="AE77" s="146"/>
      <c r="AF77" s="146"/>
      <c r="AG77" s="146"/>
      <c r="AH77" s="331">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29">
        <f t="shared" si="5"/>
        <v>0</v>
      </c>
      <c r="Q78" s="146"/>
      <c r="R78" s="146"/>
      <c r="S78" s="146"/>
      <c r="T78" s="146"/>
      <c r="U78" s="146"/>
      <c r="V78" s="146"/>
      <c r="W78" s="146"/>
      <c r="X78" s="268"/>
      <c r="Y78" s="331">
        <f t="shared" si="6"/>
        <v>0</v>
      </c>
      <c r="Z78" s="146"/>
      <c r="AA78" s="146"/>
      <c r="AB78" s="146"/>
      <c r="AC78" s="146"/>
      <c r="AD78" s="146"/>
      <c r="AE78" s="146"/>
      <c r="AF78" s="146"/>
      <c r="AG78" s="146"/>
      <c r="AH78" s="331">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29">
        <f t="shared" si="5"/>
        <v>0</v>
      </c>
      <c r="Q79" s="146"/>
      <c r="R79" s="146"/>
      <c r="S79" s="146"/>
      <c r="T79" s="146"/>
      <c r="U79" s="146"/>
      <c r="V79" s="146"/>
      <c r="W79" s="146"/>
      <c r="X79" s="268"/>
      <c r="Y79" s="331">
        <f t="shared" si="6"/>
        <v>0</v>
      </c>
      <c r="Z79" s="146"/>
      <c r="AA79" s="146"/>
      <c r="AB79" s="146"/>
      <c r="AC79" s="146"/>
      <c r="AD79" s="146"/>
      <c r="AE79" s="146"/>
      <c r="AF79" s="146"/>
      <c r="AG79" s="146"/>
      <c r="AH79" s="331">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29">
        <f t="shared" si="5"/>
        <v>0</v>
      </c>
      <c r="Q80" s="146"/>
      <c r="R80" s="146"/>
      <c r="S80" s="146"/>
      <c r="T80" s="146"/>
      <c r="U80" s="146"/>
      <c r="V80" s="146"/>
      <c r="W80" s="146"/>
      <c r="X80" s="268"/>
      <c r="Y80" s="331">
        <f t="shared" si="6"/>
        <v>0</v>
      </c>
      <c r="Z80" s="146"/>
      <c r="AA80" s="146"/>
      <c r="AB80" s="146"/>
      <c r="AC80" s="146"/>
      <c r="AD80" s="146"/>
      <c r="AE80" s="146"/>
      <c r="AF80" s="146"/>
      <c r="AG80" s="146"/>
      <c r="AH80" s="331">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29">
        <f t="shared" si="5"/>
        <v>0</v>
      </c>
      <c r="Q81" s="146"/>
      <c r="R81" s="146"/>
      <c r="S81" s="146"/>
      <c r="T81" s="146"/>
      <c r="U81" s="146"/>
      <c r="V81" s="146"/>
      <c r="W81" s="146"/>
      <c r="X81" s="268"/>
      <c r="Y81" s="331">
        <f t="shared" si="6"/>
        <v>0</v>
      </c>
      <c r="Z81" s="146"/>
      <c r="AA81" s="146"/>
      <c r="AB81" s="146"/>
      <c r="AC81" s="146"/>
      <c r="AD81" s="146"/>
      <c r="AE81" s="146"/>
      <c r="AF81" s="146"/>
      <c r="AG81" s="146"/>
      <c r="AH81" s="331">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29">
        <f t="shared" si="5"/>
        <v>0</v>
      </c>
      <c r="Q82" s="146"/>
      <c r="R82" s="146"/>
      <c r="S82" s="146"/>
      <c r="T82" s="146"/>
      <c r="U82" s="146"/>
      <c r="V82" s="146"/>
      <c r="W82" s="146"/>
      <c r="X82" s="268"/>
      <c r="Y82" s="331">
        <f t="shared" si="6"/>
        <v>0</v>
      </c>
      <c r="Z82" s="146"/>
      <c r="AA82" s="146"/>
      <c r="AB82" s="146"/>
      <c r="AC82" s="146"/>
      <c r="AD82" s="146"/>
      <c r="AE82" s="146"/>
      <c r="AF82" s="146"/>
      <c r="AG82" s="146"/>
      <c r="AH82" s="331">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29">
        <f t="shared" si="5"/>
        <v>0</v>
      </c>
      <c r="Q83" s="146"/>
      <c r="R83" s="146"/>
      <c r="S83" s="146"/>
      <c r="T83" s="146"/>
      <c r="U83" s="146"/>
      <c r="V83" s="146"/>
      <c r="W83" s="146"/>
      <c r="X83" s="268"/>
      <c r="Y83" s="331">
        <f t="shared" si="6"/>
        <v>0</v>
      </c>
      <c r="Z83" s="146"/>
      <c r="AA83" s="146"/>
      <c r="AB83" s="146"/>
      <c r="AC83" s="146"/>
      <c r="AD83" s="146"/>
      <c r="AE83" s="146"/>
      <c r="AF83" s="146"/>
      <c r="AG83" s="146"/>
      <c r="AH83" s="331">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29">
        <f t="shared" si="5"/>
        <v>0</v>
      </c>
      <c r="Q84" s="146"/>
      <c r="R84" s="146"/>
      <c r="S84" s="146"/>
      <c r="T84" s="146"/>
      <c r="U84" s="146"/>
      <c r="V84" s="146"/>
      <c r="W84" s="146"/>
      <c r="X84" s="268"/>
      <c r="Y84" s="331">
        <f t="shared" si="6"/>
        <v>0</v>
      </c>
      <c r="Z84" s="146"/>
      <c r="AA84" s="146"/>
      <c r="AB84" s="146"/>
      <c r="AC84" s="146"/>
      <c r="AD84" s="146"/>
      <c r="AE84" s="146"/>
      <c r="AF84" s="146"/>
      <c r="AG84" s="146"/>
      <c r="AH84" s="331">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29">
        <f t="shared" si="5"/>
        <v>0</v>
      </c>
      <c r="Q85" s="146"/>
      <c r="R85" s="146"/>
      <c r="S85" s="146"/>
      <c r="T85" s="146"/>
      <c r="U85" s="146"/>
      <c r="V85" s="146"/>
      <c r="W85" s="146"/>
      <c r="X85" s="268"/>
      <c r="Y85" s="331">
        <f t="shared" si="6"/>
        <v>0</v>
      </c>
      <c r="Z85" s="146"/>
      <c r="AA85" s="146"/>
      <c r="AB85" s="146"/>
      <c r="AC85" s="146"/>
      <c r="AD85" s="146"/>
      <c r="AE85" s="146"/>
      <c r="AF85" s="146"/>
      <c r="AG85" s="146"/>
      <c r="AH85" s="331">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29">
        <f t="shared" si="5"/>
        <v>0</v>
      </c>
      <c r="Q86" s="146"/>
      <c r="R86" s="146"/>
      <c r="S86" s="146"/>
      <c r="T86" s="146"/>
      <c r="U86" s="146"/>
      <c r="V86" s="146"/>
      <c r="W86" s="146"/>
      <c r="X86" s="268"/>
      <c r="Y86" s="331">
        <f t="shared" si="6"/>
        <v>0</v>
      </c>
      <c r="Z86" s="146"/>
      <c r="AA86" s="146"/>
      <c r="AB86" s="146"/>
      <c r="AC86" s="146"/>
      <c r="AD86" s="146"/>
      <c r="AE86" s="146"/>
      <c r="AF86" s="146"/>
      <c r="AG86" s="146"/>
      <c r="AH86" s="331">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29">
        <f t="shared" si="5"/>
        <v>0</v>
      </c>
      <c r="Q87" s="146"/>
      <c r="R87" s="146"/>
      <c r="S87" s="146"/>
      <c r="T87" s="146"/>
      <c r="U87" s="146"/>
      <c r="V87" s="146"/>
      <c r="W87" s="146"/>
      <c r="X87" s="268"/>
      <c r="Y87" s="331">
        <f t="shared" si="6"/>
        <v>0</v>
      </c>
      <c r="Z87" s="146"/>
      <c r="AA87" s="146"/>
      <c r="AB87" s="146"/>
      <c r="AC87" s="146"/>
      <c r="AD87" s="146"/>
      <c r="AE87" s="146"/>
      <c r="AF87" s="146"/>
      <c r="AG87" s="146"/>
      <c r="AH87" s="331">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29">
        <f t="shared" si="5"/>
        <v>0</v>
      </c>
      <c r="Q88" s="146"/>
      <c r="R88" s="146"/>
      <c r="S88" s="146"/>
      <c r="T88" s="146"/>
      <c r="U88" s="146"/>
      <c r="V88" s="146"/>
      <c r="W88" s="146"/>
      <c r="X88" s="268"/>
      <c r="Y88" s="331">
        <f t="shared" si="6"/>
        <v>0</v>
      </c>
      <c r="Z88" s="146"/>
      <c r="AA88" s="146"/>
      <c r="AB88" s="146"/>
      <c r="AC88" s="146"/>
      <c r="AD88" s="146"/>
      <c r="AE88" s="146"/>
      <c r="AF88" s="146"/>
      <c r="AG88" s="146"/>
      <c r="AH88" s="331">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29">
        <f t="shared" si="5"/>
        <v>0</v>
      </c>
      <c r="Q89" s="146"/>
      <c r="R89" s="146"/>
      <c r="S89" s="146"/>
      <c r="T89" s="146"/>
      <c r="U89" s="146"/>
      <c r="V89" s="146"/>
      <c r="W89" s="146"/>
      <c r="X89" s="268"/>
      <c r="Y89" s="331">
        <f t="shared" si="6"/>
        <v>0</v>
      </c>
      <c r="Z89" s="146"/>
      <c r="AA89" s="146"/>
      <c r="AB89" s="146"/>
      <c r="AC89" s="146"/>
      <c r="AD89" s="146"/>
      <c r="AE89" s="146"/>
      <c r="AF89" s="146"/>
      <c r="AG89" s="146"/>
      <c r="AH89" s="331">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29">
        <f t="shared" si="5"/>
        <v>0</v>
      </c>
      <c r="Q90" s="146"/>
      <c r="R90" s="146"/>
      <c r="S90" s="146"/>
      <c r="T90" s="146"/>
      <c r="U90" s="146"/>
      <c r="V90" s="146"/>
      <c r="W90" s="146"/>
      <c r="X90" s="268"/>
      <c r="Y90" s="331">
        <f t="shared" si="6"/>
        <v>0</v>
      </c>
      <c r="Z90" s="146"/>
      <c r="AA90" s="146"/>
      <c r="AB90" s="146"/>
      <c r="AC90" s="146"/>
      <c r="AD90" s="146"/>
      <c r="AE90" s="146"/>
      <c r="AF90" s="146"/>
      <c r="AG90" s="146"/>
      <c r="AH90" s="331">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29">
        <f t="shared" si="5"/>
        <v>0</v>
      </c>
      <c r="Q91" s="146"/>
      <c r="R91" s="146"/>
      <c r="S91" s="146"/>
      <c r="T91" s="146"/>
      <c r="U91" s="146"/>
      <c r="V91" s="146"/>
      <c r="W91" s="146"/>
      <c r="X91" s="268"/>
      <c r="Y91" s="331">
        <f t="shared" si="6"/>
        <v>0</v>
      </c>
      <c r="Z91" s="146"/>
      <c r="AA91" s="146"/>
      <c r="AB91" s="146"/>
      <c r="AC91" s="146"/>
      <c r="AD91" s="146"/>
      <c r="AE91" s="146"/>
      <c r="AF91" s="146"/>
      <c r="AG91" s="146"/>
      <c r="AH91" s="331">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29">
        <f t="shared" si="5"/>
        <v>0</v>
      </c>
      <c r="Q92" s="146"/>
      <c r="R92" s="146"/>
      <c r="S92" s="146"/>
      <c r="T92" s="146"/>
      <c r="U92" s="146"/>
      <c r="V92" s="146"/>
      <c r="W92" s="146"/>
      <c r="X92" s="268"/>
      <c r="Y92" s="331">
        <f t="shared" si="6"/>
        <v>0</v>
      </c>
      <c r="Z92" s="146"/>
      <c r="AA92" s="146"/>
      <c r="AB92" s="146"/>
      <c r="AC92" s="146"/>
      <c r="AD92" s="146"/>
      <c r="AE92" s="146"/>
      <c r="AF92" s="146"/>
      <c r="AG92" s="146"/>
      <c r="AH92" s="331">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29">
        <f t="shared" si="5"/>
        <v>0</v>
      </c>
      <c r="Q93" s="146"/>
      <c r="R93" s="146"/>
      <c r="S93" s="146"/>
      <c r="T93" s="146"/>
      <c r="U93" s="146"/>
      <c r="V93" s="146"/>
      <c r="W93" s="146"/>
      <c r="X93" s="268"/>
      <c r="Y93" s="331">
        <f t="shared" si="6"/>
        <v>0</v>
      </c>
      <c r="Z93" s="146"/>
      <c r="AA93" s="146"/>
      <c r="AB93" s="146"/>
      <c r="AC93" s="146"/>
      <c r="AD93" s="146"/>
      <c r="AE93" s="146"/>
      <c r="AF93" s="146"/>
      <c r="AG93" s="146"/>
      <c r="AH93" s="331">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29">
        <f t="shared" si="5"/>
        <v>0</v>
      </c>
      <c r="Q94" s="146"/>
      <c r="R94" s="146"/>
      <c r="S94" s="146"/>
      <c r="T94" s="146"/>
      <c r="U94" s="146"/>
      <c r="V94" s="146"/>
      <c r="W94" s="146"/>
      <c r="X94" s="268"/>
      <c r="Y94" s="331">
        <f t="shared" si="6"/>
        <v>0</v>
      </c>
      <c r="Z94" s="146"/>
      <c r="AA94" s="146"/>
      <c r="AB94" s="146"/>
      <c r="AC94" s="146"/>
      <c r="AD94" s="146"/>
      <c r="AE94" s="146"/>
      <c r="AF94" s="146"/>
      <c r="AG94" s="146"/>
      <c r="AH94" s="331">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29">
        <f t="shared" si="5"/>
        <v>0</v>
      </c>
      <c r="Q95" s="146"/>
      <c r="R95" s="146"/>
      <c r="S95" s="146"/>
      <c r="T95" s="146"/>
      <c r="U95" s="146"/>
      <c r="V95" s="146"/>
      <c r="W95" s="146"/>
      <c r="X95" s="268"/>
      <c r="Y95" s="331">
        <f t="shared" si="6"/>
        <v>0</v>
      </c>
      <c r="Z95" s="146"/>
      <c r="AA95" s="146"/>
      <c r="AB95" s="146"/>
      <c r="AC95" s="146"/>
      <c r="AD95" s="146"/>
      <c r="AE95" s="146"/>
      <c r="AF95" s="146"/>
      <c r="AG95" s="146"/>
      <c r="AH95" s="331">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29">
        <f t="shared" si="5"/>
        <v>0</v>
      </c>
      <c r="Q96" s="146"/>
      <c r="R96" s="146"/>
      <c r="S96" s="146"/>
      <c r="T96" s="146"/>
      <c r="U96" s="146"/>
      <c r="V96" s="146"/>
      <c r="W96" s="146"/>
      <c r="X96" s="268"/>
      <c r="Y96" s="331">
        <f t="shared" si="6"/>
        <v>0</v>
      </c>
      <c r="Z96" s="146"/>
      <c r="AA96" s="146"/>
      <c r="AB96" s="146"/>
      <c r="AC96" s="146"/>
      <c r="AD96" s="146"/>
      <c r="AE96" s="146"/>
      <c r="AF96" s="146"/>
      <c r="AG96" s="146"/>
      <c r="AH96" s="331">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29">
        <f t="shared" si="5"/>
        <v>0</v>
      </c>
      <c r="Q97" s="146"/>
      <c r="R97" s="146"/>
      <c r="S97" s="146"/>
      <c r="T97" s="146"/>
      <c r="U97" s="146"/>
      <c r="V97" s="146"/>
      <c r="W97" s="146"/>
      <c r="X97" s="268"/>
      <c r="Y97" s="331">
        <f t="shared" si="6"/>
        <v>0</v>
      </c>
      <c r="Z97" s="146"/>
      <c r="AA97" s="146"/>
      <c r="AB97" s="146"/>
      <c r="AC97" s="146"/>
      <c r="AD97" s="146"/>
      <c r="AE97" s="146"/>
      <c r="AF97" s="146"/>
      <c r="AG97" s="146"/>
      <c r="AH97" s="331">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29">
        <f t="shared" si="5"/>
        <v>0</v>
      </c>
      <c r="Q98" s="146"/>
      <c r="R98" s="146"/>
      <c r="S98" s="146"/>
      <c r="T98" s="146"/>
      <c r="U98" s="146"/>
      <c r="V98" s="146"/>
      <c r="W98" s="146"/>
      <c r="X98" s="268"/>
      <c r="Y98" s="331">
        <f t="shared" si="6"/>
        <v>0</v>
      </c>
      <c r="Z98" s="146"/>
      <c r="AA98" s="146"/>
      <c r="AB98" s="146"/>
      <c r="AC98" s="146"/>
      <c r="AD98" s="146"/>
      <c r="AE98" s="146"/>
      <c r="AF98" s="146"/>
      <c r="AG98" s="146"/>
      <c r="AH98" s="331">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29">
        <f t="shared" si="5"/>
        <v>0</v>
      </c>
      <c r="Q99" s="146"/>
      <c r="R99" s="146"/>
      <c r="S99" s="146"/>
      <c r="T99" s="146"/>
      <c r="U99" s="146"/>
      <c r="V99" s="146"/>
      <c r="W99" s="146"/>
      <c r="X99" s="268"/>
      <c r="Y99" s="331">
        <f t="shared" si="6"/>
        <v>0</v>
      </c>
      <c r="Z99" s="146"/>
      <c r="AA99" s="146"/>
      <c r="AB99" s="146"/>
      <c r="AC99" s="146"/>
      <c r="AD99" s="146"/>
      <c r="AE99" s="146"/>
      <c r="AF99" s="146"/>
      <c r="AG99" s="146"/>
      <c r="AH99" s="331">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29">
        <f t="shared" si="5"/>
        <v>0</v>
      </c>
      <c r="Q100" s="146"/>
      <c r="R100" s="146"/>
      <c r="S100" s="146"/>
      <c r="T100" s="146"/>
      <c r="U100" s="146"/>
      <c r="V100" s="146"/>
      <c r="W100" s="146"/>
      <c r="X100" s="268"/>
      <c r="Y100" s="331">
        <f t="shared" si="6"/>
        <v>0</v>
      </c>
      <c r="Z100" s="146"/>
      <c r="AA100" s="146"/>
      <c r="AB100" s="146"/>
      <c r="AC100" s="146"/>
      <c r="AD100" s="146"/>
      <c r="AE100" s="146"/>
      <c r="AF100" s="146"/>
      <c r="AG100" s="146"/>
      <c r="AH100" s="331">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29">
        <f t="shared" si="5"/>
        <v>0</v>
      </c>
      <c r="Q101" s="146"/>
      <c r="R101" s="146"/>
      <c r="S101" s="146"/>
      <c r="T101" s="146"/>
      <c r="U101" s="146"/>
      <c r="V101" s="146"/>
      <c r="W101" s="146"/>
      <c r="X101" s="268"/>
      <c r="Y101" s="331">
        <f t="shared" si="6"/>
        <v>0</v>
      </c>
      <c r="Z101" s="146"/>
      <c r="AA101" s="146"/>
      <c r="AB101" s="146"/>
      <c r="AC101" s="146"/>
      <c r="AD101" s="146"/>
      <c r="AE101" s="146"/>
      <c r="AF101" s="146"/>
      <c r="AG101" s="146"/>
      <c r="AH101" s="331">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29">
        <f t="shared" si="5"/>
        <v>0</v>
      </c>
      <c r="Q102" s="146"/>
      <c r="R102" s="146"/>
      <c r="S102" s="146"/>
      <c r="T102" s="146"/>
      <c r="U102" s="146"/>
      <c r="V102" s="146"/>
      <c r="W102" s="146"/>
      <c r="X102" s="268"/>
      <c r="Y102" s="331">
        <f t="shared" si="6"/>
        <v>0</v>
      </c>
      <c r="Z102" s="146"/>
      <c r="AA102" s="146"/>
      <c r="AB102" s="146"/>
      <c r="AC102" s="146"/>
      <c r="AD102" s="146"/>
      <c r="AE102" s="146"/>
      <c r="AF102" s="146"/>
      <c r="AG102" s="146"/>
      <c r="AH102" s="331">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29">
        <f t="shared" si="5"/>
        <v>0</v>
      </c>
      <c r="Q103" s="146"/>
      <c r="R103" s="146"/>
      <c r="S103" s="146"/>
      <c r="T103" s="146"/>
      <c r="U103" s="146"/>
      <c r="V103" s="146"/>
      <c r="W103" s="146"/>
      <c r="X103" s="268"/>
      <c r="Y103" s="331">
        <f t="shared" si="6"/>
        <v>0</v>
      </c>
      <c r="Z103" s="146"/>
      <c r="AA103" s="146"/>
      <c r="AB103" s="146"/>
      <c r="AC103" s="146"/>
      <c r="AD103" s="146"/>
      <c r="AE103" s="146"/>
      <c r="AF103" s="146"/>
      <c r="AG103" s="146"/>
      <c r="AH103" s="331">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29">
        <f t="shared" si="5"/>
        <v>0</v>
      </c>
      <c r="Q104" s="146"/>
      <c r="R104" s="146"/>
      <c r="S104" s="146"/>
      <c r="T104" s="146"/>
      <c r="U104" s="146"/>
      <c r="V104" s="146"/>
      <c r="W104" s="146"/>
      <c r="X104" s="268"/>
      <c r="Y104" s="331">
        <f t="shared" si="6"/>
        <v>0</v>
      </c>
      <c r="Z104" s="146"/>
      <c r="AA104" s="146"/>
      <c r="AB104" s="146"/>
      <c r="AC104" s="146"/>
      <c r="AD104" s="146"/>
      <c r="AE104" s="146"/>
      <c r="AF104" s="146"/>
      <c r="AG104" s="146"/>
      <c r="AH104" s="331">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29">
        <f t="shared" si="5"/>
        <v>0</v>
      </c>
      <c r="Q105" s="146"/>
      <c r="R105" s="146"/>
      <c r="S105" s="146"/>
      <c r="T105" s="146"/>
      <c r="U105" s="146"/>
      <c r="V105" s="146"/>
      <c r="W105" s="146"/>
      <c r="X105" s="268"/>
      <c r="Y105" s="331">
        <f t="shared" si="6"/>
        <v>0</v>
      </c>
      <c r="Z105" s="146"/>
      <c r="AA105" s="146"/>
      <c r="AB105" s="146"/>
      <c r="AC105" s="146"/>
      <c r="AD105" s="146"/>
      <c r="AE105" s="146"/>
      <c r="AF105" s="146"/>
      <c r="AG105" s="146"/>
      <c r="AH105" s="331">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29">
        <f t="shared" si="5"/>
        <v>0</v>
      </c>
      <c r="Q106" s="146"/>
      <c r="R106" s="146"/>
      <c r="S106" s="146"/>
      <c r="T106" s="146"/>
      <c r="U106" s="146"/>
      <c r="V106" s="146"/>
      <c r="W106" s="146"/>
      <c r="X106" s="268"/>
      <c r="Y106" s="331">
        <f t="shared" si="6"/>
        <v>0</v>
      </c>
      <c r="Z106" s="146"/>
      <c r="AA106" s="146"/>
      <c r="AB106" s="146"/>
      <c r="AC106" s="146"/>
      <c r="AD106" s="146"/>
      <c r="AE106" s="146"/>
      <c r="AF106" s="146"/>
      <c r="AG106" s="146"/>
      <c r="AH106" s="331">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29">
        <f t="shared" si="5"/>
        <v>0</v>
      </c>
      <c r="Q107" s="146"/>
      <c r="R107" s="146"/>
      <c r="S107" s="146"/>
      <c r="T107" s="146"/>
      <c r="U107" s="146"/>
      <c r="V107" s="146"/>
      <c r="W107" s="146"/>
      <c r="X107" s="268"/>
      <c r="Y107" s="331">
        <f t="shared" si="6"/>
        <v>0</v>
      </c>
      <c r="Z107" s="146"/>
      <c r="AA107" s="146"/>
      <c r="AB107" s="146"/>
      <c r="AC107" s="146"/>
      <c r="AD107" s="146"/>
      <c r="AE107" s="146"/>
      <c r="AF107" s="146"/>
      <c r="AG107" s="146"/>
      <c r="AH107" s="331">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29">
        <f t="shared" si="5"/>
        <v>0</v>
      </c>
      <c r="Q108" s="146"/>
      <c r="R108" s="146"/>
      <c r="S108" s="146"/>
      <c r="T108" s="146"/>
      <c r="U108" s="146"/>
      <c r="V108" s="146"/>
      <c r="W108" s="146"/>
      <c r="X108" s="268"/>
      <c r="Y108" s="331">
        <f t="shared" si="6"/>
        <v>0</v>
      </c>
      <c r="Z108" s="146"/>
      <c r="AA108" s="146"/>
      <c r="AB108" s="146"/>
      <c r="AC108" s="146"/>
      <c r="AD108" s="146"/>
      <c r="AE108" s="146"/>
      <c r="AF108" s="146"/>
      <c r="AG108" s="146"/>
      <c r="AH108" s="331">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29">
        <f t="shared" si="5"/>
        <v>0</v>
      </c>
      <c r="Q109" s="146"/>
      <c r="R109" s="146"/>
      <c r="S109" s="146"/>
      <c r="T109" s="146"/>
      <c r="U109" s="146"/>
      <c r="V109" s="146"/>
      <c r="W109" s="146"/>
      <c r="X109" s="268"/>
      <c r="Y109" s="331">
        <f t="shared" si="6"/>
        <v>0</v>
      </c>
      <c r="Z109" s="146"/>
      <c r="AA109" s="146"/>
      <c r="AB109" s="146"/>
      <c r="AC109" s="146"/>
      <c r="AD109" s="146"/>
      <c r="AE109" s="146"/>
      <c r="AF109" s="146"/>
      <c r="AG109" s="146"/>
      <c r="AH109" s="331">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29">
        <f t="shared" si="5"/>
        <v>0</v>
      </c>
      <c r="Q110" s="146"/>
      <c r="R110" s="146"/>
      <c r="S110" s="146"/>
      <c r="T110" s="146"/>
      <c r="U110" s="146"/>
      <c r="V110" s="146"/>
      <c r="W110" s="146"/>
      <c r="X110" s="268"/>
      <c r="Y110" s="331">
        <f t="shared" si="6"/>
        <v>0</v>
      </c>
      <c r="Z110" s="146"/>
      <c r="AA110" s="146"/>
      <c r="AB110" s="146"/>
      <c r="AC110" s="146"/>
      <c r="AD110" s="146"/>
      <c r="AE110" s="146"/>
      <c r="AF110" s="146"/>
      <c r="AG110" s="146"/>
      <c r="AH110" s="331">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29">
        <f t="shared" si="5"/>
        <v>0</v>
      </c>
      <c r="Q111" s="146"/>
      <c r="R111" s="146"/>
      <c r="S111" s="146"/>
      <c r="T111" s="146"/>
      <c r="U111" s="146"/>
      <c r="V111" s="146"/>
      <c r="W111" s="146"/>
      <c r="X111" s="268"/>
      <c r="Y111" s="331">
        <f t="shared" si="6"/>
        <v>0</v>
      </c>
      <c r="Z111" s="146"/>
      <c r="AA111" s="146"/>
      <c r="AB111" s="146"/>
      <c r="AC111" s="146"/>
      <c r="AD111" s="146"/>
      <c r="AE111" s="146"/>
      <c r="AF111" s="146"/>
      <c r="AG111" s="146"/>
      <c r="AH111" s="331">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29">
        <f t="shared" si="5"/>
        <v>0</v>
      </c>
      <c r="Q112" s="146"/>
      <c r="R112" s="146"/>
      <c r="S112" s="146"/>
      <c r="T112" s="146"/>
      <c r="U112" s="146"/>
      <c r="V112" s="146"/>
      <c r="W112" s="146"/>
      <c r="X112" s="268"/>
      <c r="Y112" s="331">
        <f t="shared" si="6"/>
        <v>0</v>
      </c>
      <c r="Z112" s="146"/>
      <c r="AA112" s="146"/>
      <c r="AB112" s="146"/>
      <c r="AC112" s="146"/>
      <c r="AD112" s="146"/>
      <c r="AE112" s="146"/>
      <c r="AF112" s="146"/>
      <c r="AG112" s="146"/>
      <c r="AH112" s="331">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29">
        <f t="shared" si="5"/>
        <v>0</v>
      </c>
      <c r="Q113" s="146"/>
      <c r="R113" s="146"/>
      <c r="S113" s="146"/>
      <c r="T113" s="146"/>
      <c r="U113" s="146"/>
      <c r="V113" s="146"/>
      <c r="W113" s="146"/>
      <c r="X113" s="268"/>
      <c r="Y113" s="331">
        <f t="shared" si="6"/>
        <v>0</v>
      </c>
      <c r="Z113" s="146"/>
      <c r="AA113" s="146"/>
      <c r="AB113" s="146"/>
      <c r="AC113" s="146"/>
      <c r="AD113" s="146"/>
      <c r="AE113" s="146"/>
      <c r="AF113" s="146"/>
      <c r="AG113" s="146"/>
      <c r="AH113" s="331">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29">
        <f t="shared" si="5"/>
        <v>0</v>
      </c>
      <c r="Q114" s="146"/>
      <c r="R114" s="146"/>
      <c r="S114" s="146"/>
      <c r="T114" s="146"/>
      <c r="U114" s="146"/>
      <c r="V114" s="146"/>
      <c r="W114" s="146"/>
      <c r="X114" s="268"/>
      <c r="Y114" s="331">
        <f t="shared" si="6"/>
        <v>0</v>
      </c>
      <c r="Z114" s="146"/>
      <c r="AA114" s="146"/>
      <c r="AB114" s="146"/>
      <c r="AC114" s="146"/>
      <c r="AD114" s="146"/>
      <c r="AE114" s="146"/>
      <c r="AF114" s="146"/>
      <c r="AG114" s="146"/>
      <c r="AH114" s="331">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29">
        <f t="shared" si="5"/>
        <v>0</v>
      </c>
      <c r="Q115" s="146"/>
      <c r="R115" s="146"/>
      <c r="S115" s="146"/>
      <c r="T115" s="146"/>
      <c r="U115" s="146"/>
      <c r="V115" s="146"/>
      <c r="W115" s="146"/>
      <c r="X115" s="268"/>
      <c r="Y115" s="331">
        <f t="shared" si="6"/>
        <v>0</v>
      </c>
      <c r="Z115" s="146"/>
      <c r="AA115" s="146"/>
      <c r="AB115" s="146"/>
      <c r="AC115" s="146"/>
      <c r="AD115" s="146"/>
      <c r="AE115" s="146"/>
      <c r="AF115" s="146"/>
      <c r="AG115" s="146"/>
      <c r="AH115" s="331">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29">
        <f t="shared" si="5"/>
        <v>0</v>
      </c>
      <c r="Q116" s="146"/>
      <c r="R116" s="146"/>
      <c r="S116" s="146"/>
      <c r="T116" s="146"/>
      <c r="U116" s="146"/>
      <c r="V116" s="146"/>
      <c r="W116" s="146"/>
      <c r="X116" s="268"/>
      <c r="Y116" s="331">
        <f t="shared" si="6"/>
        <v>0</v>
      </c>
      <c r="Z116" s="146"/>
      <c r="AA116" s="146"/>
      <c r="AB116" s="146"/>
      <c r="AC116" s="146"/>
      <c r="AD116" s="146"/>
      <c r="AE116" s="146"/>
      <c r="AF116" s="146"/>
      <c r="AG116" s="146"/>
      <c r="AH116" s="331">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29">
        <f t="shared" si="5"/>
        <v>0</v>
      </c>
      <c r="Q117" s="146"/>
      <c r="R117" s="146"/>
      <c r="S117" s="146"/>
      <c r="T117" s="146"/>
      <c r="U117" s="146"/>
      <c r="V117" s="146"/>
      <c r="W117" s="146"/>
      <c r="X117" s="268"/>
      <c r="Y117" s="331">
        <f t="shared" si="6"/>
        <v>0</v>
      </c>
      <c r="Z117" s="146"/>
      <c r="AA117" s="146"/>
      <c r="AB117" s="146"/>
      <c r="AC117" s="146"/>
      <c r="AD117" s="146"/>
      <c r="AE117" s="146"/>
      <c r="AF117" s="146"/>
      <c r="AG117" s="146"/>
      <c r="AH117" s="331">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29">
        <f t="shared" si="5"/>
        <v>0</v>
      </c>
      <c r="Q118" s="146"/>
      <c r="R118" s="146"/>
      <c r="S118" s="146"/>
      <c r="T118" s="146"/>
      <c r="U118" s="146"/>
      <c r="V118" s="146"/>
      <c r="W118" s="146"/>
      <c r="X118" s="268"/>
      <c r="Y118" s="331">
        <f t="shared" si="6"/>
        <v>0</v>
      </c>
      <c r="Z118" s="146"/>
      <c r="AA118" s="146"/>
      <c r="AB118" s="146"/>
      <c r="AC118" s="146"/>
      <c r="AD118" s="146"/>
      <c r="AE118" s="146"/>
      <c r="AF118" s="146"/>
      <c r="AG118" s="146"/>
      <c r="AH118" s="331">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29">
        <f t="shared" si="5"/>
        <v>0</v>
      </c>
      <c r="Q119" s="146"/>
      <c r="R119" s="146"/>
      <c r="S119" s="146"/>
      <c r="T119" s="146"/>
      <c r="U119" s="146"/>
      <c r="V119" s="146"/>
      <c r="W119" s="146"/>
      <c r="X119" s="268"/>
      <c r="Y119" s="331">
        <f t="shared" si="6"/>
        <v>0</v>
      </c>
      <c r="Z119" s="146"/>
      <c r="AA119" s="146"/>
      <c r="AB119" s="146"/>
      <c r="AC119" s="146"/>
      <c r="AD119" s="146"/>
      <c r="AE119" s="146"/>
      <c r="AF119" s="146"/>
      <c r="AG119" s="146"/>
      <c r="AH119" s="331">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29">
        <f t="shared" si="5"/>
        <v>0</v>
      </c>
      <c r="Q120" s="146"/>
      <c r="R120" s="146"/>
      <c r="S120" s="146"/>
      <c r="T120" s="146"/>
      <c r="U120" s="146"/>
      <c r="V120" s="146"/>
      <c r="W120" s="146"/>
      <c r="X120" s="268"/>
      <c r="Y120" s="331">
        <f t="shared" si="6"/>
        <v>0</v>
      </c>
      <c r="Z120" s="146"/>
      <c r="AA120" s="146"/>
      <c r="AB120" s="146"/>
      <c r="AC120" s="146"/>
      <c r="AD120" s="146"/>
      <c r="AE120" s="146"/>
      <c r="AF120" s="146"/>
      <c r="AG120" s="146"/>
      <c r="AH120" s="331">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29">
        <f t="shared" si="5"/>
        <v>0</v>
      </c>
      <c r="Q121" s="146"/>
      <c r="R121" s="146"/>
      <c r="S121" s="146"/>
      <c r="T121" s="146"/>
      <c r="U121" s="146"/>
      <c r="V121" s="146"/>
      <c r="W121" s="146"/>
      <c r="X121" s="268"/>
      <c r="Y121" s="331">
        <f t="shared" si="6"/>
        <v>0</v>
      </c>
      <c r="Z121" s="146"/>
      <c r="AA121" s="146"/>
      <c r="AB121" s="146"/>
      <c r="AC121" s="146"/>
      <c r="AD121" s="146"/>
      <c r="AE121" s="146"/>
      <c r="AF121" s="146"/>
      <c r="AG121" s="146"/>
      <c r="AH121" s="331">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29">
        <f t="shared" si="5"/>
        <v>0</v>
      </c>
      <c r="Q122" s="146"/>
      <c r="R122" s="146"/>
      <c r="S122" s="146"/>
      <c r="T122" s="146"/>
      <c r="U122" s="146"/>
      <c r="V122" s="146"/>
      <c r="W122" s="146"/>
      <c r="X122" s="268"/>
      <c r="Y122" s="331">
        <f t="shared" si="6"/>
        <v>0</v>
      </c>
      <c r="Z122" s="146"/>
      <c r="AA122" s="146"/>
      <c r="AB122" s="146"/>
      <c r="AC122" s="146"/>
      <c r="AD122" s="146"/>
      <c r="AE122" s="146"/>
      <c r="AF122" s="146"/>
      <c r="AG122" s="146"/>
      <c r="AH122" s="331">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29">
        <f t="shared" si="5"/>
        <v>0</v>
      </c>
      <c r="Q123" s="146"/>
      <c r="R123" s="146"/>
      <c r="S123" s="146"/>
      <c r="T123" s="146"/>
      <c r="U123" s="146"/>
      <c r="V123" s="146"/>
      <c r="W123" s="146"/>
      <c r="X123" s="268"/>
      <c r="Y123" s="331">
        <f t="shared" si="6"/>
        <v>0</v>
      </c>
      <c r="Z123" s="146"/>
      <c r="AA123" s="146"/>
      <c r="AB123" s="146"/>
      <c r="AC123" s="146"/>
      <c r="AD123" s="146"/>
      <c r="AE123" s="146"/>
      <c r="AF123" s="146"/>
      <c r="AG123" s="146"/>
      <c r="AH123" s="331">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29">
        <f t="shared" si="5"/>
        <v>0</v>
      </c>
      <c r="Q124" s="146"/>
      <c r="R124" s="146"/>
      <c r="S124" s="146"/>
      <c r="T124" s="146"/>
      <c r="U124" s="146"/>
      <c r="V124" s="146"/>
      <c r="W124" s="146"/>
      <c r="X124" s="268"/>
      <c r="Y124" s="331">
        <f t="shared" si="6"/>
        <v>0</v>
      </c>
      <c r="Z124" s="146"/>
      <c r="AA124" s="146"/>
      <c r="AB124" s="146"/>
      <c r="AC124" s="146"/>
      <c r="AD124" s="146"/>
      <c r="AE124" s="146"/>
      <c r="AF124" s="146"/>
      <c r="AG124" s="146"/>
      <c r="AH124" s="331">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29">
        <f t="shared" si="5"/>
        <v>0</v>
      </c>
      <c r="Q125" s="146"/>
      <c r="R125" s="146"/>
      <c r="S125" s="146"/>
      <c r="T125" s="146"/>
      <c r="U125" s="146"/>
      <c r="V125" s="146"/>
      <c r="W125" s="146"/>
      <c r="X125" s="268"/>
      <c r="Y125" s="331">
        <f t="shared" si="6"/>
        <v>0</v>
      </c>
      <c r="Z125" s="146"/>
      <c r="AA125" s="146"/>
      <c r="AB125" s="146"/>
      <c r="AC125" s="146"/>
      <c r="AD125" s="146"/>
      <c r="AE125" s="146"/>
      <c r="AF125" s="146"/>
      <c r="AG125" s="146"/>
      <c r="AH125" s="331">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29">
        <f t="shared" si="5"/>
        <v>0</v>
      </c>
      <c r="Q126" s="146"/>
      <c r="R126" s="146"/>
      <c r="S126" s="146"/>
      <c r="T126" s="146"/>
      <c r="U126" s="146"/>
      <c r="V126" s="146"/>
      <c r="W126" s="146"/>
      <c r="X126" s="268"/>
      <c r="Y126" s="331">
        <f t="shared" si="6"/>
        <v>0</v>
      </c>
      <c r="Z126" s="146"/>
      <c r="AA126" s="146"/>
      <c r="AB126" s="146"/>
      <c r="AC126" s="146"/>
      <c r="AD126" s="146"/>
      <c r="AE126" s="146"/>
      <c r="AF126" s="146"/>
      <c r="AG126" s="146"/>
      <c r="AH126" s="331">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29">
        <f t="shared" si="5"/>
        <v>0</v>
      </c>
      <c r="Q127" s="146"/>
      <c r="R127" s="146"/>
      <c r="S127" s="146"/>
      <c r="T127" s="146"/>
      <c r="U127" s="146"/>
      <c r="V127" s="146"/>
      <c r="W127" s="146"/>
      <c r="X127" s="268"/>
      <c r="Y127" s="331">
        <f t="shared" si="6"/>
        <v>0</v>
      </c>
      <c r="Z127" s="146"/>
      <c r="AA127" s="146"/>
      <c r="AB127" s="146"/>
      <c r="AC127" s="146"/>
      <c r="AD127" s="146"/>
      <c r="AE127" s="146"/>
      <c r="AF127" s="146"/>
      <c r="AG127" s="146"/>
      <c r="AH127" s="331">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29">
        <f t="shared" si="5"/>
        <v>0</v>
      </c>
      <c r="Q128" s="146"/>
      <c r="R128" s="146"/>
      <c r="S128" s="146"/>
      <c r="T128" s="146"/>
      <c r="U128" s="146"/>
      <c r="V128" s="146"/>
      <c r="W128" s="146"/>
      <c r="X128" s="268"/>
      <c r="Y128" s="331">
        <f t="shared" si="6"/>
        <v>0</v>
      </c>
      <c r="Z128" s="146"/>
      <c r="AA128" s="146"/>
      <c r="AB128" s="146"/>
      <c r="AC128" s="146"/>
      <c r="AD128" s="146"/>
      <c r="AE128" s="146"/>
      <c r="AF128" s="146"/>
      <c r="AG128" s="146"/>
      <c r="AH128" s="331">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29">
        <f t="shared" si="5"/>
        <v>0</v>
      </c>
      <c r="Q129" s="146"/>
      <c r="R129" s="146"/>
      <c r="S129" s="146"/>
      <c r="T129" s="146"/>
      <c r="U129" s="146"/>
      <c r="V129" s="146"/>
      <c r="W129" s="146"/>
      <c r="X129" s="268"/>
      <c r="Y129" s="331">
        <f t="shared" si="6"/>
        <v>0</v>
      </c>
      <c r="Z129" s="146"/>
      <c r="AA129" s="146"/>
      <c r="AB129" s="146"/>
      <c r="AC129" s="146"/>
      <c r="AD129" s="146"/>
      <c r="AE129" s="146"/>
      <c r="AF129" s="146"/>
      <c r="AG129" s="146"/>
      <c r="AH129" s="331">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29">
        <f t="shared" si="5"/>
        <v>0</v>
      </c>
      <c r="Q130" s="146"/>
      <c r="R130" s="146"/>
      <c r="S130" s="146"/>
      <c r="T130" s="146"/>
      <c r="U130" s="146"/>
      <c r="V130" s="146"/>
      <c r="W130" s="146"/>
      <c r="X130" s="268"/>
      <c r="Y130" s="331">
        <f t="shared" si="6"/>
        <v>0</v>
      </c>
      <c r="Z130" s="146"/>
      <c r="AA130" s="146"/>
      <c r="AB130" s="146"/>
      <c r="AC130" s="146"/>
      <c r="AD130" s="146"/>
      <c r="AE130" s="146"/>
      <c r="AF130" s="146"/>
      <c r="AG130" s="146"/>
      <c r="AH130" s="331">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29">
        <f t="shared" si="5"/>
        <v>0</v>
      </c>
      <c r="Q131" s="146"/>
      <c r="R131" s="146"/>
      <c r="S131" s="146"/>
      <c r="T131" s="146"/>
      <c r="U131" s="146"/>
      <c r="V131" s="146"/>
      <c r="W131" s="146"/>
      <c r="X131" s="268"/>
      <c r="Y131" s="331">
        <f t="shared" si="6"/>
        <v>0</v>
      </c>
      <c r="Z131" s="146"/>
      <c r="AA131" s="146"/>
      <c r="AB131" s="146"/>
      <c r="AC131" s="146"/>
      <c r="AD131" s="146"/>
      <c r="AE131" s="146"/>
      <c r="AF131" s="146"/>
      <c r="AG131" s="146"/>
      <c r="AH131" s="331">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29">
        <f t="shared" si="5"/>
        <v>0</v>
      </c>
      <c r="Q132" s="146"/>
      <c r="R132" s="146"/>
      <c r="S132" s="146"/>
      <c r="T132" s="146"/>
      <c r="U132" s="146"/>
      <c r="V132" s="146"/>
      <c r="W132" s="146"/>
      <c r="X132" s="268"/>
      <c r="Y132" s="331">
        <f t="shared" si="6"/>
        <v>0</v>
      </c>
      <c r="Z132" s="146"/>
      <c r="AA132" s="146"/>
      <c r="AB132" s="146"/>
      <c r="AC132" s="146"/>
      <c r="AD132" s="146"/>
      <c r="AE132" s="146"/>
      <c r="AF132" s="146"/>
      <c r="AG132" s="146"/>
      <c r="AH132" s="331">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29">
        <f t="shared" si="5"/>
        <v>0</v>
      </c>
      <c r="Q133" s="146"/>
      <c r="R133" s="146"/>
      <c r="S133" s="146"/>
      <c r="T133" s="146"/>
      <c r="U133" s="146"/>
      <c r="V133" s="146"/>
      <c r="W133" s="146"/>
      <c r="X133" s="268"/>
      <c r="Y133" s="331">
        <f t="shared" si="6"/>
        <v>0</v>
      </c>
      <c r="Z133" s="146"/>
      <c r="AA133" s="146"/>
      <c r="AB133" s="146"/>
      <c r="AC133" s="146"/>
      <c r="AD133" s="146"/>
      <c r="AE133" s="146"/>
      <c r="AF133" s="146"/>
      <c r="AG133" s="146"/>
      <c r="AH133" s="331">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29">
        <f t="shared" si="5"/>
        <v>0</v>
      </c>
      <c r="Q134" s="146"/>
      <c r="R134" s="146"/>
      <c r="S134" s="146"/>
      <c r="T134" s="146"/>
      <c r="U134" s="146"/>
      <c r="V134" s="146"/>
      <c r="W134" s="146"/>
      <c r="X134" s="268"/>
      <c r="Y134" s="331">
        <f t="shared" si="6"/>
        <v>0</v>
      </c>
      <c r="Z134" s="146"/>
      <c r="AA134" s="146"/>
      <c r="AB134" s="146"/>
      <c r="AC134" s="146"/>
      <c r="AD134" s="146"/>
      <c r="AE134" s="146"/>
      <c r="AF134" s="146"/>
      <c r="AG134" s="146"/>
      <c r="AH134" s="331">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29">
        <f t="shared" si="5"/>
        <v>0</v>
      </c>
      <c r="Q135" s="146"/>
      <c r="R135" s="146"/>
      <c r="S135" s="146"/>
      <c r="T135" s="146"/>
      <c r="U135" s="146"/>
      <c r="V135" s="146"/>
      <c r="W135" s="146"/>
      <c r="X135" s="268"/>
      <c r="Y135" s="331">
        <f t="shared" si="6"/>
        <v>0</v>
      </c>
      <c r="Z135" s="146"/>
      <c r="AA135" s="146"/>
      <c r="AB135" s="146"/>
      <c r="AC135" s="146"/>
      <c r="AD135" s="146"/>
      <c r="AE135" s="146"/>
      <c r="AF135" s="146"/>
      <c r="AG135" s="146"/>
      <c r="AH135" s="331">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29">
        <f t="shared" si="5"/>
        <v>0</v>
      </c>
      <c r="Q136" s="146"/>
      <c r="R136" s="146"/>
      <c r="S136" s="146"/>
      <c r="T136" s="146"/>
      <c r="U136" s="146"/>
      <c r="V136" s="146"/>
      <c r="W136" s="146"/>
      <c r="X136" s="268"/>
      <c r="Y136" s="331">
        <f t="shared" si="6"/>
        <v>0</v>
      </c>
      <c r="Z136" s="146"/>
      <c r="AA136" s="146"/>
      <c r="AB136" s="146"/>
      <c r="AC136" s="146"/>
      <c r="AD136" s="146"/>
      <c r="AE136" s="146"/>
      <c r="AF136" s="146"/>
      <c r="AG136" s="146"/>
      <c r="AH136" s="331">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29">
        <f t="shared" si="5"/>
        <v>0</v>
      </c>
      <c r="Q137" s="146"/>
      <c r="R137" s="146"/>
      <c r="S137" s="146"/>
      <c r="T137" s="146"/>
      <c r="U137" s="146"/>
      <c r="V137" s="146"/>
      <c r="W137" s="146"/>
      <c r="X137" s="268"/>
      <c r="Y137" s="331">
        <f t="shared" si="6"/>
        <v>0</v>
      </c>
      <c r="Z137" s="146"/>
      <c r="AA137" s="146"/>
      <c r="AB137" s="146"/>
      <c r="AC137" s="146"/>
      <c r="AD137" s="146"/>
      <c r="AE137" s="146"/>
      <c r="AF137" s="146"/>
      <c r="AG137" s="146"/>
      <c r="AH137" s="331">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29">
        <f t="shared" si="5"/>
        <v>0</v>
      </c>
      <c r="Q138" s="146"/>
      <c r="R138" s="146"/>
      <c r="S138" s="146"/>
      <c r="T138" s="146"/>
      <c r="U138" s="146"/>
      <c r="V138" s="146"/>
      <c r="W138" s="146"/>
      <c r="X138" s="268"/>
      <c r="Y138" s="331">
        <f t="shared" si="6"/>
        <v>0</v>
      </c>
      <c r="Z138" s="146"/>
      <c r="AA138" s="146"/>
      <c r="AB138" s="146"/>
      <c r="AC138" s="146"/>
      <c r="AD138" s="146"/>
      <c r="AE138" s="146"/>
      <c r="AF138" s="146"/>
      <c r="AG138" s="146"/>
      <c r="AH138" s="331">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29">
        <f t="shared" si="5"/>
        <v>0</v>
      </c>
      <c r="Q139" s="146"/>
      <c r="R139" s="146"/>
      <c r="S139" s="146"/>
      <c r="T139" s="146"/>
      <c r="U139" s="146"/>
      <c r="V139" s="146"/>
      <c r="W139" s="146"/>
      <c r="X139" s="268"/>
      <c r="Y139" s="331">
        <f t="shared" si="6"/>
        <v>0</v>
      </c>
      <c r="Z139" s="146"/>
      <c r="AA139" s="146"/>
      <c r="AB139" s="146"/>
      <c r="AC139" s="146"/>
      <c r="AD139" s="146"/>
      <c r="AE139" s="146"/>
      <c r="AF139" s="146"/>
      <c r="AG139" s="146"/>
      <c r="AH139" s="331">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29">
        <f t="shared" si="5"/>
        <v>0</v>
      </c>
      <c r="Q140" s="146"/>
      <c r="R140" s="146"/>
      <c r="S140" s="146"/>
      <c r="T140" s="146"/>
      <c r="U140" s="146"/>
      <c r="V140" s="146"/>
      <c r="W140" s="146"/>
      <c r="X140" s="268"/>
      <c r="Y140" s="331">
        <f t="shared" si="6"/>
        <v>0</v>
      </c>
      <c r="Z140" s="146"/>
      <c r="AA140" s="146"/>
      <c r="AB140" s="146"/>
      <c r="AC140" s="146"/>
      <c r="AD140" s="146"/>
      <c r="AE140" s="146"/>
      <c r="AF140" s="146"/>
      <c r="AG140" s="146"/>
      <c r="AH140" s="331">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29">
        <f t="shared" ref="P141:P204" si="8">SUM(H141:N141)</f>
        <v>0</v>
      </c>
      <c r="Q141" s="146"/>
      <c r="R141" s="146"/>
      <c r="S141" s="146"/>
      <c r="T141" s="146"/>
      <c r="U141" s="146"/>
      <c r="V141" s="146"/>
      <c r="W141" s="146"/>
      <c r="X141" s="268"/>
      <c r="Y141" s="331">
        <f t="shared" ref="Y141:Y204" si="9">SUM(Q141:W141)</f>
        <v>0</v>
      </c>
      <c r="Z141" s="146"/>
      <c r="AA141" s="146"/>
      <c r="AB141" s="146"/>
      <c r="AC141" s="146"/>
      <c r="AD141" s="146"/>
      <c r="AE141" s="146"/>
      <c r="AF141" s="146"/>
      <c r="AG141" s="146"/>
      <c r="AH141" s="331">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29">
        <f t="shared" si="8"/>
        <v>0</v>
      </c>
      <c r="Q142" s="146"/>
      <c r="R142" s="146"/>
      <c r="S142" s="146"/>
      <c r="T142" s="146"/>
      <c r="U142" s="146"/>
      <c r="V142" s="146"/>
      <c r="W142" s="146"/>
      <c r="X142" s="268"/>
      <c r="Y142" s="331">
        <f t="shared" si="9"/>
        <v>0</v>
      </c>
      <c r="Z142" s="146"/>
      <c r="AA142" s="146"/>
      <c r="AB142" s="146"/>
      <c r="AC142" s="146"/>
      <c r="AD142" s="146"/>
      <c r="AE142" s="146"/>
      <c r="AF142" s="146"/>
      <c r="AG142" s="146"/>
      <c r="AH142" s="331">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29">
        <f t="shared" si="8"/>
        <v>0</v>
      </c>
      <c r="Q143" s="146"/>
      <c r="R143" s="146"/>
      <c r="S143" s="146"/>
      <c r="T143" s="146"/>
      <c r="U143" s="146"/>
      <c r="V143" s="146"/>
      <c r="W143" s="146"/>
      <c r="X143" s="268"/>
      <c r="Y143" s="331">
        <f t="shared" si="9"/>
        <v>0</v>
      </c>
      <c r="Z143" s="146"/>
      <c r="AA143" s="146"/>
      <c r="AB143" s="146"/>
      <c r="AC143" s="146"/>
      <c r="AD143" s="146"/>
      <c r="AE143" s="146"/>
      <c r="AF143" s="146"/>
      <c r="AG143" s="146"/>
      <c r="AH143" s="331">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29">
        <f t="shared" si="8"/>
        <v>0</v>
      </c>
      <c r="Q144" s="146"/>
      <c r="R144" s="146"/>
      <c r="S144" s="146"/>
      <c r="T144" s="146"/>
      <c r="U144" s="146"/>
      <c r="V144" s="146"/>
      <c r="W144" s="146"/>
      <c r="X144" s="268"/>
      <c r="Y144" s="331">
        <f t="shared" si="9"/>
        <v>0</v>
      </c>
      <c r="Z144" s="146"/>
      <c r="AA144" s="146"/>
      <c r="AB144" s="146"/>
      <c r="AC144" s="146"/>
      <c r="AD144" s="146"/>
      <c r="AE144" s="146"/>
      <c r="AF144" s="146"/>
      <c r="AG144" s="146"/>
      <c r="AH144" s="331">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29">
        <f t="shared" si="8"/>
        <v>0</v>
      </c>
      <c r="Q145" s="146"/>
      <c r="R145" s="146"/>
      <c r="S145" s="146"/>
      <c r="T145" s="146"/>
      <c r="U145" s="146"/>
      <c r="V145" s="146"/>
      <c r="W145" s="146"/>
      <c r="X145" s="268"/>
      <c r="Y145" s="331">
        <f t="shared" si="9"/>
        <v>0</v>
      </c>
      <c r="Z145" s="146"/>
      <c r="AA145" s="146"/>
      <c r="AB145" s="146"/>
      <c r="AC145" s="146"/>
      <c r="AD145" s="146"/>
      <c r="AE145" s="146"/>
      <c r="AF145" s="146"/>
      <c r="AG145" s="146"/>
      <c r="AH145" s="331">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29">
        <f t="shared" si="8"/>
        <v>0</v>
      </c>
      <c r="Q146" s="146"/>
      <c r="R146" s="146"/>
      <c r="S146" s="146"/>
      <c r="T146" s="146"/>
      <c r="U146" s="146"/>
      <c r="V146" s="146"/>
      <c r="W146" s="146"/>
      <c r="X146" s="268"/>
      <c r="Y146" s="331">
        <f t="shared" si="9"/>
        <v>0</v>
      </c>
      <c r="Z146" s="146"/>
      <c r="AA146" s="146"/>
      <c r="AB146" s="146"/>
      <c r="AC146" s="146"/>
      <c r="AD146" s="146"/>
      <c r="AE146" s="146"/>
      <c r="AF146" s="146"/>
      <c r="AG146" s="146"/>
      <c r="AH146" s="331">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29">
        <f t="shared" si="8"/>
        <v>0</v>
      </c>
      <c r="Q147" s="146"/>
      <c r="R147" s="146"/>
      <c r="S147" s="146"/>
      <c r="T147" s="146"/>
      <c r="U147" s="146"/>
      <c r="V147" s="146"/>
      <c r="W147" s="146"/>
      <c r="X147" s="268"/>
      <c r="Y147" s="331">
        <f t="shared" si="9"/>
        <v>0</v>
      </c>
      <c r="Z147" s="146"/>
      <c r="AA147" s="146"/>
      <c r="AB147" s="146"/>
      <c r="AC147" s="146"/>
      <c r="AD147" s="146"/>
      <c r="AE147" s="146"/>
      <c r="AF147" s="146"/>
      <c r="AG147" s="146"/>
      <c r="AH147" s="331">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29">
        <f t="shared" si="8"/>
        <v>0</v>
      </c>
      <c r="Q148" s="146"/>
      <c r="R148" s="146"/>
      <c r="S148" s="146"/>
      <c r="T148" s="146"/>
      <c r="U148" s="146"/>
      <c r="V148" s="146"/>
      <c r="W148" s="146"/>
      <c r="X148" s="268"/>
      <c r="Y148" s="331">
        <f t="shared" si="9"/>
        <v>0</v>
      </c>
      <c r="Z148" s="146"/>
      <c r="AA148" s="146"/>
      <c r="AB148" s="146"/>
      <c r="AC148" s="146"/>
      <c r="AD148" s="146"/>
      <c r="AE148" s="146"/>
      <c r="AF148" s="146"/>
      <c r="AG148" s="146"/>
      <c r="AH148" s="331">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29">
        <f t="shared" si="8"/>
        <v>0</v>
      </c>
      <c r="Q149" s="146"/>
      <c r="R149" s="146"/>
      <c r="S149" s="146"/>
      <c r="T149" s="146"/>
      <c r="U149" s="146"/>
      <c r="V149" s="146"/>
      <c r="W149" s="146"/>
      <c r="X149" s="268"/>
      <c r="Y149" s="331">
        <f t="shared" si="9"/>
        <v>0</v>
      </c>
      <c r="Z149" s="146"/>
      <c r="AA149" s="146"/>
      <c r="AB149" s="146"/>
      <c r="AC149" s="146"/>
      <c r="AD149" s="146"/>
      <c r="AE149" s="146"/>
      <c r="AF149" s="146"/>
      <c r="AG149" s="146"/>
      <c r="AH149" s="331">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29">
        <f t="shared" si="8"/>
        <v>0</v>
      </c>
      <c r="Q150" s="146"/>
      <c r="R150" s="146"/>
      <c r="S150" s="146"/>
      <c r="T150" s="146"/>
      <c r="U150" s="146"/>
      <c r="V150" s="146"/>
      <c r="W150" s="146"/>
      <c r="X150" s="268"/>
      <c r="Y150" s="331">
        <f t="shared" si="9"/>
        <v>0</v>
      </c>
      <c r="Z150" s="146"/>
      <c r="AA150" s="146"/>
      <c r="AB150" s="146"/>
      <c r="AC150" s="146"/>
      <c r="AD150" s="146"/>
      <c r="AE150" s="146"/>
      <c r="AF150" s="146"/>
      <c r="AG150" s="146"/>
      <c r="AH150" s="331">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29">
        <f t="shared" si="8"/>
        <v>0</v>
      </c>
      <c r="Q151" s="146"/>
      <c r="R151" s="146"/>
      <c r="S151" s="146"/>
      <c r="T151" s="146"/>
      <c r="U151" s="146"/>
      <c r="V151" s="146"/>
      <c r="W151" s="146"/>
      <c r="X151" s="268"/>
      <c r="Y151" s="331">
        <f t="shared" si="9"/>
        <v>0</v>
      </c>
      <c r="Z151" s="146"/>
      <c r="AA151" s="146"/>
      <c r="AB151" s="146"/>
      <c r="AC151" s="146"/>
      <c r="AD151" s="146"/>
      <c r="AE151" s="146"/>
      <c r="AF151" s="146"/>
      <c r="AG151" s="146"/>
      <c r="AH151" s="331">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29">
        <f t="shared" si="8"/>
        <v>0</v>
      </c>
      <c r="Q152" s="146"/>
      <c r="R152" s="146"/>
      <c r="S152" s="146"/>
      <c r="T152" s="146"/>
      <c r="U152" s="146"/>
      <c r="V152" s="146"/>
      <c r="W152" s="146"/>
      <c r="X152" s="268"/>
      <c r="Y152" s="331">
        <f t="shared" si="9"/>
        <v>0</v>
      </c>
      <c r="Z152" s="146"/>
      <c r="AA152" s="146"/>
      <c r="AB152" s="146"/>
      <c r="AC152" s="146"/>
      <c r="AD152" s="146"/>
      <c r="AE152" s="146"/>
      <c r="AF152" s="146"/>
      <c r="AG152" s="146"/>
      <c r="AH152" s="331">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29">
        <f t="shared" si="8"/>
        <v>0</v>
      </c>
      <c r="Q153" s="146"/>
      <c r="R153" s="146"/>
      <c r="S153" s="146"/>
      <c r="T153" s="146"/>
      <c r="U153" s="146"/>
      <c r="V153" s="146"/>
      <c r="W153" s="146"/>
      <c r="X153" s="268"/>
      <c r="Y153" s="331">
        <f t="shared" si="9"/>
        <v>0</v>
      </c>
      <c r="Z153" s="146"/>
      <c r="AA153" s="146"/>
      <c r="AB153" s="146"/>
      <c r="AC153" s="146"/>
      <c r="AD153" s="146"/>
      <c r="AE153" s="146"/>
      <c r="AF153" s="146"/>
      <c r="AG153" s="146"/>
      <c r="AH153" s="331">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29">
        <f t="shared" si="8"/>
        <v>0</v>
      </c>
      <c r="Q154" s="146"/>
      <c r="R154" s="146"/>
      <c r="S154" s="146"/>
      <c r="T154" s="146"/>
      <c r="U154" s="146"/>
      <c r="V154" s="146"/>
      <c r="W154" s="146"/>
      <c r="X154" s="268"/>
      <c r="Y154" s="331">
        <f t="shared" si="9"/>
        <v>0</v>
      </c>
      <c r="Z154" s="146"/>
      <c r="AA154" s="146"/>
      <c r="AB154" s="146"/>
      <c r="AC154" s="146"/>
      <c r="AD154" s="146"/>
      <c r="AE154" s="146"/>
      <c r="AF154" s="146"/>
      <c r="AG154" s="146"/>
      <c r="AH154" s="331">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29">
        <f t="shared" si="8"/>
        <v>0</v>
      </c>
      <c r="Q155" s="146"/>
      <c r="R155" s="146"/>
      <c r="S155" s="146"/>
      <c r="T155" s="146"/>
      <c r="U155" s="146"/>
      <c r="V155" s="146"/>
      <c r="W155" s="146"/>
      <c r="X155" s="268"/>
      <c r="Y155" s="331">
        <f t="shared" si="9"/>
        <v>0</v>
      </c>
      <c r="Z155" s="146"/>
      <c r="AA155" s="146"/>
      <c r="AB155" s="146"/>
      <c r="AC155" s="146"/>
      <c r="AD155" s="146"/>
      <c r="AE155" s="146"/>
      <c r="AF155" s="146"/>
      <c r="AG155" s="146"/>
      <c r="AH155" s="331">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29">
        <f t="shared" si="8"/>
        <v>0</v>
      </c>
      <c r="Q156" s="146"/>
      <c r="R156" s="146"/>
      <c r="S156" s="146"/>
      <c r="T156" s="146"/>
      <c r="U156" s="146"/>
      <c r="V156" s="146"/>
      <c r="W156" s="146"/>
      <c r="X156" s="268"/>
      <c r="Y156" s="331">
        <f t="shared" si="9"/>
        <v>0</v>
      </c>
      <c r="Z156" s="146"/>
      <c r="AA156" s="146"/>
      <c r="AB156" s="146"/>
      <c r="AC156" s="146"/>
      <c r="AD156" s="146"/>
      <c r="AE156" s="146"/>
      <c r="AF156" s="146"/>
      <c r="AG156" s="146"/>
      <c r="AH156" s="331">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29">
        <f t="shared" si="8"/>
        <v>0</v>
      </c>
      <c r="Q157" s="146"/>
      <c r="R157" s="146"/>
      <c r="S157" s="146"/>
      <c r="T157" s="146"/>
      <c r="U157" s="146"/>
      <c r="V157" s="146"/>
      <c r="W157" s="146"/>
      <c r="X157" s="268"/>
      <c r="Y157" s="331">
        <f t="shared" si="9"/>
        <v>0</v>
      </c>
      <c r="Z157" s="146"/>
      <c r="AA157" s="146"/>
      <c r="AB157" s="146"/>
      <c r="AC157" s="146"/>
      <c r="AD157" s="146"/>
      <c r="AE157" s="146"/>
      <c r="AF157" s="146"/>
      <c r="AG157" s="146"/>
      <c r="AH157" s="331">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29">
        <f t="shared" si="8"/>
        <v>0</v>
      </c>
      <c r="Q158" s="146"/>
      <c r="R158" s="146"/>
      <c r="S158" s="146"/>
      <c r="T158" s="146"/>
      <c r="U158" s="146"/>
      <c r="V158" s="146"/>
      <c r="W158" s="146"/>
      <c r="X158" s="268"/>
      <c r="Y158" s="331">
        <f t="shared" si="9"/>
        <v>0</v>
      </c>
      <c r="Z158" s="146"/>
      <c r="AA158" s="146"/>
      <c r="AB158" s="146"/>
      <c r="AC158" s="146"/>
      <c r="AD158" s="146"/>
      <c r="AE158" s="146"/>
      <c r="AF158" s="146"/>
      <c r="AG158" s="146"/>
      <c r="AH158" s="331">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29">
        <f t="shared" si="8"/>
        <v>0</v>
      </c>
      <c r="Q159" s="146"/>
      <c r="R159" s="146"/>
      <c r="S159" s="146"/>
      <c r="T159" s="146"/>
      <c r="U159" s="146"/>
      <c r="V159" s="146"/>
      <c r="W159" s="146"/>
      <c r="X159" s="268"/>
      <c r="Y159" s="331">
        <f t="shared" si="9"/>
        <v>0</v>
      </c>
      <c r="Z159" s="146"/>
      <c r="AA159" s="146"/>
      <c r="AB159" s="146"/>
      <c r="AC159" s="146"/>
      <c r="AD159" s="146"/>
      <c r="AE159" s="146"/>
      <c r="AF159" s="146"/>
      <c r="AG159" s="146"/>
      <c r="AH159" s="331">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29">
        <f t="shared" si="8"/>
        <v>0</v>
      </c>
      <c r="Q160" s="146"/>
      <c r="R160" s="146"/>
      <c r="S160" s="146"/>
      <c r="T160" s="146"/>
      <c r="U160" s="146"/>
      <c r="V160" s="146"/>
      <c r="W160" s="146"/>
      <c r="X160" s="268"/>
      <c r="Y160" s="331">
        <f t="shared" si="9"/>
        <v>0</v>
      </c>
      <c r="Z160" s="146"/>
      <c r="AA160" s="146"/>
      <c r="AB160" s="146"/>
      <c r="AC160" s="146"/>
      <c r="AD160" s="146"/>
      <c r="AE160" s="146"/>
      <c r="AF160" s="146"/>
      <c r="AG160" s="146"/>
      <c r="AH160" s="331">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29">
        <f t="shared" si="8"/>
        <v>0</v>
      </c>
      <c r="Q161" s="146"/>
      <c r="R161" s="146"/>
      <c r="S161" s="146"/>
      <c r="T161" s="146"/>
      <c r="U161" s="146"/>
      <c r="V161" s="146"/>
      <c r="W161" s="146"/>
      <c r="X161" s="268"/>
      <c r="Y161" s="331">
        <f t="shared" si="9"/>
        <v>0</v>
      </c>
      <c r="Z161" s="146"/>
      <c r="AA161" s="146"/>
      <c r="AB161" s="146"/>
      <c r="AC161" s="146"/>
      <c r="AD161" s="146"/>
      <c r="AE161" s="146"/>
      <c r="AF161" s="146"/>
      <c r="AG161" s="146"/>
      <c r="AH161" s="331">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29">
        <f t="shared" si="8"/>
        <v>0</v>
      </c>
      <c r="Q162" s="146"/>
      <c r="R162" s="146"/>
      <c r="S162" s="146"/>
      <c r="T162" s="146"/>
      <c r="U162" s="146"/>
      <c r="V162" s="146"/>
      <c r="W162" s="146"/>
      <c r="X162" s="268"/>
      <c r="Y162" s="331">
        <f t="shared" si="9"/>
        <v>0</v>
      </c>
      <c r="Z162" s="146"/>
      <c r="AA162" s="146"/>
      <c r="AB162" s="146"/>
      <c r="AC162" s="146"/>
      <c r="AD162" s="146"/>
      <c r="AE162" s="146"/>
      <c r="AF162" s="146"/>
      <c r="AG162" s="146"/>
      <c r="AH162" s="331">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29">
        <f t="shared" si="8"/>
        <v>0</v>
      </c>
      <c r="Q163" s="146"/>
      <c r="R163" s="146"/>
      <c r="S163" s="146"/>
      <c r="T163" s="146"/>
      <c r="U163" s="146"/>
      <c r="V163" s="146"/>
      <c r="W163" s="146"/>
      <c r="X163" s="268"/>
      <c r="Y163" s="331">
        <f t="shared" si="9"/>
        <v>0</v>
      </c>
      <c r="Z163" s="146"/>
      <c r="AA163" s="146"/>
      <c r="AB163" s="146"/>
      <c r="AC163" s="146"/>
      <c r="AD163" s="146"/>
      <c r="AE163" s="146"/>
      <c r="AF163" s="146"/>
      <c r="AG163" s="146"/>
      <c r="AH163" s="331">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29">
        <f t="shared" si="8"/>
        <v>0</v>
      </c>
      <c r="Q164" s="146"/>
      <c r="R164" s="146"/>
      <c r="S164" s="146"/>
      <c r="T164" s="146"/>
      <c r="U164" s="146"/>
      <c r="V164" s="146"/>
      <c r="W164" s="146"/>
      <c r="X164" s="268"/>
      <c r="Y164" s="331">
        <f t="shared" si="9"/>
        <v>0</v>
      </c>
      <c r="Z164" s="146"/>
      <c r="AA164" s="146"/>
      <c r="AB164" s="146"/>
      <c r="AC164" s="146"/>
      <c r="AD164" s="146"/>
      <c r="AE164" s="146"/>
      <c r="AF164" s="146"/>
      <c r="AG164" s="146"/>
      <c r="AH164" s="331">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29">
        <f t="shared" si="8"/>
        <v>0</v>
      </c>
      <c r="Q165" s="146"/>
      <c r="R165" s="146"/>
      <c r="S165" s="146"/>
      <c r="T165" s="146"/>
      <c r="U165" s="146"/>
      <c r="V165" s="146"/>
      <c r="W165" s="146"/>
      <c r="X165" s="268"/>
      <c r="Y165" s="331">
        <f t="shared" si="9"/>
        <v>0</v>
      </c>
      <c r="Z165" s="146"/>
      <c r="AA165" s="146"/>
      <c r="AB165" s="146"/>
      <c r="AC165" s="146"/>
      <c r="AD165" s="146"/>
      <c r="AE165" s="146"/>
      <c r="AF165" s="146"/>
      <c r="AG165" s="146"/>
      <c r="AH165" s="331">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29">
        <f t="shared" si="8"/>
        <v>0</v>
      </c>
      <c r="Q166" s="146"/>
      <c r="R166" s="146"/>
      <c r="S166" s="146"/>
      <c r="T166" s="146"/>
      <c r="U166" s="146"/>
      <c r="V166" s="146"/>
      <c r="W166" s="146"/>
      <c r="X166" s="268"/>
      <c r="Y166" s="331">
        <f t="shared" si="9"/>
        <v>0</v>
      </c>
      <c r="Z166" s="146"/>
      <c r="AA166" s="146"/>
      <c r="AB166" s="146"/>
      <c r="AC166" s="146"/>
      <c r="AD166" s="146"/>
      <c r="AE166" s="146"/>
      <c r="AF166" s="146"/>
      <c r="AG166" s="146"/>
      <c r="AH166" s="331">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29">
        <f t="shared" si="8"/>
        <v>0</v>
      </c>
      <c r="Q167" s="146"/>
      <c r="R167" s="146"/>
      <c r="S167" s="146"/>
      <c r="T167" s="146"/>
      <c r="U167" s="146"/>
      <c r="V167" s="146"/>
      <c r="W167" s="146"/>
      <c r="X167" s="268"/>
      <c r="Y167" s="331">
        <f t="shared" si="9"/>
        <v>0</v>
      </c>
      <c r="Z167" s="146"/>
      <c r="AA167" s="146"/>
      <c r="AB167" s="146"/>
      <c r="AC167" s="146"/>
      <c r="AD167" s="146"/>
      <c r="AE167" s="146"/>
      <c r="AF167" s="146"/>
      <c r="AG167" s="146"/>
      <c r="AH167" s="331">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29">
        <f t="shared" si="8"/>
        <v>0</v>
      </c>
      <c r="Q168" s="146"/>
      <c r="R168" s="146"/>
      <c r="S168" s="146"/>
      <c r="T168" s="146"/>
      <c r="U168" s="146"/>
      <c r="V168" s="146"/>
      <c r="W168" s="146"/>
      <c r="X168" s="268"/>
      <c r="Y168" s="331">
        <f t="shared" si="9"/>
        <v>0</v>
      </c>
      <c r="Z168" s="146"/>
      <c r="AA168" s="146"/>
      <c r="AB168" s="146"/>
      <c r="AC168" s="146"/>
      <c r="AD168" s="146"/>
      <c r="AE168" s="146"/>
      <c r="AF168" s="146"/>
      <c r="AG168" s="146"/>
      <c r="AH168" s="331">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29">
        <f t="shared" si="8"/>
        <v>0</v>
      </c>
      <c r="Q169" s="146"/>
      <c r="R169" s="146"/>
      <c r="S169" s="146"/>
      <c r="T169" s="146"/>
      <c r="U169" s="146"/>
      <c r="V169" s="146"/>
      <c r="W169" s="146"/>
      <c r="X169" s="268"/>
      <c r="Y169" s="331">
        <f t="shared" si="9"/>
        <v>0</v>
      </c>
      <c r="Z169" s="146"/>
      <c r="AA169" s="146"/>
      <c r="AB169" s="146"/>
      <c r="AC169" s="146"/>
      <c r="AD169" s="146"/>
      <c r="AE169" s="146"/>
      <c r="AF169" s="146"/>
      <c r="AG169" s="146"/>
      <c r="AH169" s="331">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29">
        <f t="shared" si="8"/>
        <v>0</v>
      </c>
      <c r="Q170" s="146"/>
      <c r="R170" s="146"/>
      <c r="S170" s="146"/>
      <c r="T170" s="146"/>
      <c r="U170" s="146"/>
      <c r="V170" s="146"/>
      <c r="W170" s="146"/>
      <c r="X170" s="268"/>
      <c r="Y170" s="331">
        <f t="shared" si="9"/>
        <v>0</v>
      </c>
      <c r="Z170" s="146"/>
      <c r="AA170" s="146"/>
      <c r="AB170" s="146"/>
      <c r="AC170" s="146"/>
      <c r="AD170" s="146"/>
      <c r="AE170" s="146"/>
      <c r="AF170" s="146"/>
      <c r="AG170" s="146"/>
      <c r="AH170" s="331">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29">
        <f t="shared" si="8"/>
        <v>0</v>
      </c>
      <c r="Q171" s="146"/>
      <c r="R171" s="146"/>
      <c r="S171" s="146"/>
      <c r="T171" s="146"/>
      <c r="U171" s="146"/>
      <c r="V171" s="146"/>
      <c r="W171" s="146"/>
      <c r="X171" s="268"/>
      <c r="Y171" s="331">
        <f t="shared" si="9"/>
        <v>0</v>
      </c>
      <c r="Z171" s="146"/>
      <c r="AA171" s="146"/>
      <c r="AB171" s="146"/>
      <c r="AC171" s="146"/>
      <c r="AD171" s="146"/>
      <c r="AE171" s="146"/>
      <c r="AF171" s="146"/>
      <c r="AG171" s="146"/>
      <c r="AH171" s="331">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29">
        <f t="shared" si="8"/>
        <v>0</v>
      </c>
      <c r="Q172" s="146"/>
      <c r="R172" s="146"/>
      <c r="S172" s="146"/>
      <c r="T172" s="146"/>
      <c r="U172" s="146"/>
      <c r="V172" s="146"/>
      <c r="W172" s="146"/>
      <c r="X172" s="268"/>
      <c r="Y172" s="331">
        <f t="shared" si="9"/>
        <v>0</v>
      </c>
      <c r="Z172" s="146"/>
      <c r="AA172" s="146"/>
      <c r="AB172" s="146"/>
      <c r="AC172" s="146"/>
      <c r="AD172" s="146"/>
      <c r="AE172" s="146"/>
      <c r="AF172" s="146"/>
      <c r="AG172" s="146"/>
      <c r="AH172" s="331">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29">
        <f t="shared" si="8"/>
        <v>0</v>
      </c>
      <c r="Q173" s="146"/>
      <c r="R173" s="146"/>
      <c r="S173" s="146"/>
      <c r="T173" s="146"/>
      <c r="U173" s="146"/>
      <c r="V173" s="146"/>
      <c r="W173" s="146"/>
      <c r="X173" s="268"/>
      <c r="Y173" s="331">
        <f t="shared" si="9"/>
        <v>0</v>
      </c>
      <c r="Z173" s="146"/>
      <c r="AA173" s="146"/>
      <c r="AB173" s="146"/>
      <c r="AC173" s="146"/>
      <c r="AD173" s="146"/>
      <c r="AE173" s="146"/>
      <c r="AF173" s="146"/>
      <c r="AG173" s="146"/>
      <c r="AH173" s="331">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29">
        <f t="shared" si="8"/>
        <v>0</v>
      </c>
      <c r="Q174" s="146"/>
      <c r="R174" s="146"/>
      <c r="S174" s="146"/>
      <c r="T174" s="146"/>
      <c r="U174" s="146"/>
      <c r="V174" s="146"/>
      <c r="W174" s="146"/>
      <c r="X174" s="268"/>
      <c r="Y174" s="331">
        <f t="shared" si="9"/>
        <v>0</v>
      </c>
      <c r="Z174" s="146"/>
      <c r="AA174" s="146"/>
      <c r="AB174" s="146"/>
      <c r="AC174" s="146"/>
      <c r="AD174" s="146"/>
      <c r="AE174" s="146"/>
      <c r="AF174" s="146"/>
      <c r="AG174" s="146"/>
      <c r="AH174" s="331">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29">
        <f t="shared" si="8"/>
        <v>0</v>
      </c>
      <c r="Q175" s="146"/>
      <c r="R175" s="146"/>
      <c r="S175" s="146"/>
      <c r="T175" s="146"/>
      <c r="U175" s="146"/>
      <c r="V175" s="146"/>
      <c r="W175" s="146"/>
      <c r="X175" s="268"/>
      <c r="Y175" s="331">
        <f t="shared" si="9"/>
        <v>0</v>
      </c>
      <c r="Z175" s="146"/>
      <c r="AA175" s="146"/>
      <c r="AB175" s="146"/>
      <c r="AC175" s="146"/>
      <c r="AD175" s="146"/>
      <c r="AE175" s="146"/>
      <c r="AF175" s="146"/>
      <c r="AG175" s="146"/>
      <c r="AH175" s="331">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29">
        <f t="shared" si="8"/>
        <v>0</v>
      </c>
      <c r="Q176" s="146"/>
      <c r="R176" s="146"/>
      <c r="S176" s="146"/>
      <c r="T176" s="146"/>
      <c r="U176" s="146"/>
      <c r="V176" s="146"/>
      <c r="W176" s="146"/>
      <c r="X176" s="268"/>
      <c r="Y176" s="331">
        <f t="shared" si="9"/>
        <v>0</v>
      </c>
      <c r="Z176" s="146"/>
      <c r="AA176" s="146"/>
      <c r="AB176" s="146"/>
      <c r="AC176" s="146"/>
      <c r="AD176" s="146"/>
      <c r="AE176" s="146"/>
      <c r="AF176" s="146"/>
      <c r="AG176" s="146"/>
      <c r="AH176" s="331">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29">
        <f t="shared" si="8"/>
        <v>0</v>
      </c>
      <c r="Q177" s="146"/>
      <c r="R177" s="146"/>
      <c r="S177" s="146"/>
      <c r="T177" s="146"/>
      <c r="U177" s="146"/>
      <c r="V177" s="146"/>
      <c r="W177" s="146"/>
      <c r="X177" s="268"/>
      <c r="Y177" s="331">
        <f t="shared" si="9"/>
        <v>0</v>
      </c>
      <c r="Z177" s="146"/>
      <c r="AA177" s="146"/>
      <c r="AB177" s="146"/>
      <c r="AC177" s="146"/>
      <c r="AD177" s="146"/>
      <c r="AE177" s="146"/>
      <c r="AF177" s="146"/>
      <c r="AG177" s="146"/>
      <c r="AH177" s="331">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29">
        <f t="shared" si="8"/>
        <v>0</v>
      </c>
      <c r="Q178" s="146"/>
      <c r="R178" s="146"/>
      <c r="S178" s="146"/>
      <c r="T178" s="146"/>
      <c r="U178" s="146"/>
      <c r="V178" s="146"/>
      <c r="W178" s="146"/>
      <c r="X178" s="268"/>
      <c r="Y178" s="331">
        <f t="shared" si="9"/>
        <v>0</v>
      </c>
      <c r="Z178" s="146"/>
      <c r="AA178" s="146"/>
      <c r="AB178" s="146"/>
      <c r="AC178" s="146"/>
      <c r="AD178" s="146"/>
      <c r="AE178" s="146"/>
      <c r="AF178" s="146"/>
      <c r="AG178" s="146"/>
      <c r="AH178" s="331">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29">
        <f t="shared" si="8"/>
        <v>0</v>
      </c>
      <c r="Q179" s="146"/>
      <c r="R179" s="146"/>
      <c r="S179" s="146"/>
      <c r="T179" s="146"/>
      <c r="U179" s="146"/>
      <c r="V179" s="146"/>
      <c r="W179" s="146"/>
      <c r="X179" s="268"/>
      <c r="Y179" s="331">
        <f t="shared" si="9"/>
        <v>0</v>
      </c>
      <c r="Z179" s="146"/>
      <c r="AA179" s="146"/>
      <c r="AB179" s="146"/>
      <c r="AC179" s="146"/>
      <c r="AD179" s="146"/>
      <c r="AE179" s="146"/>
      <c r="AF179" s="146"/>
      <c r="AG179" s="146"/>
      <c r="AH179" s="331">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29">
        <f t="shared" si="8"/>
        <v>0</v>
      </c>
      <c r="Q180" s="146"/>
      <c r="R180" s="146"/>
      <c r="S180" s="146"/>
      <c r="T180" s="146"/>
      <c r="U180" s="146"/>
      <c r="V180" s="146"/>
      <c r="W180" s="146"/>
      <c r="X180" s="268"/>
      <c r="Y180" s="331">
        <f t="shared" si="9"/>
        <v>0</v>
      </c>
      <c r="Z180" s="146"/>
      <c r="AA180" s="146"/>
      <c r="AB180" s="146"/>
      <c r="AC180" s="146"/>
      <c r="AD180" s="146"/>
      <c r="AE180" s="146"/>
      <c r="AF180" s="146"/>
      <c r="AG180" s="146"/>
      <c r="AH180" s="331">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29">
        <f t="shared" si="8"/>
        <v>0</v>
      </c>
      <c r="Q181" s="146"/>
      <c r="R181" s="146"/>
      <c r="S181" s="146"/>
      <c r="T181" s="146"/>
      <c r="U181" s="146"/>
      <c r="V181" s="146"/>
      <c r="W181" s="146"/>
      <c r="X181" s="268"/>
      <c r="Y181" s="331">
        <f t="shared" si="9"/>
        <v>0</v>
      </c>
      <c r="Z181" s="146"/>
      <c r="AA181" s="146"/>
      <c r="AB181" s="146"/>
      <c r="AC181" s="146"/>
      <c r="AD181" s="146"/>
      <c r="AE181" s="146"/>
      <c r="AF181" s="146"/>
      <c r="AG181" s="146"/>
      <c r="AH181" s="331">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29">
        <f t="shared" si="8"/>
        <v>0</v>
      </c>
      <c r="Q182" s="146"/>
      <c r="R182" s="146"/>
      <c r="S182" s="146"/>
      <c r="T182" s="146"/>
      <c r="U182" s="146"/>
      <c r="V182" s="146"/>
      <c r="W182" s="146"/>
      <c r="X182" s="268"/>
      <c r="Y182" s="331">
        <f t="shared" si="9"/>
        <v>0</v>
      </c>
      <c r="Z182" s="146"/>
      <c r="AA182" s="146"/>
      <c r="AB182" s="146"/>
      <c r="AC182" s="146"/>
      <c r="AD182" s="146"/>
      <c r="AE182" s="146"/>
      <c r="AF182" s="146"/>
      <c r="AG182" s="146"/>
      <c r="AH182" s="331">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29">
        <f t="shared" si="8"/>
        <v>0</v>
      </c>
      <c r="Q183" s="146"/>
      <c r="R183" s="146"/>
      <c r="S183" s="146"/>
      <c r="T183" s="146"/>
      <c r="U183" s="146"/>
      <c r="V183" s="146"/>
      <c r="W183" s="146"/>
      <c r="X183" s="268"/>
      <c r="Y183" s="331">
        <f t="shared" si="9"/>
        <v>0</v>
      </c>
      <c r="Z183" s="146"/>
      <c r="AA183" s="146"/>
      <c r="AB183" s="146"/>
      <c r="AC183" s="146"/>
      <c r="AD183" s="146"/>
      <c r="AE183" s="146"/>
      <c r="AF183" s="146"/>
      <c r="AG183" s="146"/>
      <c r="AH183" s="331">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29">
        <f t="shared" si="8"/>
        <v>0</v>
      </c>
      <c r="Q184" s="146"/>
      <c r="R184" s="146"/>
      <c r="S184" s="146"/>
      <c r="T184" s="146"/>
      <c r="U184" s="146"/>
      <c r="V184" s="146"/>
      <c r="W184" s="146"/>
      <c r="X184" s="268"/>
      <c r="Y184" s="331">
        <f t="shared" si="9"/>
        <v>0</v>
      </c>
      <c r="Z184" s="146"/>
      <c r="AA184" s="146"/>
      <c r="AB184" s="146"/>
      <c r="AC184" s="146"/>
      <c r="AD184" s="146"/>
      <c r="AE184" s="146"/>
      <c r="AF184" s="146"/>
      <c r="AG184" s="146"/>
      <c r="AH184" s="331">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29">
        <f t="shared" si="8"/>
        <v>0</v>
      </c>
      <c r="Q185" s="146"/>
      <c r="R185" s="146"/>
      <c r="S185" s="146"/>
      <c r="T185" s="146"/>
      <c r="U185" s="146"/>
      <c r="V185" s="146"/>
      <c r="W185" s="146"/>
      <c r="X185" s="268"/>
      <c r="Y185" s="331">
        <f t="shared" si="9"/>
        <v>0</v>
      </c>
      <c r="Z185" s="146"/>
      <c r="AA185" s="146"/>
      <c r="AB185" s="146"/>
      <c r="AC185" s="146"/>
      <c r="AD185" s="146"/>
      <c r="AE185" s="146"/>
      <c r="AF185" s="146"/>
      <c r="AG185" s="146"/>
      <c r="AH185" s="331">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29">
        <f t="shared" si="8"/>
        <v>0</v>
      </c>
      <c r="Q186" s="146"/>
      <c r="R186" s="146"/>
      <c r="S186" s="146"/>
      <c r="T186" s="146"/>
      <c r="U186" s="146"/>
      <c r="V186" s="146"/>
      <c r="W186" s="146"/>
      <c r="X186" s="268"/>
      <c r="Y186" s="331">
        <f t="shared" si="9"/>
        <v>0</v>
      </c>
      <c r="Z186" s="146"/>
      <c r="AA186" s="146"/>
      <c r="AB186" s="146"/>
      <c r="AC186" s="146"/>
      <c r="AD186" s="146"/>
      <c r="AE186" s="146"/>
      <c r="AF186" s="146"/>
      <c r="AG186" s="146"/>
      <c r="AH186" s="331">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29">
        <f t="shared" si="8"/>
        <v>0</v>
      </c>
      <c r="Q187" s="146"/>
      <c r="R187" s="146"/>
      <c r="S187" s="146"/>
      <c r="T187" s="146"/>
      <c r="U187" s="146"/>
      <c r="V187" s="146"/>
      <c r="W187" s="146"/>
      <c r="X187" s="268"/>
      <c r="Y187" s="331">
        <f t="shared" si="9"/>
        <v>0</v>
      </c>
      <c r="Z187" s="146"/>
      <c r="AA187" s="146"/>
      <c r="AB187" s="146"/>
      <c r="AC187" s="146"/>
      <c r="AD187" s="146"/>
      <c r="AE187" s="146"/>
      <c r="AF187" s="146"/>
      <c r="AG187" s="146"/>
      <c r="AH187" s="331">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29">
        <f t="shared" si="8"/>
        <v>0</v>
      </c>
      <c r="Q188" s="146"/>
      <c r="R188" s="146"/>
      <c r="S188" s="146"/>
      <c r="T188" s="146"/>
      <c r="U188" s="146"/>
      <c r="V188" s="146"/>
      <c r="W188" s="146"/>
      <c r="X188" s="268"/>
      <c r="Y188" s="331">
        <f t="shared" si="9"/>
        <v>0</v>
      </c>
      <c r="Z188" s="146"/>
      <c r="AA188" s="146"/>
      <c r="AB188" s="146"/>
      <c r="AC188" s="146"/>
      <c r="AD188" s="146"/>
      <c r="AE188" s="146"/>
      <c r="AF188" s="146"/>
      <c r="AG188" s="146"/>
      <c r="AH188" s="331">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29">
        <f t="shared" si="8"/>
        <v>0</v>
      </c>
      <c r="Q189" s="146"/>
      <c r="R189" s="146"/>
      <c r="S189" s="146"/>
      <c r="T189" s="146"/>
      <c r="U189" s="146"/>
      <c r="V189" s="146"/>
      <c r="W189" s="146"/>
      <c r="X189" s="268"/>
      <c r="Y189" s="331">
        <f t="shared" si="9"/>
        <v>0</v>
      </c>
      <c r="Z189" s="146"/>
      <c r="AA189" s="146"/>
      <c r="AB189" s="146"/>
      <c r="AC189" s="146"/>
      <c r="AD189" s="146"/>
      <c r="AE189" s="146"/>
      <c r="AF189" s="146"/>
      <c r="AG189" s="146"/>
      <c r="AH189" s="331">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29">
        <f t="shared" si="8"/>
        <v>0</v>
      </c>
      <c r="Q190" s="146"/>
      <c r="R190" s="146"/>
      <c r="S190" s="146"/>
      <c r="T190" s="146"/>
      <c r="U190" s="146"/>
      <c r="V190" s="146"/>
      <c r="W190" s="146"/>
      <c r="X190" s="268"/>
      <c r="Y190" s="331">
        <f t="shared" si="9"/>
        <v>0</v>
      </c>
      <c r="Z190" s="146"/>
      <c r="AA190" s="146"/>
      <c r="AB190" s="146"/>
      <c r="AC190" s="146"/>
      <c r="AD190" s="146"/>
      <c r="AE190" s="146"/>
      <c r="AF190" s="146"/>
      <c r="AG190" s="146"/>
      <c r="AH190" s="331">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29">
        <f t="shared" si="8"/>
        <v>0</v>
      </c>
      <c r="Q191" s="146"/>
      <c r="R191" s="146"/>
      <c r="S191" s="146"/>
      <c r="T191" s="146"/>
      <c r="U191" s="146"/>
      <c r="V191" s="146"/>
      <c r="W191" s="146"/>
      <c r="X191" s="268"/>
      <c r="Y191" s="331">
        <f t="shared" si="9"/>
        <v>0</v>
      </c>
      <c r="Z191" s="146"/>
      <c r="AA191" s="146"/>
      <c r="AB191" s="146"/>
      <c r="AC191" s="146"/>
      <c r="AD191" s="146"/>
      <c r="AE191" s="146"/>
      <c r="AF191" s="146"/>
      <c r="AG191" s="146"/>
      <c r="AH191" s="331">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29">
        <f t="shared" si="8"/>
        <v>0</v>
      </c>
      <c r="Q192" s="146"/>
      <c r="R192" s="146"/>
      <c r="S192" s="146"/>
      <c r="T192" s="146"/>
      <c r="U192" s="146"/>
      <c r="V192" s="146"/>
      <c r="W192" s="146"/>
      <c r="X192" s="268"/>
      <c r="Y192" s="331">
        <f t="shared" si="9"/>
        <v>0</v>
      </c>
      <c r="Z192" s="146"/>
      <c r="AA192" s="146"/>
      <c r="AB192" s="146"/>
      <c r="AC192" s="146"/>
      <c r="AD192" s="146"/>
      <c r="AE192" s="146"/>
      <c r="AF192" s="146"/>
      <c r="AG192" s="146"/>
      <c r="AH192" s="331">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29">
        <f t="shared" si="8"/>
        <v>0</v>
      </c>
      <c r="Q193" s="146"/>
      <c r="R193" s="146"/>
      <c r="S193" s="146"/>
      <c r="T193" s="146"/>
      <c r="U193" s="146"/>
      <c r="V193" s="146"/>
      <c r="W193" s="146"/>
      <c r="X193" s="268"/>
      <c r="Y193" s="331">
        <f t="shared" si="9"/>
        <v>0</v>
      </c>
      <c r="Z193" s="146"/>
      <c r="AA193" s="146"/>
      <c r="AB193" s="146"/>
      <c r="AC193" s="146"/>
      <c r="AD193" s="146"/>
      <c r="AE193" s="146"/>
      <c r="AF193" s="146"/>
      <c r="AG193" s="146"/>
      <c r="AH193" s="331">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29">
        <f t="shared" si="8"/>
        <v>0</v>
      </c>
      <c r="Q194" s="146"/>
      <c r="R194" s="146"/>
      <c r="S194" s="146"/>
      <c r="T194" s="146"/>
      <c r="U194" s="146"/>
      <c r="V194" s="146"/>
      <c r="W194" s="146"/>
      <c r="X194" s="268"/>
      <c r="Y194" s="331">
        <f t="shared" si="9"/>
        <v>0</v>
      </c>
      <c r="Z194" s="146"/>
      <c r="AA194" s="146"/>
      <c r="AB194" s="146"/>
      <c r="AC194" s="146"/>
      <c r="AD194" s="146"/>
      <c r="AE194" s="146"/>
      <c r="AF194" s="146"/>
      <c r="AG194" s="146"/>
      <c r="AH194" s="331">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29">
        <f t="shared" si="8"/>
        <v>0</v>
      </c>
      <c r="Q195" s="146"/>
      <c r="R195" s="146"/>
      <c r="S195" s="146"/>
      <c r="T195" s="146"/>
      <c r="U195" s="146"/>
      <c r="V195" s="146"/>
      <c r="W195" s="146"/>
      <c r="X195" s="268"/>
      <c r="Y195" s="331">
        <f t="shared" si="9"/>
        <v>0</v>
      </c>
      <c r="Z195" s="146"/>
      <c r="AA195" s="146"/>
      <c r="AB195" s="146"/>
      <c r="AC195" s="146"/>
      <c r="AD195" s="146"/>
      <c r="AE195" s="146"/>
      <c r="AF195" s="146"/>
      <c r="AG195" s="146"/>
      <c r="AH195" s="331">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29">
        <f t="shared" si="8"/>
        <v>0</v>
      </c>
      <c r="Q196" s="146"/>
      <c r="R196" s="146"/>
      <c r="S196" s="146"/>
      <c r="T196" s="146"/>
      <c r="U196" s="146"/>
      <c r="V196" s="146"/>
      <c r="W196" s="146"/>
      <c r="X196" s="268"/>
      <c r="Y196" s="331">
        <f t="shared" si="9"/>
        <v>0</v>
      </c>
      <c r="Z196" s="146"/>
      <c r="AA196" s="146"/>
      <c r="AB196" s="146"/>
      <c r="AC196" s="146"/>
      <c r="AD196" s="146"/>
      <c r="AE196" s="146"/>
      <c r="AF196" s="146"/>
      <c r="AG196" s="146"/>
      <c r="AH196" s="331">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29">
        <f t="shared" si="8"/>
        <v>0</v>
      </c>
      <c r="Q197" s="146"/>
      <c r="R197" s="146"/>
      <c r="S197" s="146"/>
      <c r="T197" s="146"/>
      <c r="U197" s="146"/>
      <c r="V197" s="146"/>
      <c r="W197" s="146"/>
      <c r="X197" s="268"/>
      <c r="Y197" s="331">
        <f t="shared" si="9"/>
        <v>0</v>
      </c>
      <c r="Z197" s="146"/>
      <c r="AA197" s="146"/>
      <c r="AB197" s="146"/>
      <c r="AC197" s="146"/>
      <c r="AD197" s="146"/>
      <c r="AE197" s="146"/>
      <c r="AF197" s="146"/>
      <c r="AG197" s="146"/>
      <c r="AH197" s="331">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29">
        <f t="shared" si="8"/>
        <v>0</v>
      </c>
      <c r="Q198" s="146"/>
      <c r="R198" s="146"/>
      <c r="S198" s="146"/>
      <c r="T198" s="146"/>
      <c r="U198" s="146"/>
      <c r="V198" s="146"/>
      <c r="W198" s="146"/>
      <c r="X198" s="268"/>
      <c r="Y198" s="331">
        <f t="shared" si="9"/>
        <v>0</v>
      </c>
      <c r="Z198" s="146"/>
      <c r="AA198" s="146"/>
      <c r="AB198" s="146"/>
      <c r="AC198" s="146"/>
      <c r="AD198" s="146"/>
      <c r="AE198" s="146"/>
      <c r="AF198" s="146"/>
      <c r="AG198" s="146"/>
      <c r="AH198" s="331">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29">
        <f t="shared" si="8"/>
        <v>0</v>
      </c>
      <c r="Q199" s="146"/>
      <c r="R199" s="146"/>
      <c r="S199" s="146"/>
      <c r="T199" s="146"/>
      <c r="U199" s="146"/>
      <c r="V199" s="146"/>
      <c r="W199" s="146"/>
      <c r="X199" s="268"/>
      <c r="Y199" s="331">
        <f t="shared" si="9"/>
        <v>0</v>
      </c>
      <c r="Z199" s="146"/>
      <c r="AA199" s="146"/>
      <c r="AB199" s="146"/>
      <c r="AC199" s="146"/>
      <c r="AD199" s="146"/>
      <c r="AE199" s="146"/>
      <c r="AF199" s="146"/>
      <c r="AG199" s="146"/>
      <c r="AH199" s="331">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29">
        <f t="shared" si="8"/>
        <v>0</v>
      </c>
      <c r="Q200" s="146"/>
      <c r="R200" s="146"/>
      <c r="S200" s="146"/>
      <c r="T200" s="146"/>
      <c r="U200" s="146"/>
      <c r="V200" s="146"/>
      <c r="W200" s="146"/>
      <c r="X200" s="268"/>
      <c r="Y200" s="331">
        <f t="shared" si="9"/>
        <v>0</v>
      </c>
      <c r="Z200" s="146"/>
      <c r="AA200" s="146"/>
      <c r="AB200" s="146"/>
      <c r="AC200" s="146"/>
      <c r="AD200" s="146"/>
      <c r="AE200" s="146"/>
      <c r="AF200" s="146"/>
      <c r="AG200" s="146"/>
      <c r="AH200" s="331">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29">
        <f t="shared" si="8"/>
        <v>0</v>
      </c>
      <c r="Q201" s="146"/>
      <c r="R201" s="146"/>
      <c r="S201" s="146"/>
      <c r="T201" s="146"/>
      <c r="U201" s="146"/>
      <c r="V201" s="146"/>
      <c r="W201" s="146"/>
      <c r="X201" s="268"/>
      <c r="Y201" s="331">
        <f t="shared" si="9"/>
        <v>0</v>
      </c>
      <c r="Z201" s="146"/>
      <c r="AA201" s="146"/>
      <c r="AB201" s="146"/>
      <c r="AC201" s="146"/>
      <c r="AD201" s="146"/>
      <c r="AE201" s="146"/>
      <c r="AF201" s="146"/>
      <c r="AG201" s="146"/>
      <c r="AH201" s="331">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29">
        <f t="shared" si="8"/>
        <v>0</v>
      </c>
      <c r="Q202" s="146"/>
      <c r="R202" s="146"/>
      <c r="S202" s="146"/>
      <c r="T202" s="146"/>
      <c r="U202" s="146"/>
      <c r="V202" s="146"/>
      <c r="W202" s="146"/>
      <c r="X202" s="268"/>
      <c r="Y202" s="331">
        <f t="shared" si="9"/>
        <v>0</v>
      </c>
      <c r="Z202" s="146"/>
      <c r="AA202" s="146"/>
      <c r="AB202" s="146"/>
      <c r="AC202" s="146"/>
      <c r="AD202" s="146"/>
      <c r="AE202" s="146"/>
      <c r="AF202" s="146"/>
      <c r="AG202" s="146"/>
      <c r="AH202" s="331">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29">
        <f t="shared" si="8"/>
        <v>0</v>
      </c>
      <c r="Q203" s="146"/>
      <c r="R203" s="146"/>
      <c r="S203" s="146"/>
      <c r="T203" s="146"/>
      <c r="U203" s="146"/>
      <c r="V203" s="146"/>
      <c r="W203" s="146"/>
      <c r="X203" s="268"/>
      <c r="Y203" s="331">
        <f t="shared" si="9"/>
        <v>0</v>
      </c>
      <c r="Z203" s="146"/>
      <c r="AA203" s="146"/>
      <c r="AB203" s="146"/>
      <c r="AC203" s="146"/>
      <c r="AD203" s="146"/>
      <c r="AE203" s="146"/>
      <c r="AF203" s="146"/>
      <c r="AG203" s="146"/>
      <c r="AH203" s="331">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29">
        <f t="shared" si="8"/>
        <v>0</v>
      </c>
      <c r="Q204" s="146"/>
      <c r="R204" s="146"/>
      <c r="S204" s="146"/>
      <c r="T204" s="146"/>
      <c r="U204" s="146"/>
      <c r="V204" s="146"/>
      <c r="W204" s="146"/>
      <c r="X204" s="268"/>
      <c r="Y204" s="331">
        <f t="shared" si="9"/>
        <v>0</v>
      </c>
      <c r="Z204" s="146"/>
      <c r="AA204" s="146"/>
      <c r="AB204" s="146"/>
      <c r="AC204" s="146"/>
      <c r="AD204" s="146"/>
      <c r="AE204" s="146"/>
      <c r="AF204" s="146"/>
      <c r="AG204" s="146"/>
      <c r="AH204" s="331">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29">
        <f t="shared" ref="P205:P268" si="11">SUM(H205:N205)</f>
        <v>0</v>
      </c>
      <c r="Q205" s="146"/>
      <c r="R205" s="146"/>
      <c r="S205" s="146"/>
      <c r="T205" s="146"/>
      <c r="U205" s="146"/>
      <c r="V205" s="146"/>
      <c r="W205" s="146"/>
      <c r="X205" s="268"/>
      <c r="Y205" s="331">
        <f t="shared" ref="Y205:Y268" si="12">SUM(Q205:W205)</f>
        <v>0</v>
      </c>
      <c r="Z205" s="146"/>
      <c r="AA205" s="146"/>
      <c r="AB205" s="146"/>
      <c r="AC205" s="146"/>
      <c r="AD205" s="146"/>
      <c r="AE205" s="146"/>
      <c r="AF205" s="146"/>
      <c r="AG205" s="146"/>
      <c r="AH205" s="331">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29">
        <f t="shared" si="11"/>
        <v>0</v>
      </c>
      <c r="Q206" s="146"/>
      <c r="R206" s="146"/>
      <c r="S206" s="146"/>
      <c r="T206" s="146"/>
      <c r="U206" s="146"/>
      <c r="V206" s="146"/>
      <c r="W206" s="146"/>
      <c r="X206" s="268"/>
      <c r="Y206" s="331">
        <f t="shared" si="12"/>
        <v>0</v>
      </c>
      <c r="Z206" s="146"/>
      <c r="AA206" s="146"/>
      <c r="AB206" s="146"/>
      <c r="AC206" s="146"/>
      <c r="AD206" s="146"/>
      <c r="AE206" s="146"/>
      <c r="AF206" s="146"/>
      <c r="AG206" s="146"/>
      <c r="AH206" s="331">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29">
        <f t="shared" si="11"/>
        <v>0</v>
      </c>
      <c r="Q207" s="146"/>
      <c r="R207" s="146"/>
      <c r="S207" s="146"/>
      <c r="T207" s="146"/>
      <c r="U207" s="146"/>
      <c r="V207" s="146"/>
      <c r="W207" s="146"/>
      <c r="X207" s="268"/>
      <c r="Y207" s="331">
        <f t="shared" si="12"/>
        <v>0</v>
      </c>
      <c r="Z207" s="146"/>
      <c r="AA207" s="146"/>
      <c r="AB207" s="146"/>
      <c r="AC207" s="146"/>
      <c r="AD207" s="146"/>
      <c r="AE207" s="146"/>
      <c r="AF207" s="146"/>
      <c r="AG207" s="146"/>
      <c r="AH207" s="331">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29">
        <f t="shared" si="11"/>
        <v>0</v>
      </c>
      <c r="Q208" s="146"/>
      <c r="R208" s="146"/>
      <c r="S208" s="146"/>
      <c r="T208" s="146"/>
      <c r="U208" s="146"/>
      <c r="V208" s="146"/>
      <c r="W208" s="146"/>
      <c r="X208" s="268"/>
      <c r="Y208" s="331">
        <f t="shared" si="12"/>
        <v>0</v>
      </c>
      <c r="Z208" s="146"/>
      <c r="AA208" s="146"/>
      <c r="AB208" s="146"/>
      <c r="AC208" s="146"/>
      <c r="AD208" s="146"/>
      <c r="AE208" s="146"/>
      <c r="AF208" s="146"/>
      <c r="AG208" s="146"/>
      <c r="AH208" s="331">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29">
        <f t="shared" si="11"/>
        <v>0</v>
      </c>
      <c r="Q209" s="146"/>
      <c r="R209" s="146"/>
      <c r="S209" s="146"/>
      <c r="T209" s="146"/>
      <c r="U209" s="146"/>
      <c r="V209" s="146"/>
      <c r="W209" s="146"/>
      <c r="X209" s="268"/>
      <c r="Y209" s="331">
        <f t="shared" si="12"/>
        <v>0</v>
      </c>
      <c r="Z209" s="146"/>
      <c r="AA209" s="146"/>
      <c r="AB209" s="146"/>
      <c r="AC209" s="146"/>
      <c r="AD209" s="146"/>
      <c r="AE209" s="146"/>
      <c r="AF209" s="146"/>
      <c r="AG209" s="146"/>
      <c r="AH209" s="331">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29">
        <f t="shared" si="11"/>
        <v>0</v>
      </c>
      <c r="Q210" s="146"/>
      <c r="R210" s="146"/>
      <c r="S210" s="146"/>
      <c r="T210" s="146"/>
      <c r="U210" s="146"/>
      <c r="V210" s="146"/>
      <c r="W210" s="146"/>
      <c r="X210" s="268"/>
      <c r="Y210" s="331">
        <f t="shared" si="12"/>
        <v>0</v>
      </c>
      <c r="Z210" s="146"/>
      <c r="AA210" s="146"/>
      <c r="AB210" s="146"/>
      <c r="AC210" s="146"/>
      <c r="AD210" s="146"/>
      <c r="AE210" s="146"/>
      <c r="AF210" s="146"/>
      <c r="AG210" s="146"/>
      <c r="AH210" s="331">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29">
        <f t="shared" si="11"/>
        <v>0</v>
      </c>
      <c r="Q211" s="146"/>
      <c r="R211" s="146"/>
      <c r="S211" s="146"/>
      <c r="T211" s="146"/>
      <c r="U211" s="146"/>
      <c r="V211" s="146"/>
      <c r="W211" s="146"/>
      <c r="X211" s="268"/>
      <c r="Y211" s="331">
        <f t="shared" si="12"/>
        <v>0</v>
      </c>
      <c r="Z211" s="146"/>
      <c r="AA211" s="146"/>
      <c r="AB211" s="146"/>
      <c r="AC211" s="146"/>
      <c r="AD211" s="146"/>
      <c r="AE211" s="146"/>
      <c r="AF211" s="146"/>
      <c r="AG211" s="146"/>
      <c r="AH211" s="331">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29">
        <f t="shared" si="11"/>
        <v>0</v>
      </c>
      <c r="Q212" s="146"/>
      <c r="R212" s="146"/>
      <c r="S212" s="146"/>
      <c r="T212" s="146"/>
      <c r="U212" s="146"/>
      <c r="V212" s="146"/>
      <c r="W212" s="146"/>
      <c r="X212" s="268"/>
      <c r="Y212" s="331">
        <f t="shared" si="12"/>
        <v>0</v>
      </c>
      <c r="Z212" s="146"/>
      <c r="AA212" s="146"/>
      <c r="AB212" s="146"/>
      <c r="AC212" s="146"/>
      <c r="AD212" s="146"/>
      <c r="AE212" s="146"/>
      <c r="AF212" s="146"/>
      <c r="AG212" s="146"/>
      <c r="AH212" s="331">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29">
        <f t="shared" si="11"/>
        <v>0</v>
      </c>
      <c r="Q213" s="146"/>
      <c r="R213" s="146"/>
      <c r="S213" s="146"/>
      <c r="T213" s="146"/>
      <c r="U213" s="146"/>
      <c r="V213" s="146"/>
      <c r="W213" s="146"/>
      <c r="X213" s="268"/>
      <c r="Y213" s="331">
        <f t="shared" si="12"/>
        <v>0</v>
      </c>
      <c r="Z213" s="146"/>
      <c r="AA213" s="146"/>
      <c r="AB213" s="146"/>
      <c r="AC213" s="146"/>
      <c r="AD213" s="146"/>
      <c r="AE213" s="146"/>
      <c r="AF213" s="146"/>
      <c r="AG213" s="146"/>
      <c r="AH213" s="331">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29">
        <f t="shared" si="11"/>
        <v>0</v>
      </c>
      <c r="Q214" s="146"/>
      <c r="R214" s="146"/>
      <c r="S214" s="146"/>
      <c r="T214" s="146"/>
      <c r="U214" s="146"/>
      <c r="V214" s="146"/>
      <c r="W214" s="146"/>
      <c r="X214" s="268"/>
      <c r="Y214" s="331">
        <f t="shared" si="12"/>
        <v>0</v>
      </c>
      <c r="Z214" s="146"/>
      <c r="AA214" s="146"/>
      <c r="AB214" s="146"/>
      <c r="AC214" s="146"/>
      <c r="AD214" s="146"/>
      <c r="AE214" s="146"/>
      <c r="AF214" s="146"/>
      <c r="AG214" s="146"/>
      <c r="AH214" s="331">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29">
        <f t="shared" si="11"/>
        <v>0</v>
      </c>
      <c r="Q215" s="146"/>
      <c r="R215" s="146"/>
      <c r="S215" s="146"/>
      <c r="T215" s="146"/>
      <c r="U215" s="146"/>
      <c r="V215" s="146"/>
      <c r="W215" s="146"/>
      <c r="X215" s="268"/>
      <c r="Y215" s="331">
        <f t="shared" si="12"/>
        <v>0</v>
      </c>
      <c r="Z215" s="146"/>
      <c r="AA215" s="146"/>
      <c r="AB215" s="146"/>
      <c r="AC215" s="146"/>
      <c r="AD215" s="146"/>
      <c r="AE215" s="146"/>
      <c r="AF215" s="146"/>
      <c r="AG215" s="146"/>
      <c r="AH215" s="331">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29">
        <f t="shared" si="11"/>
        <v>0</v>
      </c>
      <c r="Q216" s="146"/>
      <c r="R216" s="146"/>
      <c r="S216" s="146"/>
      <c r="T216" s="146"/>
      <c r="U216" s="146"/>
      <c r="V216" s="146"/>
      <c r="W216" s="146"/>
      <c r="X216" s="268"/>
      <c r="Y216" s="331">
        <f t="shared" si="12"/>
        <v>0</v>
      </c>
      <c r="Z216" s="146"/>
      <c r="AA216" s="146"/>
      <c r="AB216" s="146"/>
      <c r="AC216" s="146"/>
      <c r="AD216" s="146"/>
      <c r="AE216" s="146"/>
      <c r="AF216" s="146"/>
      <c r="AG216" s="146"/>
      <c r="AH216" s="331">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29">
        <f t="shared" si="11"/>
        <v>0</v>
      </c>
      <c r="Q217" s="146"/>
      <c r="R217" s="146"/>
      <c r="S217" s="146"/>
      <c r="T217" s="146"/>
      <c r="U217" s="146"/>
      <c r="V217" s="146"/>
      <c r="W217" s="146"/>
      <c r="X217" s="268"/>
      <c r="Y217" s="331">
        <f t="shared" si="12"/>
        <v>0</v>
      </c>
      <c r="Z217" s="146"/>
      <c r="AA217" s="146"/>
      <c r="AB217" s="146"/>
      <c r="AC217" s="146"/>
      <c r="AD217" s="146"/>
      <c r="AE217" s="146"/>
      <c r="AF217" s="146"/>
      <c r="AG217" s="146"/>
      <c r="AH217" s="331">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29">
        <f t="shared" si="11"/>
        <v>0</v>
      </c>
      <c r="Q218" s="146"/>
      <c r="R218" s="146"/>
      <c r="S218" s="146"/>
      <c r="T218" s="146"/>
      <c r="U218" s="146"/>
      <c r="V218" s="146"/>
      <c r="W218" s="146"/>
      <c r="X218" s="268"/>
      <c r="Y218" s="331">
        <f t="shared" si="12"/>
        <v>0</v>
      </c>
      <c r="Z218" s="146"/>
      <c r="AA218" s="146"/>
      <c r="AB218" s="146"/>
      <c r="AC218" s="146"/>
      <c r="AD218" s="146"/>
      <c r="AE218" s="146"/>
      <c r="AF218" s="146"/>
      <c r="AG218" s="146"/>
      <c r="AH218" s="331">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29">
        <f t="shared" si="11"/>
        <v>0</v>
      </c>
      <c r="Q219" s="146"/>
      <c r="R219" s="146"/>
      <c r="S219" s="146"/>
      <c r="T219" s="146"/>
      <c r="U219" s="146"/>
      <c r="V219" s="146"/>
      <c r="W219" s="146"/>
      <c r="X219" s="268"/>
      <c r="Y219" s="331">
        <f t="shared" si="12"/>
        <v>0</v>
      </c>
      <c r="Z219" s="146"/>
      <c r="AA219" s="146"/>
      <c r="AB219" s="146"/>
      <c r="AC219" s="146"/>
      <c r="AD219" s="146"/>
      <c r="AE219" s="146"/>
      <c r="AF219" s="146"/>
      <c r="AG219" s="146"/>
      <c r="AH219" s="331">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29">
        <f t="shared" si="11"/>
        <v>0</v>
      </c>
      <c r="Q220" s="146"/>
      <c r="R220" s="146"/>
      <c r="S220" s="146"/>
      <c r="T220" s="146"/>
      <c r="U220" s="146"/>
      <c r="V220" s="146"/>
      <c r="W220" s="146"/>
      <c r="X220" s="268"/>
      <c r="Y220" s="331">
        <f t="shared" si="12"/>
        <v>0</v>
      </c>
      <c r="Z220" s="146"/>
      <c r="AA220" s="146"/>
      <c r="AB220" s="146"/>
      <c r="AC220" s="146"/>
      <c r="AD220" s="146"/>
      <c r="AE220" s="146"/>
      <c r="AF220" s="146"/>
      <c r="AG220" s="146"/>
      <c r="AH220" s="331">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29">
        <f t="shared" si="11"/>
        <v>0</v>
      </c>
      <c r="Q221" s="146"/>
      <c r="R221" s="146"/>
      <c r="S221" s="146"/>
      <c r="T221" s="146"/>
      <c r="U221" s="146"/>
      <c r="V221" s="146"/>
      <c r="W221" s="146"/>
      <c r="X221" s="268"/>
      <c r="Y221" s="331">
        <f t="shared" si="12"/>
        <v>0</v>
      </c>
      <c r="Z221" s="146"/>
      <c r="AA221" s="146"/>
      <c r="AB221" s="146"/>
      <c r="AC221" s="146"/>
      <c r="AD221" s="146"/>
      <c r="AE221" s="146"/>
      <c r="AF221" s="146"/>
      <c r="AG221" s="146"/>
      <c r="AH221" s="331">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29">
        <f t="shared" si="11"/>
        <v>0</v>
      </c>
      <c r="Q222" s="146"/>
      <c r="R222" s="146"/>
      <c r="S222" s="146"/>
      <c r="T222" s="146"/>
      <c r="U222" s="146"/>
      <c r="V222" s="146"/>
      <c r="W222" s="146"/>
      <c r="X222" s="268"/>
      <c r="Y222" s="331">
        <f t="shared" si="12"/>
        <v>0</v>
      </c>
      <c r="Z222" s="146"/>
      <c r="AA222" s="146"/>
      <c r="AB222" s="146"/>
      <c r="AC222" s="146"/>
      <c r="AD222" s="146"/>
      <c r="AE222" s="146"/>
      <c r="AF222" s="146"/>
      <c r="AG222" s="146"/>
      <c r="AH222" s="331">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29">
        <f t="shared" si="11"/>
        <v>0</v>
      </c>
      <c r="Q223" s="146"/>
      <c r="R223" s="146"/>
      <c r="S223" s="146"/>
      <c r="T223" s="146"/>
      <c r="U223" s="146"/>
      <c r="V223" s="146"/>
      <c r="W223" s="146"/>
      <c r="X223" s="268"/>
      <c r="Y223" s="331">
        <f t="shared" si="12"/>
        <v>0</v>
      </c>
      <c r="Z223" s="146"/>
      <c r="AA223" s="146"/>
      <c r="AB223" s="146"/>
      <c r="AC223" s="146"/>
      <c r="AD223" s="146"/>
      <c r="AE223" s="146"/>
      <c r="AF223" s="146"/>
      <c r="AG223" s="146"/>
      <c r="AH223" s="331">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29">
        <f t="shared" si="11"/>
        <v>0</v>
      </c>
      <c r="Q224" s="146"/>
      <c r="R224" s="146"/>
      <c r="S224" s="146"/>
      <c r="T224" s="146"/>
      <c r="U224" s="146"/>
      <c r="V224" s="146"/>
      <c r="W224" s="146"/>
      <c r="X224" s="268"/>
      <c r="Y224" s="331">
        <f t="shared" si="12"/>
        <v>0</v>
      </c>
      <c r="Z224" s="146"/>
      <c r="AA224" s="146"/>
      <c r="AB224" s="146"/>
      <c r="AC224" s="146"/>
      <c r="AD224" s="146"/>
      <c r="AE224" s="146"/>
      <c r="AF224" s="146"/>
      <c r="AG224" s="146"/>
      <c r="AH224" s="331">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29">
        <f t="shared" si="11"/>
        <v>0</v>
      </c>
      <c r="Q225" s="146"/>
      <c r="R225" s="146"/>
      <c r="S225" s="146"/>
      <c r="T225" s="146"/>
      <c r="U225" s="146"/>
      <c r="V225" s="146"/>
      <c r="W225" s="146"/>
      <c r="X225" s="268"/>
      <c r="Y225" s="331">
        <f t="shared" si="12"/>
        <v>0</v>
      </c>
      <c r="Z225" s="146"/>
      <c r="AA225" s="146"/>
      <c r="AB225" s="146"/>
      <c r="AC225" s="146"/>
      <c r="AD225" s="146"/>
      <c r="AE225" s="146"/>
      <c r="AF225" s="146"/>
      <c r="AG225" s="146"/>
      <c r="AH225" s="331">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29">
        <f t="shared" si="11"/>
        <v>0</v>
      </c>
      <c r="Q226" s="146"/>
      <c r="R226" s="146"/>
      <c r="S226" s="146"/>
      <c r="T226" s="146"/>
      <c r="U226" s="146"/>
      <c r="V226" s="146"/>
      <c r="W226" s="146"/>
      <c r="X226" s="268"/>
      <c r="Y226" s="331">
        <f t="shared" si="12"/>
        <v>0</v>
      </c>
      <c r="Z226" s="146"/>
      <c r="AA226" s="146"/>
      <c r="AB226" s="146"/>
      <c r="AC226" s="146"/>
      <c r="AD226" s="146"/>
      <c r="AE226" s="146"/>
      <c r="AF226" s="146"/>
      <c r="AG226" s="146"/>
      <c r="AH226" s="331">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29">
        <f t="shared" si="11"/>
        <v>0</v>
      </c>
      <c r="Q227" s="146"/>
      <c r="R227" s="146"/>
      <c r="S227" s="146"/>
      <c r="T227" s="146"/>
      <c r="U227" s="146"/>
      <c r="V227" s="146"/>
      <c r="W227" s="146"/>
      <c r="X227" s="268"/>
      <c r="Y227" s="331">
        <f t="shared" si="12"/>
        <v>0</v>
      </c>
      <c r="Z227" s="146"/>
      <c r="AA227" s="146"/>
      <c r="AB227" s="146"/>
      <c r="AC227" s="146"/>
      <c r="AD227" s="146"/>
      <c r="AE227" s="146"/>
      <c r="AF227" s="146"/>
      <c r="AG227" s="146"/>
      <c r="AH227" s="331">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29">
        <f t="shared" si="11"/>
        <v>0</v>
      </c>
      <c r="Q228" s="146"/>
      <c r="R228" s="146"/>
      <c r="S228" s="146"/>
      <c r="T228" s="146"/>
      <c r="U228" s="146"/>
      <c r="V228" s="146"/>
      <c r="W228" s="146"/>
      <c r="X228" s="268"/>
      <c r="Y228" s="331">
        <f t="shared" si="12"/>
        <v>0</v>
      </c>
      <c r="Z228" s="146"/>
      <c r="AA228" s="146"/>
      <c r="AB228" s="146"/>
      <c r="AC228" s="146"/>
      <c r="AD228" s="146"/>
      <c r="AE228" s="146"/>
      <c r="AF228" s="146"/>
      <c r="AG228" s="146"/>
      <c r="AH228" s="331">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29">
        <f t="shared" si="11"/>
        <v>0</v>
      </c>
      <c r="Q229" s="146"/>
      <c r="R229" s="146"/>
      <c r="S229" s="146"/>
      <c r="T229" s="146"/>
      <c r="U229" s="146"/>
      <c r="V229" s="146"/>
      <c r="W229" s="146"/>
      <c r="X229" s="268"/>
      <c r="Y229" s="331">
        <f t="shared" si="12"/>
        <v>0</v>
      </c>
      <c r="Z229" s="146"/>
      <c r="AA229" s="146"/>
      <c r="AB229" s="146"/>
      <c r="AC229" s="146"/>
      <c r="AD229" s="146"/>
      <c r="AE229" s="146"/>
      <c r="AF229" s="146"/>
      <c r="AG229" s="146"/>
      <c r="AH229" s="331">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29">
        <f t="shared" si="11"/>
        <v>0</v>
      </c>
      <c r="Q230" s="146"/>
      <c r="R230" s="146"/>
      <c r="S230" s="146"/>
      <c r="T230" s="146"/>
      <c r="U230" s="146"/>
      <c r="V230" s="146"/>
      <c r="W230" s="146"/>
      <c r="X230" s="268"/>
      <c r="Y230" s="331">
        <f t="shared" si="12"/>
        <v>0</v>
      </c>
      <c r="Z230" s="146"/>
      <c r="AA230" s="146"/>
      <c r="AB230" s="146"/>
      <c r="AC230" s="146"/>
      <c r="AD230" s="146"/>
      <c r="AE230" s="146"/>
      <c r="AF230" s="146"/>
      <c r="AG230" s="146"/>
      <c r="AH230" s="331">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29">
        <f t="shared" si="11"/>
        <v>0</v>
      </c>
      <c r="Q231" s="146"/>
      <c r="R231" s="146"/>
      <c r="S231" s="146"/>
      <c r="T231" s="146"/>
      <c r="U231" s="146"/>
      <c r="V231" s="146"/>
      <c r="W231" s="146"/>
      <c r="X231" s="268"/>
      <c r="Y231" s="331">
        <f t="shared" si="12"/>
        <v>0</v>
      </c>
      <c r="Z231" s="146"/>
      <c r="AA231" s="146"/>
      <c r="AB231" s="146"/>
      <c r="AC231" s="146"/>
      <c r="AD231" s="146"/>
      <c r="AE231" s="146"/>
      <c r="AF231" s="146"/>
      <c r="AG231" s="146"/>
      <c r="AH231" s="331">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29">
        <f t="shared" si="11"/>
        <v>0</v>
      </c>
      <c r="Q232" s="146"/>
      <c r="R232" s="146"/>
      <c r="S232" s="146"/>
      <c r="T232" s="146"/>
      <c r="U232" s="146"/>
      <c r="V232" s="146"/>
      <c r="W232" s="146"/>
      <c r="X232" s="268"/>
      <c r="Y232" s="331">
        <f t="shared" si="12"/>
        <v>0</v>
      </c>
      <c r="Z232" s="146"/>
      <c r="AA232" s="146"/>
      <c r="AB232" s="146"/>
      <c r="AC232" s="146"/>
      <c r="AD232" s="146"/>
      <c r="AE232" s="146"/>
      <c r="AF232" s="146"/>
      <c r="AG232" s="146"/>
      <c r="AH232" s="331">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29">
        <f t="shared" si="11"/>
        <v>0</v>
      </c>
      <c r="Q233" s="146"/>
      <c r="R233" s="146"/>
      <c r="S233" s="146"/>
      <c r="T233" s="146"/>
      <c r="U233" s="146"/>
      <c r="V233" s="146"/>
      <c r="W233" s="146"/>
      <c r="X233" s="268"/>
      <c r="Y233" s="331">
        <f t="shared" si="12"/>
        <v>0</v>
      </c>
      <c r="Z233" s="146"/>
      <c r="AA233" s="146"/>
      <c r="AB233" s="146"/>
      <c r="AC233" s="146"/>
      <c r="AD233" s="146"/>
      <c r="AE233" s="146"/>
      <c r="AF233" s="146"/>
      <c r="AG233" s="146"/>
      <c r="AH233" s="331">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29">
        <f t="shared" si="11"/>
        <v>0</v>
      </c>
      <c r="Q234" s="146"/>
      <c r="R234" s="146"/>
      <c r="S234" s="146"/>
      <c r="T234" s="146"/>
      <c r="U234" s="146"/>
      <c r="V234" s="146"/>
      <c r="W234" s="146"/>
      <c r="X234" s="268"/>
      <c r="Y234" s="331">
        <f t="shared" si="12"/>
        <v>0</v>
      </c>
      <c r="Z234" s="146"/>
      <c r="AA234" s="146"/>
      <c r="AB234" s="146"/>
      <c r="AC234" s="146"/>
      <c r="AD234" s="146"/>
      <c r="AE234" s="146"/>
      <c r="AF234" s="146"/>
      <c r="AG234" s="146"/>
      <c r="AH234" s="331">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29">
        <f t="shared" si="11"/>
        <v>0</v>
      </c>
      <c r="Q235" s="146"/>
      <c r="R235" s="146"/>
      <c r="S235" s="146"/>
      <c r="T235" s="146"/>
      <c r="U235" s="146"/>
      <c r="V235" s="146"/>
      <c r="W235" s="146"/>
      <c r="X235" s="268"/>
      <c r="Y235" s="331">
        <f t="shared" si="12"/>
        <v>0</v>
      </c>
      <c r="Z235" s="146"/>
      <c r="AA235" s="146"/>
      <c r="AB235" s="146"/>
      <c r="AC235" s="146"/>
      <c r="AD235" s="146"/>
      <c r="AE235" s="146"/>
      <c r="AF235" s="146"/>
      <c r="AG235" s="146"/>
      <c r="AH235" s="331">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29">
        <f t="shared" si="11"/>
        <v>0</v>
      </c>
      <c r="Q236" s="146"/>
      <c r="R236" s="146"/>
      <c r="S236" s="146"/>
      <c r="T236" s="146"/>
      <c r="U236" s="146"/>
      <c r="V236" s="146"/>
      <c r="W236" s="146"/>
      <c r="X236" s="268"/>
      <c r="Y236" s="331">
        <f t="shared" si="12"/>
        <v>0</v>
      </c>
      <c r="Z236" s="146"/>
      <c r="AA236" s="146"/>
      <c r="AB236" s="146"/>
      <c r="AC236" s="146"/>
      <c r="AD236" s="146"/>
      <c r="AE236" s="146"/>
      <c r="AF236" s="146"/>
      <c r="AG236" s="146"/>
      <c r="AH236" s="331">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29">
        <f t="shared" si="11"/>
        <v>0</v>
      </c>
      <c r="Q237" s="146"/>
      <c r="R237" s="146"/>
      <c r="S237" s="146"/>
      <c r="T237" s="146"/>
      <c r="U237" s="146"/>
      <c r="V237" s="146"/>
      <c r="W237" s="146"/>
      <c r="X237" s="268"/>
      <c r="Y237" s="331">
        <f t="shared" si="12"/>
        <v>0</v>
      </c>
      <c r="Z237" s="146"/>
      <c r="AA237" s="146"/>
      <c r="AB237" s="146"/>
      <c r="AC237" s="146"/>
      <c r="AD237" s="146"/>
      <c r="AE237" s="146"/>
      <c r="AF237" s="146"/>
      <c r="AG237" s="146"/>
      <c r="AH237" s="331">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29">
        <f t="shared" si="11"/>
        <v>0</v>
      </c>
      <c r="Q238" s="146"/>
      <c r="R238" s="146"/>
      <c r="S238" s="146"/>
      <c r="T238" s="146"/>
      <c r="U238" s="146"/>
      <c r="V238" s="146"/>
      <c r="W238" s="146"/>
      <c r="X238" s="268"/>
      <c r="Y238" s="331">
        <f t="shared" si="12"/>
        <v>0</v>
      </c>
      <c r="Z238" s="146"/>
      <c r="AA238" s="146"/>
      <c r="AB238" s="146"/>
      <c r="AC238" s="146"/>
      <c r="AD238" s="146"/>
      <c r="AE238" s="146"/>
      <c r="AF238" s="146"/>
      <c r="AG238" s="146"/>
      <c r="AH238" s="331">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29">
        <f t="shared" si="11"/>
        <v>0</v>
      </c>
      <c r="Q239" s="146"/>
      <c r="R239" s="146"/>
      <c r="S239" s="146"/>
      <c r="T239" s="146"/>
      <c r="U239" s="146"/>
      <c r="V239" s="146"/>
      <c r="W239" s="146"/>
      <c r="X239" s="268"/>
      <c r="Y239" s="331">
        <f t="shared" si="12"/>
        <v>0</v>
      </c>
      <c r="Z239" s="146"/>
      <c r="AA239" s="146"/>
      <c r="AB239" s="146"/>
      <c r="AC239" s="146"/>
      <c r="AD239" s="146"/>
      <c r="AE239" s="146"/>
      <c r="AF239" s="146"/>
      <c r="AG239" s="146"/>
      <c r="AH239" s="331">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29">
        <f t="shared" si="11"/>
        <v>0</v>
      </c>
      <c r="Q240" s="146"/>
      <c r="R240" s="146"/>
      <c r="S240" s="146"/>
      <c r="T240" s="146"/>
      <c r="U240" s="146"/>
      <c r="V240" s="146"/>
      <c r="W240" s="146"/>
      <c r="X240" s="268"/>
      <c r="Y240" s="331">
        <f t="shared" si="12"/>
        <v>0</v>
      </c>
      <c r="Z240" s="146"/>
      <c r="AA240" s="146"/>
      <c r="AB240" s="146"/>
      <c r="AC240" s="146"/>
      <c r="AD240" s="146"/>
      <c r="AE240" s="146"/>
      <c r="AF240" s="146"/>
      <c r="AG240" s="146"/>
      <c r="AH240" s="331">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29">
        <f t="shared" si="11"/>
        <v>0</v>
      </c>
      <c r="Q241" s="146"/>
      <c r="R241" s="146"/>
      <c r="S241" s="146"/>
      <c r="T241" s="146"/>
      <c r="U241" s="146"/>
      <c r="V241" s="146"/>
      <c r="W241" s="146"/>
      <c r="X241" s="268"/>
      <c r="Y241" s="331">
        <f t="shared" si="12"/>
        <v>0</v>
      </c>
      <c r="Z241" s="146"/>
      <c r="AA241" s="146"/>
      <c r="AB241" s="146"/>
      <c r="AC241" s="146"/>
      <c r="AD241" s="146"/>
      <c r="AE241" s="146"/>
      <c r="AF241" s="146"/>
      <c r="AG241" s="146"/>
      <c r="AH241" s="331">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29">
        <f t="shared" si="11"/>
        <v>0</v>
      </c>
      <c r="Q242" s="146"/>
      <c r="R242" s="146"/>
      <c r="S242" s="146"/>
      <c r="T242" s="146"/>
      <c r="U242" s="146"/>
      <c r="V242" s="146"/>
      <c r="W242" s="146"/>
      <c r="X242" s="268"/>
      <c r="Y242" s="331">
        <f t="shared" si="12"/>
        <v>0</v>
      </c>
      <c r="Z242" s="146"/>
      <c r="AA242" s="146"/>
      <c r="AB242" s="146"/>
      <c r="AC242" s="146"/>
      <c r="AD242" s="146"/>
      <c r="AE242" s="146"/>
      <c r="AF242" s="146"/>
      <c r="AG242" s="146"/>
      <c r="AH242" s="331">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29">
        <f t="shared" si="11"/>
        <v>0</v>
      </c>
      <c r="Q243" s="146"/>
      <c r="R243" s="146"/>
      <c r="S243" s="146"/>
      <c r="T243" s="146"/>
      <c r="U243" s="146"/>
      <c r="V243" s="146"/>
      <c r="W243" s="146"/>
      <c r="X243" s="268"/>
      <c r="Y243" s="331">
        <f t="shared" si="12"/>
        <v>0</v>
      </c>
      <c r="Z243" s="146"/>
      <c r="AA243" s="146"/>
      <c r="AB243" s="146"/>
      <c r="AC243" s="146"/>
      <c r="AD243" s="146"/>
      <c r="AE243" s="146"/>
      <c r="AF243" s="146"/>
      <c r="AG243" s="146"/>
      <c r="AH243" s="331">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29">
        <f t="shared" si="11"/>
        <v>0</v>
      </c>
      <c r="Q244" s="146"/>
      <c r="R244" s="146"/>
      <c r="S244" s="146"/>
      <c r="T244" s="146"/>
      <c r="U244" s="146"/>
      <c r="V244" s="146"/>
      <c r="W244" s="146"/>
      <c r="X244" s="268"/>
      <c r="Y244" s="331">
        <f t="shared" si="12"/>
        <v>0</v>
      </c>
      <c r="Z244" s="146"/>
      <c r="AA244" s="146"/>
      <c r="AB244" s="146"/>
      <c r="AC244" s="146"/>
      <c r="AD244" s="146"/>
      <c r="AE244" s="146"/>
      <c r="AF244" s="146"/>
      <c r="AG244" s="146"/>
      <c r="AH244" s="331">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29">
        <f t="shared" si="11"/>
        <v>0</v>
      </c>
      <c r="Q245" s="146"/>
      <c r="R245" s="146"/>
      <c r="S245" s="146"/>
      <c r="T245" s="146"/>
      <c r="U245" s="146"/>
      <c r="V245" s="146"/>
      <c r="W245" s="146"/>
      <c r="X245" s="268"/>
      <c r="Y245" s="331">
        <f t="shared" si="12"/>
        <v>0</v>
      </c>
      <c r="Z245" s="146"/>
      <c r="AA245" s="146"/>
      <c r="AB245" s="146"/>
      <c r="AC245" s="146"/>
      <c r="AD245" s="146"/>
      <c r="AE245" s="146"/>
      <c r="AF245" s="146"/>
      <c r="AG245" s="146"/>
      <c r="AH245" s="331">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29">
        <f t="shared" si="11"/>
        <v>0</v>
      </c>
      <c r="Q246" s="146"/>
      <c r="R246" s="146"/>
      <c r="S246" s="146"/>
      <c r="T246" s="146"/>
      <c r="U246" s="146"/>
      <c r="V246" s="146"/>
      <c r="W246" s="146"/>
      <c r="X246" s="268"/>
      <c r="Y246" s="331">
        <f t="shared" si="12"/>
        <v>0</v>
      </c>
      <c r="Z246" s="146"/>
      <c r="AA246" s="146"/>
      <c r="AB246" s="146"/>
      <c r="AC246" s="146"/>
      <c r="AD246" s="146"/>
      <c r="AE246" s="146"/>
      <c r="AF246" s="146"/>
      <c r="AG246" s="146"/>
      <c r="AH246" s="331">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29">
        <f t="shared" si="11"/>
        <v>0</v>
      </c>
      <c r="Q247" s="146"/>
      <c r="R247" s="146"/>
      <c r="S247" s="146"/>
      <c r="T247" s="146"/>
      <c r="U247" s="146"/>
      <c r="V247" s="146"/>
      <c r="W247" s="146"/>
      <c r="X247" s="268"/>
      <c r="Y247" s="331">
        <f t="shared" si="12"/>
        <v>0</v>
      </c>
      <c r="Z247" s="146"/>
      <c r="AA247" s="146"/>
      <c r="AB247" s="146"/>
      <c r="AC247" s="146"/>
      <c r="AD247" s="146"/>
      <c r="AE247" s="146"/>
      <c r="AF247" s="146"/>
      <c r="AG247" s="146"/>
      <c r="AH247" s="331">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29">
        <f t="shared" si="11"/>
        <v>0</v>
      </c>
      <c r="Q248" s="146"/>
      <c r="R248" s="146"/>
      <c r="S248" s="146"/>
      <c r="T248" s="146"/>
      <c r="U248" s="146"/>
      <c r="V248" s="146"/>
      <c r="W248" s="146"/>
      <c r="X248" s="268"/>
      <c r="Y248" s="331">
        <f t="shared" si="12"/>
        <v>0</v>
      </c>
      <c r="Z248" s="146"/>
      <c r="AA248" s="146"/>
      <c r="AB248" s="146"/>
      <c r="AC248" s="146"/>
      <c r="AD248" s="146"/>
      <c r="AE248" s="146"/>
      <c r="AF248" s="146"/>
      <c r="AG248" s="146"/>
      <c r="AH248" s="331">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29">
        <f t="shared" si="11"/>
        <v>0</v>
      </c>
      <c r="Q249" s="146"/>
      <c r="R249" s="146"/>
      <c r="S249" s="146"/>
      <c r="T249" s="146"/>
      <c r="U249" s="146"/>
      <c r="V249" s="146"/>
      <c r="W249" s="146"/>
      <c r="X249" s="268"/>
      <c r="Y249" s="331">
        <f t="shared" si="12"/>
        <v>0</v>
      </c>
      <c r="Z249" s="146"/>
      <c r="AA249" s="146"/>
      <c r="AB249" s="146"/>
      <c r="AC249" s="146"/>
      <c r="AD249" s="146"/>
      <c r="AE249" s="146"/>
      <c r="AF249" s="146"/>
      <c r="AG249" s="146"/>
      <c r="AH249" s="331">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29">
        <f t="shared" si="11"/>
        <v>0</v>
      </c>
      <c r="Q250" s="146"/>
      <c r="R250" s="146"/>
      <c r="S250" s="146"/>
      <c r="T250" s="146"/>
      <c r="U250" s="146"/>
      <c r="V250" s="146"/>
      <c r="W250" s="146"/>
      <c r="X250" s="268"/>
      <c r="Y250" s="331">
        <f t="shared" si="12"/>
        <v>0</v>
      </c>
      <c r="Z250" s="146"/>
      <c r="AA250" s="146"/>
      <c r="AB250" s="146"/>
      <c r="AC250" s="146"/>
      <c r="AD250" s="146"/>
      <c r="AE250" s="146"/>
      <c r="AF250" s="146"/>
      <c r="AG250" s="146"/>
      <c r="AH250" s="331">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29">
        <f t="shared" si="11"/>
        <v>0</v>
      </c>
      <c r="Q251" s="146"/>
      <c r="R251" s="146"/>
      <c r="S251" s="146"/>
      <c r="T251" s="146"/>
      <c r="U251" s="146"/>
      <c r="V251" s="146"/>
      <c r="W251" s="146"/>
      <c r="X251" s="268"/>
      <c r="Y251" s="331">
        <f t="shared" si="12"/>
        <v>0</v>
      </c>
      <c r="Z251" s="146"/>
      <c r="AA251" s="146"/>
      <c r="AB251" s="146"/>
      <c r="AC251" s="146"/>
      <c r="AD251" s="146"/>
      <c r="AE251" s="146"/>
      <c r="AF251" s="146"/>
      <c r="AG251" s="146"/>
      <c r="AH251" s="331">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29">
        <f t="shared" si="11"/>
        <v>0</v>
      </c>
      <c r="Q252" s="146"/>
      <c r="R252" s="146"/>
      <c r="S252" s="146"/>
      <c r="T252" s="146"/>
      <c r="U252" s="146"/>
      <c r="V252" s="146"/>
      <c r="W252" s="146"/>
      <c r="X252" s="268"/>
      <c r="Y252" s="331">
        <f t="shared" si="12"/>
        <v>0</v>
      </c>
      <c r="Z252" s="146"/>
      <c r="AA252" s="146"/>
      <c r="AB252" s="146"/>
      <c r="AC252" s="146"/>
      <c r="AD252" s="146"/>
      <c r="AE252" s="146"/>
      <c r="AF252" s="146"/>
      <c r="AG252" s="146"/>
      <c r="AH252" s="331">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29">
        <f t="shared" si="11"/>
        <v>0</v>
      </c>
      <c r="Q253" s="146"/>
      <c r="R253" s="146"/>
      <c r="S253" s="146"/>
      <c r="T253" s="146"/>
      <c r="U253" s="146"/>
      <c r="V253" s="146"/>
      <c r="W253" s="146"/>
      <c r="X253" s="268"/>
      <c r="Y253" s="331">
        <f t="shared" si="12"/>
        <v>0</v>
      </c>
      <c r="Z253" s="146"/>
      <c r="AA253" s="146"/>
      <c r="AB253" s="146"/>
      <c r="AC253" s="146"/>
      <c r="AD253" s="146"/>
      <c r="AE253" s="146"/>
      <c r="AF253" s="146"/>
      <c r="AG253" s="146"/>
      <c r="AH253" s="331">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29">
        <f t="shared" si="11"/>
        <v>0</v>
      </c>
      <c r="Q254" s="146"/>
      <c r="R254" s="146"/>
      <c r="S254" s="146"/>
      <c r="T254" s="146"/>
      <c r="U254" s="146"/>
      <c r="V254" s="146"/>
      <c r="W254" s="146"/>
      <c r="X254" s="268"/>
      <c r="Y254" s="331">
        <f t="shared" si="12"/>
        <v>0</v>
      </c>
      <c r="Z254" s="146"/>
      <c r="AA254" s="146"/>
      <c r="AB254" s="146"/>
      <c r="AC254" s="146"/>
      <c r="AD254" s="146"/>
      <c r="AE254" s="146"/>
      <c r="AF254" s="146"/>
      <c r="AG254" s="146"/>
      <c r="AH254" s="331">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29">
        <f t="shared" si="11"/>
        <v>0</v>
      </c>
      <c r="Q255" s="146"/>
      <c r="R255" s="146"/>
      <c r="S255" s="146"/>
      <c r="T255" s="146"/>
      <c r="U255" s="146"/>
      <c r="V255" s="146"/>
      <c r="W255" s="146"/>
      <c r="X255" s="268"/>
      <c r="Y255" s="331">
        <f t="shared" si="12"/>
        <v>0</v>
      </c>
      <c r="Z255" s="146"/>
      <c r="AA255" s="146"/>
      <c r="AB255" s="146"/>
      <c r="AC255" s="146"/>
      <c r="AD255" s="146"/>
      <c r="AE255" s="146"/>
      <c r="AF255" s="146"/>
      <c r="AG255" s="146"/>
      <c r="AH255" s="331">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29">
        <f t="shared" si="11"/>
        <v>0</v>
      </c>
      <c r="Q256" s="146"/>
      <c r="R256" s="146"/>
      <c r="S256" s="146"/>
      <c r="T256" s="146"/>
      <c r="U256" s="146"/>
      <c r="V256" s="146"/>
      <c r="W256" s="146"/>
      <c r="X256" s="268"/>
      <c r="Y256" s="331">
        <f t="shared" si="12"/>
        <v>0</v>
      </c>
      <c r="Z256" s="146"/>
      <c r="AA256" s="146"/>
      <c r="AB256" s="146"/>
      <c r="AC256" s="146"/>
      <c r="AD256" s="146"/>
      <c r="AE256" s="146"/>
      <c r="AF256" s="146"/>
      <c r="AG256" s="146"/>
      <c r="AH256" s="331">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29">
        <f t="shared" si="11"/>
        <v>0</v>
      </c>
      <c r="Q257" s="146"/>
      <c r="R257" s="146"/>
      <c r="S257" s="146"/>
      <c r="T257" s="146"/>
      <c r="U257" s="146"/>
      <c r="V257" s="146"/>
      <c r="W257" s="146"/>
      <c r="X257" s="268"/>
      <c r="Y257" s="331">
        <f t="shared" si="12"/>
        <v>0</v>
      </c>
      <c r="Z257" s="146"/>
      <c r="AA257" s="146"/>
      <c r="AB257" s="146"/>
      <c r="AC257" s="146"/>
      <c r="AD257" s="146"/>
      <c r="AE257" s="146"/>
      <c r="AF257" s="146"/>
      <c r="AG257" s="146"/>
      <c r="AH257" s="331">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29">
        <f t="shared" si="11"/>
        <v>0</v>
      </c>
      <c r="Q258" s="146"/>
      <c r="R258" s="146"/>
      <c r="S258" s="146"/>
      <c r="T258" s="146"/>
      <c r="U258" s="146"/>
      <c r="V258" s="146"/>
      <c r="W258" s="146"/>
      <c r="X258" s="268"/>
      <c r="Y258" s="331">
        <f t="shared" si="12"/>
        <v>0</v>
      </c>
      <c r="Z258" s="146"/>
      <c r="AA258" s="146"/>
      <c r="AB258" s="146"/>
      <c r="AC258" s="146"/>
      <c r="AD258" s="146"/>
      <c r="AE258" s="146"/>
      <c r="AF258" s="146"/>
      <c r="AG258" s="146"/>
      <c r="AH258" s="331">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29">
        <f t="shared" si="11"/>
        <v>0</v>
      </c>
      <c r="Q259" s="146"/>
      <c r="R259" s="146"/>
      <c r="S259" s="146"/>
      <c r="T259" s="146"/>
      <c r="U259" s="146"/>
      <c r="V259" s="146"/>
      <c r="W259" s="146"/>
      <c r="X259" s="268"/>
      <c r="Y259" s="331">
        <f t="shared" si="12"/>
        <v>0</v>
      </c>
      <c r="Z259" s="146"/>
      <c r="AA259" s="146"/>
      <c r="AB259" s="146"/>
      <c r="AC259" s="146"/>
      <c r="AD259" s="146"/>
      <c r="AE259" s="146"/>
      <c r="AF259" s="146"/>
      <c r="AG259" s="146"/>
      <c r="AH259" s="331">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29">
        <f t="shared" si="11"/>
        <v>0</v>
      </c>
      <c r="Q260" s="146"/>
      <c r="R260" s="146"/>
      <c r="S260" s="146"/>
      <c r="T260" s="146"/>
      <c r="U260" s="146"/>
      <c r="V260" s="146"/>
      <c r="W260" s="146"/>
      <c r="X260" s="268"/>
      <c r="Y260" s="331">
        <f t="shared" si="12"/>
        <v>0</v>
      </c>
      <c r="Z260" s="146"/>
      <c r="AA260" s="146"/>
      <c r="AB260" s="146"/>
      <c r="AC260" s="146"/>
      <c r="AD260" s="146"/>
      <c r="AE260" s="146"/>
      <c r="AF260" s="146"/>
      <c r="AG260" s="146"/>
      <c r="AH260" s="331">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29">
        <f t="shared" si="11"/>
        <v>0</v>
      </c>
      <c r="Q261" s="146"/>
      <c r="R261" s="146"/>
      <c r="S261" s="146"/>
      <c r="T261" s="146"/>
      <c r="U261" s="146"/>
      <c r="V261" s="146"/>
      <c r="W261" s="146"/>
      <c r="X261" s="268"/>
      <c r="Y261" s="331">
        <f t="shared" si="12"/>
        <v>0</v>
      </c>
      <c r="Z261" s="146"/>
      <c r="AA261" s="146"/>
      <c r="AB261" s="146"/>
      <c r="AC261" s="146"/>
      <c r="AD261" s="146"/>
      <c r="AE261" s="146"/>
      <c r="AF261" s="146"/>
      <c r="AG261" s="146"/>
      <c r="AH261" s="331">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29">
        <f t="shared" si="11"/>
        <v>0</v>
      </c>
      <c r="Q262" s="146"/>
      <c r="R262" s="146"/>
      <c r="S262" s="146"/>
      <c r="T262" s="146"/>
      <c r="U262" s="146"/>
      <c r="V262" s="146"/>
      <c r="W262" s="146"/>
      <c r="X262" s="268"/>
      <c r="Y262" s="331">
        <f t="shared" si="12"/>
        <v>0</v>
      </c>
      <c r="Z262" s="146"/>
      <c r="AA262" s="146"/>
      <c r="AB262" s="146"/>
      <c r="AC262" s="146"/>
      <c r="AD262" s="146"/>
      <c r="AE262" s="146"/>
      <c r="AF262" s="146"/>
      <c r="AG262" s="146"/>
      <c r="AH262" s="331">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29">
        <f t="shared" si="11"/>
        <v>0</v>
      </c>
      <c r="Q263" s="146"/>
      <c r="R263" s="146"/>
      <c r="S263" s="146"/>
      <c r="T263" s="146"/>
      <c r="U263" s="146"/>
      <c r="V263" s="146"/>
      <c r="W263" s="146"/>
      <c r="X263" s="268"/>
      <c r="Y263" s="331">
        <f t="shared" si="12"/>
        <v>0</v>
      </c>
      <c r="Z263" s="146"/>
      <c r="AA263" s="146"/>
      <c r="AB263" s="146"/>
      <c r="AC263" s="146"/>
      <c r="AD263" s="146"/>
      <c r="AE263" s="146"/>
      <c r="AF263" s="146"/>
      <c r="AG263" s="146"/>
      <c r="AH263" s="331">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29">
        <f t="shared" si="11"/>
        <v>0</v>
      </c>
      <c r="Q264" s="146"/>
      <c r="R264" s="146"/>
      <c r="S264" s="146"/>
      <c r="T264" s="146"/>
      <c r="U264" s="146"/>
      <c r="V264" s="146"/>
      <c r="W264" s="146"/>
      <c r="X264" s="268"/>
      <c r="Y264" s="331">
        <f t="shared" si="12"/>
        <v>0</v>
      </c>
      <c r="Z264" s="146"/>
      <c r="AA264" s="146"/>
      <c r="AB264" s="146"/>
      <c r="AC264" s="146"/>
      <c r="AD264" s="146"/>
      <c r="AE264" s="146"/>
      <c r="AF264" s="146"/>
      <c r="AG264" s="146"/>
      <c r="AH264" s="331">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29">
        <f t="shared" si="11"/>
        <v>0</v>
      </c>
      <c r="Q265" s="146"/>
      <c r="R265" s="146"/>
      <c r="S265" s="146"/>
      <c r="T265" s="146"/>
      <c r="U265" s="146"/>
      <c r="V265" s="146"/>
      <c r="W265" s="146"/>
      <c r="X265" s="268"/>
      <c r="Y265" s="331">
        <f t="shared" si="12"/>
        <v>0</v>
      </c>
      <c r="Z265" s="146"/>
      <c r="AA265" s="146"/>
      <c r="AB265" s="146"/>
      <c r="AC265" s="146"/>
      <c r="AD265" s="146"/>
      <c r="AE265" s="146"/>
      <c r="AF265" s="146"/>
      <c r="AG265" s="146"/>
      <c r="AH265" s="331">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29">
        <f t="shared" si="11"/>
        <v>0</v>
      </c>
      <c r="Q266" s="146"/>
      <c r="R266" s="146"/>
      <c r="S266" s="146"/>
      <c r="T266" s="146"/>
      <c r="U266" s="146"/>
      <c r="V266" s="146"/>
      <c r="W266" s="146"/>
      <c r="X266" s="268"/>
      <c r="Y266" s="331">
        <f t="shared" si="12"/>
        <v>0</v>
      </c>
      <c r="Z266" s="146"/>
      <c r="AA266" s="146"/>
      <c r="AB266" s="146"/>
      <c r="AC266" s="146"/>
      <c r="AD266" s="146"/>
      <c r="AE266" s="146"/>
      <c r="AF266" s="146"/>
      <c r="AG266" s="146"/>
      <c r="AH266" s="331">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29">
        <f t="shared" si="11"/>
        <v>0</v>
      </c>
      <c r="Q267" s="146"/>
      <c r="R267" s="146"/>
      <c r="S267" s="146"/>
      <c r="T267" s="146"/>
      <c r="U267" s="146"/>
      <c r="V267" s="146"/>
      <c r="W267" s="146"/>
      <c r="X267" s="268"/>
      <c r="Y267" s="331">
        <f t="shared" si="12"/>
        <v>0</v>
      </c>
      <c r="Z267" s="146"/>
      <c r="AA267" s="146"/>
      <c r="AB267" s="146"/>
      <c r="AC267" s="146"/>
      <c r="AD267" s="146"/>
      <c r="AE267" s="146"/>
      <c r="AF267" s="146"/>
      <c r="AG267" s="146"/>
      <c r="AH267" s="331">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29">
        <f t="shared" si="11"/>
        <v>0</v>
      </c>
      <c r="Q268" s="146"/>
      <c r="R268" s="146"/>
      <c r="S268" s="146"/>
      <c r="T268" s="146"/>
      <c r="U268" s="146"/>
      <c r="V268" s="146"/>
      <c r="W268" s="146"/>
      <c r="X268" s="268"/>
      <c r="Y268" s="331">
        <f t="shared" si="12"/>
        <v>0</v>
      </c>
      <c r="Z268" s="146"/>
      <c r="AA268" s="146"/>
      <c r="AB268" s="146"/>
      <c r="AC268" s="146"/>
      <c r="AD268" s="146"/>
      <c r="AE268" s="146"/>
      <c r="AF268" s="146"/>
      <c r="AG268" s="146"/>
      <c r="AH268" s="331">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29">
        <f t="shared" ref="P269:P332" si="14">SUM(H269:N269)</f>
        <v>0</v>
      </c>
      <c r="Q269" s="146"/>
      <c r="R269" s="146"/>
      <c r="S269" s="146"/>
      <c r="T269" s="146"/>
      <c r="U269" s="146"/>
      <c r="V269" s="146"/>
      <c r="W269" s="146"/>
      <c r="X269" s="268"/>
      <c r="Y269" s="331">
        <f t="shared" ref="Y269:Y332" si="15">SUM(Q269:W269)</f>
        <v>0</v>
      </c>
      <c r="Z269" s="146"/>
      <c r="AA269" s="146"/>
      <c r="AB269" s="146"/>
      <c r="AC269" s="146"/>
      <c r="AD269" s="146"/>
      <c r="AE269" s="146"/>
      <c r="AF269" s="146"/>
      <c r="AG269" s="146"/>
      <c r="AH269" s="331">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29">
        <f t="shared" si="14"/>
        <v>0</v>
      </c>
      <c r="Q270" s="146"/>
      <c r="R270" s="146"/>
      <c r="S270" s="146"/>
      <c r="T270" s="146"/>
      <c r="U270" s="146"/>
      <c r="V270" s="146"/>
      <c r="W270" s="146"/>
      <c r="X270" s="268"/>
      <c r="Y270" s="331">
        <f t="shared" si="15"/>
        <v>0</v>
      </c>
      <c r="Z270" s="146"/>
      <c r="AA270" s="146"/>
      <c r="AB270" s="146"/>
      <c r="AC270" s="146"/>
      <c r="AD270" s="146"/>
      <c r="AE270" s="146"/>
      <c r="AF270" s="146"/>
      <c r="AG270" s="146"/>
      <c r="AH270" s="331">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29">
        <f t="shared" si="14"/>
        <v>0</v>
      </c>
      <c r="Q271" s="146"/>
      <c r="R271" s="146"/>
      <c r="S271" s="146"/>
      <c r="T271" s="146"/>
      <c r="U271" s="146"/>
      <c r="V271" s="146"/>
      <c r="W271" s="146"/>
      <c r="X271" s="268"/>
      <c r="Y271" s="331">
        <f t="shared" si="15"/>
        <v>0</v>
      </c>
      <c r="Z271" s="146"/>
      <c r="AA271" s="146"/>
      <c r="AB271" s="146"/>
      <c r="AC271" s="146"/>
      <c r="AD271" s="146"/>
      <c r="AE271" s="146"/>
      <c r="AF271" s="146"/>
      <c r="AG271" s="146"/>
      <c r="AH271" s="331">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29">
        <f t="shared" si="14"/>
        <v>0</v>
      </c>
      <c r="Q272" s="146"/>
      <c r="R272" s="146"/>
      <c r="S272" s="146"/>
      <c r="T272" s="146"/>
      <c r="U272" s="146"/>
      <c r="V272" s="146"/>
      <c r="W272" s="146"/>
      <c r="X272" s="268"/>
      <c r="Y272" s="331">
        <f t="shared" si="15"/>
        <v>0</v>
      </c>
      <c r="Z272" s="146"/>
      <c r="AA272" s="146"/>
      <c r="AB272" s="146"/>
      <c r="AC272" s="146"/>
      <c r="AD272" s="146"/>
      <c r="AE272" s="146"/>
      <c r="AF272" s="146"/>
      <c r="AG272" s="146"/>
      <c r="AH272" s="331">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29">
        <f t="shared" si="14"/>
        <v>0</v>
      </c>
      <c r="Q273" s="146"/>
      <c r="R273" s="146"/>
      <c r="S273" s="146"/>
      <c r="T273" s="146"/>
      <c r="U273" s="146"/>
      <c r="V273" s="146"/>
      <c r="W273" s="146"/>
      <c r="X273" s="268"/>
      <c r="Y273" s="331">
        <f t="shared" si="15"/>
        <v>0</v>
      </c>
      <c r="Z273" s="146"/>
      <c r="AA273" s="146"/>
      <c r="AB273" s="146"/>
      <c r="AC273" s="146"/>
      <c r="AD273" s="146"/>
      <c r="AE273" s="146"/>
      <c r="AF273" s="146"/>
      <c r="AG273" s="146"/>
      <c r="AH273" s="331">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29">
        <f t="shared" si="14"/>
        <v>0</v>
      </c>
      <c r="Q274" s="146"/>
      <c r="R274" s="146"/>
      <c r="S274" s="146"/>
      <c r="T274" s="146"/>
      <c r="U274" s="146"/>
      <c r="V274" s="146"/>
      <c r="W274" s="146"/>
      <c r="X274" s="268"/>
      <c r="Y274" s="331">
        <f t="shared" si="15"/>
        <v>0</v>
      </c>
      <c r="Z274" s="146"/>
      <c r="AA274" s="146"/>
      <c r="AB274" s="146"/>
      <c r="AC274" s="146"/>
      <c r="AD274" s="146"/>
      <c r="AE274" s="146"/>
      <c r="AF274" s="146"/>
      <c r="AG274" s="146"/>
      <c r="AH274" s="331">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29">
        <f t="shared" si="14"/>
        <v>0</v>
      </c>
      <c r="Q275" s="146"/>
      <c r="R275" s="146"/>
      <c r="S275" s="146"/>
      <c r="T275" s="146"/>
      <c r="U275" s="146"/>
      <c r="V275" s="146"/>
      <c r="W275" s="146"/>
      <c r="X275" s="268"/>
      <c r="Y275" s="331">
        <f t="shared" si="15"/>
        <v>0</v>
      </c>
      <c r="Z275" s="146"/>
      <c r="AA275" s="146"/>
      <c r="AB275" s="146"/>
      <c r="AC275" s="146"/>
      <c r="AD275" s="146"/>
      <c r="AE275" s="146"/>
      <c r="AF275" s="146"/>
      <c r="AG275" s="146"/>
      <c r="AH275" s="331">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29">
        <f t="shared" si="14"/>
        <v>0</v>
      </c>
      <c r="Q276" s="146"/>
      <c r="R276" s="146"/>
      <c r="S276" s="146"/>
      <c r="T276" s="146"/>
      <c r="U276" s="146"/>
      <c r="V276" s="146"/>
      <c r="W276" s="146"/>
      <c r="X276" s="268"/>
      <c r="Y276" s="331">
        <f t="shared" si="15"/>
        <v>0</v>
      </c>
      <c r="Z276" s="146"/>
      <c r="AA276" s="146"/>
      <c r="AB276" s="146"/>
      <c r="AC276" s="146"/>
      <c r="AD276" s="146"/>
      <c r="AE276" s="146"/>
      <c r="AF276" s="146"/>
      <c r="AG276" s="146"/>
      <c r="AH276" s="331">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29">
        <f t="shared" si="14"/>
        <v>0</v>
      </c>
      <c r="Q277" s="146"/>
      <c r="R277" s="146"/>
      <c r="S277" s="146"/>
      <c r="T277" s="146"/>
      <c r="U277" s="146"/>
      <c r="V277" s="146"/>
      <c r="W277" s="146"/>
      <c r="X277" s="268"/>
      <c r="Y277" s="331">
        <f t="shared" si="15"/>
        <v>0</v>
      </c>
      <c r="Z277" s="146"/>
      <c r="AA277" s="146"/>
      <c r="AB277" s="146"/>
      <c r="AC277" s="146"/>
      <c r="AD277" s="146"/>
      <c r="AE277" s="146"/>
      <c r="AF277" s="146"/>
      <c r="AG277" s="146"/>
      <c r="AH277" s="331">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29">
        <f t="shared" si="14"/>
        <v>0</v>
      </c>
      <c r="Q278" s="146"/>
      <c r="R278" s="146"/>
      <c r="S278" s="146"/>
      <c r="T278" s="146"/>
      <c r="U278" s="146"/>
      <c r="V278" s="146"/>
      <c r="W278" s="146"/>
      <c r="X278" s="268"/>
      <c r="Y278" s="331">
        <f t="shared" si="15"/>
        <v>0</v>
      </c>
      <c r="Z278" s="146"/>
      <c r="AA278" s="146"/>
      <c r="AB278" s="146"/>
      <c r="AC278" s="146"/>
      <c r="AD278" s="146"/>
      <c r="AE278" s="146"/>
      <c r="AF278" s="146"/>
      <c r="AG278" s="146"/>
      <c r="AH278" s="331">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29">
        <f t="shared" si="14"/>
        <v>0</v>
      </c>
      <c r="Q279" s="146"/>
      <c r="R279" s="146"/>
      <c r="S279" s="146"/>
      <c r="T279" s="146"/>
      <c r="U279" s="146"/>
      <c r="V279" s="146"/>
      <c r="W279" s="146"/>
      <c r="X279" s="268"/>
      <c r="Y279" s="331">
        <f t="shared" si="15"/>
        <v>0</v>
      </c>
      <c r="Z279" s="146"/>
      <c r="AA279" s="146"/>
      <c r="AB279" s="146"/>
      <c r="AC279" s="146"/>
      <c r="AD279" s="146"/>
      <c r="AE279" s="146"/>
      <c r="AF279" s="146"/>
      <c r="AG279" s="146"/>
      <c r="AH279" s="331">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29">
        <f t="shared" si="14"/>
        <v>0</v>
      </c>
      <c r="Q280" s="146"/>
      <c r="R280" s="146"/>
      <c r="S280" s="146"/>
      <c r="T280" s="146"/>
      <c r="U280" s="146"/>
      <c r="V280" s="146"/>
      <c r="W280" s="146"/>
      <c r="X280" s="268"/>
      <c r="Y280" s="331">
        <f t="shared" si="15"/>
        <v>0</v>
      </c>
      <c r="Z280" s="146"/>
      <c r="AA280" s="146"/>
      <c r="AB280" s="146"/>
      <c r="AC280" s="146"/>
      <c r="AD280" s="146"/>
      <c r="AE280" s="146"/>
      <c r="AF280" s="146"/>
      <c r="AG280" s="146"/>
      <c r="AH280" s="331">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29">
        <f t="shared" si="14"/>
        <v>0</v>
      </c>
      <c r="Q281" s="146"/>
      <c r="R281" s="146"/>
      <c r="S281" s="146"/>
      <c r="T281" s="146"/>
      <c r="U281" s="146"/>
      <c r="V281" s="146"/>
      <c r="W281" s="146"/>
      <c r="X281" s="268"/>
      <c r="Y281" s="331">
        <f t="shared" si="15"/>
        <v>0</v>
      </c>
      <c r="Z281" s="146"/>
      <c r="AA281" s="146"/>
      <c r="AB281" s="146"/>
      <c r="AC281" s="146"/>
      <c r="AD281" s="146"/>
      <c r="AE281" s="146"/>
      <c r="AF281" s="146"/>
      <c r="AG281" s="146"/>
      <c r="AH281" s="331">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29">
        <f t="shared" si="14"/>
        <v>0</v>
      </c>
      <c r="Q282" s="146"/>
      <c r="R282" s="146"/>
      <c r="S282" s="146"/>
      <c r="T282" s="146"/>
      <c r="U282" s="146"/>
      <c r="V282" s="146"/>
      <c r="W282" s="146"/>
      <c r="X282" s="268"/>
      <c r="Y282" s="331">
        <f t="shared" si="15"/>
        <v>0</v>
      </c>
      <c r="Z282" s="146"/>
      <c r="AA282" s="146"/>
      <c r="AB282" s="146"/>
      <c r="AC282" s="146"/>
      <c r="AD282" s="146"/>
      <c r="AE282" s="146"/>
      <c r="AF282" s="146"/>
      <c r="AG282" s="146"/>
      <c r="AH282" s="331">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29">
        <f t="shared" si="14"/>
        <v>0</v>
      </c>
      <c r="Q283" s="146"/>
      <c r="R283" s="146"/>
      <c r="S283" s="146"/>
      <c r="T283" s="146"/>
      <c r="U283" s="146"/>
      <c r="V283" s="146"/>
      <c r="W283" s="146"/>
      <c r="X283" s="268"/>
      <c r="Y283" s="331">
        <f t="shared" si="15"/>
        <v>0</v>
      </c>
      <c r="Z283" s="146"/>
      <c r="AA283" s="146"/>
      <c r="AB283" s="146"/>
      <c r="AC283" s="146"/>
      <c r="AD283" s="146"/>
      <c r="AE283" s="146"/>
      <c r="AF283" s="146"/>
      <c r="AG283" s="146"/>
      <c r="AH283" s="331">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29">
        <f t="shared" si="14"/>
        <v>0</v>
      </c>
      <c r="Q284" s="146"/>
      <c r="R284" s="146"/>
      <c r="S284" s="146"/>
      <c r="T284" s="146"/>
      <c r="U284" s="146"/>
      <c r="V284" s="146"/>
      <c r="W284" s="146"/>
      <c r="X284" s="268"/>
      <c r="Y284" s="331">
        <f t="shared" si="15"/>
        <v>0</v>
      </c>
      <c r="Z284" s="146"/>
      <c r="AA284" s="146"/>
      <c r="AB284" s="146"/>
      <c r="AC284" s="146"/>
      <c r="AD284" s="146"/>
      <c r="AE284" s="146"/>
      <c r="AF284" s="146"/>
      <c r="AG284" s="146"/>
      <c r="AH284" s="331">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29">
        <f t="shared" si="14"/>
        <v>0</v>
      </c>
      <c r="Q285" s="146"/>
      <c r="R285" s="146"/>
      <c r="S285" s="146"/>
      <c r="T285" s="146"/>
      <c r="U285" s="146"/>
      <c r="V285" s="146"/>
      <c r="W285" s="146"/>
      <c r="X285" s="268"/>
      <c r="Y285" s="331">
        <f t="shared" si="15"/>
        <v>0</v>
      </c>
      <c r="Z285" s="146"/>
      <c r="AA285" s="146"/>
      <c r="AB285" s="146"/>
      <c r="AC285" s="146"/>
      <c r="AD285" s="146"/>
      <c r="AE285" s="146"/>
      <c r="AF285" s="146"/>
      <c r="AG285" s="146"/>
      <c r="AH285" s="331">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29">
        <f t="shared" si="14"/>
        <v>0</v>
      </c>
      <c r="Q286" s="146"/>
      <c r="R286" s="146"/>
      <c r="S286" s="146"/>
      <c r="T286" s="146"/>
      <c r="U286" s="146"/>
      <c r="V286" s="146"/>
      <c r="W286" s="146"/>
      <c r="X286" s="268"/>
      <c r="Y286" s="331">
        <f t="shared" si="15"/>
        <v>0</v>
      </c>
      <c r="Z286" s="146"/>
      <c r="AA286" s="146"/>
      <c r="AB286" s="146"/>
      <c r="AC286" s="146"/>
      <c r="AD286" s="146"/>
      <c r="AE286" s="146"/>
      <c r="AF286" s="146"/>
      <c r="AG286" s="146"/>
      <c r="AH286" s="331">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29">
        <f t="shared" si="14"/>
        <v>0</v>
      </c>
      <c r="Q287" s="146"/>
      <c r="R287" s="146"/>
      <c r="S287" s="146"/>
      <c r="T287" s="146"/>
      <c r="U287" s="146"/>
      <c r="V287" s="146"/>
      <c r="W287" s="146"/>
      <c r="X287" s="268"/>
      <c r="Y287" s="331">
        <f t="shared" si="15"/>
        <v>0</v>
      </c>
      <c r="Z287" s="146"/>
      <c r="AA287" s="146"/>
      <c r="AB287" s="146"/>
      <c r="AC287" s="146"/>
      <c r="AD287" s="146"/>
      <c r="AE287" s="146"/>
      <c r="AF287" s="146"/>
      <c r="AG287" s="146"/>
      <c r="AH287" s="331">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29">
        <f t="shared" si="14"/>
        <v>0</v>
      </c>
      <c r="Q288" s="146"/>
      <c r="R288" s="146"/>
      <c r="S288" s="146"/>
      <c r="T288" s="146"/>
      <c r="U288" s="146"/>
      <c r="V288" s="146"/>
      <c r="W288" s="146"/>
      <c r="X288" s="268"/>
      <c r="Y288" s="331">
        <f t="shared" si="15"/>
        <v>0</v>
      </c>
      <c r="Z288" s="146"/>
      <c r="AA288" s="146"/>
      <c r="AB288" s="146"/>
      <c r="AC288" s="146"/>
      <c r="AD288" s="146"/>
      <c r="AE288" s="146"/>
      <c r="AF288" s="146"/>
      <c r="AG288" s="146"/>
      <c r="AH288" s="331">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29">
        <f t="shared" si="14"/>
        <v>0</v>
      </c>
      <c r="Q289" s="146"/>
      <c r="R289" s="146"/>
      <c r="S289" s="146"/>
      <c r="T289" s="146"/>
      <c r="U289" s="146"/>
      <c r="V289" s="146"/>
      <c r="W289" s="146"/>
      <c r="X289" s="268"/>
      <c r="Y289" s="331">
        <f t="shared" si="15"/>
        <v>0</v>
      </c>
      <c r="Z289" s="146"/>
      <c r="AA289" s="146"/>
      <c r="AB289" s="146"/>
      <c r="AC289" s="146"/>
      <c r="AD289" s="146"/>
      <c r="AE289" s="146"/>
      <c r="AF289" s="146"/>
      <c r="AG289" s="146"/>
      <c r="AH289" s="331">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29">
        <f t="shared" si="14"/>
        <v>0</v>
      </c>
      <c r="Q290" s="146"/>
      <c r="R290" s="146"/>
      <c r="S290" s="146"/>
      <c r="T290" s="146"/>
      <c r="U290" s="146"/>
      <c r="V290" s="146"/>
      <c r="W290" s="146"/>
      <c r="X290" s="268"/>
      <c r="Y290" s="331">
        <f t="shared" si="15"/>
        <v>0</v>
      </c>
      <c r="Z290" s="146"/>
      <c r="AA290" s="146"/>
      <c r="AB290" s="146"/>
      <c r="AC290" s="146"/>
      <c r="AD290" s="146"/>
      <c r="AE290" s="146"/>
      <c r="AF290" s="146"/>
      <c r="AG290" s="146"/>
      <c r="AH290" s="331">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29">
        <f t="shared" si="14"/>
        <v>0</v>
      </c>
      <c r="Q291" s="146"/>
      <c r="R291" s="146"/>
      <c r="S291" s="146"/>
      <c r="T291" s="146"/>
      <c r="U291" s="146"/>
      <c r="V291" s="146"/>
      <c r="W291" s="146"/>
      <c r="X291" s="268"/>
      <c r="Y291" s="331">
        <f t="shared" si="15"/>
        <v>0</v>
      </c>
      <c r="Z291" s="146"/>
      <c r="AA291" s="146"/>
      <c r="AB291" s="146"/>
      <c r="AC291" s="146"/>
      <c r="AD291" s="146"/>
      <c r="AE291" s="146"/>
      <c r="AF291" s="146"/>
      <c r="AG291" s="146"/>
      <c r="AH291" s="331">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29">
        <f t="shared" si="14"/>
        <v>0</v>
      </c>
      <c r="Q292" s="146"/>
      <c r="R292" s="146"/>
      <c r="S292" s="146"/>
      <c r="T292" s="146"/>
      <c r="U292" s="146"/>
      <c r="V292" s="146"/>
      <c r="W292" s="146"/>
      <c r="X292" s="268"/>
      <c r="Y292" s="331">
        <f t="shared" si="15"/>
        <v>0</v>
      </c>
      <c r="Z292" s="146"/>
      <c r="AA292" s="146"/>
      <c r="AB292" s="146"/>
      <c r="AC292" s="146"/>
      <c r="AD292" s="146"/>
      <c r="AE292" s="146"/>
      <c r="AF292" s="146"/>
      <c r="AG292" s="146"/>
      <c r="AH292" s="331">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29">
        <f t="shared" si="14"/>
        <v>0</v>
      </c>
      <c r="Q293" s="146"/>
      <c r="R293" s="146"/>
      <c r="S293" s="146"/>
      <c r="T293" s="146"/>
      <c r="U293" s="146"/>
      <c r="V293" s="146"/>
      <c r="W293" s="146"/>
      <c r="X293" s="268"/>
      <c r="Y293" s="331">
        <f t="shared" si="15"/>
        <v>0</v>
      </c>
      <c r="Z293" s="146"/>
      <c r="AA293" s="146"/>
      <c r="AB293" s="146"/>
      <c r="AC293" s="146"/>
      <c r="AD293" s="146"/>
      <c r="AE293" s="146"/>
      <c r="AF293" s="146"/>
      <c r="AG293" s="146"/>
      <c r="AH293" s="331">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29">
        <f t="shared" si="14"/>
        <v>0</v>
      </c>
      <c r="Q294" s="146"/>
      <c r="R294" s="146"/>
      <c r="S294" s="146"/>
      <c r="T294" s="146"/>
      <c r="U294" s="146"/>
      <c r="V294" s="146"/>
      <c r="W294" s="146"/>
      <c r="X294" s="268"/>
      <c r="Y294" s="331">
        <f t="shared" si="15"/>
        <v>0</v>
      </c>
      <c r="Z294" s="146"/>
      <c r="AA294" s="146"/>
      <c r="AB294" s="146"/>
      <c r="AC294" s="146"/>
      <c r="AD294" s="146"/>
      <c r="AE294" s="146"/>
      <c r="AF294" s="146"/>
      <c r="AG294" s="146"/>
      <c r="AH294" s="331">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29">
        <f t="shared" si="14"/>
        <v>0</v>
      </c>
      <c r="Q295" s="146"/>
      <c r="R295" s="146"/>
      <c r="S295" s="146"/>
      <c r="T295" s="146"/>
      <c r="U295" s="146"/>
      <c r="V295" s="146"/>
      <c r="W295" s="146"/>
      <c r="X295" s="268"/>
      <c r="Y295" s="331">
        <f t="shared" si="15"/>
        <v>0</v>
      </c>
      <c r="Z295" s="146"/>
      <c r="AA295" s="146"/>
      <c r="AB295" s="146"/>
      <c r="AC295" s="146"/>
      <c r="AD295" s="146"/>
      <c r="AE295" s="146"/>
      <c r="AF295" s="146"/>
      <c r="AG295" s="146"/>
      <c r="AH295" s="331">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29">
        <f t="shared" si="14"/>
        <v>0</v>
      </c>
      <c r="Q296" s="146"/>
      <c r="R296" s="146"/>
      <c r="S296" s="146"/>
      <c r="T296" s="146"/>
      <c r="U296" s="146"/>
      <c r="V296" s="146"/>
      <c r="W296" s="146"/>
      <c r="X296" s="268"/>
      <c r="Y296" s="331">
        <f t="shared" si="15"/>
        <v>0</v>
      </c>
      <c r="Z296" s="146"/>
      <c r="AA296" s="146"/>
      <c r="AB296" s="146"/>
      <c r="AC296" s="146"/>
      <c r="AD296" s="146"/>
      <c r="AE296" s="146"/>
      <c r="AF296" s="146"/>
      <c r="AG296" s="146"/>
      <c r="AH296" s="331">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29">
        <f t="shared" si="14"/>
        <v>0</v>
      </c>
      <c r="Q297" s="146"/>
      <c r="R297" s="146"/>
      <c r="S297" s="146"/>
      <c r="T297" s="146"/>
      <c r="U297" s="146"/>
      <c r="V297" s="146"/>
      <c r="W297" s="146"/>
      <c r="X297" s="268"/>
      <c r="Y297" s="331">
        <f t="shared" si="15"/>
        <v>0</v>
      </c>
      <c r="Z297" s="146"/>
      <c r="AA297" s="146"/>
      <c r="AB297" s="146"/>
      <c r="AC297" s="146"/>
      <c r="AD297" s="146"/>
      <c r="AE297" s="146"/>
      <c r="AF297" s="146"/>
      <c r="AG297" s="146"/>
      <c r="AH297" s="331">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29">
        <f t="shared" si="14"/>
        <v>0</v>
      </c>
      <c r="Q298" s="146"/>
      <c r="R298" s="146"/>
      <c r="S298" s="146"/>
      <c r="T298" s="146"/>
      <c r="U298" s="146"/>
      <c r="V298" s="146"/>
      <c r="W298" s="146"/>
      <c r="X298" s="268"/>
      <c r="Y298" s="331">
        <f t="shared" si="15"/>
        <v>0</v>
      </c>
      <c r="Z298" s="146"/>
      <c r="AA298" s="146"/>
      <c r="AB298" s="146"/>
      <c r="AC298" s="146"/>
      <c r="AD298" s="146"/>
      <c r="AE298" s="146"/>
      <c r="AF298" s="146"/>
      <c r="AG298" s="146"/>
      <c r="AH298" s="331">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29">
        <f t="shared" si="14"/>
        <v>0</v>
      </c>
      <c r="Q299" s="146"/>
      <c r="R299" s="146"/>
      <c r="S299" s="146"/>
      <c r="T299" s="146"/>
      <c r="U299" s="146"/>
      <c r="V299" s="146"/>
      <c r="W299" s="146"/>
      <c r="X299" s="268"/>
      <c r="Y299" s="331">
        <f t="shared" si="15"/>
        <v>0</v>
      </c>
      <c r="Z299" s="146"/>
      <c r="AA299" s="146"/>
      <c r="AB299" s="146"/>
      <c r="AC299" s="146"/>
      <c r="AD299" s="146"/>
      <c r="AE299" s="146"/>
      <c r="AF299" s="146"/>
      <c r="AG299" s="146"/>
      <c r="AH299" s="331">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29">
        <f t="shared" si="14"/>
        <v>0</v>
      </c>
      <c r="Q300" s="146"/>
      <c r="R300" s="146"/>
      <c r="S300" s="146"/>
      <c r="T300" s="146"/>
      <c r="U300" s="146"/>
      <c r="V300" s="146"/>
      <c r="W300" s="146"/>
      <c r="X300" s="268"/>
      <c r="Y300" s="331">
        <f t="shared" si="15"/>
        <v>0</v>
      </c>
      <c r="Z300" s="146"/>
      <c r="AA300" s="146"/>
      <c r="AB300" s="146"/>
      <c r="AC300" s="146"/>
      <c r="AD300" s="146"/>
      <c r="AE300" s="146"/>
      <c r="AF300" s="146"/>
      <c r="AG300" s="146"/>
      <c r="AH300" s="331">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29">
        <f t="shared" si="14"/>
        <v>0</v>
      </c>
      <c r="Q301" s="146"/>
      <c r="R301" s="146"/>
      <c r="S301" s="146"/>
      <c r="T301" s="146"/>
      <c r="U301" s="146"/>
      <c r="V301" s="146"/>
      <c r="W301" s="146"/>
      <c r="X301" s="268"/>
      <c r="Y301" s="331">
        <f t="shared" si="15"/>
        <v>0</v>
      </c>
      <c r="Z301" s="146"/>
      <c r="AA301" s="146"/>
      <c r="AB301" s="146"/>
      <c r="AC301" s="146"/>
      <c r="AD301" s="146"/>
      <c r="AE301" s="146"/>
      <c r="AF301" s="146"/>
      <c r="AG301" s="146"/>
      <c r="AH301" s="331">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29">
        <f t="shared" si="14"/>
        <v>0</v>
      </c>
      <c r="Q302" s="146"/>
      <c r="R302" s="146"/>
      <c r="S302" s="146"/>
      <c r="T302" s="146"/>
      <c r="U302" s="146"/>
      <c r="V302" s="146"/>
      <c r="W302" s="146"/>
      <c r="X302" s="268"/>
      <c r="Y302" s="331">
        <f t="shared" si="15"/>
        <v>0</v>
      </c>
      <c r="Z302" s="146"/>
      <c r="AA302" s="146"/>
      <c r="AB302" s="146"/>
      <c r="AC302" s="146"/>
      <c r="AD302" s="146"/>
      <c r="AE302" s="146"/>
      <c r="AF302" s="146"/>
      <c r="AG302" s="146"/>
      <c r="AH302" s="331">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29">
        <f t="shared" si="14"/>
        <v>0</v>
      </c>
      <c r="Q303" s="146"/>
      <c r="R303" s="146"/>
      <c r="S303" s="146"/>
      <c r="T303" s="146"/>
      <c r="U303" s="146"/>
      <c r="V303" s="146"/>
      <c r="W303" s="146"/>
      <c r="X303" s="268"/>
      <c r="Y303" s="331">
        <f t="shared" si="15"/>
        <v>0</v>
      </c>
      <c r="Z303" s="146"/>
      <c r="AA303" s="146"/>
      <c r="AB303" s="146"/>
      <c r="AC303" s="146"/>
      <c r="AD303" s="146"/>
      <c r="AE303" s="146"/>
      <c r="AF303" s="146"/>
      <c r="AG303" s="146"/>
      <c r="AH303" s="331">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29">
        <f t="shared" si="14"/>
        <v>0</v>
      </c>
      <c r="Q304" s="146"/>
      <c r="R304" s="146"/>
      <c r="S304" s="146"/>
      <c r="T304" s="146"/>
      <c r="U304" s="146"/>
      <c r="V304" s="146"/>
      <c r="W304" s="146"/>
      <c r="X304" s="268"/>
      <c r="Y304" s="331">
        <f t="shared" si="15"/>
        <v>0</v>
      </c>
      <c r="Z304" s="146"/>
      <c r="AA304" s="146"/>
      <c r="AB304" s="146"/>
      <c r="AC304" s="146"/>
      <c r="AD304" s="146"/>
      <c r="AE304" s="146"/>
      <c r="AF304" s="146"/>
      <c r="AG304" s="146"/>
      <c r="AH304" s="331">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29">
        <f t="shared" si="14"/>
        <v>0</v>
      </c>
      <c r="Q305" s="146"/>
      <c r="R305" s="146"/>
      <c r="S305" s="146"/>
      <c r="T305" s="146"/>
      <c r="U305" s="146"/>
      <c r="V305" s="146"/>
      <c r="W305" s="146"/>
      <c r="X305" s="268"/>
      <c r="Y305" s="331">
        <f t="shared" si="15"/>
        <v>0</v>
      </c>
      <c r="Z305" s="146"/>
      <c r="AA305" s="146"/>
      <c r="AB305" s="146"/>
      <c r="AC305" s="146"/>
      <c r="AD305" s="146"/>
      <c r="AE305" s="146"/>
      <c r="AF305" s="146"/>
      <c r="AG305" s="146"/>
      <c r="AH305" s="331">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29">
        <f t="shared" si="14"/>
        <v>0</v>
      </c>
      <c r="Q306" s="146"/>
      <c r="R306" s="146"/>
      <c r="S306" s="146"/>
      <c r="T306" s="146"/>
      <c r="U306" s="146"/>
      <c r="V306" s="146"/>
      <c r="W306" s="146"/>
      <c r="X306" s="268"/>
      <c r="Y306" s="331">
        <f t="shared" si="15"/>
        <v>0</v>
      </c>
      <c r="Z306" s="146"/>
      <c r="AA306" s="146"/>
      <c r="AB306" s="146"/>
      <c r="AC306" s="146"/>
      <c r="AD306" s="146"/>
      <c r="AE306" s="146"/>
      <c r="AF306" s="146"/>
      <c r="AG306" s="146"/>
      <c r="AH306" s="331">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29">
        <f t="shared" si="14"/>
        <v>0</v>
      </c>
      <c r="Q307" s="146"/>
      <c r="R307" s="146"/>
      <c r="S307" s="146"/>
      <c r="T307" s="146"/>
      <c r="U307" s="146"/>
      <c r="V307" s="146"/>
      <c r="W307" s="146"/>
      <c r="X307" s="268"/>
      <c r="Y307" s="331">
        <f t="shared" si="15"/>
        <v>0</v>
      </c>
      <c r="Z307" s="146"/>
      <c r="AA307" s="146"/>
      <c r="AB307" s="146"/>
      <c r="AC307" s="146"/>
      <c r="AD307" s="146"/>
      <c r="AE307" s="146"/>
      <c r="AF307" s="146"/>
      <c r="AG307" s="146"/>
      <c r="AH307" s="331">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29">
        <f t="shared" si="14"/>
        <v>0</v>
      </c>
      <c r="Q308" s="146"/>
      <c r="R308" s="146"/>
      <c r="S308" s="146"/>
      <c r="T308" s="146"/>
      <c r="U308" s="146"/>
      <c r="V308" s="146"/>
      <c r="W308" s="146"/>
      <c r="X308" s="268"/>
      <c r="Y308" s="331">
        <f t="shared" si="15"/>
        <v>0</v>
      </c>
      <c r="Z308" s="146"/>
      <c r="AA308" s="146"/>
      <c r="AB308" s="146"/>
      <c r="AC308" s="146"/>
      <c r="AD308" s="146"/>
      <c r="AE308" s="146"/>
      <c r="AF308" s="146"/>
      <c r="AG308" s="146"/>
      <c r="AH308" s="331">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29">
        <f t="shared" si="14"/>
        <v>0</v>
      </c>
      <c r="Q309" s="146"/>
      <c r="R309" s="146"/>
      <c r="S309" s="146"/>
      <c r="T309" s="146"/>
      <c r="U309" s="146"/>
      <c r="V309" s="146"/>
      <c r="W309" s="146"/>
      <c r="X309" s="268"/>
      <c r="Y309" s="331">
        <f t="shared" si="15"/>
        <v>0</v>
      </c>
      <c r="Z309" s="146"/>
      <c r="AA309" s="146"/>
      <c r="AB309" s="146"/>
      <c r="AC309" s="146"/>
      <c r="AD309" s="146"/>
      <c r="AE309" s="146"/>
      <c r="AF309" s="146"/>
      <c r="AG309" s="146"/>
      <c r="AH309" s="331">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29">
        <f t="shared" si="14"/>
        <v>0</v>
      </c>
      <c r="Q310" s="146"/>
      <c r="R310" s="146"/>
      <c r="S310" s="146"/>
      <c r="T310" s="146"/>
      <c r="U310" s="146"/>
      <c r="V310" s="146"/>
      <c r="W310" s="146"/>
      <c r="X310" s="268"/>
      <c r="Y310" s="331">
        <f t="shared" si="15"/>
        <v>0</v>
      </c>
      <c r="Z310" s="146"/>
      <c r="AA310" s="146"/>
      <c r="AB310" s="146"/>
      <c r="AC310" s="146"/>
      <c r="AD310" s="146"/>
      <c r="AE310" s="146"/>
      <c r="AF310" s="146"/>
      <c r="AG310" s="146"/>
      <c r="AH310" s="331">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29">
        <f t="shared" si="14"/>
        <v>0</v>
      </c>
      <c r="Q311" s="146"/>
      <c r="R311" s="146"/>
      <c r="S311" s="146"/>
      <c r="T311" s="146"/>
      <c r="U311" s="146"/>
      <c r="V311" s="146"/>
      <c r="W311" s="146"/>
      <c r="X311" s="268"/>
      <c r="Y311" s="331">
        <f t="shared" si="15"/>
        <v>0</v>
      </c>
      <c r="Z311" s="146"/>
      <c r="AA311" s="146"/>
      <c r="AB311" s="146"/>
      <c r="AC311" s="146"/>
      <c r="AD311" s="146"/>
      <c r="AE311" s="146"/>
      <c r="AF311" s="146"/>
      <c r="AG311" s="146"/>
      <c r="AH311" s="331">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29">
        <f t="shared" si="14"/>
        <v>0</v>
      </c>
      <c r="Q312" s="146"/>
      <c r="R312" s="146"/>
      <c r="S312" s="146"/>
      <c r="T312" s="146"/>
      <c r="U312" s="146"/>
      <c r="V312" s="146"/>
      <c r="W312" s="146"/>
      <c r="X312" s="268"/>
      <c r="Y312" s="331">
        <f t="shared" si="15"/>
        <v>0</v>
      </c>
      <c r="Z312" s="146"/>
      <c r="AA312" s="146"/>
      <c r="AB312" s="146"/>
      <c r="AC312" s="146"/>
      <c r="AD312" s="146"/>
      <c r="AE312" s="146"/>
      <c r="AF312" s="146"/>
      <c r="AG312" s="146"/>
      <c r="AH312" s="331">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29">
        <f t="shared" si="14"/>
        <v>0</v>
      </c>
      <c r="Q313" s="146"/>
      <c r="R313" s="146"/>
      <c r="S313" s="146"/>
      <c r="T313" s="146"/>
      <c r="U313" s="146"/>
      <c r="V313" s="146"/>
      <c r="W313" s="146"/>
      <c r="X313" s="268"/>
      <c r="Y313" s="331">
        <f t="shared" si="15"/>
        <v>0</v>
      </c>
      <c r="Z313" s="146"/>
      <c r="AA313" s="146"/>
      <c r="AB313" s="146"/>
      <c r="AC313" s="146"/>
      <c r="AD313" s="146"/>
      <c r="AE313" s="146"/>
      <c r="AF313" s="146"/>
      <c r="AG313" s="146"/>
      <c r="AH313" s="331">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29">
        <f t="shared" si="14"/>
        <v>0</v>
      </c>
      <c r="Q314" s="146"/>
      <c r="R314" s="146"/>
      <c r="S314" s="146"/>
      <c r="T314" s="146"/>
      <c r="U314" s="146"/>
      <c r="V314" s="146"/>
      <c r="W314" s="146"/>
      <c r="X314" s="268"/>
      <c r="Y314" s="331">
        <f t="shared" si="15"/>
        <v>0</v>
      </c>
      <c r="Z314" s="146"/>
      <c r="AA314" s="146"/>
      <c r="AB314" s="146"/>
      <c r="AC314" s="146"/>
      <c r="AD314" s="146"/>
      <c r="AE314" s="146"/>
      <c r="AF314" s="146"/>
      <c r="AG314" s="146"/>
      <c r="AH314" s="331">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29">
        <f t="shared" si="14"/>
        <v>0</v>
      </c>
      <c r="Q315" s="146"/>
      <c r="R315" s="146"/>
      <c r="S315" s="146"/>
      <c r="T315" s="146"/>
      <c r="U315" s="146"/>
      <c r="V315" s="146"/>
      <c r="W315" s="146"/>
      <c r="X315" s="268"/>
      <c r="Y315" s="331">
        <f t="shared" si="15"/>
        <v>0</v>
      </c>
      <c r="Z315" s="146"/>
      <c r="AA315" s="146"/>
      <c r="AB315" s="146"/>
      <c r="AC315" s="146"/>
      <c r="AD315" s="146"/>
      <c r="AE315" s="146"/>
      <c r="AF315" s="146"/>
      <c r="AG315" s="146"/>
      <c r="AH315" s="331">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29">
        <f t="shared" si="14"/>
        <v>0</v>
      </c>
      <c r="Q316" s="146"/>
      <c r="R316" s="146"/>
      <c r="S316" s="146"/>
      <c r="T316" s="146"/>
      <c r="U316" s="146"/>
      <c r="V316" s="146"/>
      <c r="W316" s="146"/>
      <c r="X316" s="268"/>
      <c r="Y316" s="331">
        <f t="shared" si="15"/>
        <v>0</v>
      </c>
      <c r="Z316" s="146"/>
      <c r="AA316" s="146"/>
      <c r="AB316" s="146"/>
      <c r="AC316" s="146"/>
      <c r="AD316" s="146"/>
      <c r="AE316" s="146"/>
      <c r="AF316" s="146"/>
      <c r="AG316" s="146"/>
      <c r="AH316" s="331">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29">
        <f t="shared" si="14"/>
        <v>0</v>
      </c>
      <c r="Q317" s="146"/>
      <c r="R317" s="146"/>
      <c r="S317" s="146"/>
      <c r="T317" s="146"/>
      <c r="U317" s="146"/>
      <c r="V317" s="146"/>
      <c r="W317" s="146"/>
      <c r="X317" s="268"/>
      <c r="Y317" s="331">
        <f t="shared" si="15"/>
        <v>0</v>
      </c>
      <c r="Z317" s="146"/>
      <c r="AA317" s="146"/>
      <c r="AB317" s="146"/>
      <c r="AC317" s="146"/>
      <c r="AD317" s="146"/>
      <c r="AE317" s="146"/>
      <c r="AF317" s="146"/>
      <c r="AG317" s="146"/>
      <c r="AH317" s="331">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29">
        <f t="shared" si="14"/>
        <v>0</v>
      </c>
      <c r="Q318" s="146"/>
      <c r="R318" s="146"/>
      <c r="S318" s="146"/>
      <c r="T318" s="146"/>
      <c r="U318" s="146"/>
      <c r="V318" s="146"/>
      <c r="W318" s="146"/>
      <c r="X318" s="268"/>
      <c r="Y318" s="331">
        <f t="shared" si="15"/>
        <v>0</v>
      </c>
      <c r="Z318" s="146"/>
      <c r="AA318" s="146"/>
      <c r="AB318" s="146"/>
      <c r="AC318" s="146"/>
      <c r="AD318" s="146"/>
      <c r="AE318" s="146"/>
      <c r="AF318" s="146"/>
      <c r="AG318" s="146"/>
      <c r="AH318" s="331">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29">
        <f t="shared" si="14"/>
        <v>0</v>
      </c>
      <c r="Q319" s="146"/>
      <c r="R319" s="146"/>
      <c r="S319" s="146"/>
      <c r="T319" s="146"/>
      <c r="U319" s="146"/>
      <c r="V319" s="146"/>
      <c r="W319" s="146"/>
      <c r="X319" s="268"/>
      <c r="Y319" s="331">
        <f t="shared" si="15"/>
        <v>0</v>
      </c>
      <c r="Z319" s="146"/>
      <c r="AA319" s="146"/>
      <c r="AB319" s="146"/>
      <c r="AC319" s="146"/>
      <c r="AD319" s="146"/>
      <c r="AE319" s="146"/>
      <c r="AF319" s="146"/>
      <c r="AG319" s="146"/>
      <c r="AH319" s="331">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29">
        <f t="shared" si="14"/>
        <v>0</v>
      </c>
      <c r="Q320" s="146"/>
      <c r="R320" s="146"/>
      <c r="S320" s="146"/>
      <c r="T320" s="146"/>
      <c r="U320" s="146"/>
      <c r="V320" s="146"/>
      <c r="W320" s="146"/>
      <c r="X320" s="268"/>
      <c r="Y320" s="331">
        <f t="shared" si="15"/>
        <v>0</v>
      </c>
      <c r="Z320" s="146"/>
      <c r="AA320" s="146"/>
      <c r="AB320" s="146"/>
      <c r="AC320" s="146"/>
      <c r="AD320" s="146"/>
      <c r="AE320" s="146"/>
      <c r="AF320" s="146"/>
      <c r="AG320" s="146"/>
      <c r="AH320" s="331">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29">
        <f t="shared" si="14"/>
        <v>0</v>
      </c>
      <c r="Q321" s="146"/>
      <c r="R321" s="146"/>
      <c r="S321" s="146"/>
      <c r="T321" s="146"/>
      <c r="U321" s="146"/>
      <c r="V321" s="146"/>
      <c r="W321" s="146"/>
      <c r="X321" s="268"/>
      <c r="Y321" s="331">
        <f t="shared" si="15"/>
        <v>0</v>
      </c>
      <c r="Z321" s="146"/>
      <c r="AA321" s="146"/>
      <c r="AB321" s="146"/>
      <c r="AC321" s="146"/>
      <c r="AD321" s="146"/>
      <c r="AE321" s="146"/>
      <c r="AF321" s="146"/>
      <c r="AG321" s="146"/>
      <c r="AH321" s="331">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29">
        <f t="shared" si="14"/>
        <v>0</v>
      </c>
      <c r="Q322" s="146"/>
      <c r="R322" s="146"/>
      <c r="S322" s="146"/>
      <c r="T322" s="146"/>
      <c r="U322" s="146"/>
      <c r="V322" s="146"/>
      <c r="W322" s="146"/>
      <c r="X322" s="268"/>
      <c r="Y322" s="331">
        <f t="shared" si="15"/>
        <v>0</v>
      </c>
      <c r="Z322" s="146"/>
      <c r="AA322" s="146"/>
      <c r="AB322" s="146"/>
      <c r="AC322" s="146"/>
      <c r="AD322" s="146"/>
      <c r="AE322" s="146"/>
      <c r="AF322" s="146"/>
      <c r="AG322" s="146"/>
      <c r="AH322" s="331">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29">
        <f t="shared" si="14"/>
        <v>0</v>
      </c>
      <c r="Q323" s="146"/>
      <c r="R323" s="146"/>
      <c r="S323" s="146"/>
      <c r="T323" s="146"/>
      <c r="U323" s="146"/>
      <c r="V323" s="146"/>
      <c r="W323" s="146"/>
      <c r="X323" s="268"/>
      <c r="Y323" s="331">
        <f t="shared" si="15"/>
        <v>0</v>
      </c>
      <c r="Z323" s="146"/>
      <c r="AA323" s="146"/>
      <c r="AB323" s="146"/>
      <c r="AC323" s="146"/>
      <c r="AD323" s="146"/>
      <c r="AE323" s="146"/>
      <c r="AF323" s="146"/>
      <c r="AG323" s="146"/>
      <c r="AH323" s="331">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29">
        <f t="shared" si="14"/>
        <v>0</v>
      </c>
      <c r="Q324" s="146"/>
      <c r="R324" s="146"/>
      <c r="S324" s="146"/>
      <c r="T324" s="146"/>
      <c r="U324" s="146"/>
      <c r="V324" s="146"/>
      <c r="W324" s="146"/>
      <c r="X324" s="268"/>
      <c r="Y324" s="331">
        <f t="shared" si="15"/>
        <v>0</v>
      </c>
      <c r="Z324" s="146"/>
      <c r="AA324" s="146"/>
      <c r="AB324" s="146"/>
      <c r="AC324" s="146"/>
      <c r="AD324" s="146"/>
      <c r="AE324" s="146"/>
      <c r="AF324" s="146"/>
      <c r="AG324" s="146"/>
      <c r="AH324" s="331">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29">
        <f t="shared" si="14"/>
        <v>0</v>
      </c>
      <c r="Q325" s="146"/>
      <c r="R325" s="146"/>
      <c r="S325" s="146"/>
      <c r="T325" s="146"/>
      <c r="U325" s="146"/>
      <c r="V325" s="146"/>
      <c r="W325" s="146"/>
      <c r="X325" s="268"/>
      <c r="Y325" s="331">
        <f t="shared" si="15"/>
        <v>0</v>
      </c>
      <c r="Z325" s="146"/>
      <c r="AA325" s="146"/>
      <c r="AB325" s="146"/>
      <c r="AC325" s="146"/>
      <c r="AD325" s="146"/>
      <c r="AE325" s="146"/>
      <c r="AF325" s="146"/>
      <c r="AG325" s="146"/>
      <c r="AH325" s="331">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29">
        <f t="shared" si="14"/>
        <v>0</v>
      </c>
      <c r="Q326" s="146"/>
      <c r="R326" s="146"/>
      <c r="S326" s="146"/>
      <c r="T326" s="146"/>
      <c r="U326" s="146"/>
      <c r="V326" s="146"/>
      <c r="W326" s="146"/>
      <c r="X326" s="268"/>
      <c r="Y326" s="331">
        <f t="shared" si="15"/>
        <v>0</v>
      </c>
      <c r="Z326" s="146"/>
      <c r="AA326" s="146"/>
      <c r="AB326" s="146"/>
      <c r="AC326" s="146"/>
      <c r="AD326" s="146"/>
      <c r="AE326" s="146"/>
      <c r="AF326" s="146"/>
      <c r="AG326" s="146"/>
      <c r="AH326" s="331">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29">
        <f t="shared" si="14"/>
        <v>0</v>
      </c>
      <c r="Q327" s="146"/>
      <c r="R327" s="146"/>
      <c r="S327" s="146"/>
      <c r="T327" s="146"/>
      <c r="U327" s="146"/>
      <c r="V327" s="146"/>
      <c r="W327" s="146"/>
      <c r="X327" s="268"/>
      <c r="Y327" s="331">
        <f t="shared" si="15"/>
        <v>0</v>
      </c>
      <c r="Z327" s="146"/>
      <c r="AA327" s="146"/>
      <c r="AB327" s="146"/>
      <c r="AC327" s="146"/>
      <c r="AD327" s="146"/>
      <c r="AE327" s="146"/>
      <c r="AF327" s="146"/>
      <c r="AG327" s="146"/>
      <c r="AH327" s="331">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29">
        <f t="shared" si="14"/>
        <v>0</v>
      </c>
      <c r="Q328" s="146"/>
      <c r="R328" s="146"/>
      <c r="S328" s="146"/>
      <c r="T328" s="146"/>
      <c r="U328" s="146"/>
      <c r="V328" s="146"/>
      <c r="W328" s="146"/>
      <c r="X328" s="268"/>
      <c r="Y328" s="331">
        <f t="shared" si="15"/>
        <v>0</v>
      </c>
      <c r="Z328" s="146"/>
      <c r="AA328" s="146"/>
      <c r="AB328" s="146"/>
      <c r="AC328" s="146"/>
      <c r="AD328" s="146"/>
      <c r="AE328" s="146"/>
      <c r="AF328" s="146"/>
      <c r="AG328" s="146"/>
      <c r="AH328" s="331">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29">
        <f t="shared" si="14"/>
        <v>0</v>
      </c>
      <c r="Q329" s="146"/>
      <c r="R329" s="146"/>
      <c r="S329" s="146"/>
      <c r="T329" s="146"/>
      <c r="U329" s="146"/>
      <c r="V329" s="146"/>
      <c r="W329" s="146"/>
      <c r="X329" s="268"/>
      <c r="Y329" s="331">
        <f t="shared" si="15"/>
        <v>0</v>
      </c>
      <c r="Z329" s="146"/>
      <c r="AA329" s="146"/>
      <c r="AB329" s="146"/>
      <c r="AC329" s="146"/>
      <c r="AD329" s="146"/>
      <c r="AE329" s="146"/>
      <c r="AF329" s="146"/>
      <c r="AG329" s="146"/>
      <c r="AH329" s="331">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29">
        <f t="shared" si="14"/>
        <v>0</v>
      </c>
      <c r="Q330" s="146"/>
      <c r="R330" s="146"/>
      <c r="S330" s="146"/>
      <c r="T330" s="146"/>
      <c r="U330" s="146"/>
      <c r="V330" s="146"/>
      <c r="W330" s="146"/>
      <c r="X330" s="268"/>
      <c r="Y330" s="331">
        <f t="shared" si="15"/>
        <v>0</v>
      </c>
      <c r="Z330" s="146"/>
      <c r="AA330" s="146"/>
      <c r="AB330" s="146"/>
      <c r="AC330" s="146"/>
      <c r="AD330" s="146"/>
      <c r="AE330" s="146"/>
      <c r="AF330" s="146"/>
      <c r="AG330" s="146"/>
      <c r="AH330" s="331">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29">
        <f t="shared" si="14"/>
        <v>0</v>
      </c>
      <c r="Q331" s="146"/>
      <c r="R331" s="146"/>
      <c r="S331" s="146"/>
      <c r="T331" s="146"/>
      <c r="U331" s="146"/>
      <c r="V331" s="146"/>
      <c r="W331" s="146"/>
      <c r="X331" s="268"/>
      <c r="Y331" s="331">
        <f t="shared" si="15"/>
        <v>0</v>
      </c>
      <c r="Z331" s="146"/>
      <c r="AA331" s="146"/>
      <c r="AB331" s="146"/>
      <c r="AC331" s="146"/>
      <c r="AD331" s="146"/>
      <c r="AE331" s="146"/>
      <c r="AF331" s="146"/>
      <c r="AG331" s="146"/>
      <c r="AH331" s="331">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29">
        <f t="shared" si="14"/>
        <v>0</v>
      </c>
      <c r="Q332" s="146"/>
      <c r="R332" s="146"/>
      <c r="S332" s="146"/>
      <c r="T332" s="146"/>
      <c r="U332" s="146"/>
      <c r="V332" s="146"/>
      <c r="W332" s="146"/>
      <c r="X332" s="268"/>
      <c r="Y332" s="331">
        <f t="shared" si="15"/>
        <v>0</v>
      </c>
      <c r="Z332" s="146"/>
      <c r="AA332" s="146"/>
      <c r="AB332" s="146"/>
      <c r="AC332" s="146"/>
      <c r="AD332" s="146"/>
      <c r="AE332" s="146"/>
      <c r="AF332" s="146"/>
      <c r="AG332" s="146"/>
      <c r="AH332" s="331">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29">
        <f t="shared" ref="P333:P396" si="17">SUM(H333:N333)</f>
        <v>0</v>
      </c>
      <c r="Q333" s="146"/>
      <c r="R333" s="146"/>
      <c r="S333" s="146"/>
      <c r="T333" s="146"/>
      <c r="U333" s="146"/>
      <c r="V333" s="146"/>
      <c r="W333" s="146"/>
      <c r="X333" s="268"/>
      <c r="Y333" s="331">
        <f t="shared" ref="Y333:Y396" si="18">SUM(Q333:W333)</f>
        <v>0</v>
      </c>
      <c r="Z333" s="146"/>
      <c r="AA333" s="146"/>
      <c r="AB333" s="146"/>
      <c r="AC333" s="146"/>
      <c r="AD333" s="146"/>
      <c r="AE333" s="146"/>
      <c r="AF333" s="146"/>
      <c r="AG333" s="146"/>
      <c r="AH333" s="331">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29">
        <f t="shared" si="17"/>
        <v>0</v>
      </c>
      <c r="Q334" s="146"/>
      <c r="R334" s="146"/>
      <c r="S334" s="146"/>
      <c r="T334" s="146"/>
      <c r="U334" s="146"/>
      <c r="V334" s="146"/>
      <c r="W334" s="146"/>
      <c r="X334" s="268"/>
      <c r="Y334" s="331">
        <f t="shared" si="18"/>
        <v>0</v>
      </c>
      <c r="Z334" s="146"/>
      <c r="AA334" s="146"/>
      <c r="AB334" s="146"/>
      <c r="AC334" s="146"/>
      <c r="AD334" s="146"/>
      <c r="AE334" s="146"/>
      <c r="AF334" s="146"/>
      <c r="AG334" s="146"/>
      <c r="AH334" s="331">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29">
        <f t="shared" si="17"/>
        <v>0</v>
      </c>
      <c r="Q335" s="146"/>
      <c r="R335" s="146"/>
      <c r="S335" s="146"/>
      <c r="T335" s="146"/>
      <c r="U335" s="146"/>
      <c r="V335" s="146"/>
      <c r="W335" s="146"/>
      <c r="X335" s="268"/>
      <c r="Y335" s="331">
        <f t="shared" si="18"/>
        <v>0</v>
      </c>
      <c r="Z335" s="146"/>
      <c r="AA335" s="146"/>
      <c r="AB335" s="146"/>
      <c r="AC335" s="146"/>
      <c r="AD335" s="146"/>
      <c r="AE335" s="146"/>
      <c r="AF335" s="146"/>
      <c r="AG335" s="146"/>
      <c r="AH335" s="331">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29">
        <f t="shared" si="17"/>
        <v>0</v>
      </c>
      <c r="Q336" s="146"/>
      <c r="R336" s="146"/>
      <c r="S336" s="146"/>
      <c r="T336" s="146"/>
      <c r="U336" s="146"/>
      <c r="V336" s="146"/>
      <c r="W336" s="146"/>
      <c r="X336" s="268"/>
      <c r="Y336" s="331">
        <f t="shared" si="18"/>
        <v>0</v>
      </c>
      <c r="Z336" s="146"/>
      <c r="AA336" s="146"/>
      <c r="AB336" s="146"/>
      <c r="AC336" s="146"/>
      <c r="AD336" s="146"/>
      <c r="AE336" s="146"/>
      <c r="AF336" s="146"/>
      <c r="AG336" s="146"/>
      <c r="AH336" s="331">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29">
        <f t="shared" si="17"/>
        <v>0</v>
      </c>
      <c r="Q337" s="146"/>
      <c r="R337" s="146"/>
      <c r="S337" s="146"/>
      <c r="T337" s="146"/>
      <c r="U337" s="146"/>
      <c r="V337" s="146"/>
      <c r="W337" s="146"/>
      <c r="X337" s="268"/>
      <c r="Y337" s="331">
        <f t="shared" si="18"/>
        <v>0</v>
      </c>
      <c r="Z337" s="146"/>
      <c r="AA337" s="146"/>
      <c r="AB337" s="146"/>
      <c r="AC337" s="146"/>
      <c r="AD337" s="146"/>
      <c r="AE337" s="146"/>
      <c r="AF337" s="146"/>
      <c r="AG337" s="146"/>
      <c r="AH337" s="331">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29">
        <f t="shared" si="17"/>
        <v>0</v>
      </c>
      <c r="Q338" s="146"/>
      <c r="R338" s="146"/>
      <c r="S338" s="146"/>
      <c r="T338" s="146"/>
      <c r="U338" s="146"/>
      <c r="V338" s="146"/>
      <c r="W338" s="146"/>
      <c r="X338" s="268"/>
      <c r="Y338" s="331">
        <f t="shared" si="18"/>
        <v>0</v>
      </c>
      <c r="Z338" s="146"/>
      <c r="AA338" s="146"/>
      <c r="AB338" s="146"/>
      <c r="AC338" s="146"/>
      <c r="AD338" s="146"/>
      <c r="AE338" s="146"/>
      <c r="AF338" s="146"/>
      <c r="AG338" s="146"/>
      <c r="AH338" s="331">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29">
        <f t="shared" si="17"/>
        <v>0</v>
      </c>
      <c r="Q339" s="146"/>
      <c r="R339" s="146"/>
      <c r="S339" s="146"/>
      <c r="T339" s="146"/>
      <c r="U339" s="146"/>
      <c r="V339" s="146"/>
      <c r="W339" s="146"/>
      <c r="X339" s="268"/>
      <c r="Y339" s="331">
        <f t="shared" si="18"/>
        <v>0</v>
      </c>
      <c r="Z339" s="146"/>
      <c r="AA339" s="146"/>
      <c r="AB339" s="146"/>
      <c r="AC339" s="146"/>
      <c r="AD339" s="146"/>
      <c r="AE339" s="146"/>
      <c r="AF339" s="146"/>
      <c r="AG339" s="146"/>
      <c r="AH339" s="331">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29">
        <f t="shared" si="17"/>
        <v>0</v>
      </c>
      <c r="Q340" s="146"/>
      <c r="R340" s="146"/>
      <c r="S340" s="146"/>
      <c r="T340" s="146"/>
      <c r="U340" s="146"/>
      <c r="V340" s="146"/>
      <c r="W340" s="146"/>
      <c r="X340" s="268"/>
      <c r="Y340" s="331">
        <f t="shared" si="18"/>
        <v>0</v>
      </c>
      <c r="Z340" s="146"/>
      <c r="AA340" s="146"/>
      <c r="AB340" s="146"/>
      <c r="AC340" s="146"/>
      <c r="AD340" s="146"/>
      <c r="AE340" s="146"/>
      <c r="AF340" s="146"/>
      <c r="AG340" s="146"/>
      <c r="AH340" s="331">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29">
        <f t="shared" si="17"/>
        <v>0</v>
      </c>
      <c r="Q341" s="146"/>
      <c r="R341" s="146"/>
      <c r="S341" s="146"/>
      <c r="T341" s="146"/>
      <c r="U341" s="146"/>
      <c r="V341" s="146"/>
      <c r="W341" s="146"/>
      <c r="X341" s="268"/>
      <c r="Y341" s="331">
        <f t="shared" si="18"/>
        <v>0</v>
      </c>
      <c r="Z341" s="146"/>
      <c r="AA341" s="146"/>
      <c r="AB341" s="146"/>
      <c r="AC341" s="146"/>
      <c r="AD341" s="146"/>
      <c r="AE341" s="146"/>
      <c r="AF341" s="146"/>
      <c r="AG341" s="146"/>
      <c r="AH341" s="331">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29">
        <f t="shared" si="17"/>
        <v>0</v>
      </c>
      <c r="Q342" s="146"/>
      <c r="R342" s="146"/>
      <c r="S342" s="146"/>
      <c r="T342" s="146"/>
      <c r="U342" s="146"/>
      <c r="V342" s="146"/>
      <c r="W342" s="146"/>
      <c r="X342" s="268"/>
      <c r="Y342" s="331">
        <f t="shared" si="18"/>
        <v>0</v>
      </c>
      <c r="Z342" s="146"/>
      <c r="AA342" s="146"/>
      <c r="AB342" s="146"/>
      <c r="AC342" s="146"/>
      <c r="AD342" s="146"/>
      <c r="AE342" s="146"/>
      <c r="AF342" s="146"/>
      <c r="AG342" s="146"/>
      <c r="AH342" s="331">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29">
        <f t="shared" si="17"/>
        <v>0</v>
      </c>
      <c r="Q343" s="146"/>
      <c r="R343" s="146"/>
      <c r="S343" s="146"/>
      <c r="T343" s="146"/>
      <c r="U343" s="146"/>
      <c r="V343" s="146"/>
      <c r="W343" s="146"/>
      <c r="X343" s="268"/>
      <c r="Y343" s="331">
        <f t="shared" si="18"/>
        <v>0</v>
      </c>
      <c r="Z343" s="146"/>
      <c r="AA343" s="146"/>
      <c r="AB343" s="146"/>
      <c r="AC343" s="146"/>
      <c r="AD343" s="146"/>
      <c r="AE343" s="146"/>
      <c r="AF343" s="146"/>
      <c r="AG343" s="146"/>
      <c r="AH343" s="331">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29">
        <f t="shared" si="17"/>
        <v>0</v>
      </c>
      <c r="Q344" s="146"/>
      <c r="R344" s="146"/>
      <c r="S344" s="146"/>
      <c r="T344" s="146"/>
      <c r="U344" s="146"/>
      <c r="V344" s="146"/>
      <c r="W344" s="146"/>
      <c r="X344" s="268"/>
      <c r="Y344" s="331">
        <f t="shared" si="18"/>
        <v>0</v>
      </c>
      <c r="Z344" s="146"/>
      <c r="AA344" s="146"/>
      <c r="AB344" s="146"/>
      <c r="AC344" s="146"/>
      <c r="AD344" s="146"/>
      <c r="AE344" s="146"/>
      <c r="AF344" s="146"/>
      <c r="AG344" s="146"/>
      <c r="AH344" s="331">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29">
        <f t="shared" si="17"/>
        <v>0</v>
      </c>
      <c r="Q345" s="146"/>
      <c r="R345" s="146"/>
      <c r="S345" s="146"/>
      <c r="T345" s="146"/>
      <c r="U345" s="146"/>
      <c r="V345" s="146"/>
      <c r="W345" s="146"/>
      <c r="X345" s="268"/>
      <c r="Y345" s="331">
        <f t="shared" si="18"/>
        <v>0</v>
      </c>
      <c r="Z345" s="146"/>
      <c r="AA345" s="146"/>
      <c r="AB345" s="146"/>
      <c r="AC345" s="146"/>
      <c r="AD345" s="146"/>
      <c r="AE345" s="146"/>
      <c r="AF345" s="146"/>
      <c r="AG345" s="146"/>
      <c r="AH345" s="331">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29">
        <f t="shared" si="17"/>
        <v>0</v>
      </c>
      <c r="Q346" s="146"/>
      <c r="R346" s="146"/>
      <c r="S346" s="146"/>
      <c r="T346" s="146"/>
      <c r="U346" s="146"/>
      <c r="V346" s="146"/>
      <c r="W346" s="146"/>
      <c r="X346" s="268"/>
      <c r="Y346" s="331">
        <f t="shared" si="18"/>
        <v>0</v>
      </c>
      <c r="Z346" s="146"/>
      <c r="AA346" s="146"/>
      <c r="AB346" s="146"/>
      <c r="AC346" s="146"/>
      <c r="AD346" s="146"/>
      <c r="AE346" s="146"/>
      <c r="AF346" s="146"/>
      <c r="AG346" s="146"/>
      <c r="AH346" s="331">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29">
        <f t="shared" si="17"/>
        <v>0</v>
      </c>
      <c r="Q347" s="146"/>
      <c r="R347" s="146"/>
      <c r="S347" s="146"/>
      <c r="T347" s="146"/>
      <c r="U347" s="146"/>
      <c r="V347" s="146"/>
      <c r="W347" s="146"/>
      <c r="X347" s="268"/>
      <c r="Y347" s="331">
        <f t="shared" si="18"/>
        <v>0</v>
      </c>
      <c r="Z347" s="146"/>
      <c r="AA347" s="146"/>
      <c r="AB347" s="146"/>
      <c r="AC347" s="146"/>
      <c r="AD347" s="146"/>
      <c r="AE347" s="146"/>
      <c r="AF347" s="146"/>
      <c r="AG347" s="146"/>
      <c r="AH347" s="331">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29">
        <f t="shared" si="17"/>
        <v>0</v>
      </c>
      <c r="Q348" s="146"/>
      <c r="R348" s="146"/>
      <c r="S348" s="146"/>
      <c r="T348" s="146"/>
      <c r="U348" s="146"/>
      <c r="V348" s="146"/>
      <c r="W348" s="146"/>
      <c r="X348" s="268"/>
      <c r="Y348" s="331">
        <f t="shared" si="18"/>
        <v>0</v>
      </c>
      <c r="Z348" s="146"/>
      <c r="AA348" s="146"/>
      <c r="AB348" s="146"/>
      <c r="AC348" s="146"/>
      <c r="AD348" s="146"/>
      <c r="AE348" s="146"/>
      <c r="AF348" s="146"/>
      <c r="AG348" s="146"/>
      <c r="AH348" s="331">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29">
        <f t="shared" si="17"/>
        <v>0</v>
      </c>
      <c r="Q349" s="146"/>
      <c r="R349" s="146"/>
      <c r="S349" s="146"/>
      <c r="T349" s="146"/>
      <c r="U349" s="146"/>
      <c r="V349" s="146"/>
      <c r="W349" s="146"/>
      <c r="X349" s="268"/>
      <c r="Y349" s="331">
        <f t="shared" si="18"/>
        <v>0</v>
      </c>
      <c r="Z349" s="146"/>
      <c r="AA349" s="146"/>
      <c r="AB349" s="146"/>
      <c r="AC349" s="146"/>
      <c r="AD349" s="146"/>
      <c r="AE349" s="146"/>
      <c r="AF349" s="146"/>
      <c r="AG349" s="146"/>
      <c r="AH349" s="331">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29">
        <f t="shared" si="17"/>
        <v>0</v>
      </c>
      <c r="Q350" s="146"/>
      <c r="R350" s="146"/>
      <c r="S350" s="146"/>
      <c r="T350" s="146"/>
      <c r="U350" s="146"/>
      <c r="V350" s="146"/>
      <c r="W350" s="146"/>
      <c r="X350" s="268"/>
      <c r="Y350" s="331">
        <f t="shared" si="18"/>
        <v>0</v>
      </c>
      <c r="Z350" s="146"/>
      <c r="AA350" s="146"/>
      <c r="AB350" s="146"/>
      <c r="AC350" s="146"/>
      <c r="AD350" s="146"/>
      <c r="AE350" s="146"/>
      <c r="AF350" s="146"/>
      <c r="AG350" s="146"/>
      <c r="AH350" s="331">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29">
        <f t="shared" si="17"/>
        <v>0</v>
      </c>
      <c r="Q351" s="146"/>
      <c r="R351" s="146"/>
      <c r="S351" s="146"/>
      <c r="T351" s="146"/>
      <c r="U351" s="146"/>
      <c r="V351" s="146"/>
      <c r="W351" s="146"/>
      <c r="X351" s="268"/>
      <c r="Y351" s="331">
        <f t="shared" si="18"/>
        <v>0</v>
      </c>
      <c r="Z351" s="146"/>
      <c r="AA351" s="146"/>
      <c r="AB351" s="146"/>
      <c r="AC351" s="146"/>
      <c r="AD351" s="146"/>
      <c r="AE351" s="146"/>
      <c r="AF351" s="146"/>
      <c r="AG351" s="146"/>
      <c r="AH351" s="331">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29">
        <f t="shared" si="17"/>
        <v>0</v>
      </c>
      <c r="Q352" s="146"/>
      <c r="R352" s="146"/>
      <c r="S352" s="146"/>
      <c r="T352" s="146"/>
      <c r="U352" s="146"/>
      <c r="V352" s="146"/>
      <c r="W352" s="146"/>
      <c r="X352" s="268"/>
      <c r="Y352" s="331">
        <f t="shared" si="18"/>
        <v>0</v>
      </c>
      <c r="Z352" s="146"/>
      <c r="AA352" s="146"/>
      <c r="AB352" s="146"/>
      <c r="AC352" s="146"/>
      <c r="AD352" s="146"/>
      <c r="AE352" s="146"/>
      <c r="AF352" s="146"/>
      <c r="AG352" s="146"/>
      <c r="AH352" s="331">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29">
        <f t="shared" si="17"/>
        <v>0</v>
      </c>
      <c r="Q353" s="146"/>
      <c r="R353" s="146"/>
      <c r="S353" s="146"/>
      <c r="T353" s="146"/>
      <c r="U353" s="146"/>
      <c r="V353" s="146"/>
      <c r="W353" s="146"/>
      <c r="X353" s="268"/>
      <c r="Y353" s="331">
        <f t="shared" si="18"/>
        <v>0</v>
      </c>
      <c r="Z353" s="146"/>
      <c r="AA353" s="146"/>
      <c r="AB353" s="146"/>
      <c r="AC353" s="146"/>
      <c r="AD353" s="146"/>
      <c r="AE353" s="146"/>
      <c r="AF353" s="146"/>
      <c r="AG353" s="146"/>
      <c r="AH353" s="331">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29">
        <f t="shared" si="17"/>
        <v>0</v>
      </c>
      <c r="Q354" s="146"/>
      <c r="R354" s="146"/>
      <c r="S354" s="146"/>
      <c r="T354" s="146"/>
      <c r="U354" s="146"/>
      <c r="V354" s="146"/>
      <c r="W354" s="146"/>
      <c r="X354" s="268"/>
      <c r="Y354" s="331">
        <f t="shared" si="18"/>
        <v>0</v>
      </c>
      <c r="Z354" s="146"/>
      <c r="AA354" s="146"/>
      <c r="AB354" s="146"/>
      <c r="AC354" s="146"/>
      <c r="AD354" s="146"/>
      <c r="AE354" s="146"/>
      <c r="AF354" s="146"/>
      <c r="AG354" s="146"/>
      <c r="AH354" s="331">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29">
        <f t="shared" si="17"/>
        <v>0</v>
      </c>
      <c r="Q355" s="146"/>
      <c r="R355" s="146"/>
      <c r="S355" s="146"/>
      <c r="T355" s="146"/>
      <c r="U355" s="146"/>
      <c r="V355" s="146"/>
      <c r="W355" s="146"/>
      <c r="X355" s="268"/>
      <c r="Y355" s="331">
        <f t="shared" si="18"/>
        <v>0</v>
      </c>
      <c r="Z355" s="146"/>
      <c r="AA355" s="146"/>
      <c r="AB355" s="146"/>
      <c r="AC355" s="146"/>
      <c r="AD355" s="146"/>
      <c r="AE355" s="146"/>
      <c r="AF355" s="146"/>
      <c r="AG355" s="146"/>
      <c r="AH355" s="331">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29">
        <f t="shared" si="17"/>
        <v>0</v>
      </c>
      <c r="Q356" s="146"/>
      <c r="R356" s="146"/>
      <c r="S356" s="146"/>
      <c r="T356" s="146"/>
      <c r="U356" s="146"/>
      <c r="V356" s="146"/>
      <c r="W356" s="146"/>
      <c r="X356" s="268"/>
      <c r="Y356" s="331">
        <f t="shared" si="18"/>
        <v>0</v>
      </c>
      <c r="Z356" s="146"/>
      <c r="AA356" s="146"/>
      <c r="AB356" s="146"/>
      <c r="AC356" s="146"/>
      <c r="AD356" s="146"/>
      <c r="AE356" s="146"/>
      <c r="AF356" s="146"/>
      <c r="AG356" s="146"/>
      <c r="AH356" s="331">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29">
        <f t="shared" si="17"/>
        <v>0</v>
      </c>
      <c r="Q357" s="146"/>
      <c r="R357" s="146"/>
      <c r="S357" s="146"/>
      <c r="T357" s="146"/>
      <c r="U357" s="146"/>
      <c r="V357" s="146"/>
      <c r="W357" s="146"/>
      <c r="X357" s="268"/>
      <c r="Y357" s="331">
        <f t="shared" si="18"/>
        <v>0</v>
      </c>
      <c r="Z357" s="146"/>
      <c r="AA357" s="146"/>
      <c r="AB357" s="146"/>
      <c r="AC357" s="146"/>
      <c r="AD357" s="146"/>
      <c r="AE357" s="146"/>
      <c r="AF357" s="146"/>
      <c r="AG357" s="146"/>
      <c r="AH357" s="331">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29">
        <f t="shared" si="17"/>
        <v>0</v>
      </c>
      <c r="Q358" s="146"/>
      <c r="R358" s="146"/>
      <c r="S358" s="146"/>
      <c r="T358" s="146"/>
      <c r="U358" s="146"/>
      <c r="V358" s="146"/>
      <c r="W358" s="146"/>
      <c r="X358" s="268"/>
      <c r="Y358" s="331">
        <f t="shared" si="18"/>
        <v>0</v>
      </c>
      <c r="Z358" s="146"/>
      <c r="AA358" s="146"/>
      <c r="AB358" s="146"/>
      <c r="AC358" s="146"/>
      <c r="AD358" s="146"/>
      <c r="AE358" s="146"/>
      <c r="AF358" s="146"/>
      <c r="AG358" s="146"/>
      <c r="AH358" s="331">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29">
        <f t="shared" si="17"/>
        <v>0</v>
      </c>
      <c r="Q359" s="146"/>
      <c r="R359" s="146"/>
      <c r="S359" s="146"/>
      <c r="T359" s="146"/>
      <c r="U359" s="146"/>
      <c r="V359" s="146"/>
      <c r="W359" s="146"/>
      <c r="X359" s="268"/>
      <c r="Y359" s="331">
        <f t="shared" si="18"/>
        <v>0</v>
      </c>
      <c r="Z359" s="146"/>
      <c r="AA359" s="146"/>
      <c r="AB359" s="146"/>
      <c r="AC359" s="146"/>
      <c r="AD359" s="146"/>
      <c r="AE359" s="146"/>
      <c r="AF359" s="146"/>
      <c r="AG359" s="146"/>
      <c r="AH359" s="331">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29">
        <f t="shared" si="17"/>
        <v>0</v>
      </c>
      <c r="Q360" s="146"/>
      <c r="R360" s="146"/>
      <c r="S360" s="146"/>
      <c r="T360" s="146"/>
      <c r="U360" s="146"/>
      <c r="V360" s="146"/>
      <c r="W360" s="146"/>
      <c r="X360" s="268"/>
      <c r="Y360" s="331">
        <f t="shared" si="18"/>
        <v>0</v>
      </c>
      <c r="Z360" s="146"/>
      <c r="AA360" s="146"/>
      <c r="AB360" s="146"/>
      <c r="AC360" s="146"/>
      <c r="AD360" s="146"/>
      <c r="AE360" s="146"/>
      <c r="AF360" s="146"/>
      <c r="AG360" s="146"/>
      <c r="AH360" s="331">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29">
        <f t="shared" si="17"/>
        <v>0</v>
      </c>
      <c r="Q361" s="146"/>
      <c r="R361" s="146"/>
      <c r="S361" s="146"/>
      <c r="T361" s="146"/>
      <c r="U361" s="146"/>
      <c r="V361" s="146"/>
      <c r="W361" s="146"/>
      <c r="X361" s="268"/>
      <c r="Y361" s="331">
        <f t="shared" si="18"/>
        <v>0</v>
      </c>
      <c r="Z361" s="146"/>
      <c r="AA361" s="146"/>
      <c r="AB361" s="146"/>
      <c r="AC361" s="146"/>
      <c r="AD361" s="146"/>
      <c r="AE361" s="146"/>
      <c r="AF361" s="146"/>
      <c r="AG361" s="146"/>
      <c r="AH361" s="331">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29">
        <f t="shared" si="17"/>
        <v>0</v>
      </c>
      <c r="Q362" s="146"/>
      <c r="R362" s="146"/>
      <c r="S362" s="146"/>
      <c r="T362" s="146"/>
      <c r="U362" s="146"/>
      <c r="V362" s="146"/>
      <c r="W362" s="146"/>
      <c r="X362" s="268"/>
      <c r="Y362" s="331">
        <f t="shared" si="18"/>
        <v>0</v>
      </c>
      <c r="Z362" s="146"/>
      <c r="AA362" s="146"/>
      <c r="AB362" s="146"/>
      <c r="AC362" s="146"/>
      <c r="AD362" s="146"/>
      <c r="AE362" s="146"/>
      <c r="AF362" s="146"/>
      <c r="AG362" s="146"/>
      <c r="AH362" s="331">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29">
        <f t="shared" si="17"/>
        <v>0</v>
      </c>
      <c r="Q363" s="146"/>
      <c r="R363" s="146"/>
      <c r="S363" s="146"/>
      <c r="T363" s="146"/>
      <c r="U363" s="146"/>
      <c r="V363" s="146"/>
      <c r="W363" s="146"/>
      <c r="X363" s="268"/>
      <c r="Y363" s="331">
        <f t="shared" si="18"/>
        <v>0</v>
      </c>
      <c r="Z363" s="146"/>
      <c r="AA363" s="146"/>
      <c r="AB363" s="146"/>
      <c r="AC363" s="146"/>
      <c r="AD363" s="146"/>
      <c r="AE363" s="146"/>
      <c r="AF363" s="146"/>
      <c r="AG363" s="146"/>
      <c r="AH363" s="331">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29">
        <f t="shared" si="17"/>
        <v>0</v>
      </c>
      <c r="Q364" s="146"/>
      <c r="R364" s="146"/>
      <c r="S364" s="146"/>
      <c r="T364" s="146"/>
      <c r="U364" s="146"/>
      <c r="V364" s="146"/>
      <c r="W364" s="146"/>
      <c r="X364" s="268"/>
      <c r="Y364" s="331">
        <f t="shared" si="18"/>
        <v>0</v>
      </c>
      <c r="Z364" s="146"/>
      <c r="AA364" s="146"/>
      <c r="AB364" s="146"/>
      <c r="AC364" s="146"/>
      <c r="AD364" s="146"/>
      <c r="AE364" s="146"/>
      <c r="AF364" s="146"/>
      <c r="AG364" s="146"/>
      <c r="AH364" s="331">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29">
        <f t="shared" si="17"/>
        <v>0</v>
      </c>
      <c r="Q365" s="146"/>
      <c r="R365" s="146"/>
      <c r="S365" s="146"/>
      <c r="T365" s="146"/>
      <c r="U365" s="146"/>
      <c r="V365" s="146"/>
      <c r="W365" s="146"/>
      <c r="X365" s="268"/>
      <c r="Y365" s="331">
        <f t="shared" si="18"/>
        <v>0</v>
      </c>
      <c r="Z365" s="146"/>
      <c r="AA365" s="146"/>
      <c r="AB365" s="146"/>
      <c r="AC365" s="146"/>
      <c r="AD365" s="146"/>
      <c r="AE365" s="146"/>
      <c r="AF365" s="146"/>
      <c r="AG365" s="146"/>
      <c r="AH365" s="331">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29">
        <f t="shared" si="17"/>
        <v>0</v>
      </c>
      <c r="Q366" s="146"/>
      <c r="R366" s="146"/>
      <c r="S366" s="146"/>
      <c r="T366" s="146"/>
      <c r="U366" s="146"/>
      <c r="V366" s="146"/>
      <c r="W366" s="146"/>
      <c r="X366" s="268"/>
      <c r="Y366" s="331">
        <f t="shared" si="18"/>
        <v>0</v>
      </c>
      <c r="Z366" s="146"/>
      <c r="AA366" s="146"/>
      <c r="AB366" s="146"/>
      <c r="AC366" s="146"/>
      <c r="AD366" s="146"/>
      <c r="AE366" s="146"/>
      <c r="AF366" s="146"/>
      <c r="AG366" s="146"/>
      <c r="AH366" s="331">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29">
        <f t="shared" si="17"/>
        <v>0</v>
      </c>
      <c r="Q367" s="146"/>
      <c r="R367" s="146"/>
      <c r="S367" s="146"/>
      <c r="T367" s="146"/>
      <c r="U367" s="146"/>
      <c r="V367" s="146"/>
      <c r="W367" s="146"/>
      <c r="X367" s="268"/>
      <c r="Y367" s="331">
        <f t="shared" si="18"/>
        <v>0</v>
      </c>
      <c r="Z367" s="146"/>
      <c r="AA367" s="146"/>
      <c r="AB367" s="146"/>
      <c r="AC367" s="146"/>
      <c r="AD367" s="146"/>
      <c r="AE367" s="146"/>
      <c r="AF367" s="146"/>
      <c r="AG367" s="146"/>
      <c r="AH367" s="331">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29">
        <f t="shared" si="17"/>
        <v>0</v>
      </c>
      <c r="Q368" s="146"/>
      <c r="R368" s="146"/>
      <c r="S368" s="146"/>
      <c r="T368" s="146"/>
      <c r="U368" s="146"/>
      <c r="V368" s="146"/>
      <c r="W368" s="146"/>
      <c r="X368" s="268"/>
      <c r="Y368" s="331">
        <f t="shared" si="18"/>
        <v>0</v>
      </c>
      <c r="Z368" s="146"/>
      <c r="AA368" s="146"/>
      <c r="AB368" s="146"/>
      <c r="AC368" s="146"/>
      <c r="AD368" s="146"/>
      <c r="AE368" s="146"/>
      <c r="AF368" s="146"/>
      <c r="AG368" s="146"/>
      <c r="AH368" s="331">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29">
        <f t="shared" si="17"/>
        <v>0</v>
      </c>
      <c r="Q369" s="146"/>
      <c r="R369" s="146"/>
      <c r="S369" s="146"/>
      <c r="T369" s="146"/>
      <c r="U369" s="146"/>
      <c r="V369" s="146"/>
      <c r="W369" s="146"/>
      <c r="X369" s="268"/>
      <c r="Y369" s="331">
        <f t="shared" si="18"/>
        <v>0</v>
      </c>
      <c r="Z369" s="146"/>
      <c r="AA369" s="146"/>
      <c r="AB369" s="146"/>
      <c r="AC369" s="146"/>
      <c r="AD369" s="146"/>
      <c r="AE369" s="146"/>
      <c r="AF369" s="146"/>
      <c r="AG369" s="146"/>
      <c r="AH369" s="331">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29">
        <f t="shared" si="17"/>
        <v>0</v>
      </c>
      <c r="Q370" s="146"/>
      <c r="R370" s="146"/>
      <c r="S370" s="146"/>
      <c r="T370" s="146"/>
      <c r="U370" s="146"/>
      <c r="V370" s="146"/>
      <c r="W370" s="146"/>
      <c r="X370" s="268"/>
      <c r="Y370" s="331">
        <f t="shared" si="18"/>
        <v>0</v>
      </c>
      <c r="Z370" s="146"/>
      <c r="AA370" s="146"/>
      <c r="AB370" s="146"/>
      <c r="AC370" s="146"/>
      <c r="AD370" s="146"/>
      <c r="AE370" s="146"/>
      <c r="AF370" s="146"/>
      <c r="AG370" s="146"/>
      <c r="AH370" s="331">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29">
        <f t="shared" si="17"/>
        <v>0</v>
      </c>
      <c r="Q371" s="146"/>
      <c r="R371" s="146"/>
      <c r="S371" s="146"/>
      <c r="T371" s="146"/>
      <c r="U371" s="146"/>
      <c r="V371" s="146"/>
      <c r="W371" s="146"/>
      <c r="X371" s="268"/>
      <c r="Y371" s="331">
        <f t="shared" si="18"/>
        <v>0</v>
      </c>
      <c r="Z371" s="146"/>
      <c r="AA371" s="146"/>
      <c r="AB371" s="146"/>
      <c r="AC371" s="146"/>
      <c r="AD371" s="146"/>
      <c r="AE371" s="146"/>
      <c r="AF371" s="146"/>
      <c r="AG371" s="146"/>
      <c r="AH371" s="331">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29">
        <f t="shared" si="17"/>
        <v>0</v>
      </c>
      <c r="Q372" s="146"/>
      <c r="R372" s="146"/>
      <c r="S372" s="146"/>
      <c r="T372" s="146"/>
      <c r="U372" s="146"/>
      <c r="V372" s="146"/>
      <c r="W372" s="146"/>
      <c r="X372" s="268"/>
      <c r="Y372" s="331">
        <f t="shared" si="18"/>
        <v>0</v>
      </c>
      <c r="Z372" s="146"/>
      <c r="AA372" s="146"/>
      <c r="AB372" s="146"/>
      <c r="AC372" s="146"/>
      <c r="AD372" s="146"/>
      <c r="AE372" s="146"/>
      <c r="AF372" s="146"/>
      <c r="AG372" s="146"/>
      <c r="AH372" s="331">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29">
        <f t="shared" si="17"/>
        <v>0</v>
      </c>
      <c r="Q373" s="146"/>
      <c r="R373" s="146"/>
      <c r="S373" s="146"/>
      <c r="T373" s="146"/>
      <c r="U373" s="146"/>
      <c r="V373" s="146"/>
      <c r="W373" s="146"/>
      <c r="X373" s="268"/>
      <c r="Y373" s="331">
        <f t="shared" si="18"/>
        <v>0</v>
      </c>
      <c r="Z373" s="146"/>
      <c r="AA373" s="146"/>
      <c r="AB373" s="146"/>
      <c r="AC373" s="146"/>
      <c r="AD373" s="146"/>
      <c r="AE373" s="146"/>
      <c r="AF373" s="146"/>
      <c r="AG373" s="146"/>
      <c r="AH373" s="331">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29">
        <f t="shared" si="17"/>
        <v>0</v>
      </c>
      <c r="Q374" s="146"/>
      <c r="R374" s="146"/>
      <c r="S374" s="146"/>
      <c r="T374" s="146"/>
      <c r="U374" s="146"/>
      <c r="V374" s="146"/>
      <c r="W374" s="146"/>
      <c r="X374" s="268"/>
      <c r="Y374" s="331">
        <f t="shared" si="18"/>
        <v>0</v>
      </c>
      <c r="Z374" s="146"/>
      <c r="AA374" s="146"/>
      <c r="AB374" s="146"/>
      <c r="AC374" s="146"/>
      <c r="AD374" s="146"/>
      <c r="AE374" s="146"/>
      <c r="AF374" s="146"/>
      <c r="AG374" s="146"/>
      <c r="AH374" s="331">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29">
        <f t="shared" si="17"/>
        <v>0</v>
      </c>
      <c r="Q375" s="146"/>
      <c r="R375" s="146"/>
      <c r="S375" s="146"/>
      <c r="T375" s="146"/>
      <c r="U375" s="146"/>
      <c r="V375" s="146"/>
      <c r="W375" s="146"/>
      <c r="X375" s="268"/>
      <c r="Y375" s="331">
        <f t="shared" si="18"/>
        <v>0</v>
      </c>
      <c r="Z375" s="146"/>
      <c r="AA375" s="146"/>
      <c r="AB375" s="146"/>
      <c r="AC375" s="146"/>
      <c r="AD375" s="146"/>
      <c r="AE375" s="146"/>
      <c r="AF375" s="146"/>
      <c r="AG375" s="146"/>
      <c r="AH375" s="331">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29">
        <f t="shared" si="17"/>
        <v>0</v>
      </c>
      <c r="Q376" s="146"/>
      <c r="R376" s="146"/>
      <c r="S376" s="146"/>
      <c r="T376" s="146"/>
      <c r="U376" s="146"/>
      <c r="V376" s="146"/>
      <c r="W376" s="146"/>
      <c r="X376" s="268"/>
      <c r="Y376" s="331">
        <f t="shared" si="18"/>
        <v>0</v>
      </c>
      <c r="Z376" s="146"/>
      <c r="AA376" s="146"/>
      <c r="AB376" s="146"/>
      <c r="AC376" s="146"/>
      <c r="AD376" s="146"/>
      <c r="AE376" s="146"/>
      <c r="AF376" s="146"/>
      <c r="AG376" s="146"/>
      <c r="AH376" s="331">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29">
        <f t="shared" si="17"/>
        <v>0</v>
      </c>
      <c r="Q377" s="146"/>
      <c r="R377" s="146"/>
      <c r="S377" s="146"/>
      <c r="T377" s="146"/>
      <c r="U377" s="146"/>
      <c r="V377" s="146"/>
      <c r="W377" s="146"/>
      <c r="X377" s="268"/>
      <c r="Y377" s="331">
        <f t="shared" si="18"/>
        <v>0</v>
      </c>
      <c r="Z377" s="146"/>
      <c r="AA377" s="146"/>
      <c r="AB377" s="146"/>
      <c r="AC377" s="146"/>
      <c r="AD377" s="146"/>
      <c r="AE377" s="146"/>
      <c r="AF377" s="146"/>
      <c r="AG377" s="146"/>
      <c r="AH377" s="331">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29">
        <f t="shared" si="17"/>
        <v>0</v>
      </c>
      <c r="Q378" s="146"/>
      <c r="R378" s="146"/>
      <c r="S378" s="146"/>
      <c r="T378" s="146"/>
      <c r="U378" s="146"/>
      <c r="V378" s="146"/>
      <c r="W378" s="146"/>
      <c r="X378" s="268"/>
      <c r="Y378" s="331">
        <f t="shared" si="18"/>
        <v>0</v>
      </c>
      <c r="Z378" s="146"/>
      <c r="AA378" s="146"/>
      <c r="AB378" s="146"/>
      <c r="AC378" s="146"/>
      <c r="AD378" s="146"/>
      <c r="AE378" s="146"/>
      <c r="AF378" s="146"/>
      <c r="AG378" s="146"/>
      <c r="AH378" s="331">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29">
        <f t="shared" si="17"/>
        <v>0</v>
      </c>
      <c r="Q379" s="146"/>
      <c r="R379" s="146"/>
      <c r="S379" s="146"/>
      <c r="T379" s="146"/>
      <c r="U379" s="146"/>
      <c r="V379" s="146"/>
      <c r="W379" s="146"/>
      <c r="X379" s="268"/>
      <c r="Y379" s="331">
        <f t="shared" si="18"/>
        <v>0</v>
      </c>
      <c r="Z379" s="146"/>
      <c r="AA379" s="146"/>
      <c r="AB379" s="146"/>
      <c r="AC379" s="146"/>
      <c r="AD379" s="146"/>
      <c r="AE379" s="146"/>
      <c r="AF379" s="146"/>
      <c r="AG379" s="146"/>
      <c r="AH379" s="331">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29">
        <f t="shared" si="17"/>
        <v>0</v>
      </c>
      <c r="Q380" s="146"/>
      <c r="R380" s="146"/>
      <c r="S380" s="146"/>
      <c r="T380" s="146"/>
      <c r="U380" s="146"/>
      <c r="V380" s="146"/>
      <c r="W380" s="146"/>
      <c r="X380" s="268"/>
      <c r="Y380" s="331">
        <f t="shared" si="18"/>
        <v>0</v>
      </c>
      <c r="Z380" s="146"/>
      <c r="AA380" s="146"/>
      <c r="AB380" s="146"/>
      <c r="AC380" s="146"/>
      <c r="AD380" s="146"/>
      <c r="AE380" s="146"/>
      <c r="AF380" s="146"/>
      <c r="AG380" s="146"/>
      <c r="AH380" s="331">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29">
        <f t="shared" si="17"/>
        <v>0</v>
      </c>
      <c r="Q381" s="146"/>
      <c r="R381" s="146"/>
      <c r="S381" s="146"/>
      <c r="T381" s="146"/>
      <c r="U381" s="146"/>
      <c r="V381" s="146"/>
      <c r="W381" s="146"/>
      <c r="X381" s="268"/>
      <c r="Y381" s="331">
        <f t="shared" si="18"/>
        <v>0</v>
      </c>
      <c r="Z381" s="146"/>
      <c r="AA381" s="146"/>
      <c r="AB381" s="146"/>
      <c r="AC381" s="146"/>
      <c r="AD381" s="146"/>
      <c r="AE381" s="146"/>
      <c r="AF381" s="146"/>
      <c r="AG381" s="146"/>
      <c r="AH381" s="331">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29">
        <f t="shared" si="17"/>
        <v>0</v>
      </c>
      <c r="Q382" s="146"/>
      <c r="R382" s="146"/>
      <c r="S382" s="146"/>
      <c r="T382" s="146"/>
      <c r="U382" s="146"/>
      <c r="V382" s="146"/>
      <c r="W382" s="146"/>
      <c r="X382" s="268"/>
      <c r="Y382" s="331">
        <f t="shared" si="18"/>
        <v>0</v>
      </c>
      <c r="Z382" s="146"/>
      <c r="AA382" s="146"/>
      <c r="AB382" s="146"/>
      <c r="AC382" s="146"/>
      <c r="AD382" s="146"/>
      <c r="AE382" s="146"/>
      <c r="AF382" s="146"/>
      <c r="AG382" s="146"/>
      <c r="AH382" s="331">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29">
        <f t="shared" si="17"/>
        <v>0</v>
      </c>
      <c r="Q383" s="146"/>
      <c r="R383" s="146"/>
      <c r="S383" s="146"/>
      <c r="T383" s="146"/>
      <c r="U383" s="146"/>
      <c r="V383" s="146"/>
      <c r="W383" s="146"/>
      <c r="X383" s="268"/>
      <c r="Y383" s="331">
        <f t="shared" si="18"/>
        <v>0</v>
      </c>
      <c r="Z383" s="146"/>
      <c r="AA383" s="146"/>
      <c r="AB383" s="146"/>
      <c r="AC383" s="146"/>
      <c r="AD383" s="146"/>
      <c r="AE383" s="146"/>
      <c r="AF383" s="146"/>
      <c r="AG383" s="146"/>
      <c r="AH383" s="331">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29">
        <f t="shared" si="17"/>
        <v>0</v>
      </c>
      <c r="Q384" s="146"/>
      <c r="R384" s="146"/>
      <c r="S384" s="146"/>
      <c r="T384" s="146"/>
      <c r="U384" s="146"/>
      <c r="V384" s="146"/>
      <c r="W384" s="146"/>
      <c r="X384" s="268"/>
      <c r="Y384" s="331">
        <f t="shared" si="18"/>
        <v>0</v>
      </c>
      <c r="Z384" s="146"/>
      <c r="AA384" s="146"/>
      <c r="AB384" s="146"/>
      <c r="AC384" s="146"/>
      <c r="AD384" s="146"/>
      <c r="AE384" s="146"/>
      <c r="AF384" s="146"/>
      <c r="AG384" s="146"/>
      <c r="AH384" s="331">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29">
        <f t="shared" si="17"/>
        <v>0</v>
      </c>
      <c r="Q385" s="146"/>
      <c r="R385" s="146"/>
      <c r="S385" s="146"/>
      <c r="T385" s="146"/>
      <c r="U385" s="146"/>
      <c r="V385" s="146"/>
      <c r="W385" s="146"/>
      <c r="X385" s="268"/>
      <c r="Y385" s="331">
        <f t="shared" si="18"/>
        <v>0</v>
      </c>
      <c r="Z385" s="146"/>
      <c r="AA385" s="146"/>
      <c r="AB385" s="146"/>
      <c r="AC385" s="146"/>
      <c r="AD385" s="146"/>
      <c r="AE385" s="146"/>
      <c r="AF385" s="146"/>
      <c r="AG385" s="146"/>
      <c r="AH385" s="331">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29">
        <f t="shared" si="17"/>
        <v>0</v>
      </c>
      <c r="Q386" s="146"/>
      <c r="R386" s="146"/>
      <c r="S386" s="146"/>
      <c r="T386" s="146"/>
      <c r="U386" s="146"/>
      <c r="V386" s="146"/>
      <c r="W386" s="146"/>
      <c r="X386" s="268"/>
      <c r="Y386" s="331">
        <f t="shared" si="18"/>
        <v>0</v>
      </c>
      <c r="Z386" s="146"/>
      <c r="AA386" s="146"/>
      <c r="AB386" s="146"/>
      <c r="AC386" s="146"/>
      <c r="AD386" s="146"/>
      <c r="AE386" s="146"/>
      <c r="AF386" s="146"/>
      <c r="AG386" s="146"/>
      <c r="AH386" s="331">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29">
        <f t="shared" si="17"/>
        <v>0</v>
      </c>
      <c r="Q387" s="146"/>
      <c r="R387" s="146"/>
      <c r="S387" s="146"/>
      <c r="T387" s="146"/>
      <c r="U387" s="146"/>
      <c r="V387" s="146"/>
      <c r="W387" s="146"/>
      <c r="X387" s="268"/>
      <c r="Y387" s="331">
        <f t="shared" si="18"/>
        <v>0</v>
      </c>
      <c r="Z387" s="146"/>
      <c r="AA387" s="146"/>
      <c r="AB387" s="146"/>
      <c r="AC387" s="146"/>
      <c r="AD387" s="146"/>
      <c r="AE387" s="146"/>
      <c r="AF387" s="146"/>
      <c r="AG387" s="146"/>
      <c r="AH387" s="331">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29">
        <f t="shared" si="17"/>
        <v>0</v>
      </c>
      <c r="Q388" s="146"/>
      <c r="R388" s="146"/>
      <c r="S388" s="146"/>
      <c r="T388" s="146"/>
      <c r="U388" s="146"/>
      <c r="V388" s="146"/>
      <c r="W388" s="146"/>
      <c r="X388" s="268"/>
      <c r="Y388" s="331">
        <f t="shared" si="18"/>
        <v>0</v>
      </c>
      <c r="Z388" s="146"/>
      <c r="AA388" s="146"/>
      <c r="AB388" s="146"/>
      <c r="AC388" s="146"/>
      <c r="AD388" s="146"/>
      <c r="AE388" s="146"/>
      <c r="AF388" s="146"/>
      <c r="AG388" s="146"/>
      <c r="AH388" s="331">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29">
        <f t="shared" si="17"/>
        <v>0</v>
      </c>
      <c r="Q389" s="146"/>
      <c r="R389" s="146"/>
      <c r="S389" s="146"/>
      <c r="T389" s="146"/>
      <c r="U389" s="146"/>
      <c r="V389" s="146"/>
      <c r="W389" s="146"/>
      <c r="X389" s="268"/>
      <c r="Y389" s="331">
        <f t="shared" si="18"/>
        <v>0</v>
      </c>
      <c r="Z389" s="146"/>
      <c r="AA389" s="146"/>
      <c r="AB389" s="146"/>
      <c r="AC389" s="146"/>
      <c r="AD389" s="146"/>
      <c r="AE389" s="146"/>
      <c r="AF389" s="146"/>
      <c r="AG389" s="146"/>
      <c r="AH389" s="331">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29">
        <f t="shared" si="17"/>
        <v>0</v>
      </c>
      <c r="Q390" s="146"/>
      <c r="R390" s="146"/>
      <c r="S390" s="146"/>
      <c r="T390" s="146"/>
      <c r="U390" s="146"/>
      <c r="V390" s="146"/>
      <c r="W390" s="146"/>
      <c r="X390" s="268"/>
      <c r="Y390" s="331">
        <f t="shared" si="18"/>
        <v>0</v>
      </c>
      <c r="Z390" s="146"/>
      <c r="AA390" s="146"/>
      <c r="AB390" s="146"/>
      <c r="AC390" s="146"/>
      <c r="AD390" s="146"/>
      <c r="AE390" s="146"/>
      <c r="AF390" s="146"/>
      <c r="AG390" s="146"/>
      <c r="AH390" s="331">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29">
        <f t="shared" si="17"/>
        <v>0</v>
      </c>
      <c r="Q391" s="146"/>
      <c r="R391" s="146"/>
      <c r="S391" s="146"/>
      <c r="T391" s="146"/>
      <c r="U391" s="146"/>
      <c r="V391" s="146"/>
      <c r="W391" s="146"/>
      <c r="X391" s="268"/>
      <c r="Y391" s="331">
        <f t="shared" si="18"/>
        <v>0</v>
      </c>
      <c r="Z391" s="146"/>
      <c r="AA391" s="146"/>
      <c r="AB391" s="146"/>
      <c r="AC391" s="146"/>
      <c r="AD391" s="146"/>
      <c r="AE391" s="146"/>
      <c r="AF391" s="146"/>
      <c r="AG391" s="146"/>
      <c r="AH391" s="331">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29">
        <f t="shared" si="17"/>
        <v>0</v>
      </c>
      <c r="Q392" s="146"/>
      <c r="R392" s="146"/>
      <c r="S392" s="146"/>
      <c r="T392" s="146"/>
      <c r="U392" s="146"/>
      <c r="V392" s="146"/>
      <c r="W392" s="146"/>
      <c r="X392" s="268"/>
      <c r="Y392" s="331">
        <f t="shared" si="18"/>
        <v>0</v>
      </c>
      <c r="Z392" s="146"/>
      <c r="AA392" s="146"/>
      <c r="AB392" s="146"/>
      <c r="AC392" s="146"/>
      <c r="AD392" s="146"/>
      <c r="AE392" s="146"/>
      <c r="AF392" s="146"/>
      <c r="AG392" s="146"/>
      <c r="AH392" s="331">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29">
        <f t="shared" si="17"/>
        <v>0</v>
      </c>
      <c r="Q393" s="146"/>
      <c r="R393" s="146"/>
      <c r="S393" s="146"/>
      <c r="T393" s="146"/>
      <c r="U393" s="146"/>
      <c r="V393" s="146"/>
      <c r="W393" s="146"/>
      <c r="X393" s="268"/>
      <c r="Y393" s="331">
        <f t="shared" si="18"/>
        <v>0</v>
      </c>
      <c r="Z393" s="146"/>
      <c r="AA393" s="146"/>
      <c r="AB393" s="146"/>
      <c r="AC393" s="146"/>
      <c r="AD393" s="146"/>
      <c r="AE393" s="146"/>
      <c r="AF393" s="146"/>
      <c r="AG393" s="146"/>
      <c r="AH393" s="331">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29">
        <f t="shared" si="17"/>
        <v>0</v>
      </c>
      <c r="Q394" s="146"/>
      <c r="R394" s="146"/>
      <c r="S394" s="146"/>
      <c r="T394" s="146"/>
      <c r="U394" s="146"/>
      <c r="V394" s="146"/>
      <c r="W394" s="146"/>
      <c r="X394" s="268"/>
      <c r="Y394" s="331">
        <f t="shared" si="18"/>
        <v>0</v>
      </c>
      <c r="Z394" s="146"/>
      <c r="AA394" s="146"/>
      <c r="AB394" s="146"/>
      <c r="AC394" s="146"/>
      <c r="AD394" s="146"/>
      <c r="AE394" s="146"/>
      <c r="AF394" s="146"/>
      <c r="AG394" s="146"/>
      <c r="AH394" s="331">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29">
        <f t="shared" si="17"/>
        <v>0</v>
      </c>
      <c r="Q395" s="146"/>
      <c r="R395" s="146"/>
      <c r="S395" s="146"/>
      <c r="T395" s="146"/>
      <c r="U395" s="146"/>
      <c r="V395" s="146"/>
      <c r="W395" s="146"/>
      <c r="X395" s="268"/>
      <c r="Y395" s="331">
        <f t="shared" si="18"/>
        <v>0</v>
      </c>
      <c r="Z395" s="146"/>
      <c r="AA395" s="146"/>
      <c r="AB395" s="146"/>
      <c r="AC395" s="146"/>
      <c r="AD395" s="146"/>
      <c r="AE395" s="146"/>
      <c r="AF395" s="146"/>
      <c r="AG395" s="146"/>
      <c r="AH395" s="331">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29">
        <f t="shared" si="17"/>
        <v>0</v>
      </c>
      <c r="Q396" s="146"/>
      <c r="R396" s="146"/>
      <c r="S396" s="146"/>
      <c r="T396" s="146"/>
      <c r="U396" s="146"/>
      <c r="V396" s="146"/>
      <c r="W396" s="146"/>
      <c r="X396" s="268"/>
      <c r="Y396" s="331">
        <f t="shared" si="18"/>
        <v>0</v>
      </c>
      <c r="Z396" s="146"/>
      <c r="AA396" s="146"/>
      <c r="AB396" s="146"/>
      <c r="AC396" s="146"/>
      <c r="AD396" s="146"/>
      <c r="AE396" s="146"/>
      <c r="AF396" s="146"/>
      <c r="AG396" s="146"/>
      <c r="AH396" s="331">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29">
        <f t="shared" ref="P397:P460" si="20">SUM(H397:N397)</f>
        <v>0</v>
      </c>
      <c r="Q397" s="146"/>
      <c r="R397" s="146"/>
      <c r="S397" s="146"/>
      <c r="T397" s="146"/>
      <c r="U397" s="146"/>
      <c r="V397" s="146"/>
      <c r="W397" s="146"/>
      <c r="X397" s="268"/>
      <c r="Y397" s="331">
        <f t="shared" ref="Y397:Y460" si="21">SUM(Q397:W397)</f>
        <v>0</v>
      </c>
      <c r="Z397" s="146"/>
      <c r="AA397" s="146"/>
      <c r="AB397" s="146"/>
      <c r="AC397" s="146"/>
      <c r="AD397" s="146"/>
      <c r="AE397" s="146"/>
      <c r="AF397" s="146"/>
      <c r="AG397" s="146"/>
      <c r="AH397" s="331">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29">
        <f t="shared" si="20"/>
        <v>0</v>
      </c>
      <c r="Q398" s="146"/>
      <c r="R398" s="146"/>
      <c r="S398" s="146"/>
      <c r="T398" s="146"/>
      <c r="U398" s="146"/>
      <c r="V398" s="146"/>
      <c r="W398" s="146"/>
      <c r="X398" s="268"/>
      <c r="Y398" s="331">
        <f t="shared" si="21"/>
        <v>0</v>
      </c>
      <c r="Z398" s="146"/>
      <c r="AA398" s="146"/>
      <c r="AB398" s="146"/>
      <c r="AC398" s="146"/>
      <c r="AD398" s="146"/>
      <c r="AE398" s="146"/>
      <c r="AF398" s="146"/>
      <c r="AG398" s="146"/>
      <c r="AH398" s="331">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29">
        <f t="shared" si="20"/>
        <v>0</v>
      </c>
      <c r="Q399" s="146"/>
      <c r="R399" s="146"/>
      <c r="S399" s="146"/>
      <c r="T399" s="146"/>
      <c r="U399" s="146"/>
      <c r="V399" s="146"/>
      <c r="W399" s="146"/>
      <c r="X399" s="268"/>
      <c r="Y399" s="331">
        <f t="shared" si="21"/>
        <v>0</v>
      </c>
      <c r="Z399" s="146"/>
      <c r="AA399" s="146"/>
      <c r="AB399" s="146"/>
      <c r="AC399" s="146"/>
      <c r="AD399" s="146"/>
      <c r="AE399" s="146"/>
      <c r="AF399" s="146"/>
      <c r="AG399" s="146"/>
      <c r="AH399" s="331">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29">
        <f t="shared" si="20"/>
        <v>0</v>
      </c>
      <c r="Q400" s="146"/>
      <c r="R400" s="146"/>
      <c r="S400" s="146"/>
      <c r="T400" s="146"/>
      <c r="U400" s="146"/>
      <c r="V400" s="146"/>
      <c r="W400" s="146"/>
      <c r="X400" s="268"/>
      <c r="Y400" s="331">
        <f t="shared" si="21"/>
        <v>0</v>
      </c>
      <c r="Z400" s="146"/>
      <c r="AA400" s="146"/>
      <c r="AB400" s="146"/>
      <c r="AC400" s="146"/>
      <c r="AD400" s="146"/>
      <c r="AE400" s="146"/>
      <c r="AF400" s="146"/>
      <c r="AG400" s="146"/>
      <c r="AH400" s="331">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29">
        <f t="shared" si="20"/>
        <v>0</v>
      </c>
      <c r="Q401" s="146"/>
      <c r="R401" s="146"/>
      <c r="S401" s="146"/>
      <c r="T401" s="146"/>
      <c r="U401" s="146"/>
      <c r="V401" s="146"/>
      <c r="W401" s="146"/>
      <c r="X401" s="268"/>
      <c r="Y401" s="331">
        <f t="shared" si="21"/>
        <v>0</v>
      </c>
      <c r="Z401" s="146"/>
      <c r="AA401" s="146"/>
      <c r="AB401" s="146"/>
      <c r="AC401" s="146"/>
      <c r="AD401" s="146"/>
      <c r="AE401" s="146"/>
      <c r="AF401" s="146"/>
      <c r="AG401" s="146"/>
      <c r="AH401" s="331">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29">
        <f t="shared" si="20"/>
        <v>0</v>
      </c>
      <c r="Q402" s="146"/>
      <c r="R402" s="146"/>
      <c r="S402" s="146"/>
      <c r="T402" s="146"/>
      <c r="U402" s="146"/>
      <c r="V402" s="146"/>
      <c r="W402" s="146"/>
      <c r="X402" s="268"/>
      <c r="Y402" s="331">
        <f t="shared" si="21"/>
        <v>0</v>
      </c>
      <c r="Z402" s="146"/>
      <c r="AA402" s="146"/>
      <c r="AB402" s="146"/>
      <c r="AC402" s="146"/>
      <c r="AD402" s="146"/>
      <c r="AE402" s="146"/>
      <c r="AF402" s="146"/>
      <c r="AG402" s="146"/>
      <c r="AH402" s="331">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29">
        <f t="shared" si="20"/>
        <v>0</v>
      </c>
      <c r="Q403" s="146"/>
      <c r="R403" s="146"/>
      <c r="S403" s="146"/>
      <c r="T403" s="146"/>
      <c r="U403" s="146"/>
      <c r="V403" s="146"/>
      <c r="W403" s="146"/>
      <c r="X403" s="268"/>
      <c r="Y403" s="331">
        <f t="shared" si="21"/>
        <v>0</v>
      </c>
      <c r="Z403" s="146"/>
      <c r="AA403" s="146"/>
      <c r="AB403" s="146"/>
      <c r="AC403" s="146"/>
      <c r="AD403" s="146"/>
      <c r="AE403" s="146"/>
      <c r="AF403" s="146"/>
      <c r="AG403" s="146"/>
      <c r="AH403" s="331">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29">
        <f t="shared" si="20"/>
        <v>0</v>
      </c>
      <c r="Q404" s="146"/>
      <c r="R404" s="146"/>
      <c r="S404" s="146"/>
      <c r="T404" s="146"/>
      <c r="U404" s="146"/>
      <c r="V404" s="146"/>
      <c r="W404" s="146"/>
      <c r="X404" s="268"/>
      <c r="Y404" s="331">
        <f t="shared" si="21"/>
        <v>0</v>
      </c>
      <c r="Z404" s="146"/>
      <c r="AA404" s="146"/>
      <c r="AB404" s="146"/>
      <c r="AC404" s="146"/>
      <c r="AD404" s="146"/>
      <c r="AE404" s="146"/>
      <c r="AF404" s="146"/>
      <c r="AG404" s="146"/>
      <c r="AH404" s="331">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29">
        <f t="shared" si="20"/>
        <v>0</v>
      </c>
      <c r="Q405" s="146"/>
      <c r="R405" s="146"/>
      <c r="S405" s="146"/>
      <c r="T405" s="146"/>
      <c r="U405" s="146"/>
      <c r="V405" s="146"/>
      <c r="W405" s="146"/>
      <c r="X405" s="268"/>
      <c r="Y405" s="331">
        <f t="shared" si="21"/>
        <v>0</v>
      </c>
      <c r="Z405" s="146"/>
      <c r="AA405" s="146"/>
      <c r="AB405" s="146"/>
      <c r="AC405" s="146"/>
      <c r="AD405" s="146"/>
      <c r="AE405" s="146"/>
      <c r="AF405" s="146"/>
      <c r="AG405" s="146"/>
      <c r="AH405" s="331">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29">
        <f t="shared" si="20"/>
        <v>0</v>
      </c>
      <c r="Q406" s="146"/>
      <c r="R406" s="146"/>
      <c r="S406" s="146"/>
      <c r="T406" s="146"/>
      <c r="U406" s="146"/>
      <c r="V406" s="146"/>
      <c r="W406" s="146"/>
      <c r="X406" s="268"/>
      <c r="Y406" s="331">
        <f t="shared" si="21"/>
        <v>0</v>
      </c>
      <c r="Z406" s="146"/>
      <c r="AA406" s="146"/>
      <c r="AB406" s="146"/>
      <c r="AC406" s="146"/>
      <c r="AD406" s="146"/>
      <c r="AE406" s="146"/>
      <c r="AF406" s="146"/>
      <c r="AG406" s="146"/>
      <c r="AH406" s="331">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29">
        <f t="shared" si="20"/>
        <v>0</v>
      </c>
      <c r="Q407" s="146"/>
      <c r="R407" s="146"/>
      <c r="S407" s="146"/>
      <c r="T407" s="146"/>
      <c r="U407" s="146"/>
      <c r="V407" s="146"/>
      <c r="W407" s="146"/>
      <c r="X407" s="268"/>
      <c r="Y407" s="331">
        <f t="shared" si="21"/>
        <v>0</v>
      </c>
      <c r="Z407" s="146"/>
      <c r="AA407" s="146"/>
      <c r="AB407" s="146"/>
      <c r="AC407" s="146"/>
      <c r="AD407" s="146"/>
      <c r="AE407" s="146"/>
      <c r="AF407" s="146"/>
      <c r="AG407" s="146"/>
      <c r="AH407" s="331">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29">
        <f t="shared" si="20"/>
        <v>0</v>
      </c>
      <c r="Q408" s="146"/>
      <c r="R408" s="146"/>
      <c r="S408" s="146"/>
      <c r="T408" s="146"/>
      <c r="U408" s="146"/>
      <c r="V408" s="146"/>
      <c r="W408" s="146"/>
      <c r="X408" s="268"/>
      <c r="Y408" s="331">
        <f t="shared" si="21"/>
        <v>0</v>
      </c>
      <c r="Z408" s="146"/>
      <c r="AA408" s="146"/>
      <c r="AB408" s="146"/>
      <c r="AC408" s="146"/>
      <c r="AD408" s="146"/>
      <c r="AE408" s="146"/>
      <c r="AF408" s="146"/>
      <c r="AG408" s="146"/>
      <c r="AH408" s="331">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29">
        <f t="shared" si="20"/>
        <v>0</v>
      </c>
      <c r="Q409" s="146"/>
      <c r="R409" s="146"/>
      <c r="S409" s="146"/>
      <c r="T409" s="146"/>
      <c r="U409" s="146"/>
      <c r="V409" s="146"/>
      <c r="W409" s="146"/>
      <c r="X409" s="268"/>
      <c r="Y409" s="331">
        <f t="shared" si="21"/>
        <v>0</v>
      </c>
      <c r="Z409" s="146"/>
      <c r="AA409" s="146"/>
      <c r="AB409" s="146"/>
      <c r="AC409" s="146"/>
      <c r="AD409" s="146"/>
      <c r="AE409" s="146"/>
      <c r="AF409" s="146"/>
      <c r="AG409" s="146"/>
      <c r="AH409" s="331">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29">
        <f t="shared" si="20"/>
        <v>0</v>
      </c>
      <c r="Q410" s="146"/>
      <c r="R410" s="146"/>
      <c r="S410" s="146"/>
      <c r="T410" s="146"/>
      <c r="U410" s="146"/>
      <c r="V410" s="146"/>
      <c r="W410" s="146"/>
      <c r="X410" s="268"/>
      <c r="Y410" s="331">
        <f t="shared" si="21"/>
        <v>0</v>
      </c>
      <c r="Z410" s="146"/>
      <c r="AA410" s="146"/>
      <c r="AB410" s="146"/>
      <c r="AC410" s="146"/>
      <c r="AD410" s="146"/>
      <c r="AE410" s="146"/>
      <c r="AF410" s="146"/>
      <c r="AG410" s="146"/>
      <c r="AH410" s="331">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29">
        <f t="shared" si="20"/>
        <v>0</v>
      </c>
      <c r="Q411" s="146"/>
      <c r="R411" s="146"/>
      <c r="S411" s="146"/>
      <c r="T411" s="146"/>
      <c r="U411" s="146"/>
      <c r="V411" s="146"/>
      <c r="W411" s="146"/>
      <c r="X411" s="268"/>
      <c r="Y411" s="331">
        <f t="shared" si="21"/>
        <v>0</v>
      </c>
      <c r="Z411" s="146"/>
      <c r="AA411" s="146"/>
      <c r="AB411" s="146"/>
      <c r="AC411" s="146"/>
      <c r="AD411" s="146"/>
      <c r="AE411" s="146"/>
      <c r="AF411" s="146"/>
      <c r="AG411" s="146"/>
      <c r="AH411" s="331">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29">
        <f t="shared" si="20"/>
        <v>0</v>
      </c>
      <c r="Q412" s="146"/>
      <c r="R412" s="146"/>
      <c r="S412" s="146"/>
      <c r="T412" s="146"/>
      <c r="U412" s="146"/>
      <c r="V412" s="146"/>
      <c r="W412" s="146"/>
      <c r="X412" s="268"/>
      <c r="Y412" s="331">
        <f t="shared" si="21"/>
        <v>0</v>
      </c>
      <c r="Z412" s="146"/>
      <c r="AA412" s="146"/>
      <c r="AB412" s="146"/>
      <c r="AC412" s="146"/>
      <c r="AD412" s="146"/>
      <c r="AE412" s="146"/>
      <c r="AF412" s="146"/>
      <c r="AG412" s="146"/>
      <c r="AH412" s="331">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29">
        <f t="shared" si="20"/>
        <v>0</v>
      </c>
      <c r="Q413" s="146"/>
      <c r="R413" s="146"/>
      <c r="S413" s="146"/>
      <c r="T413" s="146"/>
      <c r="U413" s="146"/>
      <c r="V413" s="146"/>
      <c r="W413" s="146"/>
      <c r="X413" s="268"/>
      <c r="Y413" s="331">
        <f t="shared" si="21"/>
        <v>0</v>
      </c>
      <c r="Z413" s="146"/>
      <c r="AA413" s="146"/>
      <c r="AB413" s="146"/>
      <c r="AC413" s="146"/>
      <c r="AD413" s="146"/>
      <c r="AE413" s="146"/>
      <c r="AF413" s="146"/>
      <c r="AG413" s="146"/>
      <c r="AH413" s="331">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29">
        <f t="shared" si="20"/>
        <v>0</v>
      </c>
      <c r="Q414" s="146"/>
      <c r="R414" s="146"/>
      <c r="S414" s="146"/>
      <c r="T414" s="146"/>
      <c r="U414" s="146"/>
      <c r="V414" s="146"/>
      <c r="W414" s="146"/>
      <c r="X414" s="268"/>
      <c r="Y414" s="331">
        <f t="shared" si="21"/>
        <v>0</v>
      </c>
      <c r="Z414" s="146"/>
      <c r="AA414" s="146"/>
      <c r="AB414" s="146"/>
      <c r="AC414" s="146"/>
      <c r="AD414" s="146"/>
      <c r="AE414" s="146"/>
      <c r="AF414" s="146"/>
      <c r="AG414" s="146"/>
      <c r="AH414" s="331">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29">
        <f t="shared" si="20"/>
        <v>0</v>
      </c>
      <c r="Q415" s="146"/>
      <c r="R415" s="146"/>
      <c r="S415" s="146"/>
      <c r="T415" s="146"/>
      <c r="U415" s="146"/>
      <c r="V415" s="146"/>
      <c r="W415" s="146"/>
      <c r="X415" s="268"/>
      <c r="Y415" s="331">
        <f t="shared" si="21"/>
        <v>0</v>
      </c>
      <c r="Z415" s="146"/>
      <c r="AA415" s="146"/>
      <c r="AB415" s="146"/>
      <c r="AC415" s="146"/>
      <c r="AD415" s="146"/>
      <c r="AE415" s="146"/>
      <c r="AF415" s="146"/>
      <c r="AG415" s="146"/>
      <c r="AH415" s="331">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29">
        <f t="shared" si="20"/>
        <v>0</v>
      </c>
      <c r="Q416" s="146"/>
      <c r="R416" s="146"/>
      <c r="S416" s="146"/>
      <c r="T416" s="146"/>
      <c r="U416" s="146"/>
      <c r="V416" s="146"/>
      <c r="W416" s="146"/>
      <c r="X416" s="268"/>
      <c r="Y416" s="331">
        <f t="shared" si="21"/>
        <v>0</v>
      </c>
      <c r="Z416" s="146"/>
      <c r="AA416" s="146"/>
      <c r="AB416" s="146"/>
      <c r="AC416" s="146"/>
      <c r="AD416" s="146"/>
      <c r="AE416" s="146"/>
      <c r="AF416" s="146"/>
      <c r="AG416" s="146"/>
      <c r="AH416" s="331">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29">
        <f t="shared" si="20"/>
        <v>0</v>
      </c>
      <c r="Q417" s="146"/>
      <c r="R417" s="146"/>
      <c r="S417" s="146"/>
      <c r="T417" s="146"/>
      <c r="U417" s="146"/>
      <c r="V417" s="146"/>
      <c r="W417" s="146"/>
      <c r="X417" s="268"/>
      <c r="Y417" s="331">
        <f t="shared" si="21"/>
        <v>0</v>
      </c>
      <c r="Z417" s="146"/>
      <c r="AA417" s="146"/>
      <c r="AB417" s="146"/>
      <c r="AC417" s="146"/>
      <c r="AD417" s="146"/>
      <c r="AE417" s="146"/>
      <c r="AF417" s="146"/>
      <c r="AG417" s="146"/>
      <c r="AH417" s="331">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29">
        <f t="shared" si="20"/>
        <v>0</v>
      </c>
      <c r="Q418" s="146"/>
      <c r="R418" s="146"/>
      <c r="S418" s="146"/>
      <c r="T418" s="146"/>
      <c r="U418" s="146"/>
      <c r="V418" s="146"/>
      <c r="W418" s="146"/>
      <c r="X418" s="268"/>
      <c r="Y418" s="331">
        <f t="shared" si="21"/>
        <v>0</v>
      </c>
      <c r="Z418" s="146"/>
      <c r="AA418" s="146"/>
      <c r="AB418" s="146"/>
      <c r="AC418" s="146"/>
      <c r="AD418" s="146"/>
      <c r="AE418" s="146"/>
      <c r="AF418" s="146"/>
      <c r="AG418" s="146"/>
      <c r="AH418" s="331">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29">
        <f t="shared" si="20"/>
        <v>0</v>
      </c>
      <c r="Q419" s="146"/>
      <c r="R419" s="146"/>
      <c r="S419" s="146"/>
      <c r="T419" s="146"/>
      <c r="U419" s="146"/>
      <c r="V419" s="146"/>
      <c r="W419" s="146"/>
      <c r="X419" s="268"/>
      <c r="Y419" s="331">
        <f t="shared" si="21"/>
        <v>0</v>
      </c>
      <c r="Z419" s="146"/>
      <c r="AA419" s="146"/>
      <c r="AB419" s="146"/>
      <c r="AC419" s="146"/>
      <c r="AD419" s="146"/>
      <c r="AE419" s="146"/>
      <c r="AF419" s="146"/>
      <c r="AG419" s="146"/>
      <c r="AH419" s="331">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29">
        <f t="shared" si="20"/>
        <v>0</v>
      </c>
      <c r="Q420" s="146"/>
      <c r="R420" s="146"/>
      <c r="S420" s="146"/>
      <c r="T420" s="146"/>
      <c r="U420" s="146"/>
      <c r="V420" s="146"/>
      <c r="W420" s="146"/>
      <c r="X420" s="268"/>
      <c r="Y420" s="331">
        <f t="shared" si="21"/>
        <v>0</v>
      </c>
      <c r="Z420" s="146"/>
      <c r="AA420" s="146"/>
      <c r="AB420" s="146"/>
      <c r="AC420" s="146"/>
      <c r="AD420" s="146"/>
      <c r="AE420" s="146"/>
      <c r="AF420" s="146"/>
      <c r="AG420" s="146"/>
      <c r="AH420" s="331">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29">
        <f t="shared" si="20"/>
        <v>0</v>
      </c>
      <c r="Q421" s="146"/>
      <c r="R421" s="146"/>
      <c r="S421" s="146"/>
      <c r="T421" s="146"/>
      <c r="U421" s="146"/>
      <c r="V421" s="146"/>
      <c r="W421" s="146"/>
      <c r="X421" s="268"/>
      <c r="Y421" s="331">
        <f t="shared" si="21"/>
        <v>0</v>
      </c>
      <c r="Z421" s="146"/>
      <c r="AA421" s="146"/>
      <c r="AB421" s="146"/>
      <c r="AC421" s="146"/>
      <c r="AD421" s="146"/>
      <c r="AE421" s="146"/>
      <c r="AF421" s="146"/>
      <c r="AG421" s="146"/>
      <c r="AH421" s="331">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29">
        <f t="shared" si="20"/>
        <v>0</v>
      </c>
      <c r="Q422" s="146"/>
      <c r="R422" s="146"/>
      <c r="S422" s="146"/>
      <c r="T422" s="146"/>
      <c r="U422" s="146"/>
      <c r="V422" s="146"/>
      <c r="W422" s="146"/>
      <c r="X422" s="268"/>
      <c r="Y422" s="331">
        <f t="shared" si="21"/>
        <v>0</v>
      </c>
      <c r="Z422" s="146"/>
      <c r="AA422" s="146"/>
      <c r="AB422" s="146"/>
      <c r="AC422" s="146"/>
      <c r="AD422" s="146"/>
      <c r="AE422" s="146"/>
      <c r="AF422" s="146"/>
      <c r="AG422" s="146"/>
      <c r="AH422" s="331">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29">
        <f t="shared" si="20"/>
        <v>0</v>
      </c>
      <c r="Q423" s="146"/>
      <c r="R423" s="146"/>
      <c r="S423" s="146"/>
      <c r="T423" s="146"/>
      <c r="U423" s="146"/>
      <c r="V423" s="146"/>
      <c r="W423" s="146"/>
      <c r="X423" s="268"/>
      <c r="Y423" s="331">
        <f t="shared" si="21"/>
        <v>0</v>
      </c>
      <c r="Z423" s="146"/>
      <c r="AA423" s="146"/>
      <c r="AB423" s="146"/>
      <c r="AC423" s="146"/>
      <c r="AD423" s="146"/>
      <c r="AE423" s="146"/>
      <c r="AF423" s="146"/>
      <c r="AG423" s="146"/>
      <c r="AH423" s="331">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29">
        <f t="shared" si="20"/>
        <v>0</v>
      </c>
      <c r="Q424" s="146"/>
      <c r="R424" s="146"/>
      <c r="S424" s="146"/>
      <c r="T424" s="146"/>
      <c r="U424" s="146"/>
      <c r="V424" s="146"/>
      <c r="W424" s="146"/>
      <c r="X424" s="268"/>
      <c r="Y424" s="331">
        <f t="shared" si="21"/>
        <v>0</v>
      </c>
      <c r="Z424" s="146"/>
      <c r="AA424" s="146"/>
      <c r="AB424" s="146"/>
      <c r="AC424" s="146"/>
      <c r="AD424" s="146"/>
      <c r="AE424" s="146"/>
      <c r="AF424" s="146"/>
      <c r="AG424" s="146"/>
      <c r="AH424" s="331">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29">
        <f t="shared" si="20"/>
        <v>0</v>
      </c>
      <c r="Q425" s="146"/>
      <c r="R425" s="146"/>
      <c r="S425" s="146"/>
      <c r="T425" s="146"/>
      <c r="U425" s="146"/>
      <c r="V425" s="146"/>
      <c r="W425" s="146"/>
      <c r="X425" s="268"/>
      <c r="Y425" s="331">
        <f t="shared" si="21"/>
        <v>0</v>
      </c>
      <c r="Z425" s="146"/>
      <c r="AA425" s="146"/>
      <c r="AB425" s="146"/>
      <c r="AC425" s="146"/>
      <c r="AD425" s="146"/>
      <c r="AE425" s="146"/>
      <c r="AF425" s="146"/>
      <c r="AG425" s="146"/>
      <c r="AH425" s="331">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29">
        <f t="shared" si="20"/>
        <v>0</v>
      </c>
      <c r="Q426" s="146"/>
      <c r="R426" s="146"/>
      <c r="S426" s="146"/>
      <c r="T426" s="146"/>
      <c r="U426" s="146"/>
      <c r="V426" s="146"/>
      <c r="W426" s="146"/>
      <c r="X426" s="268"/>
      <c r="Y426" s="331">
        <f t="shared" si="21"/>
        <v>0</v>
      </c>
      <c r="Z426" s="146"/>
      <c r="AA426" s="146"/>
      <c r="AB426" s="146"/>
      <c r="AC426" s="146"/>
      <c r="AD426" s="146"/>
      <c r="AE426" s="146"/>
      <c r="AF426" s="146"/>
      <c r="AG426" s="146"/>
      <c r="AH426" s="331">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29">
        <f t="shared" si="20"/>
        <v>0</v>
      </c>
      <c r="Q427" s="146"/>
      <c r="R427" s="146"/>
      <c r="S427" s="146"/>
      <c r="T427" s="146"/>
      <c r="U427" s="146"/>
      <c r="V427" s="146"/>
      <c r="W427" s="146"/>
      <c r="X427" s="268"/>
      <c r="Y427" s="331">
        <f t="shared" si="21"/>
        <v>0</v>
      </c>
      <c r="Z427" s="146"/>
      <c r="AA427" s="146"/>
      <c r="AB427" s="146"/>
      <c r="AC427" s="146"/>
      <c r="AD427" s="146"/>
      <c r="AE427" s="146"/>
      <c r="AF427" s="146"/>
      <c r="AG427" s="146"/>
      <c r="AH427" s="331">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29">
        <f t="shared" si="20"/>
        <v>0</v>
      </c>
      <c r="Q428" s="146"/>
      <c r="R428" s="146"/>
      <c r="S428" s="146"/>
      <c r="T428" s="146"/>
      <c r="U428" s="146"/>
      <c r="V428" s="146"/>
      <c r="W428" s="146"/>
      <c r="X428" s="268"/>
      <c r="Y428" s="331">
        <f t="shared" si="21"/>
        <v>0</v>
      </c>
      <c r="Z428" s="146"/>
      <c r="AA428" s="146"/>
      <c r="AB428" s="146"/>
      <c r="AC428" s="146"/>
      <c r="AD428" s="146"/>
      <c r="AE428" s="146"/>
      <c r="AF428" s="146"/>
      <c r="AG428" s="146"/>
      <c r="AH428" s="331">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29">
        <f t="shared" si="20"/>
        <v>0</v>
      </c>
      <c r="Q429" s="146"/>
      <c r="R429" s="146"/>
      <c r="S429" s="146"/>
      <c r="T429" s="146"/>
      <c r="U429" s="146"/>
      <c r="V429" s="146"/>
      <c r="W429" s="146"/>
      <c r="X429" s="268"/>
      <c r="Y429" s="331">
        <f t="shared" si="21"/>
        <v>0</v>
      </c>
      <c r="Z429" s="146"/>
      <c r="AA429" s="146"/>
      <c r="AB429" s="146"/>
      <c r="AC429" s="146"/>
      <c r="AD429" s="146"/>
      <c r="AE429" s="146"/>
      <c r="AF429" s="146"/>
      <c r="AG429" s="146"/>
      <c r="AH429" s="331">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29">
        <f t="shared" si="20"/>
        <v>0</v>
      </c>
      <c r="Q430" s="146"/>
      <c r="R430" s="146"/>
      <c r="S430" s="146"/>
      <c r="T430" s="146"/>
      <c r="U430" s="146"/>
      <c r="V430" s="146"/>
      <c r="W430" s="146"/>
      <c r="X430" s="268"/>
      <c r="Y430" s="331">
        <f t="shared" si="21"/>
        <v>0</v>
      </c>
      <c r="Z430" s="146"/>
      <c r="AA430" s="146"/>
      <c r="AB430" s="146"/>
      <c r="AC430" s="146"/>
      <c r="AD430" s="146"/>
      <c r="AE430" s="146"/>
      <c r="AF430" s="146"/>
      <c r="AG430" s="146"/>
      <c r="AH430" s="331">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29">
        <f t="shared" si="20"/>
        <v>0</v>
      </c>
      <c r="Q431" s="146"/>
      <c r="R431" s="146"/>
      <c r="S431" s="146"/>
      <c r="T431" s="146"/>
      <c r="U431" s="146"/>
      <c r="V431" s="146"/>
      <c r="W431" s="146"/>
      <c r="X431" s="268"/>
      <c r="Y431" s="331">
        <f t="shared" si="21"/>
        <v>0</v>
      </c>
      <c r="Z431" s="146"/>
      <c r="AA431" s="146"/>
      <c r="AB431" s="146"/>
      <c r="AC431" s="146"/>
      <c r="AD431" s="146"/>
      <c r="AE431" s="146"/>
      <c r="AF431" s="146"/>
      <c r="AG431" s="146"/>
      <c r="AH431" s="331">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29">
        <f t="shared" si="20"/>
        <v>0</v>
      </c>
      <c r="Q432" s="146"/>
      <c r="R432" s="146"/>
      <c r="S432" s="146"/>
      <c r="T432" s="146"/>
      <c r="U432" s="146"/>
      <c r="V432" s="146"/>
      <c r="W432" s="146"/>
      <c r="X432" s="268"/>
      <c r="Y432" s="331">
        <f t="shared" si="21"/>
        <v>0</v>
      </c>
      <c r="Z432" s="146"/>
      <c r="AA432" s="146"/>
      <c r="AB432" s="146"/>
      <c r="AC432" s="146"/>
      <c r="AD432" s="146"/>
      <c r="AE432" s="146"/>
      <c r="AF432" s="146"/>
      <c r="AG432" s="146"/>
      <c r="AH432" s="331">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29">
        <f t="shared" si="20"/>
        <v>0</v>
      </c>
      <c r="Q433" s="146"/>
      <c r="R433" s="146"/>
      <c r="S433" s="146"/>
      <c r="T433" s="146"/>
      <c r="U433" s="146"/>
      <c r="V433" s="146"/>
      <c r="W433" s="146"/>
      <c r="X433" s="268"/>
      <c r="Y433" s="331">
        <f t="shared" si="21"/>
        <v>0</v>
      </c>
      <c r="Z433" s="146"/>
      <c r="AA433" s="146"/>
      <c r="AB433" s="146"/>
      <c r="AC433" s="146"/>
      <c r="AD433" s="146"/>
      <c r="AE433" s="146"/>
      <c r="AF433" s="146"/>
      <c r="AG433" s="146"/>
      <c r="AH433" s="331">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29">
        <f t="shared" si="20"/>
        <v>0</v>
      </c>
      <c r="Q434" s="146"/>
      <c r="R434" s="146"/>
      <c r="S434" s="146"/>
      <c r="T434" s="146"/>
      <c r="U434" s="146"/>
      <c r="V434" s="146"/>
      <c r="W434" s="146"/>
      <c r="X434" s="268"/>
      <c r="Y434" s="331">
        <f t="shared" si="21"/>
        <v>0</v>
      </c>
      <c r="Z434" s="146"/>
      <c r="AA434" s="146"/>
      <c r="AB434" s="146"/>
      <c r="AC434" s="146"/>
      <c r="AD434" s="146"/>
      <c r="AE434" s="146"/>
      <c r="AF434" s="146"/>
      <c r="AG434" s="146"/>
      <c r="AH434" s="331">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29">
        <f t="shared" si="20"/>
        <v>0</v>
      </c>
      <c r="Q435" s="146"/>
      <c r="R435" s="146"/>
      <c r="S435" s="146"/>
      <c r="T435" s="146"/>
      <c r="U435" s="146"/>
      <c r="V435" s="146"/>
      <c r="W435" s="146"/>
      <c r="X435" s="268"/>
      <c r="Y435" s="331">
        <f t="shared" si="21"/>
        <v>0</v>
      </c>
      <c r="Z435" s="146"/>
      <c r="AA435" s="146"/>
      <c r="AB435" s="146"/>
      <c r="AC435" s="146"/>
      <c r="AD435" s="146"/>
      <c r="AE435" s="146"/>
      <c r="AF435" s="146"/>
      <c r="AG435" s="146"/>
      <c r="AH435" s="331">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29">
        <f t="shared" si="20"/>
        <v>0</v>
      </c>
      <c r="Q436" s="146"/>
      <c r="R436" s="146"/>
      <c r="S436" s="146"/>
      <c r="T436" s="146"/>
      <c r="U436" s="146"/>
      <c r="V436" s="146"/>
      <c r="W436" s="146"/>
      <c r="X436" s="268"/>
      <c r="Y436" s="331">
        <f t="shared" si="21"/>
        <v>0</v>
      </c>
      <c r="Z436" s="146"/>
      <c r="AA436" s="146"/>
      <c r="AB436" s="146"/>
      <c r="AC436" s="146"/>
      <c r="AD436" s="146"/>
      <c r="AE436" s="146"/>
      <c r="AF436" s="146"/>
      <c r="AG436" s="146"/>
      <c r="AH436" s="331">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29">
        <f t="shared" si="20"/>
        <v>0</v>
      </c>
      <c r="Q437" s="146"/>
      <c r="R437" s="146"/>
      <c r="S437" s="146"/>
      <c r="T437" s="146"/>
      <c r="U437" s="146"/>
      <c r="V437" s="146"/>
      <c r="W437" s="146"/>
      <c r="X437" s="268"/>
      <c r="Y437" s="331">
        <f t="shared" si="21"/>
        <v>0</v>
      </c>
      <c r="Z437" s="146"/>
      <c r="AA437" s="146"/>
      <c r="AB437" s="146"/>
      <c r="AC437" s="146"/>
      <c r="AD437" s="146"/>
      <c r="AE437" s="146"/>
      <c r="AF437" s="146"/>
      <c r="AG437" s="146"/>
      <c r="AH437" s="331">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29">
        <f t="shared" si="20"/>
        <v>0</v>
      </c>
      <c r="Q438" s="146"/>
      <c r="R438" s="146"/>
      <c r="S438" s="146"/>
      <c r="T438" s="146"/>
      <c r="U438" s="146"/>
      <c r="V438" s="146"/>
      <c r="W438" s="146"/>
      <c r="X438" s="268"/>
      <c r="Y438" s="331">
        <f t="shared" si="21"/>
        <v>0</v>
      </c>
      <c r="Z438" s="146"/>
      <c r="AA438" s="146"/>
      <c r="AB438" s="146"/>
      <c r="AC438" s="146"/>
      <c r="AD438" s="146"/>
      <c r="AE438" s="146"/>
      <c r="AF438" s="146"/>
      <c r="AG438" s="146"/>
      <c r="AH438" s="331">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29">
        <f t="shared" si="20"/>
        <v>0</v>
      </c>
      <c r="Q439" s="146"/>
      <c r="R439" s="146"/>
      <c r="S439" s="146"/>
      <c r="T439" s="146"/>
      <c r="U439" s="146"/>
      <c r="V439" s="146"/>
      <c r="W439" s="146"/>
      <c r="X439" s="268"/>
      <c r="Y439" s="331">
        <f t="shared" si="21"/>
        <v>0</v>
      </c>
      <c r="Z439" s="146"/>
      <c r="AA439" s="146"/>
      <c r="AB439" s="146"/>
      <c r="AC439" s="146"/>
      <c r="AD439" s="146"/>
      <c r="AE439" s="146"/>
      <c r="AF439" s="146"/>
      <c r="AG439" s="146"/>
      <c r="AH439" s="331">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29">
        <f t="shared" si="20"/>
        <v>0</v>
      </c>
      <c r="Q440" s="146"/>
      <c r="R440" s="146"/>
      <c r="S440" s="146"/>
      <c r="T440" s="146"/>
      <c r="U440" s="146"/>
      <c r="V440" s="146"/>
      <c r="W440" s="146"/>
      <c r="X440" s="268"/>
      <c r="Y440" s="331">
        <f t="shared" si="21"/>
        <v>0</v>
      </c>
      <c r="Z440" s="146"/>
      <c r="AA440" s="146"/>
      <c r="AB440" s="146"/>
      <c r="AC440" s="146"/>
      <c r="AD440" s="146"/>
      <c r="AE440" s="146"/>
      <c r="AF440" s="146"/>
      <c r="AG440" s="146"/>
      <c r="AH440" s="331">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29">
        <f t="shared" si="20"/>
        <v>0</v>
      </c>
      <c r="Q441" s="146"/>
      <c r="R441" s="146"/>
      <c r="S441" s="146"/>
      <c r="T441" s="146"/>
      <c r="U441" s="146"/>
      <c r="V441" s="146"/>
      <c r="W441" s="146"/>
      <c r="X441" s="268"/>
      <c r="Y441" s="331">
        <f t="shared" si="21"/>
        <v>0</v>
      </c>
      <c r="Z441" s="146"/>
      <c r="AA441" s="146"/>
      <c r="AB441" s="146"/>
      <c r="AC441" s="146"/>
      <c r="AD441" s="146"/>
      <c r="AE441" s="146"/>
      <c r="AF441" s="146"/>
      <c r="AG441" s="146"/>
      <c r="AH441" s="331">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29">
        <f t="shared" si="20"/>
        <v>0</v>
      </c>
      <c r="Q442" s="146"/>
      <c r="R442" s="146"/>
      <c r="S442" s="146"/>
      <c r="T442" s="146"/>
      <c r="U442" s="146"/>
      <c r="V442" s="146"/>
      <c r="W442" s="146"/>
      <c r="X442" s="268"/>
      <c r="Y442" s="331">
        <f t="shared" si="21"/>
        <v>0</v>
      </c>
      <c r="Z442" s="146"/>
      <c r="AA442" s="146"/>
      <c r="AB442" s="146"/>
      <c r="AC442" s="146"/>
      <c r="AD442" s="146"/>
      <c r="AE442" s="146"/>
      <c r="AF442" s="146"/>
      <c r="AG442" s="146"/>
      <c r="AH442" s="331">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29">
        <f t="shared" si="20"/>
        <v>0</v>
      </c>
      <c r="Q443" s="146"/>
      <c r="R443" s="146"/>
      <c r="S443" s="146"/>
      <c r="T443" s="146"/>
      <c r="U443" s="146"/>
      <c r="V443" s="146"/>
      <c r="W443" s="146"/>
      <c r="X443" s="268"/>
      <c r="Y443" s="331">
        <f t="shared" si="21"/>
        <v>0</v>
      </c>
      <c r="Z443" s="146"/>
      <c r="AA443" s="146"/>
      <c r="AB443" s="146"/>
      <c r="AC443" s="146"/>
      <c r="AD443" s="146"/>
      <c r="AE443" s="146"/>
      <c r="AF443" s="146"/>
      <c r="AG443" s="146"/>
      <c r="AH443" s="331">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29">
        <f t="shared" si="20"/>
        <v>0</v>
      </c>
      <c r="Q444" s="146"/>
      <c r="R444" s="146"/>
      <c r="S444" s="146"/>
      <c r="T444" s="146"/>
      <c r="U444" s="146"/>
      <c r="V444" s="146"/>
      <c r="W444" s="146"/>
      <c r="X444" s="268"/>
      <c r="Y444" s="331">
        <f t="shared" si="21"/>
        <v>0</v>
      </c>
      <c r="Z444" s="146"/>
      <c r="AA444" s="146"/>
      <c r="AB444" s="146"/>
      <c r="AC444" s="146"/>
      <c r="AD444" s="146"/>
      <c r="AE444" s="146"/>
      <c r="AF444" s="146"/>
      <c r="AG444" s="146"/>
      <c r="AH444" s="331">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29">
        <f t="shared" si="20"/>
        <v>0</v>
      </c>
      <c r="Q445" s="146"/>
      <c r="R445" s="146"/>
      <c r="S445" s="146"/>
      <c r="T445" s="146"/>
      <c r="U445" s="146"/>
      <c r="V445" s="146"/>
      <c r="W445" s="146"/>
      <c r="X445" s="268"/>
      <c r="Y445" s="331">
        <f t="shared" si="21"/>
        <v>0</v>
      </c>
      <c r="Z445" s="146"/>
      <c r="AA445" s="146"/>
      <c r="AB445" s="146"/>
      <c r="AC445" s="146"/>
      <c r="AD445" s="146"/>
      <c r="AE445" s="146"/>
      <c r="AF445" s="146"/>
      <c r="AG445" s="146"/>
      <c r="AH445" s="331">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29">
        <f t="shared" si="20"/>
        <v>0</v>
      </c>
      <c r="Q446" s="146"/>
      <c r="R446" s="146"/>
      <c r="S446" s="146"/>
      <c r="T446" s="146"/>
      <c r="U446" s="146"/>
      <c r="V446" s="146"/>
      <c r="W446" s="146"/>
      <c r="X446" s="268"/>
      <c r="Y446" s="331">
        <f t="shared" si="21"/>
        <v>0</v>
      </c>
      <c r="Z446" s="146"/>
      <c r="AA446" s="146"/>
      <c r="AB446" s="146"/>
      <c r="AC446" s="146"/>
      <c r="AD446" s="146"/>
      <c r="AE446" s="146"/>
      <c r="AF446" s="146"/>
      <c r="AG446" s="146"/>
      <c r="AH446" s="331">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29">
        <f t="shared" si="20"/>
        <v>0</v>
      </c>
      <c r="Q447" s="146"/>
      <c r="R447" s="146"/>
      <c r="S447" s="146"/>
      <c r="T447" s="146"/>
      <c r="U447" s="146"/>
      <c r="V447" s="146"/>
      <c r="W447" s="146"/>
      <c r="X447" s="268"/>
      <c r="Y447" s="331">
        <f t="shared" si="21"/>
        <v>0</v>
      </c>
      <c r="Z447" s="146"/>
      <c r="AA447" s="146"/>
      <c r="AB447" s="146"/>
      <c r="AC447" s="146"/>
      <c r="AD447" s="146"/>
      <c r="AE447" s="146"/>
      <c r="AF447" s="146"/>
      <c r="AG447" s="146"/>
      <c r="AH447" s="331">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29">
        <f t="shared" si="20"/>
        <v>0</v>
      </c>
      <c r="Q448" s="146"/>
      <c r="R448" s="146"/>
      <c r="S448" s="146"/>
      <c r="T448" s="146"/>
      <c r="U448" s="146"/>
      <c r="V448" s="146"/>
      <c r="W448" s="146"/>
      <c r="X448" s="268"/>
      <c r="Y448" s="331">
        <f t="shared" si="21"/>
        <v>0</v>
      </c>
      <c r="Z448" s="146"/>
      <c r="AA448" s="146"/>
      <c r="AB448" s="146"/>
      <c r="AC448" s="146"/>
      <c r="AD448" s="146"/>
      <c r="AE448" s="146"/>
      <c r="AF448" s="146"/>
      <c r="AG448" s="146"/>
      <c r="AH448" s="331">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29">
        <f t="shared" si="20"/>
        <v>0</v>
      </c>
      <c r="Q449" s="146"/>
      <c r="R449" s="146"/>
      <c r="S449" s="146"/>
      <c r="T449" s="146"/>
      <c r="U449" s="146"/>
      <c r="V449" s="146"/>
      <c r="W449" s="146"/>
      <c r="X449" s="268"/>
      <c r="Y449" s="331">
        <f t="shared" si="21"/>
        <v>0</v>
      </c>
      <c r="Z449" s="146"/>
      <c r="AA449" s="146"/>
      <c r="AB449" s="146"/>
      <c r="AC449" s="146"/>
      <c r="AD449" s="146"/>
      <c r="AE449" s="146"/>
      <c r="AF449" s="146"/>
      <c r="AG449" s="146"/>
      <c r="AH449" s="331">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29">
        <f t="shared" si="20"/>
        <v>0</v>
      </c>
      <c r="Q450" s="146"/>
      <c r="R450" s="146"/>
      <c r="S450" s="146"/>
      <c r="T450" s="146"/>
      <c r="U450" s="146"/>
      <c r="V450" s="146"/>
      <c r="W450" s="146"/>
      <c r="X450" s="268"/>
      <c r="Y450" s="331">
        <f t="shared" si="21"/>
        <v>0</v>
      </c>
      <c r="Z450" s="146"/>
      <c r="AA450" s="146"/>
      <c r="AB450" s="146"/>
      <c r="AC450" s="146"/>
      <c r="AD450" s="146"/>
      <c r="AE450" s="146"/>
      <c r="AF450" s="146"/>
      <c r="AG450" s="146"/>
      <c r="AH450" s="331">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29">
        <f t="shared" si="20"/>
        <v>0</v>
      </c>
      <c r="Q451" s="146"/>
      <c r="R451" s="146"/>
      <c r="S451" s="146"/>
      <c r="T451" s="146"/>
      <c r="U451" s="146"/>
      <c r="V451" s="146"/>
      <c r="W451" s="146"/>
      <c r="X451" s="268"/>
      <c r="Y451" s="331">
        <f t="shared" si="21"/>
        <v>0</v>
      </c>
      <c r="Z451" s="146"/>
      <c r="AA451" s="146"/>
      <c r="AB451" s="146"/>
      <c r="AC451" s="146"/>
      <c r="AD451" s="146"/>
      <c r="AE451" s="146"/>
      <c r="AF451" s="146"/>
      <c r="AG451" s="146"/>
      <c r="AH451" s="331">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29">
        <f t="shared" si="20"/>
        <v>0</v>
      </c>
      <c r="Q452" s="146"/>
      <c r="R452" s="146"/>
      <c r="S452" s="146"/>
      <c r="T452" s="146"/>
      <c r="U452" s="146"/>
      <c r="V452" s="146"/>
      <c r="W452" s="146"/>
      <c r="X452" s="268"/>
      <c r="Y452" s="331">
        <f t="shared" si="21"/>
        <v>0</v>
      </c>
      <c r="Z452" s="146"/>
      <c r="AA452" s="146"/>
      <c r="AB452" s="146"/>
      <c r="AC452" s="146"/>
      <c r="AD452" s="146"/>
      <c r="AE452" s="146"/>
      <c r="AF452" s="146"/>
      <c r="AG452" s="146"/>
      <c r="AH452" s="331">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29">
        <f t="shared" si="20"/>
        <v>0</v>
      </c>
      <c r="Q453" s="146"/>
      <c r="R453" s="146"/>
      <c r="S453" s="146"/>
      <c r="T453" s="146"/>
      <c r="U453" s="146"/>
      <c r="V453" s="146"/>
      <c r="W453" s="146"/>
      <c r="X453" s="268"/>
      <c r="Y453" s="331">
        <f t="shared" si="21"/>
        <v>0</v>
      </c>
      <c r="Z453" s="146"/>
      <c r="AA453" s="146"/>
      <c r="AB453" s="146"/>
      <c r="AC453" s="146"/>
      <c r="AD453" s="146"/>
      <c r="AE453" s="146"/>
      <c r="AF453" s="146"/>
      <c r="AG453" s="146"/>
      <c r="AH453" s="331">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29">
        <f t="shared" si="20"/>
        <v>0</v>
      </c>
      <c r="Q454" s="146"/>
      <c r="R454" s="146"/>
      <c r="S454" s="146"/>
      <c r="T454" s="146"/>
      <c r="U454" s="146"/>
      <c r="V454" s="146"/>
      <c r="W454" s="146"/>
      <c r="X454" s="268"/>
      <c r="Y454" s="331">
        <f t="shared" si="21"/>
        <v>0</v>
      </c>
      <c r="Z454" s="146"/>
      <c r="AA454" s="146"/>
      <c r="AB454" s="146"/>
      <c r="AC454" s="146"/>
      <c r="AD454" s="146"/>
      <c r="AE454" s="146"/>
      <c r="AF454" s="146"/>
      <c r="AG454" s="146"/>
      <c r="AH454" s="331">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29">
        <f t="shared" si="20"/>
        <v>0</v>
      </c>
      <c r="Q455" s="146"/>
      <c r="R455" s="146"/>
      <c r="S455" s="146"/>
      <c r="T455" s="146"/>
      <c r="U455" s="146"/>
      <c r="V455" s="146"/>
      <c r="W455" s="146"/>
      <c r="X455" s="268"/>
      <c r="Y455" s="331">
        <f t="shared" si="21"/>
        <v>0</v>
      </c>
      <c r="Z455" s="146"/>
      <c r="AA455" s="146"/>
      <c r="AB455" s="146"/>
      <c r="AC455" s="146"/>
      <c r="AD455" s="146"/>
      <c r="AE455" s="146"/>
      <c r="AF455" s="146"/>
      <c r="AG455" s="146"/>
      <c r="AH455" s="331">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29">
        <f t="shared" si="20"/>
        <v>0</v>
      </c>
      <c r="Q456" s="146"/>
      <c r="R456" s="146"/>
      <c r="S456" s="146"/>
      <c r="T456" s="146"/>
      <c r="U456" s="146"/>
      <c r="V456" s="146"/>
      <c r="W456" s="146"/>
      <c r="X456" s="268"/>
      <c r="Y456" s="331">
        <f t="shared" si="21"/>
        <v>0</v>
      </c>
      <c r="Z456" s="146"/>
      <c r="AA456" s="146"/>
      <c r="AB456" s="146"/>
      <c r="AC456" s="146"/>
      <c r="AD456" s="146"/>
      <c r="AE456" s="146"/>
      <c r="AF456" s="146"/>
      <c r="AG456" s="146"/>
      <c r="AH456" s="331">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29">
        <f t="shared" si="20"/>
        <v>0</v>
      </c>
      <c r="Q457" s="146"/>
      <c r="R457" s="146"/>
      <c r="S457" s="146"/>
      <c r="T457" s="146"/>
      <c r="U457" s="146"/>
      <c r="V457" s="146"/>
      <c r="W457" s="146"/>
      <c r="X457" s="268"/>
      <c r="Y457" s="331">
        <f t="shared" si="21"/>
        <v>0</v>
      </c>
      <c r="Z457" s="146"/>
      <c r="AA457" s="146"/>
      <c r="AB457" s="146"/>
      <c r="AC457" s="146"/>
      <c r="AD457" s="146"/>
      <c r="AE457" s="146"/>
      <c r="AF457" s="146"/>
      <c r="AG457" s="146"/>
      <c r="AH457" s="331">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29">
        <f t="shared" si="20"/>
        <v>0</v>
      </c>
      <c r="Q458" s="146"/>
      <c r="R458" s="146"/>
      <c r="S458" s="146"/>
      <c r="T458" s="146"/>
      <c r="U458" s="146"/>
      <c r="V458" s="146"/>
      <c r="W458" s="146"/>
      <c r="X458" s="268"/>
      <c r="Y458" s="331">
        <f t="shared" si="21"/>
        <v>0</v>
      </c>
      <c r="Z458" s="146"/>
      <c r="AA458" s="146"/>
      <c r="AB458" s="146"/>
      <c r="AC458" s="146"/>
      <c r="AD458" s="146"/>
      <c r="AE458" s="146"/>
      <c r="AF458" s="146"/>
      <c r="AG458" s="146"/>
      <c r="AH458" s="331">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29">
        <f t="shared" si="20"/>
        <v>0</v>
      </c>
      <c r="Q459" s="146"/>
      <c r="R459" s="146"/>
      <c r="S459" s="146"/>
      <c r="T459" s="146"/>
      <c r="U459" s="146"/>
      <c r="V459" s="146"/>
      <c r="W459" s="146"/>
      <c r="X459" s="268"/>
      <c r="Y459" s="331">
        <f t="shared" si="21"/>
        <v>0</v>
      </c>
      <c r="Z459" s="146"/>
      <c r="AA459" s="146"/>
      <c r="AB459" s="146"/>
      <c r="AC459" s="146"/>
      <c r="AD459" s="146"/>
      <c r="AE459" s="146"/>
      <c r="AF459" s="146"/>
      <c r="AG459" s="146"/>
      <c r="AH459" s="331">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29">
        <f t="shared" si="20"/>
        <v>0</v>
      </c>
      <c r="Q460" s="146"/>
      <c r="R460" s="146"/>
      <c r="S460" s="146"/>
      <c r="T460" s="146"/>
      <c r="U460" s="146"/>
      <c r="V460" s="146"/>
      <c r="W460" s="146"/>
      <c r="X460" s="268"/>
      <c r="Y460" s="331">
        <f t="shared" si="21"/>
        <v>0</v>
      </c>
      <c r="Z460" s="146"/>
      <c r="AA460" s="146"/>
      <c r="AB460" s="146"/>
      <c r="AC460" s="146"/>
      <c r="AD460" s="146"/>
      <c r="AE460" s="146"/>
      <c r="AF460" s="146"/>
      <c r="AG460" s="146"/>
      <c r="AH460" s="331">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29">
        <f t="shared" ref="P461:P524" si="23">SUM(H461:N461)</f>
        <v>0</v>
      </c>
      <c r="Q461" s="146"/>
      <c r="R461" s="146"/>
      <c r="S461" s="146"/>
      <c r="T461" s="146"/>
      <c r="U461" s="146"/>
      <c r="V461" s="146"/>
      <c r="W461" s="146"/>
      <c r="X461" s="268"/>
      <c r="Y461" s="331">
        <f t="shared" ref="Y461:Y524" si="24">SUM(Q461:W461)</f>
        <v>0</v>
      </c>
      <c r="Z461" s="146"/>
      <c r="AA461" s="146"/>
      <c r="AB461" s="146"/>
      <c r="AC461" s="146"/>
      <c r="AD461" s="146"/>
      <c r="AE461" s="146"/>
      <c r="AF461" s="146"/>
      <c r="AG461" s="146"/>
      <c r="AH461" s="331">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29">
        <f t="shared" si="23"/>
        <v>0</v>
      </c>
      <c r="Q462" s="146"/>
      <c r="R462" s="146"/>
      <c r="S462" s="146"/>
      <c r="T462" s="146"/>
      <c r="U462" s="146"/>
      <c r="V462" s="146"/>
      <c r="W462" s="146"/>
      <c r="X462" s="268"/>
      <c r="Y462" s="331">
        <f t="shared" si="24"/>
        <v>0</v>
      </c>
      <c r="Z462" s="146"/>
      <c r="AA462" s="146"/>
      <c r="AB462" s="146"/>
      <c r="AC462" s="146"/>
      <c r="AD462" s="146"/>
      <c r="AE462" s="146"/>
      <c r="AF462" s="146"/>
      <c r="AG462" s="146"/>
      <c r="AH462" s="331">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29">
        <f t="shared" si="23"/>
        <v>0</v>
      </c>
      <c r="Q463" s="146"/>
      <c r="R463" s="146"/>
      <c r="S463" s="146"/>
      <c r="T463" s="146"/>
      <c r="U463" s="146"/>
      <c r="V463" s="146"/>
      <c r="W463" s="146"/>
      <c r="X463" s="268"/>
      <c r="Y463" s="331">
        <f t="shared" si="24"/>
        <v>0</v>
      </c>
      <c r="Z463" s="146"/>
      <c r="AA463" s="146"/>
      <c r="AB463" s="146"/>
      <c r="AC463" s="146"/>
      <c r="AD463" s="146"/>
      <c r="AE463" s="146"/>
      <c r="AF463" s="146"/>
      <c r="AG463" s="146"/>
      <c r="AH463" s="331">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29">
        <f t="shared" si="23"/>
        <v>0</v>
      </c>
      <c r="Q464" s="146"/>
      <c r="R464" s="146"/>
      <c r="S464" s="146"/>
      <c r="T464" s="146"/>
      <c r="U464" s="146"/>
      <c r="V464" s="146"/>
      <c r="W464" s="146"/>
      <c r="X464" s="268"/>
      <c r="Y464" s="331">
        <f t="shared" si="24"/>
        <v>0</v>
      </c>
      <c r="Z464" s="146"/>
      <c r="AA464" s="146"/>
      <c r="AB464" s="146"/>
      <c r="AC464" s="146"/>
      <c r="AD464" s="146"/>
      <c r="AE464" s="146"/>
      <c r="AF464" s="146"/>
      <c r="AG464" s="146"/>
      <c r="AH464" s="331">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29">
        <f t="shared" si="23"/>
        <v>0</v>
      </c>
      <c r="Q465" s="146"/>
      <c r="R465" s="146"/>
      <c r="S465" s="146"/>
      <c r="T465" s="146"/>
      <c r="U465" s="146"/>
      <c r="V465" s="146"/>
      <c r="W465" s="146"/>
      <c r="X465" s="268"/>
      <c r="Y465" s="331">
        <f t="shared" si="24"/>
        <v>0</v>
      </c>
      <c r="Z465" s="146"/>
      <c r="AA465" s="146"/>
      <c r="AB465" s="146"/>
      <c r="AC465" s="146"/>
      <c r="AD465" s="146"/>
      <c r="AE465" s="146"/>
      <c r="AF465" s="146"/>
      <c r="AG465" s="146"/>
      <c r="AH465" s="331">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29">
        <f t="shared" si="23"/>
        <v>0</v>
      </c>
      <c r="Q466" s="146"/>
      <c r="R466" s="146"/>
      <c r="S466" s="146"/>
      <c r="T466" s="146"/>
      <c r="U466" s="146"/>
      <c r="V466" s="146"/>
      <c r="W466" s="146"/>
      <c r="X466" s="268"/>
      <c r="Y466" s="331">
        <f t="shared" si="24"/>
        <v>0</v>
      </c>
      <c r="Z466" s="146"/>
      <c r="AA466" s="146"/>
      <c r="AB466" s="146"/>
      <c r="AC466" s="146"/>
      <c r="AD466" s="146"/>
      <c r="AE466" s="146"/>
      <c r="AF466" s="146"/>
      <c r="AG466" s="146"/>
      <c r="AH466" s="331">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29">
        <f t="shared" si="23"/>
        <v>0</v>
      </c>
      <c r="Q467" s="146"/>
      <c r="R467" s="146"/>
      <c r="S467" s="146"/>
      <c r="T467" s="146"/>
      <c r="U467" s="146"/>
      <c r="V467" s="146"/>
      <c r="W467" s="146"/>
      <c r="X467" s="268"/>
      <c r="Y467" s="331">
        <f t="shared" si="24"/>
        <v>0</v>
      </c>
      <c r="Z467" s="146"/>
      <c r="AA467" s="146"/>
      <c r="AB467" s="146"/>
      <c r="AC467" s="146"/>
      <c r="AD467" s="146"/>
      <c r="AE467" s="146"/>
      <c r="AF467" s="146"/>
      <c r="AG467" s="146"/>
      <c r="AH467" s="331">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29">
        <f t="shared" si="23"/>
        <v>0</v>
      </c>
      <c r="Q468" s="146"/>
      <c r="R468" s="146"/>
      <c r="S468" s="146"/>
      <c r="T468" s="146"/>
      <c r="U468" s="146"/>
      <c r="V468" s="146"/>
      <c r="W468" s="146"/>
      <c r="X468" s="268"/>
      <c r="Y468" s="331">
        <f t="shared" si="24"/>
        <v>0</v>
      </c>
      <c r="Z468" s="146"/>
      <c r="AA468" s="146"/>
      <c r="AB468" s="146"/>
      <c r="AC468" s="146"/>
      <c r="AD468" s="146"/>
      <c r="AE468" s="146"/>
      <c r="AF468" s="146"/>
      <c r="AG468" s="146"/>
      <c r="AH468" s="331">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29">
        <f t="shared" si="23"/>
        <v>0</v>
      </c>
      <c r="Q469" s="146"/>
      <c r="R469" s="146"/>
      <c r="S469" s="146"/>
      <c r="T469" s="146"/>
      <c r="U469" s="146"/>
      <c r="V469" s="146"/>
      <c r="W469" s="146"/>
      <c r="X469" s="268"/>
      <c r="Y469" s="331">
        <f t="shared" si="24"/>
        <v>0</v>
      </c>
      <c r="Z469" s="146"/>
      <c r="AA469" s="146"/>
      <c r="AB469" s="146"/>
      <c r="AC469" s="146"/>
      <c r="AD469" s="146"/>
      <c r="AE469" s="146"/>
      <c r="AF469" s="146"/>
      <c r="AG469" s="146"/>
      <c r="AH469" s="331">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29">
        <f t="shared" si="23"/>
        <v>0</v>
      </c>
      <c r="Q470" s="146"/>
      <c r="R470" s="146"/>
      <c r="S470" s="146"/>
      <c r="T470" s="146"/>
      <c r="U470" s="146"/>
      <c r="V470" s="146"/>
      <c r="W470" s="146"/>
      <c r="X470" s="268"/>
      <c r="Y470" s="331">
        <f t="shared" si="24"/>
        <v>0</v>
      </c>
      <c r="Z470" s="146"/>
      <c r="AA470" s="146"/>
      <c r="AB470" s="146"/>
      <c r="AC470" s="146"/>
      <c r="AD470" s="146"/>
      <c r="AE470" s="146"/>
      <c r="AF470" s="146"/>
      <c r="AG470" s="146"/>
      <c r="AH470" s="331">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29">
        <f t="shared" si="23"/>
        <v>0</v>
      </c>
      <c r="Q471" s="146"/>
      <c r="R471" s="146"/>
      <c r="S471" s="146"/>
      <c r="T471" s="146"/>
      <c r="U471" s="146"/>
      <c r="V471" s="146"/>
      <c r="W471" s="146"/>
      <c r="X471" s="268"/>
      <c r="Y471" s="331">
        <f t="shared" si="24"/>
        <v>0</v>
      </c>
      <c r="Z471" s="146"/>
      <c r="AA471" s="146"/>
      <c r="AB471" s="146"/>
      <c r="AC471" s="146"/>
      <c r="AD471" s="146"/>
      <c r="AE471" s="146"/>
      <c r="AF471" s="146"/>
      <c r="AG471" s="146"/>
      <c r="AH471" s="331">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29">
        <f t="shared" si="23"/>
        <v>0</v>
      </c>
      <c r="Q472" s="146"/>
      <c r="R472" s="146"/>
      <c r="S472" s="146"/>
      <c r="T472" s="146"/>
      <c r="U472" s="146"/>
      <c r="V472" s="146"/>
      <c r="W472" s="146"/>
      <c r="X472" s="268"/>
      <c r="Y472" s="331">
        <f t="shared" si="24"/>
        <v>0</v>
      </c>
      <c r="Z472" s="146"/>
      <c r="AA472" s="146"/>
      <c r="AB472" s="146"/>
      <c r="AC472" s="146"/>
      <c r="AD472" s="146"/>
      <c r="AE472" s="146"/>
      <c r="AF472" s="146"/>
      <c r="AG472" s="146"/>
      <c r="AH472" s="331">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29">
        <f t="shared" si="23"/>
        <v>0</v>
      </c>
      <c r="Q473" s="146"/>
      <c r="R473" s="146"/>
      <c r="S473" s="146"/>
      <c r="T473" s="146"/>
      <c r="U473" s="146"/>
      <c r="V473" s="146"/>
      <c r="W473" s="146"/>
      <c r="X473" s="268"/>
      <c r="Y473" s="331">
        <f t="shared" si="24"/>
        <v>0</v>
      </c>
      <c r="Z473" s="146"/>
      <c r="AA473" s="146"/>
      <c r="AB473" s="146"/>
      <c r="AC473" s="146"/>
      <c r="AD473" s="146"/>
      <c r="AE473" s="146"/>
      <c r="AF473" s="146"/>
      <c r="AG473" s="146"/>
      <c r="AH473" s="331">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29">
        <f t="shared" si="23"/>
        <v>0</v>
      </c>
      <c r="Q474" s="146"/>
      <c r="R474" s="146"/>
      <c r="S474" s="146"/>
      <c r="T474" s="146"/>
      <c r="U474" s="146"/>
      <c r="V474" s="146"/>
      <c r="W474" s="146"/>
      <c r="X474" s="268"/>
      <c r="Y474" s="331">
        <f t="shared" si="24"/>
        <v>0</v>
      </c>
      <c r="Z474" s="146"/>
      <c r="AA474" s="146"/>
      <c r="AB474" s="146"/>
      <c r="AC474" s="146"/>
      <c r="AD474" s="146"/>
      <c r="AE474" s="146"/>
      <c r="AF474" s="146"/>
      <c r="AG474" s="146"/>
      <c r="AH474" s="331">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29">
        <f t="shared" si="23"/>
        <v>0</v>
      </c>
      <c r="Q475" s="146"/>
      <c r="R475" s="146"/>
      <c r="S475" s="146"/>
      <c r="T475" s="146"/>
      <c r="U475" s="146"/>
      <c r="V475" s="146"/>
      <c r="W475" s="146"/>
      <c r="X475" s="268"/>
      <c r="Y475" s="331">
        <f t="shared" si="24"/>
        <v>0</v>
      </c>
      <c r="Z475" s="146"/>
      <c r="AA475" s="146"/>
      <c r="AB475" s="146"/>
      <c r="AC475" s="146"/>
      <c r="AD475" s="146"/>
      <c r="AE475" s="146"/>
      <c r="AF475" s="146"/>
      <c r="AG475" s="146"/>
      <c r="AH475" s="331">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29">
        <f t="shared" si="23"/>
        <v>0</v>
      </c>
      <c r="Q476" s="146"/>
      <c r="R476" s="146"/>
      <c r="S476" s="146"/>
      <c r="T476" s="146"/>
      <c r="U476" s="146"/>
      <c r="V476" s="146"/>
      <c r="W476" s="146"/>
      <c r="X476" s="268"/>
      <c r="Y476" s="331">
        <f t="shared" si="24"/>
        <v>0</v>
      </c>
      <c r="Z476" s="146"/>
      <c r="AA476" s="146"/>
      <c r="AB476" s="146"/>
      <c r="AC476" s="146"/>
      <c r="AD476" s="146"/>
      <c r="AE476" s="146"/>
      <c r="AF476" s="146"/>
      <c r="AG476" s="146"/>
      <c r="AH476" s="331">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29">
        <f t="shared" si="23"/>
        <v>0</v>
      </c>
      <c r="Q477" s="146"/>
      <c r="R477" s="146"/>
      <c r="S477" s="146"/>
      <c r="T477" s="146"/>
      <c r="U477" s="146"/>
      <c r="V477" s="146"/>
      <c r="W477" s="146"/>
      <c r="X477" s="268"/>
      <c r="Y477" s="331">
        <f t="shared" si="24"/>
        <v>0</v>
      </c>
      <c r="Z477" s="146"/>
      <c r="AA477" s="146"/>
      <c r="AB477" s="146"/>
      <c r="AC477" s="146"/>
      <c r="AD477" s="146"/>
      <c r="AE477" s="146"/>
      <c r="AF477" s="146"/>
      <c r="AG477" s="146"/>
      <c r="AH477" s="331">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29">
        <f t="shared" si="23"/>
        <v>0</v>
      </c>
      <c r="Q478" s="146"/>
      <c r="R478" s="146"/>
      <c r="S478" s="146"/>
      <c r="T478" s="146"/>
      <c r="U478" s="146"/>
      <c r="V478" s="146"/>
      <c r="W478" s="146"/>
      <c r="X478" s="268"/>
      <c r="Y478" s="331">
        <f t="shared" si="24"/>
        <v>0</v>
      </c>
      <c r="Z478" s="146"/>
      <c r="AA478" s="146"/>
      <c r="AB478" s="146"/>
      <c r="AC478" s="146"/>
      <c r="AD478" s="146"/>
      <c r="AE478" s="146"/>
      <c r="AF478" s="146"/>
      <c r="AG478" s="146"/>
      <c r="AH478" s="331">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29">
        <f t="shared" si="23"/>
        <v>0</v>
      </c>
      <c r="Q479" s="146"/>
      <c r="R479" s="146"/>
      <c r="S479" s="146"/>
      <c r="T479" s="146"/>
      <c r="U479" s="146"/>
      <c r="V479" s="146"/>
      <c r="W479" s="146"/>
      <c r="X479" s="268"/>
      <c r="Y479" s="331">
        <f t="shared" si="24"/>
        <v>0</v>
      </c>
      <c r="Z479" s="146"/>
      <c r="AA479" s="146"/>
      <c r="AB479" s="146"/>
      <c r="AC479" s="146"/>
      <c r="AD479" s="146"/>
      <c r="AE479" s="146"/>
      <c r="AF479" s="146"/>
      <c r="AG479" s="146"/>
      <c r="AH479" s="331">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29">
        <f t="shared" si="23"/>
        <v>0</v>
      </c>
      <c r="Q480" s="146"/>
      <c r="R480" s="146"/>
      <c r="S480" s="146"/>
      <c r="T480" s="146"/>
      <c r="U480" s="146"/>
      <c r="V480" s="146"/>
      <c r="W480" s="146"/>
      <c r="X480" s="268"/>
      <c r="Y480" s="331">
        <f t="shared" si="24"/>
        <v>0</v>
      </c>
      <c r="Z480" s="146"/>
      <c r="AA480" s="146"/>
      <c r="AB480" s="146"/>
      <c r="AC480" s="146"/>
      <c r="AD480" s="146"/>
      <c r="AE480" s="146"/>
      <c r="AF480" s="146"/>
      <c r="AG480" s="146"/>
      <c r="AH480" s="331">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29">
        <f t="shared" si="23"/>
        <v>0</v>
      </c>
      <c r="Q481" s="146"/>
      <c r="R481" s="146"/>
      <c r="S481" s="146"/>
      <c r="T481" s="146"/>
      <c r="U481" s="146"/>
      <c r="V481" s="146"/>
      <c r="W481" s="146"/>
      <c r="X481" s="268"/>
      <c r="Y481" s="331">
        <f t="shared" si="24"/>
        <v>0</v>
      </c>
      <c r="Z481" s="146"/>
      <c r="AA481" s="146"/>
      <c r="AB481" s="146"/>
      <c r="AC481" s="146"/>
      <c r="AD481" s="146"/>
      <c r="AE481" s="146"/>
      <c r="AF481" s="146"/>
      <c r="AG481" s="146"/>
      <c r="AH481" s="331">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29">
        <f t="shared" si="23"/>
        <v>0</v>
      </c>
      <c r="Q482" s="146"/>
      <c r="R482" s="146"/>
      <c r="S482" s="146"/>
      <c r="T482" s="146"/>
      <c r="U482" s="146"/>
      <c r="V482" s="146"/>
      <c r="W482" s="146"/>
      <c r="X482" s="268"/>
      <c r="Y482" s="331">
        <f t="shared" si="24"/>
        <v>0</v>
      </c>
      <c r="Z482" s="146"/>
      <c r="AA482" s="146"/>
      <c r="AB482" s="146"/>
      <c r="AC482" s="146"/>
      <c r="AD482" s="146"/>
      <c r="AE482" s="146"/>
      <c r="AF482" s="146"/>
      <c r="AG482" s="146"/>
      <c r="AH482" s="331">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29">
        <f t="shared" si="23"/>
        <v>0</v>
      </c>
      <c r="Q483" s="146"/>
      <c r="R483" s="146"/>
      <c r="S483" s="146"/>
      <c r="T483" s="146"/>
      <c r="U483" s="146"/>
      <c r="V483" s="146"/>
      <c r="W483" s="146"/>
      <c r="X483" s="268"/>
      <c r="Y483" s="331">
        <f t="shared" si="24"/>
        <v>0</v>
      </c>
      <c r="Z483" s="146"/>
      <c r="AA483" s="146"/>
      <c r="AB483" s="146"/>
      <c r="AC483" s="146"/>
      <c r="AD483" s="146"/>
      <c r="AE483" s="146"/>
      <c r="AF483" s="146"/>
      <c r="AG483" s="146"/>
      <c r="AH483" s="331">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29">
        <f t="shared" si="23"/>
        <v>0</v>
      </c>
      <c r="Q484" s="146"/>
      <c r="R484" s="146"/>
      <c r="S484" s="146"/>
      <c r="T484" s="146"/>
      <c r="U484" s="146"/>
      <c r="V484" s="146"/>
      <c r="W484" s="146"/>
      <c r="X484" s="268"/>
      <c r="Y484" s="331">
        <f t="shared" si="24"/>
        <v>0</v>
      </c>
      <c r="Z484" s="146"/>
      <c r="AA484" s="146"/>
      <c r="AB484" s="146"/>
      <c r="AC484" s="146"/>
      <c r="AD484" s="146"/>
      <c r="AE484" s="146"/>
      <c r="AF484" s="146"/>
      <c r="AG484" s="146"/>
      <c r="AH484" s="331">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29">
        <f t="shared" si="23"/>
        <v>0</v>
      </c>
      <c r="Q485" s="146"/>
      <c r="R485" s="146"/>
      <c r="S485" s="146"/>
      <c r="T485" s="146"/>
      <c r="U485" s="146"/>
      <c r="V485" s="146"/>
      <c r="W485" s="146"/>
      <c r="X485" s="268"/>
      <c r="Y485" s="331">
        <f t="shared" si="24"/>
        <v>0</v>
      </c>
      <c r="Z485" s="146"/>
      <c r="AA485" s="146"/>
      <c r="AB485" s="146"/>
      <c r="AC485" s="146"/>
      <c r="AD485" s="146"/>
      <c r="AE485" s="146"/>
      <c r="AF485" s="146"/>
      <c r="AG485" s="146"/>
      <c r="AH485" s="331">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29">
        <f t="shared" si="23"/>
        <v>0</v>
      </c>
      <c r="Q486" s="146"/>
      <c r="R486" s="146"/>
      <c r="S486" s="146"/>
      <c r="T486" s="146"/>
      <c r="U486" s="146"/>
      <c r="V486" s="146"/>
      <c r="W486" s="146"/>
      <c r="X486" s="268"/>
      <c r="Y486" s="331">
        <f t="shared" si="24"/>
        <v>0</v>
      </c>
      <c r="Z486" s="146"/>
      <c r="AA486" s="146"/>
      <c r="AB486" s="146"/>
      <c r="AC486" s="146"/>
      <c r="AD486" s="146"/>
      <c r="AE486" s="146"/>
      <c r="AF486" s="146"/>
      <c r="AG486" s="146"/>
      <c r="AH486" s="331">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29">
        <f t="shared" si="23"/>
        <v>0</v>
      </c>
      <c r="Q487" s="146"/>
      <c r="R487" s="146"/>
      <c r="S487" s="146"/>
      <c r="T487" s="146"/>
      <c r="U487" s="146"/>
      <c r="V487" s="146"/>
      <c r="W487" s="146"/>
      <c r="X487" s="268"/>
      <c r="Y487" s="331">
        <f t="shared" si="24"/>
        <v>0</v>
      </c>
      <c r="Z487" s="146"/>
      <c r="AA487" s="146"/>
      <c r="AB487" s="146"/>
      <c r="AC487" s="146"/>
      <c r="AD487" s="146"/>
      <c r="AE487" s="146"/>
      <c r="AF487" s="146"/>
      <c r="AG487" s="146"/>
      <c r="AH487" s="331">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29">
        <f t="shared" si="23"/>
        <v>0</v>
      </c>
      <c r="Q488" s="146"/>
      <c r="R488" s="146"/>
      <c r="S488" s="146"/>
      <c r="T488" s="146"/>
      <c r="U488" s="146"/>
      <c r="V488" s="146"/>
      <c r="W488" s="146"/>
      <c r="X488" s="268"/>
      <c r="Y488" s="331">
        <f t="shared" si="24"/>
        <v>0</v>
      </c>
      <c r="Z488" s="146"/>
      <c r="AA488" s="146"/>
      <c r="AB488" s="146"/>
      <c r="AC488" s="146"/>
      <c r="AD488" s="146"/>
      <c r="AE488" s="146"/>
      <c r="AF488" s="146"/>
      <c r="AG488" s="146"/>
      <c r="AH488" s="331">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29">
        <f t="shared" si="23"/>
        <v>0</v>
      </c>
      <c r="Q489" s="146"/>
      <c r="R489" s="146"/>
      <c r="S489" s="146"/>
      <c r="T489" s="146"/>
      <c r="U489" s="146"/>
      <c r="V489" s="146"/>
      <c r="W489" s="146"/>
      <c r="X489" s="268"/>
      <c r="Y489" s="331">
        <f t="shared" si="24"/>
        <v>0</v>
      </c>
      <c r="Z489" s="146"/>
      <c r="AA489" s="146"/>
      <c r="AB489" s="146"/>
      <c r="AC489" s="146"/>
      <c r="AD489" s="146"/>
      <c r="AE489" s="146"/>
      <c r="AF489" s="146"/>
      <c r="AG489" s="146"/>
      <c r="AH489" s="331">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29">
        <f t="shared" si="23"/>
        <v>0</v>
      </c>
      <c r="Q490" s="146"/>
      <c r="R490" s="146"/>
      <c r="S490" s="146"/>
      <c r="T490" s="146"/>
      <c r="U490" s="146"/>
      <c r="V490" s="146"/>
      <c r="W490" s="146"/>
      <c r="X490" s="268"/>
      <c r="Y490" s="331">
        <f t="shared" si="24"/>
        <v>0</v>
      </c>
      <c r="Z490" s="146"/>
      <c r="AA490" s="146"/>
      <c r="AB490" s="146"/>
      <c r="AC490" s="146"/>
      <c r="AD490" s="146"/>
      <c r="AE490" s="146"/>
      <c r="AF490" s="146"/>
      <c r="AG490" s="146"/>
      <c r="AH490" s="331">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29">
        <f t="shared" si="23"/>
        <v>0</v>
      </c>
      <c r="Q491" s="146"/>
      <c r="R491" s="146"/>
      <c r="S491" s="146"/>
      <c r="T491" s="146"/>
      <c r="U491" s="146"/>
      <c r="V491" s="146"/>
      <c r="W491" s="146"/>
      <c r="X491" s="268"/>
      <c r="Y491" s="331">
        <f t="shared" si="24"/>
        <v>0</v>
      </c>
      <c r="Z491" s="146"/>
      <c r="AA491" s="146"/>
      <c r="AB491" s="146"/>
      <c r="AC491" s="146"/>
      <c r="AD491" s="146"/>
      <c r="AE491" s="146"/>
      <c r="AF491" s="146"/>
      <c r="AG491" s="146"/>
      <c r="AH491" s="331">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29">
        <f t="shared" si="23"/>
        <v>0</v>
      </c>
      <c r="Q492" s="146"/>
      <c r="R492" s="146"/>
      <c r="S492" s="146"/>
      <c r="T492" s="146"/>
      <c r="U492" s="146"/>
      <c r="V492" s="146"/>
      <c r="W492" s="146"/>
      <c r="X492" s="268"/>
      <c r="Y492" s="331">
        <f t="shared" si="24"/>
        <v>0</v>
      </c>
      <c r="Z492" s="146"/>
      <c r="AA492" s="146"/>
      <c r="AB492" s="146"/>
      <c r="AC492" s="146"/>
      <c r="AD492" s="146"/>
      <c r="AE492" s="146"/>
      <c r="AF492" s="146"/>
      <c r="AG492" s="146"/>
      <c r="AH492" s="331">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29">
        <f t="shared" si="23"/>
        <v>0</v>
      </c>
      <c r="Q493" s="146"/>
      <c r="R493" s="146"/>
      <c r="S493" s="146"/>
      <c r="T493" s="146"/>
      <c r="U493" s="146"/>
      <c r="V493" s="146"/>
      <c r="W493" s="146"/>
      <c r="X493" s="268"/>
      <c r="Y493" s="331">
        <f t="shared" si="24"/>
        <v>0</v>
      </c>
      <c r="Z493" s="146"/>
      <c r="AA493" s="146"/>
      <c r="AB493" s="146"/>
      <c r="AC493" s="146"/>
      <c r="AD493" s="146"/>
      <c r="AE493" s="146"/>
      <c r="AF493" s="146"/>
      <c r="AG493" s="146"/>
      <c r="AH493" s="331">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29">
        <f t="shared" si="23"/>
        <v>0</v>
      </c>
      <c r="Q494" s="146"/>
      <c r="R494" s="146"/>
      <c r="S494" s="146"/>
      <c r="T494" s="146"/>
      <c r="U494" s="146"/>
      <c r="V494" s="146"/>
      <c r="W494" s="146"/>
      <c r="X494" s="268"/>
      <c r="Y494" s="331">
        <f t="shared" si="24"/>
        <v>0</v>
      </c>
      <c r="Z494" s="146"/>
      <c r="AA494" s="146"/>
      <c r="AB494" s="146"/>
      <c r="AC494" s="146"/>
      <c r="AD494" s="146"/>
      <c r="AE494" s="146"/>
      <c r="AF494" s="146"/>
      <c r="AG494" s="146"/>
      <c r="AH494" s="331">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29">
        <f t="shared" si="23"/>
        <v>0</v>
      </c>
      <c r="Q495" s="146"/>
      <c r="R495" s="146"/>
      <c r="S495" s="146"/>
      <c r="T495" s="146"/>
      <c r="U495" s="146"/>
      <c r="V495" s="146"/>
      <c r="W495" s="146"/>
      <c r="X495" s="268"/>
      <c r="Y495" s="331">
        <f t="shared" si="24"/>
        <v>0</v>
      </c>
      <c r="Z495" s="146"/>
      <c r="AA495" s="146"/>
      <c r="AB495" s="146"/>
      <c r="AC495" s="146"/>
      <c r="AD495" s="146"/>
      <c r="AE495" s="146"/>
      <c r="AF495" s="146"/>
      <c r="AG495" s="146"/>
      <c r="AH495" s="331">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29">
        <f t="shared" si="23"/>
        <v>0</v>
      </c>
      <c r="Q496" s="146"/>
      <c r="R496" s="146"/>
      <c r="S496" s="146"/>
      <c r="T496" s="146"/>
      <c r="U496" s="146"/>
      <c r="V496" s="146"/>
      <c r="W496" s="146"/>
      <c r="X496" s="268"/>
      <c r="Y496" s="331">
        <f t="shared" si="24"/>
        <v>0</v>
      </c>
      <c r="Z496" s="146"/>
      <c r="AA496" s="146"/>
      <c r="AB496" s="146"/>
      <c r="AC496" s="146"/>
      <c r="AD496" s="146"/>
      <c r="AE496" s="146"/>
      <c r="AF496" s="146"/>
      <c r="AG496" s="146"/>
      <c r="AH496" s="331">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29">
        <f t="shared" si="23"/>
        <v>0</v>
      </c>
      <c r="Q497" s="146"/>
      <c r="R497" s="146"/>
      <c r="S497" s="146"/>
      <c r="T497" s="146"/>
      <c r="U497" s="146"/>
      <c r="V497" s="146"/>
      <c r="W497" s="146"/>
      <c r="X497" s="268"/>
      <c r="Y497" s="331">
        <f t="shared" si="24"/>
        <v>0</v>
      </c>
      <c r="Z497" s="146"/>
      <c r="AA497" s="146"/>
      <c r="AB497" s="146"/>
      <c r="AC497" s="146"/>
      <c r="AD497" s="146"/>
      <c r="AE497" s="146"/>
      <c r="AF497" s="146"/>
      <c r="AG497" s="146"/>
      <c r="AH497" s="331">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29">
        <f t="shared" si="23"/>
        <v>0</v>
      </c>
      <c r="Q498" s="146"/>
      <c r="R498" s="146"/>
      <c r="S498" s="146"/>
      <c r="T498" s="146"/>
      <c r="U498" s="146"/>
      <c r="V498" s="146"/>
      <c r="W498" s="146"/>
      <c r="X498" s="268"/>
      <c r="Y498" s="331">
        <f t="shared" si="24"/>
        <v>0</v>
      </c>
      <c r="Z498" s="146"/>
      <c r="AA498" s="146"/>
      <c r="AB498" s="146"/>
      <c r="AC498" s="146"/>
      <c r="AD498" s="146"/>
      <c r="AE498" s="146"/>
      <c r="AF498" s="146"/>
      <c r="AG498" s="146"/>
      <c r="AH498" s="331">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29">
        <f t="shared" si="23"/>
        <v>0</v>
      </c>
      <c r="Q499" s="146"/>
      <c r="R499" s="146"/>
      <c r="S499" s="146"/>
      <c r="T499" s="146"/>
      <c r="U499" s="146"/>
      <c r="V499" s="146"/>
      <c r="W499" s="146"/>
      <c r="X499" s="268"/>
      <c r="Y499" s="331">
        <f t="shared" si="24"/>
        <v>0</v>
      </c>
      <c r="Z499" s="146"/>
      <c r="AA499" s="146"/>
      <c r="AB499" s="146"/>
      <c r="AC499" s="146"/>
      <c r="AD499" s="146"/>
      <c r="AE499" s="146"/>
      <c r="AF499" s="146"/>
      <c r="AG499" s="146"/>
      <c r="AH499" s="331">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29">
        <f>SUM(H500:N500)</f>
        <v>0</v>
      </c>
      <c r="Q500" s="146"/>
      <c r="R500" s="146"/>
      <c r="S500" s="146"/>
      <c r="T500" s="146"/>
      <c r="U500" s="146"/>
      <c r="V500" s="146"/>
      <c r="W500" s="146"/>
      <c r="X500" s="268"/>
      <c r="Y500" s="331">
        <f t="shared" si="24"/>
        <v>0</v>
      </c>
      <c r="Z500" s="146"/>
      <c r="AA500" s="146"/>
      <c r="AB500" s="146"/>
      <c r="AC500" s="146"/>
      <c r="AD500" s="146"/>
      <c r="AE500" s="146"/>
      <c r="AF500" s="146"/>
      <c r="AG500" s="146"/>
      <c r="AH500" s="331">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29">
        <f t="shared" si="23"/>
        <v>0</v>
      </c>
      <c r="Q501" s="146"/>
      <c r="R501" s="146"/>
      <c r="S501" s="146"/>
      <c r="T501" s="146"/>
      <c r="U501" s="146"/>
      <c r="V501" s="146"/>
      <c r="W501" s="146"/>
      <c r="X501" s="146"/>
      <c r="Y501" s="331">
        <f t="shared" si="24"/>
        <v>0</v>
      </c>
      <c r="Z501" s="146"/>
      <c r="AA501" s="146"/>
      <c r="AB501" s="146"/>
      <c r="AC501" s="146"/>
      <c r="AD501" s="146"/>
      <c r="AE501" s="146"/>
      <c r="AF501" s="146"/>
      <c r="AG501" s="146"/>
      <c r="AH501" s="331">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29">
        <f t="shared" si="23"/>
        <v>0</v>
      </c>
      <c r="Q502" s="146"/>
      <c r="R502" s="146"/>
      <c r="S502" s="146"/>
      <c r="T502" s="146"/>
      <c r="U502" s="146"/>
      <c r="V502" s="146"/>
      <c r="W502" s="146"/>
      <c r="X502" s="146"/>
      <c r="Y502" s="331">
        <f t="shared" si="24"/>
        <v>0</v>
      </c>
      <c r="Z502" s="146"/>
      <c r="AA502" s="146"/>
      <c r="AB502" s="146"/>
      <c r="AC502" s="146"/>
      <c r="AD502" s="146"/>
      <c r="AE502" s="146"/>
      <c r="AF502" s="146"/>
      <c r="AG502" s="146"/>
      <c r="AH502" s="331">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29">
        <f t="shared" si="23"/>
        <v>0</v>
      </c>
      <c r="Q503" s="146"/>
      <c r="R503" s="146"/>
      <c r="S503" s="146"/>
      <c r="T503" s="146"/>
      <c r="U503" s="146"/>
      <c r="V503" s="146"/>
      <c r="W503" s="146"/>
      <c r="X503" s="146"/>
      <c r="Y503" s="331">
        <f t="shared" si="24"/>
        <v>0</v>
      </c>
      <c r="Z503" s="146"/>
      <c r="AA503" s="146"/>
      <c r="AB503" s="146"/>
      <c r="AC503" s="146"/>
      <c r="AD503" s="146"/>
      <c r="AE503" s="146"/>
      <c r="AF503" s="146"/>
      <c r="AG503" s="146"/>
      <c r="AH503" s="331">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29">
        <f t="shared" si="23"/>
        <v>0</v>
      </c>
      <c r="Q504" s="146"/>
      <c r="R504" s="146"/>
      <c r="S504" s="146"/>
      <c r="T504" s="146"/>
      <c r="U504" s="146"/>
      <c r="V504" s="146"/>
      <c r="W504" s="146"/>
      <c r="X504" s="146"/>
      <c r="Y504" s="331">
        <f t="shared" si="24"/>
        <v>0</v>
      </c>
      <c r="Z504" s="146"/>
      <c r="AA504" s="146"/>
      <c r="AB504" s="146"/>
      <c r="AC504" s="146"/>
      <c r="AD504" s="146"/>
      <c r="AE504" s="146"/>
      <c r="AF504" s="146"/>
      <c r="AG504" s="146"/>
      <c r="AH504" s="331">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29">
        <f t="shared" si="23"/>
        <v>0</v>
      </c>
      <c r="Q505" s="146"/>
      <c r="R505" s="146"/>
      <c r="S505" s="146"/>
      <c r="T505" s="146"/>
      <c r="U505" s="146"/>
      <c r="V505" s="146"/>
      <c r="W505" s="146"/>
      <c r="X505" s="146"/>
      <c r="Y505" s="331">
        <f t="shared" si="24"/>
        <v>0</v>
      </c>
      <c r="Z505" s="146"/>
      <c r="AA505" s="146"/>
      <c r="AB505" s="146"/>
      <c r="AC505" s="146"/>
      <c r="AD505" s="146"/>
      <c r="AE505" s="146"/>
      <c r="AF505" s="146"/>
      <c r="AG505" s="146"/>
      <c r="AH505" s="331">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29">
        <f t="shared" si="23"/>
        <v>0</v>
      </c>
      <c r="Q506" s="146"/>
      <c r="R506" s="146"/>
      <c r="S506" s="146"/>
      <c r="T506" s="146"/>
      <c r="U506" s="146"/>
      <c r="V506" s="146"/>
      <c r="W506" s="146"/>
      <c r="X506" s="146"/>
      <c r="Y506" s="331">
        <f t="shared" si="24"/>
        <v>0</v>
      </c>
      <c r="Z506" s="146"/>
      <c r="AA506" s="146"/>
      <c r="AB506" s="146"/>
      <c r="AC506" s="146"/>
      <c r="AD506" s="146"/>
      <c r="AE506" s="146"/>
      <c r="AF506" s="146"/>
      <c r="AG506" s="146"/>
      <c r="AH506" s="331">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29">
        <f t="shared" si="23"/>
        <v>0</v>
      </c>
      <c r="Q507" s="146"/>
      <c r="R507" s="146"/>
      <c r="S507" s="146"/>
      <c r="T507" s="146"/>
      <c r="U507" s="146"/>
      <c r="V507" s="146"/>
      <c r="W507" s="146"/>
      <c r="X507" s="146"/>
      <c r="Y507" s="331">
        <f t="shared" si="24"/>
        <v>0</v>
      </c>
      <c r="Z507" s="146"/>
      <c r="AA507" s="146"/>
      <c r="AB507" s="146"/>
      <c r="AC507" s="146"/>
      <c r="AD507" s="146"/>
      <c r="AE507" s="146"/>
      <c r="AF507" s="146"/>
      <c r="AG507" s="146"/>
      <c r="AH507" s="331">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29">
        <f t="shared" si="23"/>
        <v>0</v>
      </c>
      <c r="Q508" s="146"/>
      <c r="R508" s="146"/>
      <c r="S508" s="146"/>
      <c r="T508" s="146"/>
      <c r="U508" s="146"/>
      <c r="V508" s="146"/>
      <c r="W508" s="146"/>
      <c r="X508" s="146"/>
      <c r="Y508" s="331">
        <f t="shared" si="24"/>
        <v>0</v>
      </c>
      <c r="Z508" s="146"/>
      <c r="AA508" s="146"/>
      <c r="AB508" s="146"/>
      <c r="AC508" s="146"/>
      <c r="AD508" s="146"/>
      <c r="AE508" s="146"/>
      <c r="AF508" s="146"/>
      <c r="AG508" s="146"/>
      <c r="AH508" s="331">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29">
        <f t="shared" si="23"/>
        <v>0</v>
      </c>
      <c r="Q509" s="146"/>
      <c r="R509" s="146"/>
      <c r="S509" s="146"/>
      <c r="T509" s="146"/>
      <c r="U509" s="146"/>
      <c r="V509" s="146"/>
      <c r="W509" s="146"/>
      <c r="X509" s="146"/>
      <c r="Y509" s="331">
        <f t="shared" si="24"/>
        <v>0</v>
      </c>
      <c r="Z509" s="146"/>
      <c r="AA509" s="146"/>
      <c r="AB509" s="146"/>
      <c r="AC509" s="146"/>
      <c r="AD509" s="146"/>
      <c r="AE509" s="146"/>
      <c r="AF509" s="146"/>
      <c r="AG509" s="146"/>
      <c r="AH509" s="331">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29">
        <f t="shared" si="23"/>
        <v>0</v>
      </c>
      <c r="Q510" s="146"/>
      <c r="R510" s="146"/>
      <c r="S510" s="146"/>
      <c r="T510" s="146"/>
      <c r="U510" s="146"/>
      <c r="V510" s="146"/>
      <c r="W510" s="146"/>
      <c r="X510" s="146"/>
      <c r="Y510" s="331">
        <f t="shared" si="24"/>
        <v>0</v>
      </c>
      <c r="Z510" s="146"/>
      <c r="AA510" s="146"/>
      <c r="AB510" s="146"/>
      <c r="AC510" s="146"/>
      <c r="AD510" s="146"/>
      <c r="AE510" s="146"/>
      <c r="AF510" s="146"/>
      <c r="AG510" s="146"/>
      <c r="AH510" s="331">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29">
        <f t="shared" si="23"/>
        <v>0</v>
      </c>
      <c r="Q511" s="146"/>
      <c r="R511" s="146"/>
      <c r="S511" s="146"/>
      <c r="T511" s="146"/>
      <c r="U511" s="146"/>
      <c r="V511" s="146"/>
      <c r="W511" s="146"/>
      <c r="X511" s="146"/>
      <c r="Y511" s="331">
        <f t="shared" si="24"/>
        <v>0</v>
      </c>
      <c r="Z511" s="146"/>
      <c r="AA511" s="146"/>
      <c r="AB511" s="146"/>
      <c r="AC511" s="146"/>
      <c r="AD511" s="146"/>
      <c r="AE511" s="146"/>
      <c r="AF511" s="146"/>
      <c r="AG511" s="146"/>
      <c r="AH511" s="331">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29">
        <f t="shared" si="23"/>
        <v>0</v>
      </c>
      <c r="Q512" s="146"/>
      <c r="R512" s="146"/>
      <c r="S512" s="146"/>
      <c r="T512" s="146"/>
      <c r="U512" s="146"/>
      <c r="V512" s="146"/>
      <c r="W512" s="146"/>
      <c r="X512" s="146"/>
      <c r="Y512" s="331">
        <f t="shared" si="24"/>
        <v>0</v>
      </c>
      <c r="Z512" s="146"/>
      <c r="AA512" s="146"/>
      <c r="AB512" s="146"/>
      <c r="AC512" s="146"/>
      <c r="AD512" s="146"/>
      <c r="AE512" s="146"/>
      <c r="AF512" s="146"/>
      <c r="AG512" s="146"/>
      <c r="AH512" s="331">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29">
        <f t="shared" si="23"/>
        <v>0</v>
      </c>
      <c r="Q513" s="146"/>
      <c r="R513" s="146"/>
      <c r="S513" s="146"/>
      <c r="T513" s="146"/>
      <c r="U513" s="146"/>
      <c r="V513" s="146"/>
      <c r="W513" s="146"/>
      <c r="X513" s="146"/>
      <c r="Y513" s="331">
        <f t="shared" si="24"/>
        <v>0</v>
      </c>
      <c r="Z513" s="146"/>
      <c r="AA513" s="146"/>
      <c r="AB513" s="146"/>
      <c r="AC513" s="146"/>
      <c r="AD513" s="146"/>
      <c r="AE513" s="146"/>
      <c r="AF513" s="146"/>
      <c r="AG513" s="146"/>
      <c r="AH513" s="331">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29">
        <f t="shared" si="23"/>
        <v>0</v>
      </c>
      <c r="Q514" s="146"/>
      <c r="R514" s="146"/>
      <c r="S514" s="146"/>
      <c r="T514" s="146"/>
      <c r="U514" s="146"/>
      <c r="V514" s="146"/>
      <c r="W514" s="146"/>
      <c r="X514" s="146"/>
      <c r="Y514" s="331">
        <f t="shared" si="24"/>
        <v>0</v>
      </c>
      <c r="Z514" s="146"/>
      <c r="AA514" s="146"/>
      <c r="AB514" s="146"/>
      <c r="AC514" s="146"/>
      <c r="AD514" s="146"/>
      <c r="AE514" s="146"/>
      <c r="AF514" s="146"/>
      <c r="AG514" s="146"/>
      <c r="AH514" s="331">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29">
        <f t="shared" si="23"/>
        <v>0</v>
      </c>
      <c r="Q515" s="146"/>
      <c r="R515" s="146"/>
      <c r="S515" s="146"/>
      <c r="T515" s="146"/>
      <c r="U515" s="146"/>
      <c r="V515" s="146"/>
      <c r="W515" s="146"/>
      <c r="X515" s="146"/>
      <c r="Y515" s="331">
        <f t="shared" si="24"/>
        <v>0</v>
      </c>
      <c r="Z515" s="146"/>
      <c r="AA515" s="146"/>
      <c r="AB515" s="146"/>
      <c r="AC515" s="146"/>
      <c r="AD515" s="146"/>
      <c r="AE515" s="146"/>
      <c r="AF515" s="146"/>
      <c r="AG515" s="146"/>
      <c r="AH515" s="331">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29">
        <f t="shared" si="23"/>
        <v>0</v>
      </c>
      <c r="Q516" s="146"/>
      <c r="R516" s="146"/>
      <c r="S516" s="146"/>
      <c r="T516" s="146"/>
      <c r="U516" s="146"/>
      <c r="V516" s="146"/>
      <c r="W516" s="146"/>
      <c r="X516" s="146"/>
      <c r="Y516" s="331">
        <f t="shared" si="24"/>
        <v>0</v>
      </c>
      <c r="Z516" s="146"/>
      <c r="AA516" s="146"/>
      <c r="AB516" s="146"/>
      <c r="AC516" s="146"/>
      <c r="AD516" s="146"/>
      <c r="AE516" s="146"/>
      <c r="AF516" s="146"/>
      <c r="AG516" s="146"/>
      <c r="AH516" s="331">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29">
        <f t="shared" si="23"/>
        <v>0</v>
      </c>
      <c r="Q517" s="146"/>
      <c r="R517" s="146"/>
      <c r="S517" s="146"/>
      <c r="T517" s="146"/>
      <c r="U517" s="146"/>
      <c r="V517" s="146"/>
      <c r="W517" s="146"/>
      <c r="X517" s="146"/>
      <c r="Y517" s="331">
        <f t="shared" si="24"/>
        <v>0</v>
      </c>
      <c r="Z517" s="146"/>
      <c r="AA517" s="146"/>
      <c r="AB517" s="146"/>
      <c r="AC517" s="146"/>
      <c r="AD517" s="146"/>
      <c r="AE517" s="146"/>
      <c r="AF517" s="146"/>
      <c r="AG517" s="146"/>
      <c r="AH517" s="331">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29">
        <f t="shared" si="23"/>
        <v>0</v>
      </c>
      <c r="Q518" s="146"/>
      <c r="R518" s="146"/>
      <c r="S518" s="146"/>
      <c r="T518" s="146"/>
      <c r="U518" s="146"/>
      <c r="V518" s="146"/>
      <c r="W518" s="146"/>
      <c r="X518" s="146"/>
      <c r="Y518" s="331">
        <f t="shared" si="24"/>
        <v>0</v>
      </c>
      <c r="Z518" s="146"/>
      <c r="AA518" s="146"/>
      <c r="AB518" s="146"/>
      <c r="AC518" s="146"/>
      <c r="AD518" s="146"/>
      <c r="AE518" s="146"/>
      <c r="AF518" s="146"/>
      <c r="AG518" s="146"/>
      <c r="AH518" s="331">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29">
        <f t="shared" si="23"/>
        <v>0</v>
      </c>
      <c r="Q519" s="146"/>
      <c r="R519" s="146"/>
      <c r="S519" s="146"/>
      <c r="T519" s="146"/>
      <c r="U519" s="146"/>
      <c r="V519" s="146"/>
      <c r="W519" s="146"/>
      <c r="X519" s="146"/>
      <c r="Y519" s="331">
        <f t="shared" si="24"/>
        <v>0</v>
      </c>
      <c r="Z519" s="146"/>
      <c r="AA519" s="146"/>
      <c r="AB519" s="146"/>
      <c r="AC519" s="146"/>
      <c r="AD519" s="146"/>
      <c r="AE519" s="146"/>
      <c r="AF519" s="146"/>
      <c r="AG519" s="146"/>
      <c r="AH519" s="331">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29">
        <f t="shared" si="23"/>
        <v>0</v>
      </c>
      <c r="Q520" s="146"/>
      <c r="R520" s="146"/>
      <c r="S520" s="146"/>
      <c r="T520" s="146"/>
      <c r="U520" s="146"/>
      <c r="V520" s="146"/>
      <c r="W520" s="146"/>
      <c r="X520" s="146"/>
      <c r="Y520" s="331">
        <f t="shared" si="24"/>
        <v>0</v>
      </c>
      <c r="Z520" s="146"/>
      <c r="AA520" s="146"/>
      <c r="AB520" s="146"/>
      <c r="AC520" s="146"/>
      <c r="AD520" s="146"/>
      <c r="AE520" s="146"/>
      <c r="AF520" s="146"/>
      <c r="AG520" s="146"/>
      <c r="AH520" s="331">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29">
        <f t="shared" si="23"/>
        <v>0</v>
      </c>
      <c r="Q521" s="146"/>
      <c r="R521" s="146"/>
      <c r="S521" s="146"/>
      <c r="T521" s="146"/>
      <c r="U521" s="146"/>
      <c r="V521" s="146"/>
      <c r="W521" s="146"/>
      <c r="X521" s="146"/>
      <c r="Y521" s="331">
        <f t="shared" si="24"/>
        <v>0</v>
      </c>
      <c r="Z521" s="146"/>
      <c r="AA521" s="146"/>
      <c r="AB521" s="146"/>
      <c r="AC521" s="146"/>
      <c r="AD521" s="146"/>
      <c r="AE521" s="146"/>
      <c r="AF521" s="146"/>
      <c r="AG521" s="146"/>
      <c r="AH521" s="331">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29">
        <f t="shared" si="23"/>
        <v>0</v>
      </c>
      <c r="Q522" s="146"/>
      <c r="R522" s="146"/>
      <c r="S522" s="146"/>
      <c r="T522" s="146"/>
      <c r="U522" s="146"/>
      <c r="V522" s="146"/>
      <c r="W522" s="146"/>
      <c r="X522" s="146"/>
      <c r="Y522" s="331">
        <f t="shared" si="24"/>
        <v>0</v>
      </c>
      <c r="Z522" s="146"/>
      <c r="AA522" s="146"/>
      <c r="AB522" s="146"/>
      <c r="AC522" s="146"/>
      <c r="AD522" s="146"/>
      <c r="AE522" s="146"/>
      <c r="AF522" s="146"/>
      <c r="AG522" s="146"/>
      <c r="AH522" s="331">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29">
        <f t="shared" si="23"/>
        <v>0</v>
      </c>
      <c r="Q523" s="146"/>
      <c r="R523" s="146"/>
      <c r="S523" s="146"/>
      <c r="T523" s="146"/>
      <c r="U523" s="146"/>
      <c r="V523" s="146"/>
      <c r="W523" s="146"/>
      <c r="X523" s="146"/>
      <c r="Y523" s="331">
        <f t="shared" si="24"/>
        <v>0</v>
      </c>
      <c r="Z523" s="146"/>
      <c r="AA523" s="146"/>
      <c r="AB523" s="146"/>
      <c r="AC523" s="146"/>
      <c r="AD523" s="146"/>
      <c r="AE523" s="146"/>
      <c r="AF523" s="146"/>
      <c r="AG523" s="146"/>
      <c r="AH523" s="331">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29">
        <f t="shared" si="23"/>
        <v>0</v>
      </c>
      <c r="Q524" s="146"/>
      <c r="R524" s="146"/>
      <c r="S524" s="146"/>
      <c r="T524" s="146"/>
      <c r="U524" s="146"/>
      <c r="V524" s="146"/>
      <c r="W524" s="146"/>
      <c r="X524" s="146"/>
      <c r="Y524" s="331">
        <f t="shared" si="24"/>
        <v>0</v>
      </c>
      <c r="Z524" s="146"/>
      <c r="AA524" s="146"/>
      <c r="AB524" s="146"/>
      <c r="AC524" s="146"/>
      <c r="AD524" s="146"/>
      <c r="AE524" s="146"/>
      <c r="AF524" s="146"/>
      <c r="AG524" s="146"/>
      <c r="AH524" s="331">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29">
        <f t="shared" ref="P525:P588" si="26">SUM(H525:N525)</f>
        <v>0</v>
      </c>
      <c r="Q525" s="146"/>
      <c r="R525" s="146"/>
      <c r="S525" s="146"/>
      <c r="T525" s="146"/>
      <c r="U525" s="146"/>
      <c r="V525" s="146"/>
      <c r="W525" s="146"/>
      <c r="X525" s="146"/>
      <c r="Y525" s="331">
        <f t="shared" ref="Y525:Y588" si="27">SUM(Q525:W525)</f>
        <v>0</v>
      </c>
      <c r="Z525" s="146"/>
      <c r="AA525" s="146"/>
      <c r="AB525" s="146"/>
      <c r="AC525" s="146"/>
      <c r="AD525" s="146"/>
      <c r="AE525" s="146"/>
      <c r="AF525" s="146"/>
      <c r="AG525" s="146"/>
      <c r="AH525" s="331">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29">
        <f t="shared" si="26"/>
        <v>0</v>
      </c>
      <c r="Q526" s="146"/>
      <c r="R526" s="146"/>
      <c r="S526" s="146"/>
      <c r="T526" s="146"/>
      <c r="U526" s="146"/>
      <c r="V526" s="146"/>
      <c r="W526" s="146"/>
      <c r="X526" s="146"/>
      <c r="Y526" s="331">
        <f t="shared" si="27"/>
        <v>0</v>
      </c>
      <c r="Z526" s="146"/>
      <c r="AA526" s="146"/>
      <c r="AB526" s="146"/>
      <c r="AC526" s="146"/>
      <c r="AD526" s="146"/>
      <c r="AE526" s="146"/>
      <c r="AF526" s="146"/>
      <c r="AG526" s="146"/>
      <c r="AH526" s="331">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29">
        <f t="shared" si="26"/>
        <v>0</v>
      </c>
      <c r="Q527" s="146"/>
      <c r="R527" s="146"/>
      <c r="S527" s="146"/>
      <c r="T527" s="146"/>
      <c r="U527" s="146"/>
      <c r="V527" s="146"/>
      <c r="W527" s="146"/>
      <c r="X527" s="146"/>
      <c r="Y527" s="331">
        <f t="shared" si="27"/>
        <v>0</v>
      </c>
      <c r="Z527" s="146"/>
      <c r="AA527" s="146"/>
      <c r="AB527" s="146"/>
      <c r="AC527" s="146"/>
      <c r="AD527" s="146"/>
      <c r="AE527" s="146"/>
      <c r="AF527" s="146"/>
      <c r="AG527" s="146"/>
      <c r="AH527" s="331">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29">
        <f t="shared" si="26"/>
        <v>0</v>
      </c>
      <c r="Q528" s="146"/>
      <c r="R528" s="146"/>
      <c r="S528" s="146"/>
      <c r="T528" s="146"/>
      <c r="U528" s="146"/>
      <c r="V528" s="146"/>
      <c r="W528" s="146"/>
      <c r="X528" s="146"/>
      <c r="Y528" s="331">
        <f t="shared" si="27"/>
        <v>0</v>
      </c>
      <c r="Z528" s="146"/>
      <c r="AA528" s="146"/>
      <c r="AB528" s="146"/>
      <c r="AC528" s="146"/>
      <c r="AD528" s="146"/>
      <c r="AE528" s="146"/>
      <c r="AF528" s="146"/>
      <c r="AG528" s="146"/>
      <c r="AH528" s="331">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29">
        <f t="shared" si="26"/>
        <v>0</v>
      </c>
      <c r="Q529" s="146"/>
      <c r="R529" s="146"/>
      <c r="S529" s="146"/>
      <c r="T529" s="146"/>
      <c r="U529" s="146"/>
      <c r="V529" s="146"/>
      <c r="W529" s="146"/>
      <c r="X529" s="146"/>
      <c r="Y529" s="331">
        <f t="shared" si="27"/>
        <v>0</v>
      </c>
      <c r="Z529" s="146"/>
      <c r="AA529" s="146"/>
      <c r="AB529" s="146"/>
      <c r="AC529" s="146"/>
      <c r="AD529" s="146"/>
      <c r="AE529" s="146"/>
      <c r="AF529" s="146"/>
      <c r="AG529" s="146"/>
      <c r="AH529" s="331">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29">
        <f t="shared" si="26"/>
        <v>0</v>
      </c>
      <c r="Q530" s="146"/>
      <c r="R530" s="146"/>
      <c r="S530" s="146"/>
      <c r="T530" s="146"/>
      <c r="U530" s="146"/>
      <c r="V530" s="146"/>
      <c r="W530" s="146"/>
      <c r="X530" s="146"/>
      <c r="Y530" s="331">
        <f t="shared" si="27"/>
        <v>0</v>
      </c>
      <c r="Z530" s="146"/>
      <c r="AA530" s="146"/>
      <c r="AB530" s="146"/>
      <c r="AC530" s="146"/>
      <c r="AD530" s="146"/>
      <c r="AE530" s="146"/>
      <c r="AF530" s="146"/>
      <c r="AG530" s="146"/>
      <c r="AH530" s="331">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29">
        <f t="shared" si="26"/>
        <v>0</v>
      </c>
      <c r="Q531" s="146"/>
      <c r="R531" s="146"/>
      <c r="S531" s="146"/>
      <c r="T531" s="146"/>
      <c r="U531" s="146"/>
      <c r="V531" s="146"/>
      <c r="W531" s="146"/>
      <c r="X531" s="146"/>
      <c r="Y531" s="331">
        <f t="shared" si="27"/>
        <v>0</v>
      </c>
      <c r="Z531" s="146"/>
      <c r="AA531" s="146"/>
      <c r="AB531" s="146"/>
      <c r="AC531" s="146"/>
      <c r="AD531" s="146"/>
      <c r="AE531" s="146"/>
      <c r="AF531" s="146"/>
      <c r="AG531" s="146"/>
      <c r="AH531" s="331">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29">
        <f t="shared" si="26"/>
        <v>0</v>
      </c>
      <c r="Q532" s="146"/>
      <c r="R532" s="146"/>
      <c r="S532" s="146"/>
      <c r="T532" s="146"/>
      <c r="U532" s="146"/>
      <c r="V532" s="146"/>
      <c r="W532" s="146"/>
      <c r="X532" s="146"/>
      <c r="Y532" s="331">
        <f t="shared" si="27"/>
        <v>0</v>
      </c>
      <c r="Z532" s="146"/>
      <c r="AA532" s="146"/>
      <c r="AB532" s="146"/>
      <c r="AC532" s="146"/>
      <c r="AD532" s="146"/>
      <c r="AE532" s="146"/>
      <c r="AF532" s="146"/>
      <c r="AG532" s="146"/>
      <c r="AH532" s="331">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29">
        <f t="shared" si="26"/>
        <v>0</v>
      </c>
      <c r="Q533" s="146"/>
      <c r="R533" s="146"/>
      <c r="S533" s="146"/>
      <c r="T533" s="146"/>
      <c r="U533" s="146"/>
      <c r="V533" s="146"/>
      <c r="W533" s="146"/>
      <c r="X533" s="146"/>
      <c r="Y533" s="331">
        <f t="shared" si="27"/>
        <v>0</v>
      </c>
      <c r="Z533" s="146"/>
      <c r="AA533" s="146"/>
      <c r="AB533" s="146"/>
      <c r="AC533" s="146"/>
      <c r="AD533" s="146"/>
      <c r="AE533" s="146"/>
      <c r="AF533" s="146"/>
      <c r="AG533" s="146"/>
      <c r="AH533" s="331">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29">
        <f t="shared" si="26"/>
        <v>0</v>
      </c>
      <c r="Q534" s="146"/>
      <c r="R534" s="146"/>
      <c r="S534" s="146"/>
      <c r="T534" s="146"/>
      <c r="U534" s="146"/>
      <c r="V534" s="146"/>
      <c r="W534" s="146"/>
      <c r="X534" s="146"/>
      <c r="Y534" s="331">
        <f t="shared" si="27"/>
        <v>0</v>
      </c>
      <c r="Z534" s="146"/>
      <c r="AA534" s="146"/>
      <c r="AB534" s="146"/>
      <c r="AC534" s="146"/>
      <c r="AD534" s="146"/>
      <c r="AE534" s="146"/>
      <c r="AF534" s="146"/>
      <c r="AG534" s="146"/>
      <c r="AH534" s="331">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29">
        <f t="shared" si="26"/>
        <v>0</v>
      </c>
      <c r="Q535" s="146"/>
      <c r="R535" s="146"/>
      <c r="S535" s="146"/>
      <c r="T535" s="146"/>
      <c r="U535" s="146"/>
      <c r="V535" s="146"/>
      <c r="W535" s="146"/>
      <c r="X535" s="146"/>
      <c r="Y535" s="331">
        <f t="shared" si="27"/>
        <v>0</v>
      </c>
      <c r="Z535" s="146"/>
      <c r="AA535" s="146"/>
      <c r="AB535" s="146"/>
      <c r="AC535" s="146"/>
      <c r="AD535" s="146"/>
      <c r="AE535" s="146"/>
      <c r="AF535" s="146"/>
      <c r="AG535" s="146"/>
      <c r="AH535" s="331">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29">
        <f t="shared" si="26"/>
        <v>0</v>
      </c>
      <c r="Q536" s="146"/>
      <c r="R536" s="146"/>
      <c r="S536" s="146"/>
      <c r="T536" s="146"/>
      <c r="U536" s="146"/>
      <c r="V536" s="146"/>
      <c r="W536" s="146"/>
      <c r="X536" s="146"/>
      <c r="Y536" s="331">
        <f t="shared" si="27"/>
        <v>0</v>
      </c>
      <c r="Z536" s="146"/>
      <c r="AA536" s="146"/>
      <c r="AB536" s="146"/>
      <c r="AC536" s="146"/>
      <c r="AD536" s="146"/>
      <c r="AE536" s="146"/>
      <c r="AF536" s="146"/>
      <c r="AG536" s="146"/>
      <c r="AH536" s="331">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29">
        <f t="shared" si="26"/>
        <v>0</v>
      </c>
      <c r="Q537" s="146"/>
      <c r="R537" s="146"/>
      <c r="S537" s="146"/>
      <c r="T537" s="146"/>
      <c r="U537" s="146"/>
      <c r="V537" s="146"/>
      <c r="W537" s="146"/>
      <c r="X537" s="146"/>
      <c r="Y537" s="331">
        <f t="shared" si="27"/>
        <v>0</v>
      </c>
      <c r="Z537" s="146"/>
      <c r="AA537" s="146"/>
      <c r="AB537" s="146"/>
      <c r="AC537" s="146"/>
      <c r="AD537" s="146"/>
      <c r="AE537" s="146"/>
      <c r="AF537" s="146"/>
      <c r="AG537" s="146"/>
      <c r="AH537" s="331">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29">
        <f t="shared" si="26"/>
        <v>0</v>
      </c>
      <c r="Q538" s="146"/>
      <c r="R538" s="146"/>
      <c r="S538" s="146"/>
      <c r="T538" s="146"/>
      <c r="U538" s="146"/>
      <c r="V538" s="146"/>
      <c r="W538" s="146"/>
      <c r="X538" s="146"/>
      <c r="Y538" s="331">
        <f t="shared" si="27"/>
        <v>0</v>
      </c>
      <c r="Z538" s="146"/>
      <c r="AA538" s="146"/>
      <c r="AB538" s="146"/>
      <c r="AC538" s="146"/>
      <c r="AD538" s="146"/>
      <c r="AE538" s="146"/>
      <c r="AF538" s="146"/>
      <c r="AG538" s="146"/>
      <c r="AH538" s="331">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29">
        <f t="shared" si="26"/>
        <v>0</v>
      </c>
      <c r="Q539" s="146"/>
      <c r="R539" s="146"/>
      <c r="S539" s="146"/>
      <c r="T539" s="146"/>
      <c r="U539" s="146"/>
      <c r="V539" s="146"/>
      <c r="W539" s="146"/>
      <c r="X539" s="146"/>
      <c r="Y539" s="331">
        <f t="shared" si="27"/>
        <v>0</v>
      </c>
      <c r="Z539" s="146"/>
      <c r="AA539" s="146"/>
      <c r="AB539" s="146"/>
      <c r="AC539" s="146"/>
      <c r="AD539" s="146"/>
      <c r="AE539" s="146"/>
      <c r="AF539" s="146"/>
      <c r="AG539" s="146"/>
      <c r="AH539" s="331">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29">
        <f t="shared" si="26"/>
        <v>0</v>
      </c>
      <c r="Q540" s="146"/>
      <c r="R540" s="146"/>
      <c r="S540" s="146"/>
      <c r="T540" s="146"/>
      <c r="U540" s="146"/>
      <c r="V540" s="146"/>
      <c r="W540" s="146"/>
      <c r="X540" s="146"/>
      <c r="Y540" s="331">
        <f t="shared" si="27"/>
        <v>0</v>
      </c>
      <c r="Z540" s="146"/>
      <c r="AA540" s="146"/>
      <c r="AB540" s="146"/>
      <c r="AC540" s="146"/>
      <c r="AD540" s="146"/>
      <c r="AE540" s="146"/>
      <c r="AF540" s="146"/>
      <c r="AG540" s="146"/>
      <c r="AH540" s="331">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29">
        <f t="shared" si="26"/>
        <v>0</v>
      </c>
      <c r="Q541" s="146"/>
      <c r="R541" s="146"/>
      <c r="S541" s="146"/>
      <c r="T541" s="146"/>
      <c r="U541" s="146"/>
      <c r="V541" s="146"/>
      <c r="W541" s="146"/>
      <c r="X541" s="146"/>
      <c r="Y541" s="331">
        <f t="shared" si="27"/>
        <v>0</v>
      </c>
      <c r="Z541" s="146"/>
      <c r="AA541" s="146"/>
      <c r="AB541" s="146"/>
      <c r="AC541" s="146"/>
      <c r="AD541" s="146"/>
      <c r="AE541" s="146"/>
      <c r="AF541" s="146"/>
      <c r="AG541" s="146"/>
      <c r="AH541" s="331">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29">
        <f t="shared" si="26"/>
        <v>0</v>
      </c>
      <c r="Q542" s="146"/>
      <c r="R542" s="146"/>
      <c r="S542" s="146"/>
      <c r="T542" s="146"/>
      <c r="U542" s="146"/>
      <c r="V542" s="146"/>
      <c r="W542" s="146"/>
      <c r="X542" s="146"/>
      <c r="Y542" s="331">
        <f t="shared" si="27"/>
        <v>0</v>
      </c>
      <c r="Z542" s="146"/>
      <c r="AA542" s="146"/>
      <c r="AB542" s="146"/>
      <c r="AC542" s="146"/>
      <c r="AD542" s="146"/>
      <c r="AE542" s="146"/>
      <c r="AF542" s="146"/>
      <c r="AG542" s="146"/>
      <c r="AH542" s="331">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29">
        <f t="shared" si="26"/>
        <v>0</v>
      </c>
      <c r="Q543" s="146"/>
      <c r="R543" s="146"/>
      <c r="S543" s="146"/>
      <c r="T543" s="146"/>
      <c r="U543" s="146"/>
      <c r="V543" s="146"/>
      <c r="W543" s="146"/>
      <c r="X543" s="146"/>
      <c r="Y543" s="331">
        <f t="shared" si="27"/>
        <v>0</v>
      </c>
      <c r="Z543" s="146"/>
      <c r="AA543" s="146"/>
      <c r="AB543" s="146"/>
      <c r="AC543" s="146"/>
      <c r="AD543" s="146"/>
      <c r="AE543" s="146"/>
      <c r="AF543" s="146"/>
      <c r="AG543" s="146"/>
      <c r="AH543" s="331">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29">
        <f t="shared" si="26"/>
        <v>0</v>
      </c>
      <c r="Q544" s="146"/>
      <c r="R544" s="146"/>
      <c r="S544" s="146"/>
      <c r="T544" s="146"/>
      <c r="U544" s="146"/>
      <c r="V544" s="146"/>
      <c r="W544" s="146"/>
      <c r="X544" s="146"/>
      <c r="Y544" s="331">
        <f t="shared" si="27"/>
        <v>0</v>
      </c>
      <c r="Z544" s="146"/>
      <c r="AA544" s="146"/>
      <c r="AB544" s="146"/>
      <c r="AC544" s="146"/>
      <c r="AD544" s="146"/>
      <c r="AE544" s="146"/>
      <c r="AF544" s="146"/>
      <c r="AG544" s="146"/>
      <c r="AH544" s="331">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29">
        <f t="shared" si="26"/>
        <v>0</v>
      </c>
      <c r="Q545" s="146"/>
      <c r="R545" s="146"/>
      <c r="S545" s="146"/>
      <c r="T545" s="146"/>
      <c r="U545" s="146"/>
      <c r="V545" s="146"/>
      <c r="W545" s="146"/>
      <c r="X545" s="146"/>
      <c r="Y545" s="331">
        <f t="shared" si="27"/>
        <v>0</v>
      </c>
      <c r="Z545" s="146"/>
      <c r="AA545" s="146"/>
      <c r="AB545" s="146"/>
      <c r="AC545" s="146"/>
      <c r="AD545" s="146"/>
      <c r="AE545" s="146"/>
      <c r="AF545" s="146"/>
      <c r="AG545" s="146"/>
      <c r="AH545" s="331">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29">
        <f t="shared" si="26"/>
        <v>0</v>
      </c>
      <c r="Q546" s="146"/>
      <c r="R546" s="146"/>
      <c r="S546" s="146"/>
      <c r="T546" s="146"/>
      <c r="U546" s="146"/>
      <c r="V546" s="146"/>
      <c r="W546" s="146"/>
      <c r="X546" s="146"/>
      <c r="Y546" s="331">
        <f t="shared" si="27"/>
        <v>0</v>
      </c>
      <c r="Z546" s="146"/>
      <c r="AA546" s="146"/>
      <c r="AB546" s="146"/>
      <c r="AC546" s="146"/>
      <c r="AD546" s="146"/>
      <c r="AE546" s="146"/>
      <c r="AF546" s="146"/>
      <c r="AG546" s="146"/>
      <c r="AH546" s="331">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29">
        <f t="shared" si="26"/>
        <v>0</v>
      </c>
      <c r="Q547" s="146"/>
      <c r="R547" s="146"/>
      <c r="S547" s="146"/>
      <c r="T547" s="146"/>
      <c r="U547" s="146"/>
      <c r="V547" s="146"/>
      <c r="W547" s="146"/>
      <c r="X547" s="146"/>
      <c r="Y547" s="331">
        <f t="shared" si="27"/>
        <v>0</v>
      </c>
      <c r="Z547" s="146"/>
      <c r="AA547" s="146"/>
      <c r="AB547" s="146"/>
      <c r="AC547" s="146"/>
      <c r="AD547" s="146"/>
      <c r="AE547" s="146"/>
      <c r="AF547" s="146"/>
      <c r="AG547" s="146"/>
      <c r="AH547" s="331">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29">
        <f t="shared" si="26"/>
        <v>0</v>
      </c>
      <c r="Q548" s="146"/>
      <c r="R548" s="146"/>
      <c r="S548" s="146"/>
      <c r="T548" s="146"/>
      <c r="U548" s="146"/>
      <c r="V548" s="146"/>
      <c r="W548" s="146"/>
      <c r="X548" s="146"/>
      <c r="Y548" s="331">
        <f t="shared" si="27"/>
        <v>0</v>
      </c>
      <c r="Z548" s="146"/>
      <c r="AA548" s="146"/>
      <c r="AB548" s="146"/>
      <c r="AC548" s="146"/>
      <c r="AD548" s="146"/>
      <c r="AE548" s="146"/>
      <c r="AF548" s="146"/>
      <c r="AG548" s="146"/>
      <c r="AH548" s="331">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29">
        <f t="shared" si="26"/>
        <v>0</v>
      </c>
      <c r="Q549" s="146"/>
      <c r="R549" s="146"/>
      <c r="S549" s="146"/>
      <c r="T549" s="146"/>
      <c r="U549" s="146"/>
      <c r="V549" s="146"/>
      <c r="W549" s="146"/>
      <c r="X549" s="146"/>
      <c r="Y549" s="331">
        <f t="shared" si="27"/>
        <v>0</v>
      </c>
      <c r="Z549" s="146"/>
      <c r="AA549" s="146"/>
      <c r="AB549" s="146"/>
      <c r="AC549" s="146"/>
      <c r="AD549" s="146"/>
      <c r="AE549" s="146"/>
      <c r="AF549" s="146"/>
      <c r="AG549" s="146"/>
      <c r="AH549" s="331">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29">
        <f t="shared" si="26"/>
        <v>0</v>
      </c>
      <c r="Q550" s="146"/>
      <c r="R550" s="146"/>
      <c r="S550" s="146"/>
      <c r="T550" s="146"/>
      <c r="U550" s="146"/>
      <c r="V550" s="146"/>
      <c r="W550" s="146"/>
      <c r="X550" s="146"/>
      <c r="Y550" s="331">
        <f t="shared" si="27"/>
        <v>0</v>
      </c>
      <c r="Z550" s="146"/>
      <c r="AA550" s="146"/>
      <c r="AB550" s="146"/>
      <c r="AC550" s="146"/>
      <c r="AD550" s="146"/>
      <c r="AE550" s="146"/>
      <c r="AF550" s="146"/>
      <c r="AG550" s="146"/>
      <c r="AH550" s="331">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29">
        <f t="shared" si="26"/>
        <v>0</v>
      </c>
      <c r="Q551" s="146"/>
      <c r="R551" s="146"/>
      <c r="S551" s="146"/>
      <c r="T551" s="146"/>
      <c r="U551" s="146"/>
      <c r="V551" s="146"/>
      <c r="W551" s="146"/>
      <c r="X551" s="146"/>
      <c r="Y551" s="331">
        <f t="shared" si="27"/>
        <v>0</v>
      </c>
      <c r="Z551" s="146"/>
      <c r="AA551" s="146"/>
      <c r="AB551" s="146"/>
      <c r="AC551" s="146"/>
      <c r="AD551" s="146"/>
      <c r="AE551" s="146"/>
      <c r="AF551" s="146"/>
      <c r="AG551" s="146"/>
      <c r="AH551" s="331">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29">
        <f t="shared" si="26"/>
        <v>0</v>
      </c>
      <c r="Q552" s="146"/>
      <c r="R552" s="146"/>
      <c r="S552" s="146"/>
      <c r="T552" s="146"/>
      <c r="U552" s="146"/>
      <c r="V552" s="146"/>
      <c r="W552" s="146"/>
      <c r="X552" s="146"/>
      <c r="Y552" s="331">
        <f t="shared" si="27"/>
        <v>0</v>
      </c>
      <c r="Z552" s="146"/>
      <c r="AA552" s="146"/>
      <c r="AB552" s="146"/>
      <c r="AC552" s="146"/>
      <c r="AD552" s="146"/>
      <c r="AE552" s="146"/>
      <c r="AF552" s="146"/>
      <c r="AG552" s="146"/>
      <c r="AH552" s="331">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29">
        <f t="shared" si="26"/>
        <v>0</v>
      </c>
      <c r="Q553" s="146"/>
      <c r="R553" s="146"/>
      <c r="S553" s="146"/>
      <c r="T553" s="146"/>
      <c r="U553" s="146"/>
      <c r="V553" s="146"/>
      <c r="W553" s="146"/>
      <c r="X553" s="146"/>
      <c r="Y553" s="331">
        <f t="shared" si="27"/>
        <v>0</v>
      </c>
      <c r="Z553" s="146"/>
      <c r="AA553" s="146"/>
      <c r="AB553" s="146"/>
      <c r="AC553" s="146"/>
      <c r="AD553" s="146"/>
      <c r="AE553" s="146"/>
      <c r="AF553" s="146"/>
      <c r="AG553" s="146"/>
      <c r="AH553" s="331">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29">
        <f t="shared" si="26"/>
        <v>0</v>
      </c>
      <c r="Q554" s="146"/>
      <c r="R554" s="146"/>
      <c r="S554" s="146"/>
      <c r="T554" s="146"/>
      <c r="U554" s="146"/>
      <c r="V554" s="146"/>
      <c r="W554" s="146"/>
      <c r="X554" s="146"/>
      <c r="Y554" s="331">
        <f t="shared" si="27"/>
        <v>0</v>
      </c>
      <c r="Z554" s="146"/>
      <c r="AA554" s="146"/>
      <c r="AB554" s="146"/>
      <c r="AC554" s="146"/>
      <c r="AD554" s="146"/>
      <c r="AE554" s="146"/>
      <c r="AF554" s="146"/>
      <c r="AG554" s="146"/>
      <c r="AH554" s="331">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29">
        <f t="shared" si="26"/>
        <v>0</v>
      </c>
      <c r="Q555" s="146"/>
      <c r="R555" s="146"/>
      <c r="S555" s="146"/>
      <c r="T555" s="146"/>
      <c r="U555" s="146"/>
      <c r="V555" s="146"/>
      <c r="W555" s="146"/>
      <c r="X555" s="146"/>
      <c r="Y555" s="331">
        <f t="shared" si="27"/>
        <v>0</v>
      </c>
      <c r="Z555" s="146"/>
      <c r="AA555" s="146"/>
      <c r="AB555" s="146"/>
      <c r="AC555" s="146"/>
      <c r="AD555" s="146"/>
      <c r="AE555" s="146"/>
      <c r="AF555" s="146"/>
      <c r="AG555" s="146"/>
      <c r="AH555" s="331">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29">
        <f t="shared" si="26"/>
        <v>0</v>
      </c>
      <c r="Q556" s="146"/>
      <c r="R556" s="146"/>
      <c r="S556" s="146"/>
      <c r="T556" s="146"/>
      <c r="U556" s="146"/>
      <c r="V556" s="146"/>
      <c r="W556" s="146"/>
      <c r="X556" s="146"/>
      <c r="Y556" s="331">
        <f t="shared" si="27"/>
        <v>0</v>
      </c>
      <c r="Z556" s="146"/>
      <c r="AA556" s="146"/>
      <c r="AB556" s="146"/>
      <c r="AC556" s="146"/>
      <c r="AD556" s="146"/>
      <c r="AE556" s="146"/>
      <c r="AF556" s="146"/>
      <c r="AG556" s="146"/>
      <c r="AH556" s="331">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29">
        <f t="shared" si="26"/>
        <v>0</v>
      </c>
      <c r="Q557" s="146"/>
      <c r="R557" s="146"/>
      <c r="S557" s="146"/>
      <c r="T557" s="146"/>
      <c r="U557" s="146"/>
      <c r="V557" s="146"/>
      <c r="W557" s="146"/>
      <c r="X557" s="146"/>
      <c r="Y557" s="331">
        <f t="shared" si="27"/>
        <v>0</v>
      </c>
      <c r="Z557" s="146"/>
      <c r="AA557" s="146"/>
      <c r="AB557" s="146"/>
      <c r="AC557" s="146"/>
      <c r="AD557" s="146"/>
      <c r="AE557" s="146"/>
      <c r="AF557" s="146"/>
      <c r="AG557" s="146"/>
      <c r="AH557" s="331">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29">
        <f t="shared" si="26"/>
        <v>0</v>
      </c>
      <c r="Q558" s="146"/>
      <c r="R558" s="146"/>
      <c r="S558" s="146"/>
      <c r="T558" s="146"/>
      <c r="U558" s="146"/>
      <c r="V558" s="146"/>
      <c r="W558" s="146"/>
      <c r="X558" s="146"/>
      <c r="Y558" s="331">
        <f t="shared" si="27"/>
        <v>0</v>
      </c>
      <c r="Z558" s="146"/>
      <c r="AA558" s="146"/>
      <c r="AB558" s="146"/>
      <c r="AC558" s="146"/>
      <c r="AD558" s="146"/>
      <c r="AE558" s="146"/>
      <c r="AF558" s="146"/>
      <c r="AG558" s="146"/>
      <c r="AH558" s="331">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29">
        <f t="shared" si="26"/>
        <v>0</v>
      </c>
      <c r="Q559" s="146"/>
      <c r="R559" s="146"/>
      <c r="S559" s="146"/>
      <c r="T559" s="146"/>
      <c r="U559" s="146"/>
      <c r="V559" s="146"/>
      <c r="W559" s="146"/>
      <c r="X559" s="146"/>
      <c r="Y559" s="331">
        <f t="shared" si="27"/>
        <v>0</v>
      </c>
      <c r="Z559" s="146"/>
      <c r="AA559" s="146"/>
      <c r="AB559" s="146"/>
      <c r="AC559" s="146"/>
      <c r="AD559" s="146"/>
      <c r="AE559" s="146"/>
      <c r="AF559" s="146"/>
      <c r="AG559" s="146"/>
      <c r="AH559" s="331">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29">
        <f t="shared" si="26"/>
        <v>0</v>
      </c>
      <c r="Q560" s="146"/>
      <c r="R560" s="146"/>
      <c r="S560" s="146"/>
      <c r="T560" s="146"/>
      <c r="U560" s="146"/>
      <c r="V560" s="146"/>
      <c r="W560" s="146"/>
      <c r="X560" s="146"/>
      <c r="Y560" s="331">
        <f t="shared" si="27"/>
        <v>0</v>
      </c>
      <c r="Z560" s="146"/>
      <c r="AA560" s="146"/>
      <c r="AB560" s="146"/>
      <c r="AC560" s="146"/>
      <c r="AD560" s="146"/>
      <c r="AE560" s="146"/>
      <c r="AF560" s="146"/>
      <c r="AG560" s="146"/>
      <c r="AH560" s="331">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29">
        <f t="shared" si="26"/>
        <v>0</v>
      </c>
      <c r="Q561" s="146"/>
      <c r="R561" s="146"/>
      <c r="S561" s="146"/>
      <c r="T561" s="146"/>
      <c r="U561" s="146"/>
      <c r="V561" s="146"/>
      <c r="W561" s="146"/>
      <c r="X561" s="146"/>
      <c r="Y561" s="331">
        <f t="shared" si="27"/>
        <v>0</v>
      </c>
      <c r="Z561" s="146"/>
      <c r="AA561" s="146"/>
      <c r="AB561" s="146"/>
      <c r="AC561" s="146"/>
      <c r="AD561" s="146"/>
      <c r="AE561" s="146"/>
      <c r="AF561" s="146"/>
      <c r="AG561" s="146"/>
      <c r="AH561" s="331">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29">
        <f t="shared" si="26"/>
        <v>0</v>
      </c>
      <c r="Q562" s="146"/>
      <c r="R562" s="146"/>
      <c r="S562" s="146"/>
      <c r="T562" s="146"/>
      <c r="U562" s="146"/>
      <c r="V562" s="146"/>
      <c r="W562" s="146"/>
      <c r="X562" s="146"/>
      <c r="Y562" s="331">
        <f t="shared" si="27"/>
        <v>0</v>
      </c>
      <c r="Z562" s="146"/>
      <c r="AA562" s="146"/>
      <c r="AB562" s="146"/>
      <c r="AC562" s="146"/>
      <c r="AD562" s="146"/>
      <c r="AE562" s="146"/>
      <c r="AF562" s="146"/>
      <c r="AG562" s="146"/>
      <c r="AH562" s="331">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29">
        <f t="shared" si="26"/>
        <v>0</v>
      </c>
      <c r="Q563" s="146"/>
      <c r="R563" s="146"/>
      <c r="S563" s="146"/>
      <c r="T563" s="146"/>
      <c r="U563" s="146"/>
      <c r="V563" s="146"/>
      <c r="W563" s="146"/>
      <c r="X563" s="146"/>
      <c r="Y563" s="331">
        <f t="shared" si="27"/>
        <v>0</v>
      </c>
      <c r="Z563" s="146"/>
      <c r="AA563" s="146"/>
      <c r="AB563" s="146"/>
      <c r="AC563" s="146"/>
      <c r="AD563" s="146"/>
      <c r="AE563" s="146"/>
      <c r="AF563" s="146"/>
      <c r="AG563" s="146"/>
      <c r="AH563" s="331">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29">
        <f t="shared" si="26"/>
        <v>0</v>
      </c>
      <c r="Q564" s="146"/>
      <c r="R564" s="146"/>
      <c r="S564" s="146"/>
      <c r="T564" s="146"/>
      <c r="U564" s="146"/>
      <c r="V564" s="146"/>
      <c r="W564" s="146"/>
      <c r="X564" s="146"/>
      <c r="Y564" s="331">
        <f t="shared" si="27"/>
        <v>0</v>
      </c>
      <c r="Z564" s="146"/>
      <c r="AA564" s="146"/>
      <c r="AB564" s="146"/>
      <c r="AC564" s="146"/>
      <c r="AD564" s="146"/>
      <c r="AE564" s="146"/>
      <c r="AF564" s="146"/>
      <c r="AG564" s="146"/>
      <c r="AH564" s="331">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29">
        <f t="shared" si="26"/>
        <v>0</v>
      </c>
      <c r="Q565" s="146"/>
      <c r="R565" s="146"/>
      <c r="S565" s="146"/>
      <c r="T565" s="146"/>
      <c r="U565" s="146"/>
      <c r="V565" s="146"/>
      <c r="W565" s="146"/>
      <c r="X565" s="146"/>
      <c r="Y565" s="331">
        <f t="shared" si="27"/>
        <v>0</v>
      </c>
      <c r="Z565" s="146"/>
      <c r="AA565" s="146"/>
      <c r="AB565" s="146"/>
      <c r="AC565" s="146"/>
      <c r="AD565" s="146"/>
      <c r="AE565" s="146"/>
      <c r="AF565" s="146"/>
      <c r="AG565" s="146"/>
      <c r="AH565" s="331">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29">
        <f t="shared" si="26"/>
        <v>0</v>
      </c>
      <c r="Q566" s="146"/>
      <c r="R566" s="146"/>
      <c r="S566" s="146"/>
      <c r="T566" s="146"/>
      <c r="U566" s="146"/>
      <c r="V566" s="146"/>
      <c r="W566" s="146"/>
      <c r="X566" s="146"/>
      <c r="Y566" s="331">
        <f t="shared" si="27"/>
        <v>0</v>
      </c>
      <c r="Z566" s="146"/>
      <c r="AA566" s="146"/>
      <c r="AB566" s="146"/>
      <c r="AC566" s="146"/>
      <c r="AD566" s="146"/>
      <c r="AE566" s="146"/>
      <c r="AF566" s="146"/>
      <c r="AG566" s="146"/>
      <c r="AH566" s="331">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29">
        <f t="shared" si="26"/>
        <v>0</v>
      </c>
      <c r="Q567" s="146"/>
      <c r="R567" s="146"/>
      <c r="S567" s="146"/>
      <c r="T567" s="146"/>
      <c r="U567" s="146"/>
      <c r="V567" s="146"/>
      <c r="W567" s="146"/>
      <c r="X567" s="146"/>
      <c r="Y567" s="331">
        <f t="shared" si="27"/>
        <v>0</v>
      </c>
      <c r="Z567" s="146"/>
      <c r="AA567" s="146"/>
      <c r="AB567" s="146"/>
      <c r="AC567" s="146"/>
      <c r="AD567" s="146"/>
      <c r="AE567" s="146"/>
      <c r="AF567" s="146"/>
      <c r="AG567" s="146"/>
      <c r="AH567" s="331">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29">
        <f t="shared" si="26"/>
        <v>0</v>
      </c>
      <c r="Q568" s="146"/>
      <c r="R568" s="146"/>
      <c r="S568" s="146"/>
      <c r="T568" s="146"/>
      <c r="U568" s="146"/>
      <c r="V568" s="146"/>
      <c r="W568" s="146"/>
      <c r="X568" s="146"/>
      <c r="Y568" s="331">
        <f t="shared" si="27"/>
        <v>0</v>
      </c>
      <c r="Z568" s="146"/>
      <c r="AA568" s="146"/>
      <c r="AB568" s="146"/>
      <c r="AC568" s="146"/>
      <c r="AD568" s="146"/>
      <c r="AE568" s="146"/>
      <c r="AF568" s="146"/>
      <c r="AG568" s="146"/>
      <c r="AH568" s="331">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29">
        <f t="shared" si="26"/>
        <v>0</v>
      </c>
      <c r="Q569" s="146"/>
      <c r="R569" s="146"/>
      <c r="S569" s="146"/>
      <c r="T569" s="146"/>
      <c r="U569" s="146"/>
      <c r="V569" s="146"/>
      <c r="W569" s="146"/>
      <c r="X569" s="146"/>
      <c r="Y569" s="331">
        <f t="shared" si="27"/>
        <v>0</v>
      </c>
      <c r="Z569" s="146"/>
      <c r="AA569" s="146"/>
      <c r="AB569" s="146"/>
      <c r="AC569" s="146"/>
      <c r="AD569" s="146"/>
      <c r="AE569" s="146"/>
      <c r="AF569" s="146"/>
      <c r="AG569" s="146"/>
      <c r="AH569" s="331">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29">
        <f t="shared" si="26"/>
        <v>0</v>
      </c>
      <c r="Q570" s="146"/>
      <c r="R570" s="146"/>
      <c r="S570" s="146"/>
      <c r="T570" s="146"/>
      <c r="U570" s="146"/>
      <c r="V570" s="146"/>
      <c r="W570" s="146"/>
      <c r="X570" s="146"/>
      <c r="Y570" s="331">
        <f t="shared" si="27"/>
        <v>0</v>
      </c>
      <c r="Z570" s="146"/>
      <c r="AA570" s="146"/>
      <c r="AB570" s="146"/>
      <c r="AC570" s="146"/>
      <c r="AD570" s="146"/>
      <c r="AE570" s="146"/>
      <c r="AF570" s="146"/>
      <c r="AG570" s="146"/>
      <c r="AH570" s="331">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29">
        <f t="shared" si="26"/>
        <v>0</v>
      </c>
      <c r="Q571" s="146"/>
      <c r="R571" s="146"/>
      <c r="S571" s="146"/>
      <c r="T571" s="146"/>
      <c r="U571" s="146"/>
      <c r="V571" s="146"/>
      <c r="W571" s="146"/>
      <c r="X571" s="146"/>
      <c r="Y571" s="331">
        <f t="shared" si="27"/>
        <v>0</v>
      </c>
      <c r="Z571" s="146"/>
      <c r="AA571" s="146"/>
      <c r="AB571" s="146"/>
      <c r="AC571" s="146"/>
      <c r="AD571" s="146"/>
      <c r="AE571" s="146"/>
      <c r="AF571" s="146"/>
      <c r="AG571" s="146"/>
      <c r="AH571" s="331">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29">
        <f t="shared" si="26"/>
        <v>0</v>
      </c>
      <c r="Q572" s="146"/>
      <c r="R572" s="146"/>
      <c r="S572" s="146"/>
      <c r="T572" s="146"/>
      <c r="U572" s="146"/>
      <c r="V572" s="146"/>
      <c r="W572" s="146"/>
      <c r="X572" s="146"/>
      <c r="Y572" s="331">
        <f t="shared" si="27"/>
        <v>0</v>
      </c>
      <c r="Z572" s="146"/>
      <c r="AA572" s="146"/>
      <c r="AB572" s="146"/>
      <c r="AC572" s="146"/>
      <c r="AD572" s="146"/>
      <c r="AE572" s="146"/>
      <c r="AF572" s="146"/>
      <c r="AG572" s="146"/>
      <c r="AH572" s="331">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29">
        <f t="shared" si="26"/>
        <v>0</v>
      </c>
      <c r="Q573" s="146"/>
      <c r="R573" s="146"/>
      <c r="S573" s="146"/>
      <c r="T573" s="146"/>
      <c r="U573" s="146"/>
      <c r="V573" s="146"/>
      <c r="W573" s="146"/>
      <c r="X573" s="146"/>
      <c r="Y573" s="331">
        <f t="shared" si="27"/>
        <v>0</v>
      </c>
      <c r="Z573" s="146"/>
      <c r="AA573" s="146"/>
      <c r="AB573" s="146"/>
      <c r="AC573" s="146"/>
      <c r="AD573" s="146"/>
      <c r="AE573" s="146"/>
      <c r="AF573" s="146"/>
      <c r="AG573" s="146"/>
      <c r="AH573" s="331">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29">
        <f t="shared" si="26"/>
        <v>0</v>
      </c>
      <c r="Q574" s="146"/>
      <c r="R574" s="146"/>
      <c r="S574" s="146"/>
      <c r="T574" s="146"/>
      <c r="U574" s="146"/>
      <c r="V574" s="146"/>
      <c r="W574" s="146"/>
      <c r="X574" s="146"/>
      <c r="Y574" s="331">
        <f t="shared" si="27"/>
        <v>0</v>
      </c>
      <c r="Z574" s="146"/>
      <c r="AA574" s="146"/>
      <c r="AB574" s="146"/>
      <c r="AC574" s="146"/>
      <c r="AD574" s="146"/>
      <c r="AE574" s="146"/>
      <c r="AF574" s="146"/>
      <c r="AG574" s="146"/>
      <c r="AH574" s="331">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29">
        <f t="shared" si="26"/>
        <v>0</v>
      </c>
      <c r="Q575" s="146"/>
      <c r="R575" s="146"/>
      <c r="S575" s="146"/>
      <c r="T575" s="146"/>
      <c r="U575" s="146"/>
      <c r="V575" s="146"/>
      <c r="W575" s="146"/>
      <c r="X575" s="146"/>
      <c r="Y575" s="331">
        <f t="shared" si="27"/>
        <v>0</v>
      </c>
      <c r="Z575" s="146"/>
      <c r="AA575" s="146"/>
      <c r="AB575" s="146"/>
      <c r="AC575" s="146"/>
      <c r="AD575" s="146"/>
      <c r="AE575" s="146"/>
      <c r="AF575" s="146"/>
      <c r="AG575" s="146"/>
      <c r="AH575" s="331">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29">
        <f t="shared" si="26"/>
        <v>0</v>
      </c>
      <c r="Q576" s="146"/>
      <c r="R576" s="146"/>
      <c r="S576" s="146"/>
      <c r="T576" s="146"/>
      <c r="U576" s="146"/>
      <c r="V576" s="146"/>
      <c r="W576" s="146"/>
      <c r="X576" s="146"/>
      <c r="Y576" s="331">
        <f t="shared" si="27"/>
        <v>0</v>
      </c>
      <c r="Z576" s="146"/>
      <c r="AA576" s="146"/>
      <c r="AB576" s="146"/>
      <c r="AC576" s="146"/>
      <c r="AD576" s="146"/>
      <c r="AE576" s="146"/>
      <c r="AF576" s="146"/>
      <c r="AG576" s="146"/>
      <c r="AH576" s="331">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29">
        <f t="shared" si="26"/>
        <v>0</v>
      </c>
      <c r="Q577" s="146"/>
      <c r="R577" s="146"/>
      <c r="S577" s="146"/>
      <c r="T577" s="146"/>
      <c r="U577" s="146"/>
      <c r="V577" s="146"/>
      <c r="W577" s="146"/>
      <c r="X577" s="146"/>
      <c r="Y577" s="331">
        <f t="shared" si="27"/>
        <v>0</v>
      </c>
      <c r="Z577" s="146"/>
      <c r="AA577" s="146"/>
      <c r="AB577" s="146"/>
      <c r="AC577" s="146"/>
      <c r="AD577" s="146"/>
      <c r="AE577" s="146"/>
      <c r="AF577" s="146"/>
      <c r="AG577" s="146"/>
      <c r="AH577" s="331">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29">
        <f t="shared" si="26"/>
        <v>0</v>
      </c>
      <c r="Q578" s="146"/>
      <c r="R578" s="146"/>
      <c r="S578" s="146"/>
      <c r="T578" s="146"/>
      <c r="U578" s="146"/>
      <c r="V578" s="146"/>
      <c r="W578" s="146"/>
      <c r="X578" s="146"/>
      <c r="Y578" s="331">
        <f t="shared" si="27"/>
        <v>0</v>
      </c>
      <c r="Z578" s="146"/>
      <c r="AA578" s="146"/>
      <c r="AB578" s="146"/>
      <c r="AC578" s="146"/>
      <c r="AD578" s="146"/>
      <c r="AE578" s="146"/>
      <c r="AF578" s="146"/>
      <c r="AG578" s="146"/>
      <c r="AH578" s="331">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29">
        <f t="shared" si="26"/>
        <v>0</v>
      </c>
      <c r="Q579" s="146"/>
      <c r="R579" s="146"/>
      <c r="S579" s="146"/>
      <c r="T579" s="146"/>
      <c r="U579" s="146"/>
      <c r="V579" s="146"/>
      <c r="W579" s="146"/>
      <c r="X579" s="146"/>
      <c r="Y579" s="331">
        <f t="shared" si="27"/>
        <v>0</v>
      </c>
      <c r="Z579" s="146"/>
      <c r="AA579" s="146"/>
      <c r="AB579" s="146"/>
      <c r="AC579" s="146"/>
      <c r="AD579" s="146"/>
      <c r="AE579" s="146"/>
      <c r="AF579" s="146"/>
      <c r="AG579" s="146"/>
      <c r="AH579" s="331">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29">
        <f t="shared" si="26"/>
        <v>0</v>
      </c>
      <c r="Q580" s="146"/>
      <c r="R580" s="146"/>
      <c r="S580" s="146"/>
      <c r="T580" s="146"/>
      <c r="U580" s="146"/>
      <c r="V580" s="146"/>
      <c r="W580" s="146"/>
      <c r="X580" s="146"/>
      <c r="Y580" s="331">
        <f t="shared" si="27"/>
        <v>0</v>
      </c>
      <c r="Z580" s="146"/>
      <c r="AA580" s="146"/>
      <c r="AB580" s="146"/>
      <c r="AC580" s="146"/>
      <c r="AD580" s="146"/>
      <c r="AE580" s="146"/>
      <c r="AF580" s="146"/>
      <c r="AG580" s="146"/>
      <c r="AH580" s="331">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29">
        <f t="shared" si="26"/>
        <v>0</v>
      </c>
      <c r="Q581" s="146"/>
      <c r="R581" s="146"/>
      <c r="S581" s="146"/>
      <c r="T581" s="146"/>
      <c r="U581" s="146"/>
      <c r="V581" s="146"/>
      <c r="W581" s="146"/>
      <c r="X581" s="146"/>
      <c r="Y581" s="331">
        <f t="shared" si="27"/>
        <v>0</v>
      </c>
      <c r="Z581" s="146"/>
      <c r="AA581" s="146"/>
      <c r="AB581" s="146"/>
      <c r="AC581" s="146"/>
      <c r="AD581" s="146"/>
      <c r="AE581" s="146"/>
      <c r="AF581" s="146"/>
      <c r="AG581" s="146"/>
      <c r="AH581" s="331">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29">
        <f t="shared" si="26"/>
        <v>0</v>
      </c>
      <c r="Q582" s="146"/>
      <c r="R582" s="146"/>
      <c r="S582" s="146"/>
      <c r="T582" s="146"/>
      <c r="U582" s="146"/>
      <c r="V582" s="146"/>
      <c r="W582" s="146"/>
      <c r="X582" s="146"/>
      <c r="Y582" s="331">
        <f t="shared" si="27"/>
        <v>0</v>
      </c>
      <c r="Z582" s="146"/>
      <c r="AA582" s="146"/>
      <c r="AB582" s="146"/>
      <c r="AC582" s="146"/>
      <c r="AD582" s="146"/>
      <c r="AE582" s="146"/>
      <c r="AF582" s="146"/>
      <c r="AG582" s="146"/>
      <c r="AH582" s="331">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29">
        <f t="shared" si="26"/>
        <v>0</v>
      </c>
      <c r="Q583" s="146"/>
      <c r="R583" s="146"/>
      <c r="S583" s="146"/>
      <c r="T583" s="146"/>
      <c r="U583" s="146"/>
      <c r="V583" s="146"/>
      <c r="W583" s="146"/>
      <c r="X583" s="146"/>
      <c r="Y583" s="331">
        <f t="shared" si="27"/>
        <v>0</v>
      </c>
      <c r="Z583" s="146"/>
      <c r="AA583" s="146"/>
      <c r="AB583" s="146"/>
      <c r="AC583" s="146"/>
      <c r="AD583" s="146"/>
      <c r="AE583" s="146"/>
      <c r="AF583" s="146"/>
      <c r="AG583" s="146"/>
      <c r="AH583" s="331">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29">
        <f t="shared" si="26"/>
        <v>0</v>
      </c>
      <c r="Q584" s="146"/>
      <c r="R584" s="146"/>
      <c r="S584" s="146"/>
      <c r="T584" s="146"/>
      <c r="U584" s="146"/>
      <c r="V584" s="146"/>
      <c r="W584" s="146"/>
      <c r="X584" s="146"/>
      <c r="Y584" s="331">
        <f t="shared" si="27"/>
        <v>0</v>
      </c>
      <c r="Z584" s="146"/>
      <c r="AA584" s="146"/>
      <c r="AB584" s="146"/>
      <c r="AC584" s="146"/>
      <c r="AD584" s="146"/>
      <c r="AE584" s="146"/>
      <c r="AF584" s="146"/>
      <c r="AG584" s="146"/>
      <c r="AH584" s="331">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29">
        <f t="shared" si="26"/>
        <v>0</v>
      </c>
      <c r="Q585" s="146"/>
      <c r="R585" s="146"/>
      <c r="S585" s="146"/>
      <c r="T585" s="146"/>
      <c r="U585" s="146"/>
      <c r="V585" s="146"/>
      <c r="W585" s="146"/>
      <c r="X585" s="146"/>
      <c r="Y585" s="331">
        <f t="shared" si="27"/>
        <v>0</v>
      </c>
      <c r="Z585" s="146"/>
      <c r="AA585" s="146"/>
      <c r="AB585" s="146"/>
      <c r="AC585" s="146"/>
      <c r="AD585" s="146"/>
      <c r="AE585" s="146"/>
      <c r="AF585" s="146"/>
      <c r="AG585" s="146"/>
      <c r="AH585" s="331">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29">
        <f t="shared" si="26"/>
        <v>0</v>
      </c>
      <c r="Q586" s="146"/>
      <c r="R586" s="146"/>
      <c r="S586" s="146"/>
      <c r="T586" s="146"/>
      <c r="U586" s="146"/>
      <c r="V586" s="146"/>
      <c r="W586" s="146"/>
      <c r="X586" s="146"/>
      <c r="Y586" s="331">
        <f t="shared" si="27"/>
        <v>0</v>
      </c>
      <c r="Z586" s="146"/>
      <c r="AA586" s="146"/>
      <c r="AB586" s="146"/>
      <c r="AC586" s="146"/>
      <c r="AD586" s="146"/>
      <c r="AE586" s="146"/>
      <c r="AF586" s="146"/>
      <c r="AG586" s="146"/>
      <c r="AH586" s="331">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29">
        <f t="shared" si="26"/>
        <v>0</v>
      </c>
      <c r="Q587" s="146"/>
      <c r="R587" s="146"/>
      <c r="S587" s="146"/>
      <c r="T587" s="146"/>
      <c r="U587" s="146"/>
      <c r="V587" s="146"/>
      <c r="W587" s="146"/>
      <c r="X587" s="146"/>
      <c r="Y587" s="331">
        <f t="shared" si="27"/>
        <v>0</v>
      </c>
      <c r="Z587" s="146"/>
      <c r="AA587" s="146"/>
      <c r="AB587" s="146"/>
      <c r="AC587" s="146"/>
      <c r="AD587" s="146"/>
      <c r="AE587" s="146"/>
      <c r="AF587" s="146"/>
      <c r="AG587" s="146"/>
      <c r="AH587" s="331">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29">
        <f t="shared" si="26"/>
        <v>0</v>
      </c>
      <c r="Q588" s="146"/>
      <c r="R588" s="146"/>
      <c r="S588" s="146"/>
      <c r="T588" s="146"/>
      <c r="U588" s="146"/>
      <c r="V588" s="146"/>
      <c r="W588" s="146"/>
      <c r="X588" s="146"/>
      <c r="Y588" s="331">
        <f t="shared" si="27"/>
        <v>0</v>
      </c>
      <c r="Z588" s="146"/>
      <c r="AA588" s="146"/>
      <c r="AB588" s="146"/>
      <c r="AC588" s="146"/>
      <c r="AD588" s="146"/>
      <c r="AE588" s="146"/>
      <c r="AF588" s="146"/>
      <c r="AG588" s="146"/>
      <c r="AH588" s="331">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29">
        <f t="shared" ref="P589:P652" si="29">SUM(H589:N589)</f>
        <v>0</v>
      </c>
      <c r="Q589" s="146"/>
      <c r="R589" s="146"/>
      <c r="S589" s="146"/>
      <c r="T589" s="146"/>
      <c r="U589" s="146"/>
      <c r="V589" s="146"/>
      <c r="W589" s="146"/>
      <c r="X589" s="146"/>
      <c r="Y589" s="331">
        <f t="shared" ref="Y589:Y652" si="30">SUM(Q589:W589)</f>
        <v>0</v>
      </c>
      <c r="Z589" s="146"/>
      <c r="AA589" s="146"/>
      <c r="AB589" s="146"/>
      <c r="AC589" s="146"/>
      <c r="AD589" s="146"/>
      <c r="AE589" s="146"/>
      <c r="AF589" s="146"/>
      <c r="AG589" s="146"/>
      <c r="AH589" s="331">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29">
        <f t="shared" si="29"/>
        <v>0</v>
      </c>
      <c r="Q590" s="146"/>
      <c r="R590" s="146"/>
      <c r="S590" s="146"/>
      <c r="T590" s="146"/>
      <c r="U590" s="146"/>
      <c r="V590" s="146"/>
      <c r="W590" s="146"/>
      <c r="X590" s="146"/>
      <c r="Y590" s="331">
        <f t="shared" si="30"/>
        <v>0</v>
      </c>
      <c r="Z590" s="146"/>
      <c r="AA590" s="146"/>
      <c r="AB590" s="146"/>
      <c r="AC590" s="146"/>
      <c r="AD590" s="146"/>
      <c r="AE590" s="146"/>
      <c r="AF590" s="146"/>
      <c r="AG590" s="146"/>
      <c r="AH590" s="331">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29">
        <f t="shared" si="29"/>
        <v>0</v>
      </c>
      <c r="Q591" s="146"/>
      <c r="R591" s="146"/>
      <c r="S591" s="146"/>
      <c r="T591" s="146"/>
      <c r="U591" s="146"/>
      <c r="V591" s="146"/>
      <c r="W591" s="146"/>
      <c r="X591" s="146"/>
      <c r="Y591" s="331">
        <f t="shared" si="30"/>
        <v>0</v>
      </c>
      <c r="Z591" s="146"/>
      <c r="AA591" s="146"/>
      <c r="AB591" s="146"/>
      <c r="AC591" s="146"/>
      <c r="AD591" s="146"/>
      <c r="AE591" s="146"/>
      <c r="AF591" s="146"/>
      <c r="AG591" s="146"/>
      <c r="AH591" s="331">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29">
        <f t="shared" si="29"/>
        <v>0</v>
      </c>
      <c r="Q592" s="146"/>
      <c r="R592" s="146"/>
      <c r="S592" s="146"/>
      <c r="T592" s="146"/>
      <c r="U592" s="146"/>
      <c r="V592" s="146"/>
      <c r="W592" s="146"/>
      <c r="X592" s="146"/>
      <c r="Y592" s="331">
        <f t="shared" si="30"/>
        <v>0</v>
      </c>
      <c r="Z592" s="146"/>
      <c r="AA592" s="146"/>
      <c r="AB592" s="146"/>
      <c r="AC592" s="146"/>
      <c r="AD592" s="146"/>
      <c r="AE592" s="146"/>
      <c r="AF592" s="146"/>
      <c r="AG592" s="146"/>
      <c r="AH592" s="331">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29">
        <f t="shared" si="29"/>
        <v>0</v>
      </c>
      <c r="Q593" s="146"/>
      <c r="R593" s="146"/>
      <c r="S593" s="146"/>
      <c r="T593" s="146"/>
      <c r="U593" s="146"/>
      <c r="V593" s="146"/>
      <c r="W593" s="146"/>
      <c r="X593" s="146"/>
      <c r="Y593" s="331">
        <f t="shared" si="30"/>
        <v>0</v>
      </c>
      <c r="Z593" s="146"/>
      <c r="AA593" s="146"/>
      <c r="AB593" s="146"/>
      <c r="AC593" s="146"/>
      <c r="AD593" s="146"/>
      <c r="AE593" s="146"/>
      <c r="AF593" s="146"/>
      <c r="AG593" s="146"/>
      <c r="AH593" s="331">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29">
        <f t="shared" si="29"/>
        <v>0</v>
      </c>
      <c r="Q594" s="146"/>
      <c r="R594" s="146"/>
      <c r="S594" s="146"/>
      <c r="T594" s="146"/>
      <c r="U594" s="146"/>
      <c r="V594" s="146"/>
      <c r="W594" s="146"/>
      <c r="X594" s="146"/>
      <c r="Y594" s="331">
        <f t="shared" si="30"/>
        <v>0</v>
      </c>
      <c r="Z594" s="146"/>
      <c r="AA594" s="146"/>
      <c r="AB594" s="146"/>
      <c r="AC594" s="146"/>
      <c r="AD594" s="146"/>
      <c r="AE594" s="146"/>
      <c r="AF594" s="146"/>
      <c r="AG594" s="146"/>
      <c r="AH594" s="331">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29">
        <f t="shared" si="29"/>
        <v>0</v>
      </c>
      <c r="Q595" s="146"/>
      <c r="R595" s="146"/>
      <c r="S595" s="146"/>
      <c r="T595" s="146"/>
      <c r="U595" s="146"/>
      <c r="V595" s="146"/>
      <c r="W595" s="146"/>
      <c r="X595" s="146"/>
      <c r="Y595" s="331">
        <f t="shared" si="30"/>
        <v>0</v>
      </c>
      <c r="Z595" s="146"/>
      <c r="AA595" s="146"/>
      <c r="AB595" s="146"/>
      <c r="AC595" s="146"/>
      <c r="AD595" s="146"/>
      <c r="AE595" s="146"/>
      <c r="AF595" s="146"/>
      <c r="AG595" s="146"/>
      <c r="AH595" s="331">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29">
        <f t="shared" si="29"/>
        <v>0</v>
      </c>
      <c r="Q596" s="146"/>
      <c r="R596" s="146"/>
      <c r="S596" s="146"/>
      <c r="T596" s="146"/>
      <c r="U596" s="146"/>
      <c r="V596" s="146"/>
      <c r="W596" s="146"/>
      <c r="X596" s="146"/>
      <c r="Y596" s="331">
        <f t="shared" si="30"/>
        <v>0</v>
      </c>
      <c r="Z596" s="146"/>
      <c r="AA596" s="146"/>
      <c r="AB596" s="146"/>
      <c r="AC596" s="146"/>
      <c r="AD596" s="146"/>
      <c r="AE596" s="146"/>
      <c r="AF596" s="146"/>
      <c r="AG596" s="146"/>
      <c r="AH596" s="331">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29">
        <f t="shared" si="29"/>
        <v>0</v>
      </c>
      <c r="Q597" s="146"/>
      <c r="R597" s="146"/>
      <c r="S597" s="146"/>
      <c r="T597" s="146"/>
      <c r="U597" s="146"/>
      <c r="V597" s="146"/>
      <c r="W597" s="146"/>
      <c r="X597" s="146"/>
      <c r="Y597" s="331">
        <f t="shared" si="30"/>
        <v>0</v>
      </c>
      <c r="Z597" s="146"/>
      <c r="AA597" s="146"/>
      <c r="AB597" s="146"/>
      <c r="AC597" s="146"/>
      <c r="AD597" s="146"/>
      <c r="AE597" s="146"/>
      <c r="AF597" s="146"/>
      <c r="AG597" s="146"/>
      <c r="AH597" s="331">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29">
        <f t="shared" si="29"/>
        <v>0</v>
      </c>
      <c r="Q598" s="146"/>
      <c r="R598" s="146"/>
      <c r="S598" s="146"/>
      <c r="T598" s="146"/>
      <c r="U598" s="146"/>
      <c r="V598" s="146"/>
      <c r="W598" s="146"/>
      <c r="X598" s="146"/>
      <c r="Y598" s="331">
        <f t="shared" si="30"/>
        <v>0</v>
      </c>
      <c r="Z598" s="146"/>
      <c r="AA598" s="146"/>
      <c r="AB598" s="146"/>
      <c r="AC598" s="146"/>
      <c r="AD598" s="146"/>
      <c r="AE598" s="146"/>
      <c r="AF598" s="146"/>
      <c r="AG598" s="146"/>
      <c r="AH598" s="331">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29">
        <f t="shared" si="29"/>
        <v>0</v>
      </c>
      <c r="Q599" s="146"/>
      <c r="R599" s="146"/>
      <c r="S599" s="146"/>
      <c r="T599" s="146"/>
      <c r="U599" s="146"/>
      <c r="V599" s="146"/>
      <c r="W599" s="146"/>
      <c r="X599" s="146"/>
      <c r="Y599" s="331">
        <f t="shared" si="30"/>
        <v>0</v>
      </c>
      <c r="Z599" s="146"/>
      <c r="AA599" s="146"/>
      <c r="AB599" s="146"/>
      <c r="AC599" s="146"/>
      <c r="AD599" s="146"/>
      <c r="AE599" s="146"/>
      <c r="AF599" s="146"/>
      <c r="AG599" s="146"/>
      <c r="AH599" s="331">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29">
        <f t="shared" si="29"/>
        <v>0</v>
      </c>
      <c r="Q600" s="146"/>
      <c r="R600" s="146"/>
      <c r="S600" s="146"/>
      <c r="T600" s="146"/>
      <c r="U600" s="146"/>
      <c r="V600" s="146"/>
      <c r="W600" s="146"/>
      <c r="X600" s="146"/>
      <c r="Y600" s="331">
        <f t="shared" si="30"/>
        <v>0</v>
      </c>
      <c r="Z600" s="146"/>
      <c r="AA600" s="146"/>
      <c r="AB600" s="146"/>
      <c r="AC600" s="146"/>
      <c r="AD600" s="146"/>
      <c r="AE600" s="146"/>
      <c r="AF600" s="146"/>
      <c r="AG600" s="146"/>
      <c r="AH600" s="331">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29">
        <f t="shared" si="29"/>
        <v>0</v>
      </c>
      <c r="Q601" s="146"/>
      <c r="R601" s="146"/>
      <c r="S601" s="146"/>
      <c r="T601" s="146"/>
      <c r="U601" s="146"/>
      <c r="V601" s="146"/>
      <c r="W601" s="146"/>
      <c r="X601" s="146"/>
      <c r="Y601" s="331">
        <f t="shared" si="30"/>
        <v>0</v>
      </c>
      <c r="Z601" s="146"/>
      <c r="AA601" s="146"/>
      <c r="AB601" s="146"/>
      <c r="AC601" s="146"/>
      <c r="AD601" s="146"/>
      <c r="AE601" s="146"/>
      <c r="AF601" s="146"/>
      <c r="AG601" s="146"/>
      <c r="AH601" s="331">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29">
        <f t="shared" si="29"/>
        <v>0</v>
      </c>
      <c r="Q602" s="146"/>
      <c r="R602" s="146"/>
      <c r="S602" s="146"/>
      <c r="T602" s="146"/>
      <c r="U602" s="146"/>
      <c r="V602" s="146"/>
      <c r="W602" s="146"/>
      <c r="X602" s="146"/>
      <c r="Y602" s="331">
        <f t="shared" si="30"/>
        <v>0</v>
      </c>
      <c r="Z602" s="146"/>
      <c r="AA602" s="146"/>
      <c r="AB602" s="146"/>
      <c r="AC602" s="146"/>
      <c r="AD602" s="146"/>
      <c r="AE602" s="146"/>
      <c r="AF602" s="146"/>
      <c r="AG602" s="146"/>
      <c r="AH602" s="331">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29">
        <f t="shared" si="29"/>
        <v>0</v>
      </c>
      <c r="Q603" s="146"/>
      <c r="R603" s="146"/>
      <c r="S603" s="146"/>
      <c r="T603" s="146"/>
      <c r="U603" s="146"/>
      <c r="V603" s="146"/>
      <c r="W603" s="146"/>
      <c r="X603" s="146"/>
      <c r="Y603" s="331">
        <f t="shared" si="30"/>
        <v>0</v>
      </c>
      <c r="Z603" s="146"/>
      <c r="AA603" s="146"/>
      <c r="AB603" s="146"/>
      <c r="AC603" s="146"/>
      <c r="AD603" s="146"/>
      <c r="AE603" s="146"/>
      <c r="AF603" s="146"/>
      <c r="AG603" s="146"/>
      <c r="AH603" s="331">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29">
        <f t="shared" si="29"/>
        <v>0</v>
      </c>
      <c r="Q604" s="146"/>
      <c r="R604" s="146"/>
      <c r="S604" s="146"/>
      <c r="T604" s="146"/>
      <c r="U604" s="146"/>
      <c r="V604" s="146"/>
      <c r="W604" s="146"/>
      <c r="X604" s="146"/>
      <c r="Y604" s="331">
        <f t="shared" si="30"/>
        <v>0</v>
      </c>
      <c r="Z604" s="146"/>
      <c r="AA604" s="146"/>
      <c r="AB604" s="146"/>
      <c r="AC604" s="146"/>
      <c r="AD604" s="146"/>
      <c r="AE604" s="146"/>
      <c r="AF604" s="146"/>
      <c r="AG604" s="146"/>
      <c r="AH604" s="331">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29">
        <f t="shared" si="29"/>
        <v>0</v>
      </c>
      <c r="Q605" s="146"/>
      <c r="R605" s="146"/>
      <c r="S605" s="146"/>
      <c r="T605" s="146"/>
      <c r="U605" s="146"/>
      <c r="V605" s="146"/>
      <c r="W605" s="146"/>
      <c r="X605" s="146"/>
      <c r="Y605" s="331">
        <f t="shared" si="30"/>
        <v>0</v>
      </c>
      <c r="Z605" s="146"/>
      <c r="AA605" s="146"/>
      <c r="AB605" s="146"/>
      <c r="AC605" s="146"/>
      <c r="AD605" s="146"/>
      <c r="AE605" s="146"/>
      <c r="AF605" s="146"/>
      <c r="AG605" s="146"/>
      <c r="AH605" s="331">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29">
        <f t="shared" si="29"/>
        <v>0</v>
      </c>
      <c r="Q606" s="146"/>
      <c r="R606" s="146"/>
      <c r="S606" s="146"/>
      <c r="T606" s="146"/>
      <c r="U606" s="146"/>
      <c r="V606" s="146"/>
      <c r="W606" s="146"/>
      <c r="X606" s="146"/>
      <c r="Y606" s="331">
        <f t="shared" si="30"/>
        <v>0</v>
      </c>
      <c r="Z606" s="146"/>
      <c r="AA606" s="146"/>
      <c r="AB606" s="146"/>
      <c r="AC606" s="146"/>
      <c r="AD606" s="146"/>
      <c r="AE606" s="146"/>
      <c r="AF606" s="146"/>
      <c r="AG606" s="146"/>
      <c r="AH606" s="331">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29">
        <f t="shared" si="29"/>
        <v>0</v>
      </c>
      <c r="Q607" s="146"/>
      <c r="R607" s="146"/>
      <c r="S607" s="146"/>
      <c r="T607" s="146"/>
      <c r="U607" s="146"/>
      <c r="V607" s="146"/>
      <c r="W607" s="146"/>
      <c r="X607" s="146"/>
      <c r="Y607" s="331">
        <f t="shared" si="30"/>
        <v>0</v>
      </c>
      <c r="Z607" s="146"/>
      <c r="AA607" s="146"/>
      <c r="AB607" s="146"/>
      <c r="AC607" s="146"/>
      <c r="AD607" s="146"/>
      <c r="AE607" s="146"/>
      <c r="AF607" s="146"/>
      <c r="AG607" s="146"/>
      <c r="AH607" s="331">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29">
        <f t="shared" si="29"/>
        <v>0</v>
      </c>
      <c r="Q608" s="146"/>
      <c r="R608" s="146"/>
      <c r="S608" s="146"/>
      <c r="T608" s="146"/>
      <c r="U608" s="146"/>
      <c r="V608" s="146"/>
      <c r="W608" s="146"/>
      <c r="X608" s="146"/>
      <c r="Y608" s="331">
        <f t="shared" si="30"/>
        <v>0</v>
      </c>
      <c r="Z608" s="146"/>
      <c r="AA608" s="146"/>
      <c r="AB608" s="146"/>
      <c r="AC608" s="146"/>
      <c r="AD608" s="146"/>
      <c r="AE608" s="146"/>
      <c r="AF608" s="146"/>
      <c r="AG608" s="146"/>
      <c r="AH608" s="331">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29">
        <f t="shared" si="29"/>
        <v>0</v>
      </c>
      <c r="Q609" s="146"/>
      <c r="R609" s="146"/>
      <c r="S609" s="146"/>
      <c r="T609" s="146"/>
      <c r="U609" s="146"/>
      <c r="V609" s="146"/>
      <c r="W609" s="146"/>
      <c r="X609" s="146"/>
      <c r="Y609" s="331">
        <f t="shared" si="30"/>
        <v>0</v>
      </c>
      <c r="Z609" s="146"/>
      <c r="AA609" s="146"/>
      <c r="AB609" s="146"/>
      <c r="AC609" s="146"/>
      <c r="AD609" s="146"/>
      <c r="AE609" s="146"/>
      <c r="AF609" s="146"/>
      <c r="AG609" s="146"/>
      <c r="AH609" s="331">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29">
        <f t="shared" si="29"/>
        <v>0</v>
      </c>
      <c r="Q610" s="146"/>
      <c r="R610" s="146"/>
      <c r="S610" s="146"/>
      <c r="T610" s="146"/>
      <c r="U610" s="146"/>
      <c r="V610" s="146"/>
      <c r="W610" s="146"/>
      <c r="X610" s="146"/>
      <c r="Y610" s="331">
        <f t="shared" si="30"/>
        <v>0</v>
      </c>
      <c r="Z610" s="146"/>
      <c r="AA610" s="146"/>
      <c r="AB610" s="146"/>
      <c r="AC610" s="146"/>
      <c r="AD610" s="146"/>
      <c r="AE610" s="146"/>
      <c r="AF610" s="146"/>
      <c r="AG610" s="146"/>
      <c r="AH610" s="331">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29">
        <f t="shared" si="29"/>
        <v>0</v>
      </c>
      <c r="Q611" s="146"/>
      <c r="R611" s="146"/>
      <c r="S611" s="146"/>
      <c r="T611" s="146"/>
      <c r="U611" s="146"/>
      <c r="V611" s="146"/>
      <c r="W611" s="146"/>
      <c r="X611" s="146"/>
      <c r="Y611" s="331">
        <f t="shared" si="30"/>
        <v>0</v>
      </c>
      <c r="Z611" s="146"/>
      <c r="AA611" s="146"/>
      <c r="AB611" s="146"/>
      <c r="AC611" s="146"/>
      <c r="AD611" s="146"/>
      <c r="AE611" s="146"/>
      <c r="AF611" s="146"/>
      <c r="AG611" s="146"/>
      <c r="AH611" s="331">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29">
        <f t="shared" si="29"/>
        <v>0</v>
      </c>
      <c r="Q612" s="146"/>
      <c r="R612" s="146"/>
      <c r="S612" s="146"/>
      <c r="T612" s="146"/>
      <c r="U612" s="146"/>
      <c r="V612" s="146"/>
      <c r="W612" s="146"/>
      <c r="X612" s="146"/>
      <c r="Y612" s="331">
        <f t="shared" si="30"/>
        <v>0</v>
      </c>
      <c r="Z612" s="146"/>
      <c r="AA612" s="146"/>
      <c r="AB612" s="146"/>
      <c r="AC612" s="146"/>
      <c r="AD612" s="146"/>
      <c r="AE612" s="146"/>
      <c r="AF612" s="146"/>
      <c r="AG612" s="146"/>
      <c r="AH612" s="331">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29">
        <f t="shared" si="29"/>
        <v>0</v>
      </c>
      <c r="Q613" s="146"/>
      <c r="R613" s="146"/>
      <c r="S613" s="146"/>
      <c r="T613" s="146"/>
      <c r="U613" s="146"/>
      <c r="V613" s="146"/>
      <c r="W613" s="146"/>
      <c r="X613" s="146"/>
      <c r="Y613" s="331">
        <f t="shared" si="30"/>
        <v>0</v>
      </c>
      <c r="Z613" s="146"/>
      <c r="AA613" s="146"/>
      <c r="AB613" s="146"/>
      <c r="AC613" s="146"/>
      <c r="AD613" s="146"/>
      <c r="AE613" s="146"/>
      <c r="AF613" s="146"/>
      <c r="AG613" s="146"/>
      <c r="AH613" s="331">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29">
        <f t="shared" si="29"/>
        <v>0</v>
      </c>
      <c r="Q614" s="146"/>
      <c r="R614" s="146"/>
      <c r="S614" s="146"/>
      <c r="T614" s="146"/>
      <c r="U614" s="146"/>
      <c r="V614" s="146"/>
      <c r="W614" s="146"/>
      <c r="X614" s="146"/>
      <c r="Y614" s="331">
        <f t="shared" si="30"/>
        <v>0</v>
      </c>
      <c r="Z614" s="146"/>
      <c r="AA614" s="146"/>
      <c r="AB614" s="146"/>
      <c r="AC614" s="146"/>
      <c r="AD614" s="146"/>
      <c r="AE614" s="146"/>
      <c r="AF614" s="146"/>
      <c r="AG614" s="146"/>
      <c r="AH614" s="331">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29">
        <f t="shared" si="29"/>
        <v>0</v>
      </c>
      <c r="Q615" s="146"/>
      <c r="R615" s="146"/>
      <c r="S615" s="146"/>
      <c r="T615" s="146"/>
      <c r="U615" s="146"/>
      <c r="V615" s="146"/>
      <c r="W615" s="146"/>
      <c r="X615" s="146"/>
      <c r="Y615" s="331">
        <f t="shared" si="30"/>
        <v>0</v>
      </c>
      <c r="Z615" s="146"/>
      <c r="AA615" s="146"/>
      <c r="AB615" s="146"/>
      <c r="AC615" s="146"/>
      <c r="AD615" s="146"/>
      <c r="AE615" s="146"/>
      <c r="AF615" s="146"/>
      <c r="AG615" s="146"/>
      <c r="AH615" s="331">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29">
        <f t="shared" si="29"/>
        <v>0</v>
      </c>
      <c r="Q616" s="146"/>
      <c r="R616" s="146"/>
      <c r="S616" s="146"/>
      <c r="T616" s="146"/>
      <c r="U616" s="146"/>
      <c r="V616" s="146"/>
      <c r="W616" s="146"/>
      <c r="X616" s="146"/>
      <c r="Y616" s="331">
        <f t="shared" si="30"/>
        <v>0</v>
      </c>
      <c r="Z616" s="146"/>
      <c r="AA616" s="146"/>
      <c r="AB616" s="146"/>
      <c r="AC616" s="146"/>
      <c r="AD616" s="146"/>
      <c r="AE616" s="146"/>
      <c r="AF616" s="146"/>
      <c r="AG616" s="146"/>
      <c r="AH616" s="331">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29">
        <f t="shared" si="29"/>
        <v>0</v>
      </c>
      <c r="Q617" s="146"/>
      <c r="R617" s="146"/>
      <c r="S617" s="146"/>
      <c r="T617" s="146"/>
      <c r="U617" s="146"/>
      <c r="V617" s="146"/>
      <c r="W617" s="146"/>
      <c r="X617" s="146"/>
      <c r="Y617" s="331">
        <f t="shared" si="30"/>
        <v>0</v>
      </c>
      <c r="Z617" s="146"/>
      <c r="AA617" s="146"/>
      <c r="AB617" s="146"/>
      <c r="AC617" s="146"/>
      <c r="AD617" s="146"/>
      <c r="AE617" s="146"/>
      <c r="AF617" s="146"/>
      <c r="AG617" s="146"/>
      <c r="AH617" s="331">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29">
        <f t="shared" si="29"/>
        <v>0</v>
      </c>
      <c r="Q618" s="146"/>
      <c r="R618" s="146"/>
      <c r="S618" s="146"/>
      <c r="T618" s="146"/>
      <c r="U618" s="146"/>
      <c r="V618" s="146"/>
      <c r="W618" s="146"/>
      <c r="X618" s="146"/>
      <c r="Y618" s="331">
        <f t="shared" si="30"/>
        <v>0</v>
      </c>
      <c r="Z618" s="146"/>
      <c r="AA618" s="146"/>
      <c r="AB618" s="146"/>
      <c r="AC618" s="146"/>
      <c r="AD618" s="146"/>
      <c r="AE618" s="146"/>
      <c r="AF618" s="146"/>
      <c r="AG618" s="146"/>
      <c r="AH618" s="331">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29">
        <f t="shared" si="29"/>
        <v>0</v>
      </c>
      <c r="Q619" s="146"/>
      <c r="R619" s="146"/>
      <c r="S619" s="146"/>
      <c r="T619" s="146"/>
      <c r="U619" s="146"/>
      <c r="V619" s="146"/>
      <c r="W619" s="146"/>
      <c r="X619" s="146"/>
      <c r="Y619" s="331">
        <f t="shared" si="30"/>
        <v>0</v>
      </c>
      <c r="Z619" s="146"/>
      <c r="AA619" s="146"/>
      <c r="AB619" s="146"/>
      <c r="AC619" s="146"/>
      <c r="AD619" s="146"/>
      <c r="AE619" s="146"/>
      <c r="AF619" s="146"/>
      <c r="AG619" s="146"/>
      <c r="AH619" s="331">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29">
        <f t="shared" si="29"/>
        <v>0</v>
      </c>
      <c r="Q620" s="146"/>
      <c r="R620" s="146"/>
      <c r="S620" s="146"/>
      <c r="T620" s="146"/>
      <c r="U620" s="146"/>
      <c r="V620" s="146"/>
      <c r="W620" s="146"/>
      <c r="X620" s="146"/>
      <c r="Y620" s="331">
        <f t="shared" si="30"/>
        <v>0</v>
      </c>
      <c r="Z620" s="146"/>
      <c r="AA620" s="146"/>
      <c r="AB620" s="146"/>
      <c r="AC620" s="146"/>
      <c r="AD620" s="146"/>
      <c r="AE620" s="146"/>
      <c r="AF620" s="146"/>
      <c r="AG620" s="146"/>
      <c r="AH620" s="331">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29">
        <f t="shared" si="29"/>
        <v>0</v>
      </c>
      <c r="Q621" s="146"/>
      <c r="R621" s="146"/>
      <c r="S621" s="146"/>
      <c r="T621" s="146"/>
      <c r="U621" s="146"/>
      <c r="V621" s="146"/>
      <c r="W621" s="146"/>
      <c r="X621" s="146"/>
      <c r="Y621" s="331">
        <f t="shared" si="30"/>
        <v>0</v>
      </c>
      <c r="Z621" s="146"/>
      <c r="AA621" s="146"/>
      <c r="AB621" s="146"/>
      <c r="AC621" s="146"/>
      <c r="AD621" s="146"/>
      <c r="AE621" s="146"/>
      <c r="AF621" s="146"/>
      <c r="AG621" s="146"/>
      <c r="AH621" s="331">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29">
        <f t="shared" si="29"/>
        <v>0</v>
      </c>
      <c r="Q622" s="146"/>
      <c r="R622" s="146"/>
      <c r="S622" s="146"/>
      <c r="T622" s="146"/>
      <c r="U622" s="146"/>
      <c r="V622" s="146"/>
      <c r="W622" s="146"/>
      <c r="X622" s="146"/>
      <c r="Y622" s="331">
        <f t="shared" si="30"/>
        <v>0</v>
      </c>
      <c r="Z622" s="146"/>
      <c r="AA622" s="146"/>
      <c r="AB622" s="146"/>
      <c r="AC622" s="146"/>
      <c r="AD622" s="146"/>
      <c r="AE622" s="146"/>
      <c r="AF622" s="146"/>
      <c r="AG622" s="146"/>
      <c r="AH622" s="331">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29">
        <f t="shared" si="29"/>
        <v>0</v>
      </c>
      <c r="Q623" s="146"/>
      <c r="R623" s="146"/>
      <c r="S623" s="146"/>
      <c r="T623" s="146"/>
      <c r="U623" s="146"/>
      <c r="V623" s="146"/>
      <c r="W623" s="146"/>
      <c r="X623" s="146"/>
      <c r="Y623" s="331">
        <f t="shared" si="30"/>
        <v>0</v>
      </c>
      <c r="Z623" s="146"/>
      <c r="AA623" s="146"/>
      <c r="AB623" s="146"/>
      <c r="AC623" s="146"/>
      <c r="AD623" s="146"/>
      <c r="AE623" s="146"/>
      <c r="AF623" s="146"/>
      <c r="AG623" s="146"/>
      <c r="AH623" s="331">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29">
        <f t="shared" si="29"/>
        <v>0</v>
      </c>
      <c r="Q624" s="146"/>
      <c r="R624" s="146"/>
      <c r="S624" s="146"/>
      <c r="T624" s="146"/>
      <c r="U624" s="146"/>
      <c r="V624" s="146"/>
      <c r="W624" s="146"/>
      <c r="X624" s="146"/>
      <c r="Y624" s="331">
        <f t="shared" si="30"/>
        <v>0</v>
      </c>
      <c r="Z624" s="146"/>
      <c r="AA624" s="146"/>
      <c r="AB624" s="146"/>
      <c r="AC624" s="146"/>
      <c r="AD624" s="146"/>
      <c r="AE624" s="146"/>
      <c r="AF624" s="146"/>
      <c r="AG624" s="146"/>
      <c r="AH624" s="331">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29">
        <f t="shared" si="29"/>
        <v>0</v>
      </c>
      <c r="Q625" s="146"/>
      <c r="R625" s="146"/>
      <c r="S625" s="146"/>
      <c r="T625" s="146"/>
      <c r="U625" s="146"/>
      <c r="V625" s="146"/>
      <c r="W625" s="146"/>
      <c r="X625" s="146"/>
      <c r="Y625" s="331">
        <f t="shared" si="30"/>
        <v>0</v>
      </c>
      <c r="Z625" s="146"/>
      <c r="AA625" s="146"/>
      <c r="AB625" s="146"/>
      <c r="AC625" s="146"/>
      <c r="AD625" s="146"/>
      <c r="AE625" s="146"/>
      <c r="AF625" s="146"/>
      <c r="AG625" s="146"/>
      <c r="AH625" s="331">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29">
        <f t="shared" si="29"/>
        <v>0</v>
      </c>
      <c r="Q626" s="146"/>
      <c r="R626" s="146"/>
      <c r="S626" s="146"/>
      <c r="T626" s="146"/>
      <c r="U626" s="146"/>
      <c r="V626" s="146"/>
      <c r="W626" s="146"/>
      <c r="X626" s="146"/>
      <c r="Y626" s="331">
        <f t="shared" si="30"/>
        <v>0</v>
      </c>
      <c r="Z626" s="146"/>
      <c r="AA626" s="146"/>
      <c r="AB626" s="146"/>
      <c r="AC626" s="146"/>
      <c r="AD626" s="146"/>
      <c r="AE626" s="146"/>
      <c r="AF626" s="146"/>
      <c r="AG626" s="146"/>
      <c r="AH626" s="331">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29">
        <f t="shared" si="29"/>
        <v>0</v>
      </c>
      <c r="Q627" s="146"/>
      <c r="R627" s="146"/>
      <c r="S627" s="146"/>
      <c r="T627" s="146"/>
      <c r="U627" s="146"/>
      <c r="V627" s="146"/>
      <c r="W627" s="146"/>
      <c r="X627" s="146"/>
      <c r="Y627" s="331">
        <f t="shared" si="30"/>
        <v>0</v>
      </c>
      <c r="Z627" s="146"/>
      <c r="AA627" s="146"/>
      <c r="AB627" s="146"/>
      <c r="AC627" s="146"/>
      <c r="AD627" s="146"/>
      <c r="AE627" s="146"/>
      <c r="AF627" s="146"/>
      <c r="AG627" s="146"/>
      <c r="AH627" s="331">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29">
        <f t="shared" si="29"/>
        <v>0</v>
      </c>
      <c r="Q628" s="146"/>
      <c r="R628" s="146"/>
      <c r="S628" s="146"/>
      <c r="T628" s="146"/>
      <c r="U628" s="146"/>
      <c r="V628" s="146"/>
      <c r="W628" s="146"/>
      <c r="X628" s="146"/>
      <c r="Y628" s="331">
        <f t="shared" si="30"/>
        <v>0</v>
      </c>
      <c r="Z628" s="146"/>
      <c r="AA628" s="146"/>
      <c r="AB628" s="146"/>
      <c r="AC628" s="146"/>
      <c r="AD628" s="146"/>
      <c r="AE628" s="146"/>
      <c r="AF628" s="146"/>
      <c r="AG628" s="146"/>
      <c r="AH628" s="331">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29">
        <f t="shared" si="29"/>
        <v>0</v>
      </c>
      <c r="Q629" s="146"/>
      <c r="R629" s="146"/>
      <c r="S629" s="146"/>
      <c r="T629" s="146"/>
      <c r="U629" s="146"/>
      <c r="V629" s="146"/>
      <c r="W629" s="146"/>
      <c r="X629" s="146"/>
      <c r="Y629" s="331">
        <f t="shared" si="30"/>
        <v>0</v>
      </c>
      <c r="Z629" s="146"/>
      <c r="AA629" s="146"/>
      <c r="AB629" s="146"/>
      <c r="AC629" s="146"/>
      <c r="AD629" s="146"/>
      <c r="AE629" s="146"/>
      <c r="AF629" s="146"/>
      <c r="AG629" s="146"/>
      <c r="AH629" s="331">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29">
        <f t="shared" si="29"/>
        <v>0</v>
      </c>
      <c r="Q630" s="146"/>
      <c r="R630" s="146"/>
      <c r="S630" s="146"/>
      <c r="T630" s="146"/>
      <c r="U630" s="146"/>
      <c r="V630" s="146"/>
      <c r="W630" s="146"/>
      <c r="X630" s="146"/>
      <c r="Y630" s="331">
        <f t="shared" si="30"/>
        <v>0</v>
      </c>
      <c r="Z630" s="146"/>
      <c r="AA630" s="146"/>
      <c r="AB630" s="146"/>
      <c r="AC630" s="146"/>
      <c r="AD630" s="146"/>
      <c r="AE630" s="146"/>
      <c r="AF630" s="146"/>
      <c r="AG630" s="146"/>
      <c r="AH630" s="331">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29">
        <f t="shared" si="29"/>
        <v>0</v>
      </c>
      <c r="Q631" s="146"/>
      <c r="R631" s="146"/>
      <c r="S631" s="146"/>
      <c r="T631" s="146"/>
      <c r="U631" s="146"/>
      <c r="V631" s="146"/>
      <c r="W631" s="146"/>
      <c r="X631" s="146"/>
      <c r="Y631" s="331">
        <f t="shared" si="30"/>
        <v>0</v>
      </c>
      <c r="Z631" s="146"/>
      <c r="AA631" s="146"/>
      <c r="AB631" s="146"/>
      <c r="AC631" s="146"/>
      <c r="AD631" s="146"/>
      <c r="AE631" s="146"/>
      <c r="AF631" s="146"/>
      <c r="AG631" s="146"/>
      <c r="AH631" s="331">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29">
        <f t="shared" si="29"/>
        <v>0</v>
      </c>
      <c r="Q632" s="146"/>
      <c r="R632" s="146"/>
      <c r="S632" s="146"/>
      <c r="T632" s="146"/>
      <c r="U632" s="146"/>
      <c r="V632" s="146"/>
      <c r="W632" s="146"/>
      <c r="X632" s="146"/>
      <c r="Y632" s="331">
        <f t="shared" si="30"/>
        <v>0</v>
      </c>
      <c r="Z632" s="146"/>
      <c r="AA632" s="146"/>
      <c r="AB632" s="146"/>
      <c r="AC632" s="146"/>
      <c r="AD632" s="146"/>
      <c r="AE632" s="146"/>
      <c r="AF632" s="146"/>
      <c r="AG632" s="146"/>
      <c r="AH632" s="331">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29">
        <f t="shared" si="29"/>
        <v>0</v>
      </c>
      <c r="Q633" s="146"/>
      <c r="R633" s="146"/>
      <c r="S633" s="146"/>
      <c r="T633" s="146"/>
      <c r="U633" s="146"/>
      <c r="V633" s="146"/>
      <c r="W633" s="146"/>
      <c r="X633" s="146"/>
      <c r="Y633" s="331">
        <f t="shared" si="30"/>
        <v>0</v>
      </c>
      <c r="Z633" s="146"/>
      <c r="AA633" s="146"/>
      <c r="AB633" s="146"/>
      <c r="AC633" s="146"/>
      <c r="AD633" s="146"/>
      <c r="AE633" s="146"/>
      <c r="AF633" s="146"/>
      <c r="AG633" s="146"/>
      <c r="AH633" s="331">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29">
        <f t="shared" si="29"/>
        <v>0</v>
      </c>
      <c r="Q634" s="146"/>
      <c r="R634" s="146"/>
      <c r="S634" s="146"/>
      <c r="T634" s="146"/>
      <c r="U634" s="146"/>
      <c r="V634" s="146"/>
      <c r="W634" s="146"/>
      <c r="X634" s="146"/>
      <c r="Y634" s="331">
        <f t="shared" si="30"/>
        <v>0</v>
      </c>
      <c r="Z634" s="146"/>
      <c r="AA634" s="146"/>
      <c r="AB634" s="146"/>
      <c r="AC634" s="146"/>
      <c r="AD634" s="146"/>
      <c r="AE634" s="146"/>
      <c r="AF634" s="146"/>
      <c r="AG634" s="146"/>
      <c r="AH634" s="331">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29">
        <f t="shared" si="29"/>
        <v>0</v>
      </c>
      <c r="Q635" s="146"/>
      <c r="R635" s="146"/>
      <c r="S635" s="146"/>
      <c r="T635" s="146"/>
      <c r="U635" s="146"/>
      <c r="V635" s="146"/>
      <c r="W635" s="146"/>
      <c r="X635" s="146"/>
      <c r="Y635" s="331">
        <f t="shared" si="30"/>
        <v>0</v>
      </c>
      <c r="Z635" s="146"/>
      <c r="AA635" s="146"/>
      <c r="AB635" s="146"/>
      <c r="AC635" s="146"/>
      <c r="AD635" s="146"/>
      <c r="AE635" s="146"/>
      <c r="AF635" s="146"/>
      <c r="AG635" s="146"/>
      <c r="AH635" s="331">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29">
        <f t="shared" si="29"/>
        <v>0</v>
      </c>
      <c r="Q636" s="146"/>
      <c r="R636" s="146"/>
      <c r="S636" s="146"/>
      <c r="T636" s="146"/>
      <c r="U636" s="146"/>
      <c r="V636" s="146"/>
      <c r="W636" s="146"/>
      <c r="X636" s="146"/>
      <c r="Y636" s="331">
        <f t="shared" si="30"/>
        <v>0</v>
      </c>
      <c r="Z636" s="146"/>
      <c r="AA636" s="146"/>
      <c r="AB636" s="146"/>
      <c r="AC636" s="146"/>
      <c r="AD636" s="146"/>
      <c r="AE636" s="146"/>
      <c r="AF636" s="146"/>
      <c r="AG636" s="146"/>
      <c r="AH636" s="331">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29">
        <f t="shared" si="29"/>
        <v>0</v>
      </c>
      <c r="Q637" s="146"/>
      <c r="R637" s="146"/>
      <c r="S637" s="146"/>
      <c r="T637" s="146"/>
      <c r="U637" s="146"/>
      <c r="V637" s="146"/>
      <c r="W637" s="146"/>
      <c r="X637" s="146"/>
      <c r="Y637" s="331">
        <f t="shared" si="30"/>
        <v>0</v>
      </c>
      <c r="Z637" s="146"/>
      <c r="AA637" s="146"/>
      <c r="AB637" s="146"/>
      <c r="AC637" s="146"/>
      <c r="AD637" s="146"/>
      <c r="AE637" s="146"/>
      <c r="AF637" s="146"/>
      <c r="AG637" s="146"/>
      <c r="AH637" s="331">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29">
        <f t="shared" si="29"/>
        <v>0</v>
      </c>
      <c r="Q638" s="146"/>
      <c r="R638" s="146"/>
      <c r="S638" s="146"/>
      <c r="T638" s="146"/>
      <c r="U638" s="146"/>
      <c r="V638" s="146"/>
      <c r="W638" s="146"/>
      <c r="X638" s="146"/>
      <c r="Y638" s="331">
        <f t="shared" si="30"/>
        <v>0</v>
      </c>
      <c r="Z638" s="146"/>
      <c r="AA638" s="146"/>
      <c r="AB638" s="146"/>
      <c r="AC638" s="146"/>
      <c r="AD638" s="146"/>
      <c r="AE638" s="146"/>
      <c r="AF638" s="146"/>
      <c r="AG638" s="146"/>
      <c r="AH638" s="331">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29">
        <f t="shared" si="29"/>
        <v>0</v>
      </c>
      <c r="Q639" s="146"/>
      <c r="R639" s="146"/>
      <c r="S639" s="146"/>
      <c r="T639" s="146"/>
      <c r="U639" s="146"/>
      <c r="V639" s="146"/>
      <c r="W639" s="146"/>
      <c r="X639" s="146"/>
      <c r="Y639" s="331">
        <f t="shared" si="30"/>
        <v>0</v>
      </c>
      <c r="Z639" s="146"/>
      <c r="AA639" s="146"/>
      <c r="AB639" s="146"/>
      <c r="AC639" s="146"/>
      <c r="AD639" s="146"/>
      <c r="AE639" s="146"/>
      <c r="AF639" s="146"/>
      <c r="AG639" s="146"/>
      <c r="AH639" s="331">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29">
        <f t="shared" si="29"/>
        <v>0</v>
      </c>
      <c r="Q640" s="146"/>
      <c r="R640" s="146"/>
      <c r="S640" s="146"/>
      <c r="T640" s="146"/>
      <c r="U640" s="146"/>
      <c r="V640" s="146"/>
      <c r="W640" s="146"/>
      <c r="X640" s="146"/>
      <c r="Y640" s="331">
        <f t="shared" si="30"/>
        <v>0</v>
      </c>
      <c r="Z640" s="146"/>
      <c r="AA640" s="146"/>
      <c r="AB640" s="146"/>
      <c r="AC640" s="146"/>
      <c r="AD640" s="146"/>
      <c r="AE640" s="146"/>
      <c r="AF640" s="146"/>
      <c r="AG640" s="146"/>
      <c r="AH640" s="331">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29">
        <f t="shared" si="29"/>
        <v>0</v>
      </c>
      <c r="Q641" s="146"/>
      <c r="R641" s="146"/>
      <c r="S641" s="146"/>
      <c r="T641" s="146"/>
      <c r="U641" s="146"/>
      <c r="V641" s="146"/>
      <c r="W641" s="146"/>
      <c r="X641" s="146"/>
      <c r="Y641" s="331">
        <f t="shared" si="30"/>
        <v>0</v>
      </c>
      <c r="Z641" s="146"/>
      <c r="AA641" s="146"/>
      <c r="AB641" s="146"/>
      <c r="AC641" s="146"/>
      <c r="AD641" s="146"/>
      <c r="AE641" s="146"/>
      <c r="AF641" s="146"/>
      <c r="AG641" s="146"/>
      <c r="AH641" s="331">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29">
        <f t="shared" si="29"/>
        <v>0</v>
      </c>
      <c r="Q642" s="146"/>
      <c r="R642" s="146"/>
      <c r="S642" s="146"/>
      <c r="T642" s="146"/>
      <c r="U642" s="146"/>
      <c r="V642" s="146"/>
      <c r="W642" s="146"/>
      <c r="X642" s="146"/>
      <c r="Y642" s="331">
        <f t="shared" si="30"/>
        <v>0</v>
      </c>
      <c r="Z642" s="146"/>
      <c r="AA642" s="146"/>
      <c r="AB642" s="146"/>
      <c r="AC642" s="146"/>
      <c r="AD642" s="146"/>
      <c r="AE642" s="146"/>
      <c r="AF642" s="146"/>
      <c r="AG642" s="146"/>
      <c r="AH642" s="331">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29">
        <f t="shared" si="29"/>
        <v>0</v>
      </c>
      <c r="Q643" s="146"/>
      <c r="R643" s="146"/>
      <c r="S643" s="146"/>
      <c r="T643" s="146"/>
      <c r="U643" s="146"/>
      <c r="V643" s="146"/>
      <c r="W643" s="146"/>
      <c r="X643" s="146"/>
      <c r="Y643" s="331">
        <f t="shared" si="30"/>
        <v>0</v>
      </c>
      <c r="Z643" s="146"/>
      <c r="AA643" s="146"/>
      <c r="AB643" s="146"/>
      <c r="AC643" s="146"/>
      <c r="AD643" s="146"/>
      <c r="AE643" s="146"/>
      <c r="AF643" s="146"/>
      <c r="AG643" s="146"/>
      <c r="AH643" s="331">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29">
        <f t="shared" si="29"/>
        <v>0</v>
      </c>
      <c r="Q644" s="146"/>
      <c r="R644" s="146"/>
      <c r="S644" s="146"/>
      <c r="T644" s="146"/>
      <c r="U644" s="146"/>
      <c r="V644" s="146"/>
      <c r="W644" s="146"/>
      <c r="X644" s="146"/>
      <c r="Y644" s="331">
        <f t="shared" si="30"/>
        <v>0</v>
      </c>
      <c r="Z644" s="146"/>
      <c r="AA644" s="146"/>
      <c r="AB644" s="146"/>
      <c r="AC644" s="146"/>
      <c r="AD644" s="146"/>
      <c r="AE644" s="146"/>
      <c r="AF644" s="146"/>
      <c r="AG644" s="146"/>
      <c r="AH644" s="331">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29">
        <f t="shared" si="29"/>
        <v>0</v>
      </c>
      <c r="Q645" s="146"/>
      <c r="R645" s="146"/>
      <c r="S645" s="146"/>
      <c r="T645" s="146"/>
      <c r="U645" s="146"/>
      <c r="V645" s="146"/>
      <c r="W645" s="146"/>
      <c r="X645" s="146"/>
      <c r="Y645" s="331">
        <f t="shared" si="30"/>
        <v>0</v>
      </c>
      <c r="Z645" s="146"/>
      <c r="AA645" s="146"/>
      <c r="AB645" s="146"/>
      <c r="AC645" s="146"/>
      <c r="AD645" s="146"/>
      <c r="AE645" s="146"/>
      <c r="AF645" s="146"/>
      <c r="AG645" s="146"/>
      <c r="AH645" s="331">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29">
        <f t="shared" si="29"/>
        <v>0</v>
      </c>
      <c r="Q646" s="146"/>
      <c r="R646" s="146"/>
      <c r="S646" s="146"/>
      <c r="T646" s="146"/>
      <c r="U646" s="146"/>
      <c r="V646" s="146"/>
      <c r="W646" s="146"/>
      <c r="X646" s="146"/>
      <c r="Y646" s="331">
        <f t="shared" si="30"/>
        <v>0</v>
      </c>
      <c r="Z646" s="146"/>
      <c r="AA646" s="146"/>
      <c r="AB646" s="146"/>
      <c r="AC646" s="146"/>
      <c r="AD646" s="146"/>
      <c r="AE646" s="146"/>
      <c r="AF646" s="146"/>
      <c r="AG646" s="146"/>
      <c r="AH646" s="331">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29">
        <f t="shared" si="29"/>
        <v>0</v>
      </c>
      <c r="Q647" s="146"/>
      <c r="R647" s="146"/>
      <c r="S647" s="146"/>
      <c r="T647" s="146"/>
      <c r="U647" s="146"/>
      <c r="V647" s="146"/>
      <c r="W647" s="146"/>
      <c r="X647" s="146"/>
      <c r="Y647" s="331">
        <f t="shared" si="30"/>
        <v>0</v>
      </c>
      <c r="Z647" s="146"/>
      <c r="AA647" s="146"/>
      <c r="AB647" s="146"/>
      <c r="AC647" s="146"/>
      <c r="AD647" s="146"/>
      <c r="AE647" s="146"/>
      <c r="AF647" s="146"/>
      <c r="AG647" s="146"/>
      <c r="AH647" s="331">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29">
        <f t="shared" si="29"/>
        <v>0</v>
      </c>
      <c r="Q648" s="146"/>
      <c r="R648" s="146"/>
      <c r="S648" s="146"/>
      <c r="T648" s="146"/>
      <c r="U648" s="146"/>
      <c r="V648" s="146"/>
      <c r="W648" s="146"/>
      <c r="X648" s="146"/>
      <c r="Y648" s="331">
        <f t="shared" si="30"/>
        <v>0</v>
      </c>
      <c r="Z648" s="146"/>
      <c r="AA648" s="146"/>
      <c r="AB648" s="146"/>
      <c r="AC648" s="146"/>
      <c r="AD648" s="146"/>
      <c r="AE648" s="146"/>
      <c r="AF648" s="146"/>
      <c r="AG648" s="146"/>
      <c r="AH648" s="331">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29">
        <f t="shared" si="29"/>
        <v>0</v>
      </c>
      <c r="Q649" s="146"/>
      <c r="R649" s="146"/>
      <c r="S649" s="146"/>
      <c r="T649" s="146"/>
      <c r="U649" s="146"/>
      <c r="V649" s="146"/>
      <c r="W649" s="146"/>
      <c r="X649" s="146"/>
      <c r="Y649" s="331">
        <f t="shared" si="30"/>
        <v>0</v>
      </c>
      <c r="Z649" s="146"/>
      <c r="AA649" s="146"/>
      <c r="AB649" s="146"/>
      <c r="AC649" s="146"/>
      <c r="AD649" s="146"/>
      <c r="AE649" s="146"/>
      <c r="AF649" s="146"/>
      <c r="AG649" s="146"/>
      <c r="AH649" s="331">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29">
        <f t="shared" si="29"/>
        <v>0</v>
      </c>
      <c r="Q650" s="146"/>
      <c r="R650" s="146"/>
      <c r="S650" s="146"/>
      <c r="T650" s="146"/>
      <c r="U650" s="146"/>
      <c r="V650" s="146"/>
      <c r="W650" s="146"/>
      <c r="X650" s="146"/>
      <c r="Y650" s="331">
        <f t="shared" si="30"/>
        <v>0</v>
      </c>
      <c r="Z650" s="146"/>
      <c r="AA650" s="146"/>
      <c r="AB650" s="146"/>
      <c r="AC650" s="146"/>
      <c r="AD650" s="146"/>
      <c r="AE650" s="146"/>
      <c r="AF650" s="146"/>
      <c r="AG650" s="146"/>
      <c r="AH650" s="331">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29">
        <f t="shared" si="29"/>
        <v>0</v>
      </c>
      <c r="Q651" s="146"/>
      <c r="R651" s="146"/>
      <c r="S651" s="146"/>
      <c r="T651" s="146"/>
      <c r="U651" s="146"/>
      <c r="V651" s="146"/>
      <c r="W651" s="146"/>
      <c r="X651" s="146"/>
      <c r="Y651" s="331">
        <f t="shared" si="30"/>
        <v>0</v>
      </c>
      <c r="Z651" s="146"/>
      <c r="AA651" s="146"/>
      <c r="AB651" s="146"/>
      <c r="AC651" s="146"/>
      <c r="AD651" s="146"/>
      <c r="AE651" s="146"/>
      <c r="AF651" s="146"/>
      <c r="AG651" s="146"/>
      <c r="AH651" s="331">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29">
        <f t="shared" si="29"/>
        <v>0</v>
      </c>
      <c r="Q652" s="146"/>
      <c r="R652" s="146"/>
      <c r="S652" s="146"/>
      <c r="T652" s="146"/>
      <c r="U652" s="146"/>
      <c r="V652" s="146"/>
      <c r="W652" s="146"/>
      <c r="X652" s="146"/>
      <c r="Y652" s="331">
        <f t="shared" si="30"/>
        <v>0</v>
      </c>
      <c r="Z652" s="146"/>
      <c r="AA652" s="146"/>
      <c r="AB652" s="146"/>
      <c r="AC652" s="146"/>
      <c r="AD652" s="146"/>
      <c r="AE652" s="146"/>
      <c r="AF652" s="146"/>
      <c r="AG652" s="146"/>
      <c r="AH652" s="331">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29">
        <f t="shared" ref="P653:P716" si="32">SUM(H653:N653)</f>
        <v>0</v>
      </c>
      <c r="Q653" s="146"/>
      <c r="R653" s="146"/>
      <c r="S653" s="146"/>
      <c r="T653" s="146"/>
      <c r="U653" s="146"/>
      <c r="V653" s="146"/>
      <c r="W653" s="146"/>
      <c r="X653" s="146"/>
      <c r="Y653" s="331">
        <f t="shared" ref="Y653:Y716" si="33">SUM(Q653:W653)</f>
        <v>0</v>
      </c>
      <c r="Z653" s="146"/>
      <c r="AA653" s="146"/>
      <c r="AB653" s="146"/>
      <c r="AC653" s="146"/>
      <c r="AD653" s="146"/>
      <c r="AE653" s="146"/>
      <c r="AF653" s="146"/>
      <c r="AG653" s="146"/>
      <c r="AH653" s="331">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29">
        <f t="shared" si="32"/>
        <v>0</v>
      </c>
      <c r="Q654" s="146"/>
      <c r="R654" s="146"/>
      <c r="S654" s="146"/>
      <c r="T654" s="146"/>
      <c r="U654" s="146"/>
      <c r="V654" s="146"/>
      <c r="W654" s="146"/>
      <c r="X654" s="146"/>
      <c r="Y654" s="331">
        <f t="shared" si="33"/>
        <v>0</v>
      </c>
      <c r="Z654" s="146"/>
      <c r="AA654" s="146"/>
      <c r="AB654" s="146"/>
      <c r="AC654" s="146"/>
      <c r="AD654" s="146"/>
      <c r="AE654" s="146"/>
      <c r="AF654" s="146"/>
      <c r="AG654" s="146"/>
      <c r="AH654" s="331">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29">
        <f t="shared" si="32"/>
        <v>0</v>
      </c>
      <c r="Q655" s="146"/>
      <c r="R655" s="146"/>
      <c r="S655" s="146"/>
      <c r="T655" s="146"/>
      <c r="U655" s="146"/>
      <c r="V655" s="146"/>
      <c r="W655" s="146"/>
      <c r="X655" s="146"/>
      <c r="Y655" s="331">
        <f t="shared" si="33"/>
        <v>0</v>
      </c>
      <c r="Z655" s="146"/>
      <c r="AA655" s="146"/>
      <c r="AB655" s="146"/>
      <c r="AC655" s="146"/>
      <c r="AD655" s="146"/>
      <c r="AE655" s="146"/>
      <c r="AF655" s="146"/>
      <c r="AG655" s="146"/>
      <c r="AH655" s="331">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29">
        <f t="shared" si="32"/>
        <v>0</v>
      </c>
      <c r="Q656" s="146"/>
      <c r="R656" s="146"/>
      <c r="S656" s="146"/>
      <c r="T656" s="146"/>
      <c r="U656" s="146"/>
      <c r="V656" s="146"/>
      <c r="W656" s="146"/>
      <c r="X656" s="146"/>
      <c r="Y656" s="331">
        <f t="shared" si="33"/>
        <v>0</v>
      </c>
      <c r="Z656" s="146"/>
      <c r="AA656" s="146"/>
      <c r="AB656" s="146"/>
      <c r="AC656" s="146"/>
      <c r="AD656" s="146"/>
      <c r="AE656" s="146"/>
      <c r="AF656" s="146"/>
      <c r="AG656" s="146"/>
      <c r="AH656" s="331">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29">
        <f t="shared" si="32"/>
        <v>0</v>
      </c>
      <c r="Q657" s="146"/>
      <c r="R657" s="146"/>
      <c r="S657" s="146"/>
      <c r="T657" s="146"/>
      <c r="U657" s="146"/>
      <c r="V657" s="146"/>
      <c r="W657" s="146"/>
      <c r="X657" s="146"/>
      <c r="Y657" s="331">
        <f t="shared" si="33"/>
        <v>0</v>
      </c>
      <c r="Z657" s="146"/>
      <c r="AA657" s="146"/>
      <c r="AB657" s="146"/>
      <c r="AC657" s="146"/>
      <c r="AD657" s="146"/>
      <c r="AE657" s="146"/>
      <c r="AF657" s="146"/>
      <c r="AG657" s="146"/>
      <c r="AH657" s="331">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29">
        <f t="shared" si="32"/>
        <v>0</v>
      </c>
      <c r="Q658" s="146"/>
      <c r="R658" s="146"/>
      <c r="S658" s="146"/>
      <c r="T658" s="146"/>
      <c r="U658" s="146"/>
      <c r="V658" s="146"/>
      <c r="W658" s="146"/>
      <c r="X658" s="146"/>
      <c r="Y658" s="331">
        <f t="shared" si="33"/>
        <v>0</v>
      </c>
      <c r="Z658" s="146"/>
      <c r="AA658" s="146"/>
      <c r="AB658" s="146"/>
      <c r="AC658" s="146"/>
      <c r="AD658" s="146"/>
      <c r="AE658" s="146"/>
      <c r="AF658" s="146"/>
      <c r="AG658" s="146"/>
      <c r="AH658" s="331">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29">
        <f t="shared" si="32"/>
        <v>0</v>
      </c>
      <c r="Q659" s="146"/>
      <c r="R659" s="146"/>
      <c r="S659" s="146"/>
      <c r="T659" s="146"/>
      <c r="U659" s="146"/>
      <c r="V659" s="146"/>
      <c r="W659" s="146"/>
      <c r="X659" s="146"/>
      <c r="Y659" s="331">
        <f t="shared" si="33"/>
        <v>0</v>
      </c>
      <c r="Z659" s="146"/>
      <c r="AA659" s="146"/>
      <c r="AB659" s="146"/>
      <c r="AC659" s="146"/>
      <c r="AD659" s="146"/>
      <c r="AE659" s="146"/>
      <c r="AF659" s="146"/>
      <c r="AG659" s="146"/>
      <c r="AH659" s="331">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29">
        <f t="shared" si="32"/>
        <v>0</v>
      </c>
      <c r="Q660" s="146"/>
      <c r="R660" s="146"/>
      <c r="S660" s="146"/>
      <c r="T660" s="146"/>
      <c r="U660" s="146"/>
      <c r="V660" s="146"/>
      <c r="W660" s="146"/>
      <c r="X660" s="146"/>
      <c r="Y660" s="331">
        <f t="shared" si="33"/>
        <v>0</v>
      </c>
      <c r="Z660" s="146"/>
      <c r="AA660" s="146"/>
      <c r="AB660" s="146"/>
      <c r="AC660" s="146"/>
      <c r="AD660" s="146"/>
      <c r="AE660" s="146"/>
      <c r="AF660" s="146"/>
      <c r="AG660" s="146"/>
      <c r="AH660" s="331">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29">
        <f t="shared" si="32"/>
        <v>0</v>
      </c>
      <c r="Q661" s="146"/>
      <c r="R661" s="146"/>
      <c r="S661" s="146"/>
      <c r="T661" s="146"/>
      <c r="U661" s="146"/>
      <c r="V661" s="146"/>
      <c r="W661" s="146"/>
      <c r="X661" s="146"/>
      <c r="Y661" s="331">
        <f t="shared" si="33"/>
        <v>0</v>
      </c>
      <c r="Z661" s="146"/>
      <c r="AA661" s="146"/>
      <c r="AB661" s="146"/>
      <c r="AC661" s="146"/>
      <c r="AD661" s="146"/>
      <c r="AE661" s="146"/>
      <c r="AF661" s="146"/>
      <c r="AG661" s="146"/>
      <c r="AH661" s="331">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29">
        <f t="shared" si="32"/>
        <v>0</v>
      </c>
      <c r="Q662" s="146"/>
      <c r="R662" s="146"/>
      <c r="S662" s="146"/>
      <c r="T662" s="146"/>
      <c r="U662" s="146"/>
      <c r="V662" s="146"/>
      <c r="W662" s="146"/>
      <c r="X662" s="146"/>
      <c r="Y662" s="331">
        <f t="shared" si="33"/>
        <v>0</v>
      </c>
      <c r="Z662" s="146"/>
      <c r="AA662" s="146"/>
      <c r="AB662" s="146"/>
      <c r="AC662" s="146"/>
      <c r="AD662" s="146"/>
      <c r="AE662" s="146"/>
      <c r="AF662" s="146"/>
      <c r="AG662" s="146"/>
      <c r="AH662" s="331">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29">
        <f t="shared" si="32"/>
        <v>0</v>
      </c>
      <c r="Q663" s="146"/>
      <c r="R663" s="146"/>
      <c r="S663" s="146"/>
      <c r="T663" s="146"/>
      <c r="U663" s="146"/>
      <c r="V663" s="146"/>
      <c r="W663" s="146"/>
      <c r="X663" s="146"/>
      <c r="Y663" s="331">
        <f t="shared" si="33"/>
        <v>0</v>
      </c>
      <c r="Z663" s="146"/>
      <c r="AA663" s="146"/>
      <c r="AB663" s="146"/>
      <c r="AC663" s="146"/>
      <c r="AD663" s="146"/>
      <c r="AE663" s="146"/>
      <c r="AF663" s="146"/>
      <c r="AG663" s="146"/>
      <c r="AH663" s="331">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29">
        <f t="shared" si="32"/>
        <v>0</v>
      </c>
      <c r="Q664" s="146"/>
      <c r="R664" s="146"/>
      <c r="S664" s="146"/>
      <c r="T664" s="146"/>
      <c r="U664" s="146"/>
      <c r="V664" s="146"/>
      <c r="W664" s="146"/>
      <c r="X664" s="146"/>
      <c r="Y664" s="331">
        <f t="shared" si="33"/>
        <v>0</v>
      </c>
      <c r="Z664" s="146"/>
      <c r="AA664" s="146"/>
      <c r="AB664" s="146"/>
      <c r="AC664" s="146"/>
      <c r="AD664" s="146"/>
      <c r="AE664" s="146"/>
      <c r="AF664" s="146"/>
      <c r="AG664" s="146"/>
      <c r="AH664" s="331">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29">
        <f t="shared" si="32"/>
        <v>0</v>
      </c>
      <c r="Q665" s="146"/>
      <c r="R665" s="146"/>
      <c r="S665" s="146"/>
      <c r="T665" s="146"/>
      <c r="U665" s="146"/>
      <c r="V665" s="146"/>
      <c r="W665" s="146"/>
      <c r="X665" s="146"/>
      <c r="Y665" s="331">
        <f t="shared" si="33"/>
        <v>0</v>
      </c>
      <c r="Z665" s="146"/>
      <c r="AA665" s="146"/>
      <c r="AB665" s="146"/>
      <c r="AC665" s="146"/>
      <c r="AD665" s="146"/>
      <c r="AE665" s="146"/>
      <c r="AF665" s="146"/>
      <c r="AG665" s="146"/>
      <c r="AH665" s="331">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29">
        <f t="shared" si="32"/>
        <v>0</v>
      </c>
      <c r="Q666" s="146"/>
      <c r="R666" s="146"/>
      <c r="S666" s="146"/>
      <c r="T666" s="146"/>
      <c r="U666" s="146"/>
      <c r="V666" s="146"/>
      <c r="W666" s="146"/>
      <c r="X666" s="146"/>
      <c r="Y666" s="331">
        <f t="shared" si="33"/>
        <v>0</v>
      </c>
      <c r="Z666" s="146"/>
      <c r="AA666" s="146"/>
      <c r="AB666" s="146"/>
      <c r="AC666" s="146"/>
      <c r="AD666" s="146"/>
      <c r="AE666" s="146"/>
      <c r="AF666" s="146"/>
      <c r="AG666" s="146"/>
      <c r="AH666" s="331">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29">
        <f t="shared" si="32"/>
        <v>0</v>
      </c>
      <c r="Q667" s="146"/>
      <c r="R667" s="146"/>
      <c r="S667" s="146"/>
      <c r="T667" s="146"/>
      <c r="U667" s="146"/>
      <c r="V667" s="146"/>
      <c r="W667" s="146"/>
      <c r="X667" s="146"/>
      <c r="Y667" s="331">
        <f t="shared" si="33"/>
        <v>0</v>
      </c>
      <c r="Z667" s="146"/>
      <c r="AA667" s="146"/>
      <c r="AB667" s="146"/>
      <c r="AC667" s="146"/>
      <c r="AD667" s="146"/>
      <c r="AE667" s="146"/>
      <c r="AF667" s="146"/>
      <c r="AG667" s="146"/>
      <c r="AH667" s="331">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29">
        <f t="shared" si="32"/>
        <v>0</v>
      </c>
      <c r="Q668" s="146"/>
      <c r="R668" s="146"/>
      <c r="S668" s="146"/>
      <c r="T668" s="146"/>
      <c r="U668" s="146"/>
      <c r="V668" s="146"/>
      <c r="W668" s="146"/>
      <c r="X668" s="146"/>
      <c r="Y668" s="331">
        <f t="shared" si="33"/>
        <v>0</v>
      </c>
      <c r="Z668" s="146"/>
      <c r="AA668" s="146"/>
      <c r="AB668" s="146"/>
      <c r="AC668" s="146"/>
      <c r="AD668" s="146"/>
      <c r="AE668" s="146"/>
      <c r="AF668" s="146"/>
      <c r="AG668" s="146"/>
      <c r="AH668" s="331">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29">
        <f t="shared" si="32"/>
        <v>0</v>
      </c>
      <c r="Q669" s="146"/>
      <c r="R669" s="146"/>
      <c r="S669" s="146"/>
      <c r="T669" s="146"/>
      <c r="U669" s="146"/>
      <c r="V669" s="146"/>
      <c r="W669" s="146"/>
      <c r="X669" s="146"/>
      <c r="Y669" s="331">
        <f t="shared" si="33"/>
        <v>0</v>
      </c>
      <c r="Z669" s="146"/>
      <c r="AA669" s="146"/>
      <c r="AB669" s="146"/>
      <c r="AC669" s="146"/>
      <c r="AD669" s="146"/>
      <c r="AE669" s="146"/>
      <c r="AF669" s="146"/>
      <c r="AG669" s="146"/>
      <c r="AH669" s="331">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29">
        <f t="shared" si="32"/>
        <v>0</v>
      </c>
      <c r="Q670" s="146"/>
      <c r="R670" s="146"/>
      <c r="S670" s="146"/>
      <c r="T670" s="146"/>
      <c r="U670" s="146"/>
      <c r="V670" s="146"/>
      <c r="W670" s="146"/>
      <c r="X670" s="146"/>
      <c r="Y670" s="331">
        <f t="shared" si="33"/>
        <v>0</v>
      </c>
      <c r="Z670" s="146"/>
      <c r="AA670" s="146"/>
      <c r="AB670" s="146"/>
      <c r="AC670" s="146"/>
      <c r="AD670" s="146"/>
      <c r="AE670" s="146"/>
      <c r="AF670" s="146"/>
      <c r="AG670" s="146"/>
      <c r="AH670" s="331">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29">
        <f t="shared" si="32"/>
        <v>0</v>
      </c>
      <c r="Q671" s="146"/>
      <c r="R671" s="146"/>
      <c r="S671" s="146"/>
      <c r="T671" s="146"/>
      <c r="U671" s="146"/>
      <c r="V671" s="146"/>
      <c r="W671" s="146"/>
      <c r="X671" s="146"/>
      <c r="Y671" s="331">
        <f t="shared" si="33"/>
        <v>0</v>
      </c>
      <c r="Z671" s="146"/>
      <c r="AA671" s="146"/>
      <c r="AB671" s="146"/>
      <c r="AC671" s="146"/>
      <c r="AD671" s="146"/>
      <c r="AE671" s="146"/>
      <c r="AF671" s="146"/>
      <c r="AG671" s="146"/>
      <c r="AH671" s="331">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29">
        <f t="shared" si="32"/>
        <v>0</v>
      </c>
      <c r="Q672" s="146"/>
      <c r="R672" s="146"/>
      <c r="S672" s="146"/>
      <c r="T672" s="146"/>
      <c r="U672" s="146"/>
      <c r="V672" s="146"/>
      <c r="W672" s="146"/>
      <c r="X672" s="146"/>
      <c r="Y672" s="331">
        <f t="shared" si="33"/>
        <v>0</v>
      </c>
      <c r="Z672" s="146"/>
      <c r="AA672" s="146"/>
      <c r="AB672" s="146"/>
      <c r="AC672" s="146"/>
      <c r="AD672" s="146"/>
      <c r="AE672" s="146"/>
      <c r="AF672" s="146"/>
      <c r="AG672" s="146"/>
      <c r="AH672" s="331">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29">
        <f t="shared" si="32"/>
        <v>0</v>
      </c>
      <c r="Q673" s="146"/>
      <c r="R673" s="146"/>
      <c r="S673" s="146"/>
      <c r="T673" s="146"/>
      <c r="U673" s="146"/>
      <c r="V673" s="146"/>
      <c r="W673" s="146"/>
      <c r="X673" s="146"/>
      <c r="Y673" s="331">
        <f t="shared" si="33"/>
        <v>0</v>
      </c>
      <c r="Z673" s="146"/>
      <c r="AA673" s="146"/>
      <c r="AB673" s="146"/>
      <c r="AC673" s="146"/>
      <c r="AD673" s="146"/>
      <c r="AE673" s="146"/>
      <c r="AF673" s="146"/>
      <c r="AG673" s="146"/>
      <c r="AH673" s="331">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29">
        <f t="shared" si="32"/>
        <v>0</v>
      </c>
      <c r="Q674" s="146"/>
      <c r="R674" s="146"/>
      <c r="S674" s="146"/>
      <c r="T674" s="146"/>
      <c r="U674" s="146"/>
      <c r="V674" s="146"/>
      <c r="W674" s="146"/>
      <c r="X674" s="146"/>
      <c r="Y674" s="331">
        <f t="shared" si="33"/>
        <v>0</v>
      </c>
      <c r="Z674" s="146"/>
      <c r="AA674" s="146"/>
      <c r="AB674" s="146"/>
      <c r="AC674" s="146"/>
      <c r="AD674" s="146"/>
      <c r="AE674" s="146"/>
      <c r="AF674" s="146"/>
      <c r="AG674" s="146"/>
      <c r="AH674" s="331">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29">
        <f t="shared" si="32"/>
        <v>0</v>
      </c>
      <c r="Q675" s="146"/>
      <c r="R675" s="146"/>
      <c r="S675" s="146"/>
      <c r="T675" s="146"/>
      <c r="U675" s="146"/>
      <c r="V675" s="146"/>
      <c r="W675" s="146"/>
      <c r="X675" s="146"/>
      <c r="Y675" s="331">
        <f t="shared" si="33"/>
        <v>0</v>
      </c>
      <c r="Z675" s="146"/>
      <c r="AA675" s="146"/>
      <c r="AB675" s="146"/>
      <c r="AC675" s="146"/>
      <c r="AD675" s="146"/>
      <c r="AE675" s="146"/>
      <c r="AF675" s="146"/>
      <c r="AG675" s="146"/>
      <c r="AH675" s="331">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29">
        <f t="shared" si="32"/>
        <v>0</v>
      </c>
      <c r="Q676" s="146"/>
      <c r="R676" s="146"/>
      <c r="S676" s="146"/>
      <c r="T676" s="146"/>
      <c r="U676" s="146"/>
      <c r="V676" s="146"/>
      <c r="W676" s="146"/>
      <c r="X676" s="146"/>
      <c r="Y676" s="331">
        <f t="shared" si="33"/>
        <v>0</v>
      </c>
      <c r="Z676" s="146"/>
      <c r="AA676" s="146"/>
      <c r="AB676" s="146"/>
      <c r="AC676" s="146"/>
      <c r="AD676" s="146"/>
      <c r="AE676" s="146"/>
      <c r="AF676" s="146"/>
      <c r="AG676" s="146"/>
      <c r="AH676" s="331">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29">
        <f t="shared" si="32"/>
        <v>0</v>
      </c>
      <c r="Q677" s="146"/>
      <c r="R677" s="146"/>
      <c r="S677" s="146"/>
      <c r="T677" s="146"/>
      <c r="U677" s="146"/>
      <c r="V677" s="146"/>
      <c r="W677" s="146"/>
      <c r="X677" s="146"/>
      <c r="Y677" s="331">
        <f t="shared" si="33"/>
        <v>0</v>
      </c>
      <c r="Z677" s="146"/>
      <c r="AA677" s="146"/>
      <c r="AB677" s="146"/>
      <c r="AC677" s="146"/>
      <c r="AD677" s="146"/>
      <c r="AE677" s="146"/>
      <c r="AF677" s="146"/>
      <c r="AG677" s="146"/>
      <c r="AH677" s="331">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29">
        <f t="shared" si="32"/>
        <v>0</v>
      </c>
      <c r="Q678" s="146"/>
      <c r="R678" s="146"/>
      <c r="S678" s="146"/>
      <c r="T678" s="146"/>
      <c r="U678" s="146"/>
      <c r="V678" s="146"/>
      <c r="W678" s="146"/>
      <c r="X678" s="146"/>
      <c r="Y678" s="331">
        <f t="shared" si="33"/>
        <v>0</v>
      </c>
      <c r="Z678" s="146"/>
      <c r="AA678" s="146"/>
      <c r="AB678" s="146"/>
      <c r="AC678" s="146"/>
      <c r="AD678" s="146"/>
      <c r="AE678" s="146"/>
      <c r="AF678" s="146"/>
      <c r="AG678" s="146"/>
      <c r="AH678" s="331">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29">
        <f t="shared" si="32"/>
        <v>0</v>
      </c>
      <c r="Q679" s="146"/>
      <c r="R679" s="146"/>
      <c r="S679" s="146"/>
      <c r="T679" s="146"/>
      <c r="U679" s="146"/>
      <c r="V679" s="146"/>
      <c r="W679" s="146"/>
      <c r="X679" s="146"/>
      <c r="Y679" s="331">
        <f t="shared" si="33"/>
        <v>0</v>
      </c>
      <c r="Z679" s="146"/>
      <c r="AA679" s="146"/>
      <c r="AB679" s="146"/>
      <c r="AC679" s="146"/>
      <c r="AD679" s="146"/>
      <c r="AE679" s="146"/>
      <c r="AF679" s="146"/>
      <c r="AG679" s="146"/>
      <c r="AH679" s="331">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29">
        <f t="shared" si="32"/>
        <v>0</v>
      </c>
      <c r="Q680" s="146"/>
      <c r="R680" s="146"/>
      <c r="S680" s="146"/>
      <c r="T680" s="146"/>
      <c r="U680" s="146"/>
      <c r="V680" s="146"/>
      <c r="W680" s="146"/>
      <c r="X680" s="146"/>
      <c r="Y680" s="331">
        <f t="shared" si="33"/>
        <v>0</v>
      </c>
      <c r="Z680" s="146"/>
      <c r="AA680" s="146"/>
      <c r="AB680" s="146"/>
      <c r="AC680" s="146"/>
      <c r="AD680" s="146"/>
      <c r="AE680" s="146"/>
      <c r="AF680" s="146"/>
      <c r="AG680" s="146"/>
      <c r="AH680" s="331">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29">
        <f t="shared" si="32"/>
        <v>0</v>
      </c>
      <c r="Q681" s="146"/>
      <c r="R681" s="146"/>
      <c r="S681" s="146"/>
      <c r="T681" s="146"/>
      <c r="U681" s="146"/>
      <c r="V681" s="146"/>
      <c r="W681" s="146"/>
      <c r="X681" s="146"/>
      <c r="Y681" s="331">
        <f t="shared" si="33"/>
        <v>0</v>
      </c>
      <c r="Z681" s="146"/>
      <c r="AA681" s="146"/>
      <c r="AB681" s="146"/>
      <c r="AC681" s="146"/>
      <c r="AD681" s="146"/>
      <c r="AE681" s="146"/>
      <c r="AF681" s="146"/>
      <c r="AG681" s="146"/>
      <c r="AH681" s="331">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29">
        <f t="shared" si="32"/>
        <v>0</v>
      </c>
      <c r="Q682" s="146"/>
      <c r="R682" s="146"/>
      <c r="S682" s="146"/>
      <c r="T682" s="146"/>
      <c r="U682" s="146"/>
      <c r="V682" s="146"/>
      <c r="W682" s="146"/>
      <c r="X682" s="146"/>
      <c r="Y682" s="331">
        <f t="shared" si="33"/>
        <v>0</v>
      </c>
      <c r="Z682" s="146"/>
      <c r="AA682" s="146"/>
      <c r="AB682" s="146"/>
      <c r="AC682" s="146"/>
      <c r="AD682" s="146"/>
      <c r="AE682" s="146"/>
      <c r="AF682" s="146"/>
      <c r="AG682" s="146"/>
      <c r="AH682" s="331">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29">
        <f t="shared" si="32"/>
        <v>0</v>
      </c>
      <c r="Q683" s="146"/>
      <c r="R683" s="146"/>
      <c r="S683" s="146"/>
      <c r="T683" s="146"/>
      <c r="U683" s="146"/>
      <c r="V683" s="146"/>
      <c r="W683" s="146"/>
      <c r="X683" s="146"/>
      <c r="Y683" s="331">
        <f t="shared" si="33"/>
        <v>0</v>
      </c>
      <c r="Z683" s="146"/>
      <c r="AA683" s="146"/>
      <c r="AB683" s="146"/>
      <c r="AC683" s="146"/>
      <c r="AD683" s="146"/>
      <c r="AE683" s="146"/>
      <c r="AF683" s="146"/>
      <c r="AG683" s="146"/>
      <c r="AH683" s="331">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29">
        <f t="shared" si="32"/>
        <v>0</v>
      </c>
      <c r="Q684" s="146"/>
      <c r="R684" s="146"/>
      <c r="S684" s="146"/>
      <c r="T684" s="146"/>
      <c r="U684" s="146"/>
      <c r="V684" s="146"/>
      <c r="W684" s="146"/>
      <c r="X684" s="146"/>
      <c r="Y684" s="331">
        <f t="shared" si="33"/>
        <v>0</v>
      </c>
      <c r="Z684" s="146"/>
      <c r="AA684" s="146"/>
      <c r="AB684" s="146"/>
      <c r="AC684" s="146"/>
      <c r="AD684" s="146"/>
      <c r="AE684" s="146"/>
      <c r="AF684" s="146"/>
      <c r="AG684" s="146"/>
      <c r="AH684" s="331">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29">
        <f t="shared" si="32"/>
        <v>0</v>
      </c>
      <c r="Q685" s="146"/>
      <c r="R685" s="146"/>
      <c r="S685" s="146"/>
      <c r="T685" s="146"/>
      <c r="U685" s="146"/>
      <c r="V685" s="146"/>
      <c r="W685" s="146"/>
      <c r="X685" s="146"/>
      <c r="Y685" s="331">
        <f t="shared" si="33"/>
        <v>0</v>
      </c>
      <c r="Z685" s="146"/>
      <c r="AA685" s="146"/>
      <c r="AB685" s="146"/>
      <c r="AC685" s="146"/>
      <c r="AD685" s="146"/>
      <c r="AE685" s="146"/>
      <c r="AF685" s="146"/>
      <c r="AG685" s="146"/>
      <c r="AH685" s="331">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29">
        <f t="shared" si="32"/>
        <v>0</v>
      </c>
      <c r="Q686" s="146"/>
      <c r="R686" s="146"/>
      <c r="S686" s="146"/>
      <c r="T686" s="146"/>
      <c r="U686" s="146"/>
      <c r="V686" s="146"/>
      <c r="W686" s="146"/>
      <c r="X686" s="146"/>
      <c r="Y686" s="331">
        <f t="shared" si="33"/>
        <v>0</v>
      </c>
      <c r="Z686" s="146"/>
      <c r="AA686" s="146"/>
      <c r="AB686" s="146"/>
      <c r="AC686" s="146"/>
      <c r="AD686" s="146"/>
      <c r="AE686" s="146"/>
      <c r="AF686" s="146"/>
      <c r="AG686" s="146"/>
      <c r="AH686" s="331">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29">
        <f t="shared" si="32"/>
        <v>0</v>
      </c>
      <c r="Q687" s="146"/>
      <c r="R687" s="146"/>
      <c r="S687" s="146"/>
      <c r="T687" s="146"/>
      <c r="U687" s="146"/>
      <c r="V687" s="146"/>
      <c r="W687" s="146"/>
      <c r="X687" s="146"/>
      <c r="Y687" s="331">
        <f t="shared" si="33"/>
        <v>0</v>
      </c>
      <c r="Z687" s="146"/>
      <c r="AA687" s="146"/>
      <c r="AB687" s="146"/>
      <c r="AC687" s="146"/>
      <c r="AD687" s="146"/>
      <c r="AE687" s="146"/>
      <c r="AF687" s="146"/>
      <c r="AG687" s="146"/>
      <c r="AH687" s="331">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29">
        <f t="shared" si="32"/>
        <v>0</v>
      </c>
      <c r="Q688" s="146"/>
      <c r="R688" s="146"/>
      <c r="S688" s="146"/>
      <c r="T688" s="146"/>
      <c r="U688" s="146"/>
      <c r="V688" s="146"/>
      <c r="W688" s="146"/>
      <c r="X688" s="146"/>
      <c r="Y688" s="331">
        <f t="shared" si="33"/>
        <v>0</v>
      </c>
      <c r="Z688" s="146"/>
      <c r="AA688" s="146"/>
      <c r="AB688" s="146"/>
      <c r="AC688" s="146"/>
      <c r="AD688" s="146"/>
      <c r="AE688" s="146"/>
      <c r="AF688" s="146"/>
      <c r="AG688" s="146"/>
      <c r="AH688" s="331">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29">
        <f t="shared" si="32"/>
        <v>0</v>
      </c>
      <c r="Q689" s="146"/>
      <c r="R689" s="146"/>
      <c r="S689" s="146"/>
      <c r="T689" s="146"/>
      <c r="U689" s="146"/>
      <c r="V689" s="146"/>
      <c r="W689" s="146"/>
      <c r="X689" s="146"/>
      <c r="Y689" s="331">
        <f t="shared" si="33"/>
        <v>0</v>
      </c>
      <c r="Z689" s="146"/>
      <c r="AA689" s="146"/>
      <c r="AB689" s="146"/>
      <c r="AC689" s="146"/>
      <c r="AD689" s="146"/>
      <c r="AE689" s="146"/>
      <c r="AF689" s="146"/>
      <c r="AG689" s="146"/>
      <c r="AH689" s="331">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29">
        <f t="shared" si="32"/>
        <v>0</v>
      </c>
      <c r="Q690" s="146"/>
      <c r="R690" s="146"/>
      <c r="S690" s="146"/>
      <c r="T690" s="146"/>
      <c r="U690" s="146"/>
      <c r="V690" s="146"/>
      <c r="W690" s="146"/>
      <c r="X690" s="146"/>
      <c r="Y690" s="331">
        <f t="shared" si="33"/>
        <v>0</v>
      </c>
      <c r="Z690" s="146"/>
      <c r="AA690" s="146"/>
      <c r="AB690" s="146"/>
      <c r="AC690" s="146"/>
      <c r="AD690" s="146"/>
      <c r="AE690" s="146"/>
      <c r="AF690" s="146"/>
      <c r="AG690" s="146"/>
      <c r="AH690" s="331">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29">
        <f t="shared" si="32"/>
        <v>0</v>
      </c>
      <c r="Q691" s="146"/>
      <c r="R691" s="146"/>
      <c r="S691" s="146"/>
      <c r="T691" s="146"/>
      <c r="U691" s="146"/>
      <c r="V691" s="146"/>
      <c r="W691" s="146"/>
      <c r="X691" s="146"/>
      <c r="Y691" s="331">
        <f t="shared" si="33"/>
        <v>0</v>
      </c>
      <c r="Z691" s="146"/>
      <c r="AA691" s="146"/>
      <c r="AB691" s="146"/>
      <c r="AC691" s="146"/>
      <c r="AD691" s="146"/>
      <c r="AE691" s="146"/>
      <c r="AF691" s="146"/>
      <c r="AG691" s="146"/>
      <c r="AH691" s="331">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29">
        <f t="shared" si="32"/>
        <v>0</v>
      </c>
      <c r="Q692" s="146"/>
      <c r="R692" s="146"/>
      <c r="S692" s="146"/>
      <c r="T692" s="146"/>
      <c r="U692" s="146"/>
      <c r="V692" s="146"/>
      <c r="W692" s="146"/>
      <c r="X692" s="146"/>
      <c r="Y692" s="331">
        <f t="shared" si="33"/>
        <v>0</v>
      </c>
      <c r="Z692" s="146"/>
      <c r="AA692" s="146"/>
      <c r="AB692" s="146"/>
      <c r="AC692" s="146"/>
      <c r="AD692" s="146"/>
      <c r="AE692" s="146"/>
      <c r="AF692" s="146"/>
      <c r="AG692" s="146"/>
      <c r="AH692" s="331">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29">
        <f t="shared" si="32"/>
        <v>0</v>
      </c>
      <c r="Q693" s="146"/>
      <c r="R693" s="146"/>
      <c r="S693" s="146"/>
      <c r="T693" s="146"/>
      <c r="U693" s="146"/>
      <c r="V693" s="146"/>
      <c r="W693" s="146"/>
      <c r="X693" s="146"/>
      <c r="Y693" s="331">
        <f t="shared" si="33"/>
        <v>0</v>
      </c>
      <c r="Z693" s="146"/>
      <c r="AA693" s="146"/>
      <c r="AB693" s="146"/>
      <c r="AC693" s="146"/>
      <c r="AD693" s="146"/>
      <c r="AE693" s="146"/>
      <c r="AF693" s="146"/>
      <c r="AG693" s="146"/>
      <c r="AH693" s="331">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29">
        <f t="shared" si="32"/>
        <v>0</v>
      </c>
      <c r="Q694" s="146"/>
      <c r="R694" s="146"/>
      <c r="S694" s="146"/>
      <c r="T694" s="146"/>
      <c r="U694" s="146"/>
      <c r="V694" s="146"/>
      <c r="W694" s="146"/>
      <c r="X694" s="146"/>
      <c r="Y694" s="331">
        <f t="shared" si="33"/>
        <v>0</v>
      </c>
      <c r="Z694" s="146"/>
      <c r="AA694" s="146"/>
      <c r="AB694" s="146"/>
      <c r="AC694" s="146"/>
      <c r="AD694" s="146"/>
      <c r="AE694" s="146"/>
      <c r="AF694" s="146"/>
      <c r="AG694" s="146"/>
      <c r="AH694" s="331">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29">
        <f t="shared" si="32"/>
        <v>0</v>
      </c>
      <c r="Q695" s="146"/>
      <c r="R695" s="146"/>
      <c r="S695" s="146"/>
      <c r="T695" s="146"/>
      <c r="U695" s="146"/>
      <c r="V695" s="146"/>
      <c r="W695" s="146"/>
      <c r="X695" s="146"/>
      <c r="Y695" s="331">
        <f t="shared" si="33"/>
        <v>0</v>
      </c>
      <c r="Z695" s="146"/>
      <c r="AA695" s="146"/>
      <c r="AB695" s="146"/>
      <c r="AC695" s="146"/>
      <c r="AD695" s="146"/>
      <c r="AE695" s="146"/>
      <c r="AF695" s="146"/>
      <c r="AG695" s="146"/>
      <c r="AH695" s="331">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29">
        <f t="shared" si="32"/>
        <v>0</v>
      </c>
      <c r="Q696" s="146"/>
      <c r="R696" s="146"/>
      <c r="S696" s="146"/>
      <c r="T696" s="146"/>
      <c r="U696" s="146"/>
      <c r="V696" s="146"/>
      <c r="W696" s="146"/>
      <c r="X696" s="146"/>
      <c r="Y696" s="331">
        <f t="shared" si="33"/>
        <v>0</v>
      </c>
      <c r="Z696" s="146"/>
      <c r="AA696" s="146"/>
      <c r="AB696" s="146"/>
      <c r="AC696" s="146"/>
      <c r="AD696" s="146"/>
      <c r="AE696" s="146"/>
      <c r="AF696" s="146"/>
      <c r="AG696" s="146"/>
      <c r="AH696" s="331">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29">
        <f t="shared" si="32"/>
        <v>0</v>
      </c>
      <c r="Q697" s="146"/>
      <c r="R697" s="146"/>
      <c r="S697" s="146"/>
      <c r="T697" s="146"/>
      <c r="U697" s="146"/>
      <c r="V697" s="146"/>
      <c r="W697" s="146"/>
      <c r="X697" s="146"/>
      <c r="Y697" s="331">
        <f t="shared" si="33"/>
        <v>0</v>
      </c>
      <c r="Z697" s="146"/>
      <c r="AA697" s="146"/>
      <c r="AB697" s="146"/>
      <c r="AC697" s="146"/>
      <c r="AD697" s="146"/>
      <c r="AE697" s="146"/>
      <c r="AF697" s="146"/>
      <c r="AG697" s="146"/>
      <c r="AH697" s="331">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29">
        <f t="shared" si="32"/>
        <v>0</v>
      </c>
      <c r="Q698" s="146"/>
      <c r="R698" s="146"/>
      <c r="S698" s="146"/>
      <c r="T698" s="146"/>
      <c r="U698" s="146"/>
      <c r="V698" s="146"/>
      <c r="W698" s="146"/>
      <c r="X698" s="146"/>
      <c r="Y698" s="331">
        <f t="shared" si="33"/>
        <v>0</v>
      </c>
      <c r="Z698" s="146"/>
      <c r="AA698" s="146"/>
      <c r="AB698" s="146"/>
      <c r="AC698" s="146"/>
      <c r="AD698" s="146"/>
      <c r="AE698" s="146"/>
      <c r="AF698" s="146"/>
      <c r="AG698" s="146"/>
      <c r="AH698" s="331">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29">
        <f t="shared" si="32"/>
        <v>0</v>
      </c>
      <c r="Q699" s="146"/>
      <c r="R699" s="146"/>
      <c r="S699" s="146"/>
      <c r="T699" s="146"/>
      <c r="U699" s="146"/>
      <c r="V699" s="146"/>
      <c r="W699" s="146"/>
      <c r="X699" s="146"/>
      <c r="Y699" s="331">
        <f t="shared" si="33"/>
        <v>0</v>
      </c>
      <c r="Z699" s="146"/>
      <c r="AA699" s="146"/>
      <c r="AB699" s="146"/>
      <c r="AC699" s="146"/>
      <c r="AD699" s="146"/>
      <c r="AE699" s="146"/>
      <c r="AF699" s="146"/>
      <c r="AG699" s="146"/>
      <c r="AH699" s="331">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29">
        <f t="shared" si="32"/>
        <v>0</v>
      </c>
      <c r="Q700" s="146"/>
      <c r="R700" s="146"/>
      <c r="S700" s="146"/>
      <c r="T700" s="146"/>
      <c r="U700" s="146"/>
      <c r="V700" s="146"/>
      <c r="W700" s="146"/>
      <c r="X700" s="146"/>
      <c r="Y700" s="331">
        <f t="shared" si="33"/>
        <v>0</v>
      </c>
      <c r="Z700" s="146"/>
      <c r="AA700" s="146"/>
      <c r="AB700" s="146"/>
      <c r="AC700" s="146"/>
      <c r="AD700" s="146"/>
      <c r="AE700" s="146"/>
      <c r="AF700" s="146"/>
      <c r="AG700" s="146"/>
      <c r="AH700" s="331">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29">
        <f t="shared" si="32"/>
        <v>0</v>
      </c>
      <c r="Q701" s="146"/>
      <c r="R701" s="146"/>
      <c r="S701" s="146"/>
      <c r="T701" s="146"/>
      <c r="U701" s="146"/>
      <c r="V701" s="146"/>
      <c r="W701" s="146"/>
      <c r="X701" s="146"/>
      <c r="Y701" s="331">
        <f t="shared" si="33"/>
        <v>0</v>
      </c>
      <c r="Z701" s="146"/>
      <c r="AA701" s="146"/>
      <c r="AB701" s="146"/>
      <c r="AC701" s="146"/>
      <c r="AD701" s="146"/>
      <c r="AE701" s="146"/>
      <c r="AF701" s="146"/>
      <c r="AG701" s="146"/>
      <c r="AH701" s="331">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29">
        <f t="shared" si="32"/>
        <v>0</v>
      </c>
      <c r="Q702" s="146"/>
      <c r="R702" s="146"/>
      <c r="S702" s="146"/>
      <c r="T702" s="146"/>
      <c r="U702" s="146"/>
      <c r="V702" s="146"/>
      <c r="W702" s="146"/>
      <c r="X702" s="146"/>
      <c r="Y702" s="331">
        <f t="shared" si="33"/>
        <v>0</v>
      </c>
      <c r="Z702" s="146"/>
      <c r="AA702" s="146"/>
      <c r="AB702" s="146"/>
      <c r="AC702" s="146"/>
      <c r="AD702" s="146"/>
      <c r="AE702" s="146"/>
      <c r="AF702" s="146"/>
      <c r="AG702" s="146"/>
      <c r="AH702" s="331">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29">
        <f t="shared" si="32"/>
        <v>0</v>
      </c>
      <c r="Q703" s="146"/>
      <c r="R703" s="146"/>
      <c r="S703" s="146"/>
      <c r="T703" s="146"/>
      <c r="U703" s="146"/>
      <c r="V703" s="146"/>
      <c r="W703" s="146"/>
      <c r="X703" s="146"/>
      <c r="Y703" s="331">
        <f t="shared" si="33"/>
        <v>0</v>
      </c>
      <c r="Z703" s="146"/>
      <c r="AA703" s="146"/>
      <c r="AB703" s="146"/>
      <c r="AC703" s="146"/>
      <c r="AD703" s="146"/>
      <c r="AE703" s="146"/>
      <c r="AF703" s="146"/>
      <c r="AG703" s="146"/>
      <c r="AH703" s="331">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29">
        <f t="shared" si="32"/>
        <v>0</v>
      </c>
      <c r="Q704" s="146"/>
      <c r="R704" s="146"/>
      <c r="S704" s="146"/>
      <c r="T704" s="146"/>
      <c r="U704" s="146"/>
      <c r="V704" s="146"/>
      <c r="W704" s="146"/>
      <c r="X704" s="146"/>
      <c r="Y704" s="331">
        <f t="shared" si="33"/>
        <v>0</v>
      </c>
      <c r="Z704" s="146"/>
      <c r="AA704" s="146"/>
      <c r="AB704" s="146"/>
      <c r="AC704" s="146"/>
      <c r="AD704" s="146"/>
      <c r="AE704" s="146"/>
      <c r="AF704" s="146"/>
      <c r="AG704" s="146"/>
      <c r="AH704" s="331">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29">
        <f t="shared" si="32"/>
        <v>0</v>
      </c>
      <c r="Q705" s="146"/>
      <c r="R705" s="146"/>
      <c r="S705" s="146"/>
      <c r="T705" s="146"/>
      <c r="U705" s="146"/>
      <c r="V705" s="146"/>
      <c r="W705" s="146"/>
      <c r="X705" s="146"/>
      <c r="Y705" s="331">
        <f t="shared" si="33"/>
        <v>0</v>
      </c>
      <c r="Z705" s="146"/>
      <c r="AA705" s="146"/>
      <c r="AB705" s="146"/>
      <c r="AC705" s="146"/>
      <c r="AD705" s="146"/>
      <c r="AE705" s="146"/>
      <c r="AF705" s="146"/>
      <c r="AG705" s="146"/>
      <c r="AH705" s="331">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29">
        <f t="shared" si="32"/>
        <v>0</v>
      </c>
      <c r="Q706" s="146"/>
      <c r="R706" s="146"/>
      <c r="S706" s="146"/>
      <c r="T706" s="146"/>
      <c r="U706" s="146"/>
      <c r="V706" s="146"/>
      <c r="W706" s="146"/>
      <c r="X706" s="146"/>
      <c r="Y706" s="331">
        <f t="shared" si="33"/>
        <v>0</v>
      </c>
      <c r="Z706" s="146"/>
      <c r="AA706" s="146"/>
      <c r="AB706" s="146"/>
      <c r="AC706" s="146"/>
      <c r="AD706" s="146"/>
      <c r="AE706" s="146"/>
      <c r="AF706" s="146"/>
      <c r="AG706" s="146"/>
      <c r="AH706" s="331">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29">
        <f t="shared" si="32"/>
        <v>0</v>
      </c>
      <c r="Q707" s="146"/>
      <c r="R707" s="146"/>
      <c r="S707" s="146"/>
      <c r="T707" s="146"/>
      <c r="U707" s="146"/>
      <c r="V707" s="146"/>
      <c r="W707" s="146"/>
      <c r="X707" s="146"/>
      <c r="Y707" s="331">
        <f t="shared" si="33"/>
        <v>0</v>
      </c>
      <c r="Z707" s="146"/>
      <c r="AA707" s="146"/>
      <c r="AB707" s="146"/>
      <c r="AC707" s="146"/>
      <c r="AD707" s="146"/>
      <c r="AE707" s="146"/>
      <c r="AF707" s="146"/>
      <c r="AG707" s="146"/>
      <c r="AH707" s="331">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29">
        <f t="shared" si="32"/>
        <v>0</v>
      </c>
      <c r="Q708" s="146"/>
      <c r="R708" s="146"/>
      <c r="S708" s="146"/>
      <c r="T708" s="146"/>
      <c r="U708" s="146"/>
      <c r="V708" s="146"/>
      <c r="W708" s="146"/>
      <c r="X708" s="146"/>
      <c r="Y708" s="331">
        <f t="shared" si="33"/>
        <v>0</v>
      </c>
      <c r="Z708" s="146"/>
      <c r="AA708" s="146"/>
      <c r="AB708" s="146"/>
      <c r="AC708" s="146"/>
      <c r="AD708" s="146"/>
      <c r="AE708" s="146"/>
      <c r="AF708" s="146"/>
      <c r="AG708" s="146"/>
      <c r="AH708" s="331">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29">
        <f t="shared" si="32"/>
        <v>0</v>
      </c>
      <c r="Q709" s="146"/>
      <c r="R709" s="146"/>
      <c r="S709" s="146"/>
      <c r="T709" s="146"/>
      <c r="U709" s="146"/>
      <c r="V709" s="146"/>
      <c r="W709" s="146"/>
      <c r="X709" s="146"/>
      <c r="Y709" s="331">
        <f t="shared" si="33"/>
        <v>0</v>
      </c>
      <c r="Z709" s="146"/>
      <c r="AA709" s="146"/>
      <c r="AB709" s="146"/>
      <c r="AC709" s="146"/>
      <c r="AD709" s="146"/>
      <c r="AE709" s="146"/>
      <c r="AF709" s="146"/>
      <c r="AG709" s="146"/>
      <c r="AH709" s="331">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29">
        <f t="shared" si="32"/>
        <v>0</v>
      </c>
      <c r="Q710" s="146"/>
      <c r="R710" s="146"/>
      <c r="S710" s="146"/>
      <c r="T710" s="146"/>
      <c r="U710" s="146"/>
      <c r="V710" s="146"/>
      <c r="W710" s="146"/>
      <c r="X710" s="146"/>
      <c r="Y710" s="331">
        <f t="shared" si="33"/>
        <v>0</v>
      </c>
      <c r="Z710" s="146"/>
      <c r="AA710" s="146"/>
      <c r="AB710" s="146"/>
      <c r="AC710" s="146"/>
      <c r="AD710" s="146"/>
      <c r="AE710" s="146"/>
      <c r="AF710" s="146"/>
      <c r="AG710" s="146"/>
      <c r="AH710" s="331">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29">
        <f t="shared" si="32"/>
        <v>0</v>
      </c>
      <c r="Q711" s="146"/>
      <c r="R711" s="146"/>
      <c r="S711" s="146"/>
      <c r="T711" s="146"/>
      <c r="U711" s="146"/>
      <c r="V711" s="146"/>
      <c r="W711" s="146"/>
      <c r="X711" s="146"/>
      <c r="Y711" s="331">
        <f t="shared" si="33"/>
        <v>0</v>
      </c>
      <c r="Z711" s="146"/>
      <c r="AA711" s="146"/>
      <c r="AB711" s="146"/>
      <c r="AC711" s="146"/>
      <c r="AD711" s="146"/>
      <c r="AE711" s="146"/>
      <c r="AF711" s="146"/>
      <c r="AG711" s="146"/>
      <c r="AH711" s="331">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29">
        <f t="shared" si="32"/>
        <v>0</v>
      </c>
      <c r="Q712" s="146"/>
      <c r="R712" s="146"/>
      <c r="S712" s="146"/>
      <c r="T712" s="146"/>
      <c r="U712" s="146"/>
      <c r="V712" s="146"/>
      <c r="W712" s="146"/>
      <c r="X712" s="146"/>
      <c r="Y712" s="331">
        <f t="shared" si="33"/>
        <v>0</v>
      </c>
      <c r="Z712" s="146"/>
      <c r="AA712" s="146"/>
      <c r="AB712" s="146"/>
      <c r="AC712" s="146"/>
      <c r="AD712" s="146"/>
      <c r="AE712" s="146"/>
      <c r="AF712" s="146"/>
      <c r="AG712" s="146"/>
      <c r="AH712" s="331">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29">
        <f t="shared" si="32"/>
        <v>0</v>
      </c>
      <c r="Q713" s="146"/>
      <c r="R713" s="146"/>
      <c r="S713" s="146"/>
      <c r="T713" s="146"/>
      <c r="U713" s="146"/>
      <c r="V713" s="146"/>
      <c r="W713" s="146"/>
      <c r="X713" s="146"/>
      <c r="Y713" s="331">
        <f t="shared" si="33"/>
        <v>0</v>
      </c>
      <c r="Z713" s="146"/>
      <c r="AA713" s="146"/>
      <c r="AB713" s="146"/>
      <c r="AC713" s="146"/>
      <c r="AD713" s="146"/>
      <c r="AE713" s="146"/>
      <c r="AF713" s="146"/>
      <c r="AG713" s="146"/>
      <c r="AH713" s="331">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29">
        <f t="shared" si="32"/>
        <v>0</v>
      </c>
      <c r="Q714" s="146"/>
      <c r="R714" s="146"/>
      <c r="S714" s="146"/>
      <c r="T714" s="146"/>
      <c r="U714" s="146"/>
      <c r="V714" s="146"/>
      <c r="W714" s="146"/>
      <c r="X714" s="146"/>
      <c r="Y714" s="331">
        <f t="shared" si="33"/>
        <v>0</v>
      </c>
      <c r="Z714" s="146"/>
      <c r="AA714" s="146"/>
      <c r="AB714" s="146"/>
      <c r="AC714" s="146"/>
      <c r="AD714" s="146"/>
      <c r="AE714" s="146"/>
      <c r="AF714" s="146"/>
      <c r="AG714" s="146"/>
      <c r="AH714" s="331">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29">
        <f t="shared" si="32"/>
        <v>0</v>
      </c>
      <c r="Q715" s="146"/>
      <c r="R715" s="146"/>
      <c r="S715" s="146"/>
      <c r="T715" s="146"/>
      <c r="U715" s="146"/>
      <c r="V715" s="146"/>
      <c r="W715" s="146"/>
      <c r="X715" s="146"/>
      <c r="Y715" s="331">
        <f t="shared" si="33"/>
        <v>0</v>
      </c>
      <c r="Z715" s="146"/>
      <c r="AA715" s="146"/>
      <c r="AB715" s="146"/>
      <c r="AC715" s="146"/>
      <c r="AD715" s="146"/>
      <c r="AE715" s="146"/>
      <c r="AF715" s="146"/>
      <c r="AG715" s="146"/>
      <c r="AH715" s="331">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29">
        <f t="shared" si="32"/>
        <v>0</v>
      </c>
      <c r="Q716" s="146"/>
      <c r="R716" s="146"/>
      <c r="S716" s="146"/>
      <c r="T716" s="146"/>
      <c r="U716" s="146"/>
      <c r="V716" s="146"/>
      <c r="W716" s="146"/>
      <c r="X716" s="146"/>
      <c r="Y716" s="331">
        <f t="shared" si="33"/>
        <v>0</v>
      </c>
      <c r="Z716" s="146"/>
      <c r="AA716" s="146"/>
      <c r="AB716" s="146"/>
      <c r="AC716" s="146"/>
      <c r="AD716" s="146"/>
      <c r="AE716" s="146"/>
      <c r="AF716" s="146"/>
      <c r="AG716" s="146"/>
      <c r="AH716" s="331">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29">
        <f t="shared" ref="P717:P780" si="35">SUM(H717:N717)</f>
        <v>0</v>
      </c>
      <c r="Q717" s="146"/>
      <c r="R717" s="146"/>
      <c r="S717" s="146"/>
      <c r="T717" s="146"/>
      <c r="U717" s="146"/>
      <c r="V717" s="146"/>
      <c r="W717" s="146"/>
      <c r="X717" s="146"/>
      <c r="Y717" s="331">
        <f t="shared" ref="Y717:Y780" si="36">SUM(Q717:W717)</f>
        <v>0</v>
      </c>
      <c r="Z717" s="146"/>
      <c r="AA717" s="146"/>
      <c r="AB717" s="146"/>
      <c r="AC717" s="146"/>
      <c r="AD717" s="146"/>
      <c r="AE717" s="146"/>
      <c r="AF717" s="146"/>
      <c r="AG717" s="146"/>
      <c r="AH717" s="331">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29">
        <f t="shared" si="35"/>
        <v>0</v>
      </c>
      <c r="Q718" s="146"/>
      <c r="R718" s="146"/>
      <c r="S718" s="146"/>
      <c r="T718" s="146"/>
      <c r="U718" s="146"/>
      <c r="V718" s="146"/>
      <c r="W718" s="146"/>
      <c r="X718" s="146"/>
      <c r="Y718" s="331">
        <f t="shared" si="36"/>
        <v>0</v>
      </c>
      <c r="Z718" s="146"/>
      <c r="AA718" s="146"/>
      <c r="AB718" s="146"/>
      <c r="AC718" s="146"/>
      <c r="AD718" s="146"/>
      <c r="AE718" s="146"/>
      <c r="AF718" s="146"/>
      <c r="AG718" s="146"/>
      <c r="AH718" s="331">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29">
        <f t="shared" si="35"/>
        <v>0</v>
      </c>
      <c r="Q719" s="146"/>
      <c r="R719" s="146"/>
      <c r="S719" s="146"/>
      <c r="T719" s="146"/>
      <c r="U719" s="146"/>
      <c r="V719" s="146"/>
      <c r="W719" s="146"/>
      <c r="X719" s="146"/>
      <c r="Y719" s="331">
        <f t="shared" si="36"/>
        <v>0</v>
      </c>
      <c r="Z719" s="146"/>
      <c r="AA719" s="146"/>
      <c r="AB719" s="146"/>
      <c r="AC719" s="146"/>
      <c r="AD719" s="146"/>
      <c r="AE719" s="146"/>
      <c r="AF719" s="146"/>
      <c r="AG719" s="146"/>
      <c r="AH719" s="331">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29">
        <f t="shared" si="35"/>
        <v>0</v>
      </c>
      <c r="Q720" s="146"/>
      <c r="R720" s="146"/>
      <c r="S720" s="146"/>
      <c r="T720" s="146"/>
      <c r="U720" s="146"/>
      <c r="V720" s="146"/>
      <c r="W720" s="146"/>
      <c r="X720" s="146"/>
      <c r="Y720" s="331">
        <f t="shared" si="36"/>
        <v>0</v>
      </c>
      <c r="Z720" s="146"/>
      <c r="AA720" s="146"/>
      <c r="AB720" s="146"/>
      <c r="AC720" s="146"/>
      <c r="AD720" s="146"/>
      <c r="AE720" s="146"/>
      <c r="AF720" s="146"/>
      <c r="AG720" s="146"/>
      <c r="AH720" s="331">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29">
        <f t="shared" si="35"/>
        <v>0</v>
      </c>
      <c r="Q721" s="146"/>
      <c r="R721" s="146"/>
      <c r="S721" s="146"/>
      <c r="T721" s="146"/>
      <c r="U721" s="146"/>
      <c r="V721" s="146"/>
      <c r="W721" s="146"/>
      <c r="X721" s="146"/>
      <c r="Y721" s="331">
        <f t="shared" si="36"/>
        <v>0</v>
      </c>
      <c r="Z721" s="146"/>
      <c r="AA721" s="146"/>
      <c r="AB721" s="146"/>
      <c r="AC721" s="146"/>
      <c r="AD721" s="146"/>
      <c r="AE721" s="146"/>
      <c r="AF721" s="146"/>
      <c r="AG721" s="146"/>
      <c r="AH721" s="331">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29">
        <f t="shared" si="35"/>
        <v>0</v>
      </c>
      <c r="Q722" s="146"/>
      <c r="R722" s="146"/>
      <c r="S722" s="146"/>
      <c r="T722" s="146"/>
      <c r="U722" s="146"/>
      <c r="V722" s="146"/>
      <c r="W722" s="146"/>
      <c r="X722" s="146"/>
      <c r="Y722" s="331">
        <f t="shared" si="36"/>
        <v>0</v>
      </c>
      <c r="Z722" s="146"/>
      <c r="AA722" s="146"/>
      <c r="AB722" s="146"/>
      <c r="AC722" s="146"/>
      <c r="AD722" s="146"/>
      <c r="AE722" s="146"/>
      <c r="AF722" s="146"/>
      <c r="AG722" s="146"/>
      <c r="AH722" s="331">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29">
        <f t="shared" si="35"/>
        <v>0</v>
      </c>
      <c r="Q723" s="146"/>
      <c r="R723" s="146"/>
      <c r="S723" s="146"/>
      <c r="T723" s="146"/>
      <c r="U723" s="146"/>
      <c r="V723" s="146"/>
      <c r="W723" s="146"/>
      <c r="X723" s="146"/>
      <c r="Y723" s="331">
        <f t="shared" si="36"/>
        <v>0</v>
      </c>
      <c r="Z723" s="146"/>
      <c r="AA723" s="146"/>
      <c r="AB723" s="146"/>
      <c r="AC723" s="146"/>
      <c r="AD723" s="146"/>
      <c r="AE723" s="146"/>
      <c r="AF723" s="146"/>
      <c r="AG723" s="146"/>
      <c r="AH723" s="331">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29">
        <f t="shared" si="35"/>
        <v>0</v>
      </c>
      <c r="Q724" s="146"/>
      <c r="R724" s="146"/>
      <c r="S724" s="146"/>
      <c r="T724" s="146"/>
      <c r="U724" s="146"/>
      <c r="V724" s="146"/>
      <c r="W724" s="146"/>
      <c r="X724" s="146"/>
      <c r="Y724" s="331">
        <f t="shared" si="36"/>
        <v>0</v>
      </c>
      <c r="Z724" s="146"/>
      <c r="AA724" s="146"/>
      <c r="AB724" s="146"/>
      <c r="AC724" s="146"/>
      <c r="AD724" s="146"/>
      <c r="AE724" s="146"/>
      <c r="AF724" s="146"/>
      <c r="AG724" s="146"/>
      <c r="AH724" s="331">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29">
        <f t="shared" si="35"/>
        <v>0</v>
      </c>
      <c r="Q725" s="146"/>
      <c r="R725" s="146"/>
      <c r="S725" s="146"/>
      <c r="T725" s="146"/>
      <c r="U725" s="146"/>
      <c r="V725" s="146"/>
      <c r="W725" s="146"/>
      <c r="X725" s="146"/>
      <c r="Y725" s="331">
        <f t="shared" si="36"/>
        <v>0</v>
      </c>
      <c r="Z725" s="146"/>
      <c r="AA725" s="146"/>
      <c r="AB725" s="146"/>
      <c r="AC725" s="146"/>
      <c r="AD725" s="146"/>
      <c r="AE725" s="146"/>
      <c r="AF725" s="146"/>
      <c r="AG725" s="146"/>
      <c r="AH725" s="331">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29">
        <f t="shared" si="35"/>
        <v>0</v>
      </c>
      <c r="Q726" s="146"/>
      <c r="R726" s="146"/>
      <c r="S726" s="146"/>
      <c r="T726" s="146"/>
      <c r="U726" s="146"/>
      <c r="V726" s="146"/>
      <c r="W726" s="146"/>
      <c r="X726" s="146"/>
      <c r="Y726" s="331">
        <f t="shared" si="36"/>
        <v>0</v>
      </c>
      <c r="Z726" s="146"/>
      <c r="AA726" s="146"/>
      <c r="AB726" s="146"/>
      <c r="AC726" s="146"/>
      <c r="AD726" s="146"/>
      <c r="AE726" s="146"/>
      <c r="AF726" s="146"/>
      <c r="AG726" s="146"/>
      <c r="AH726" s="331">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29">
        <f t="shared" si="35"/>
        <v>0</v>
      </c>
      <c r="Q727" s="146"/>
      <c r="R727" s="146"/>
      <c r="S727" s="146"/>
      <c r="T727" s="146"/>
      <c r="U727" s="146"/>
      <c r="V727" s="146"/>
      <c r="W727" s="146"/>
      <c r="X727" s="146"/>
      <c r="Y727" s="331">
        <f t="shared" si="36"/>
        <v>0</v>
      </c>
      <c r="Z727" s="146"/>
      <c r="AA727" s="146"/>
      <c r="AB727" s="146"/>
      <c r="AC727" s="146"/>
      <c r="AD727" s="146"/>
      <c r="AE727" s="146"/>
      <c r="AF727" s="146"/>
      <c r="AG727" s="146"/>
      <c r="AH727" s="331">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29">
        <f t="shared" si="35"/>
        <v>0</v>
      </c>
      <c r="Q728" s="146"/>
      <c r="R728" s="146"/>
      <c r="S728" s="146"/>
      <c r="T728" s="146"/>
      <c r="U728" s="146"/>
      <c r="V728" s="146"/>
      <c r="W728" s="146"/>
      <c r="X728" s="146"/>
      <c r="Y728" s="331">
        <f t="shared" si="36"/>
        <v>0</v>
      </c>
      <c r="Z728" s="146"/>
      <c r="AA728" s="146"/>
      <c r="AB728" s="146"/>
      <c r="AC728" s="146"/>
      <c r="AD728" s="146"/>
      <c r="AE728" s="146"/>
      <c r="AF728" s="146"/>
      <c r="AG728" s="146"/>
      <c r="AH728" s="331">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29">
        <f t="shared" si="35"/>
        <v>0</v>
      </c>
      <c r="Q729" s="146"/>
      <c r="R729" s="146"/>
      <c r="S729" s="146"/>
      <c r="T729" s="146"/>
      <c r="U729" s="146"/>
      <c r="V729" s="146"/>
      <c r="W729" s="146"/>
      <c r="X729" s="146"/>
      <c r="Y729" s="331">
        <f t="shared" si="36"/>
        <v>0</v>
      </c>
      <c r="Z729" s="146"/>
      <c r="AA729" s="146"/>
      <c r="AB729" s="146"/>
      <c r="AC729" s="146"/>
      <c r="AD729" s="146"/>
      <c r="AE729" s="146"/>
      <c r="AF729" s="146"/>
      <c r="AG729" s="146"/>
      <c r="AH729" s="331">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29">
        <f t="shared" si="35"/>
        <v>0</v>
      </c>
      <c r="Q730" s="146"/>
      <c r="R730" s="146"/>
      <c r="S730" s="146"/>
      <c r="T730" s="146"/>
      <c r="U730" s="146"/>
      <c r="V730" s="146"/>
      <c r="W730" s="146"/>
      <c r="X730" s="146"/>
      <c r="Y730" s="331">
        <f t="shared" si="36"/>
        <v>0</v>
      </c>
      <c r="Z730" s="146"/>
      <c r="AA730" s="146"/>
      <c r="AB730" s="146"/>
      <c r="AC730" s="146"/>
      <c r="AD730" s="146"/>
      <c r="AE730" s="146"/>
      <c r="AF730" s="146"/>
      <c r="AG730" s="146"/>
      <c r="AH730" s="331">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29">
        <f t="shared" si="35"/>
        <v>0</v>
      </c>
      <c r="Q731" s="146"/>
      <c r="R731" s="146"/>
      <c r="S731" s="146"/>
      <c r="T731" s="146"/>
      <c r="U731" s="146"/>
      <c r="V731" s="146"/>
      <c r="W731" s="146"/>
      <c r="X731" s="146"/>
      <c r="Y731" s="331">
        <f t="shared" si="36"/>
        <v>0</v>
      </c>
      <c r="Z731" s="146"/>
      <c r="AA731" s="146"/>
      <c r="AB731" s="146"/>
      <c r="AC731" s="146"/>
      <c r="AD731" s="146"/>
      <c r="AE731" s="146"/>
      <c r="AF731" s="146"/>
      <c r="AG731" s="146"/>
      <c r="AH731" s="331">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29">
        <f t="shared" si="35"/>
        <v>0</v>
      </c>
      <c r="Q732" s="146"/>
      <c r="R732" s="146"/>
      <c r="S732" s="146"/>
      <c r="T732" s="146"/>
      <c r="U732" s="146"/>
      <c r="V732" s="146"/>
      <c r="W732" s="146"/>
      <c r="X732" s="146"/>
      <c r="Y732" s="331">
        <f t="shared" si="36"/>
        <v>0</v>
      </c>
      <c r="Z732" s="146"/>
      <c r="AA732" s="146"/>
      <c r="AB732" s="146"/>
      <c r="AC732" s="146"/>
      <c r="AD732" s="146"/>
      <c r="AE732" s="146"/>
      <c r="AF732" s="146"/>
      <c r="AG732" s="146"/>
      <c r="AH732" s="331">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29">
        <f t="shared" si="35"/>
        <v>0</v>
      </c>
      <c r="Q733" s="146"/>
      <c r="R733" s="146"/>
      <c r="S733" s="146"/>
      <c r="T733" s="146"/>
      <c r="U733" s="146"/>
      <c r="V733" s="146"/>
      <c r="W733" s="146"/>
      <c r="X733" s="146"/>
      <c r="Y733" s="331">
        <f t="shared" si="36"/>
        <v>0</v>
      </c>
      <c r="Z733" s="146"/>
      <c r="AA733" s="146"/>
      <c r="AB733" s="146"/>
      <c r="AC733" s="146"/>
      <c r="AD733" s="146"/>
      <c r="AE733" s="146"/>
      <c r="AF733" s="146"/>
      <c r="AG733" s="146"/>
      <c r="AH733" s="331">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29">
        <f t="shared" si="35"/>
        <v>0</v>
      </c>
      <c r="Q734" s="146"/>
      <c r="R734" s="146"/>
      <c r="S734" s="146"/>
      <c r="T734" s="146"/>
      <c r="U734" s="146"/>
      <c r="V734" s="146"/>
      <c r="W734" s="146"/>
      <c r="X734" s="146"/>
      <c r="Y734" s="331">
        <f t="shared" si="36"/>
        <v>0</v>
      </c>
      <c r="Z734" s="146"/>
      <c r="AA734" s="146"/>
      <c r="AB734" s="146"/>
      <c r="AC734" s="146"/>
      <c r="AD734" s="146"/>
      <c r="AE734" s="146"/>
      <c r="AF734" s="146"/>
      <c r="AG734" s="146"/>
      <c r="AH734" s="331">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29">
        <f t="shared" si="35"/>
        <v>0</v>
      </c>
      <c r="Q735" s="146"/>
      <c r="R735" s="146"/>
      <c r="S735" s="146"/>
      <c r="T735" s="146"/>
      <c r="U735" s="146"/>
      <c r="V735" s="146"/>
      <c r="W735" s="146"/>
      <c r="X735" s="146"/>
      <c r="Y735" s="331">
        <f t="shared" si="36"/>
        <v>0</v>
      </c>
      <c r="Z735" s="146"/>
      <c r="AA735" s="146"/>
      <c r="AB735" s="146"/>
      <c r="AC735" s="146"/>
      <c r="AD735" s="146"/>
      <c r="AE735" s="146"/>
      <c r="AF735" s="146"/>
      <c r="AG735" s="146"/>
      <c r="AH735" s="331">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29">
        <f t="shared" si="35"/>
        <v>0</v>
      </c>
      <c r="Q736" s="146"/>
      <c r="R736" s="146"/>
      <c r="S736" s="146"/>
      <c r="T736" s="146"/>
      <c r="U736" s="146"/>
      <c r="V736" s="146"/>
      <c r="W736" s="146"/>
      <c r="X736" s="146"/>
      <c r="Y736" s="331">
        <f t="shared" si="36"/>
        <v>0</v>
      </c>
      <c r="Z736" s="146"/>
      <c r="AA736" s="146"/>
      <c r="AB736" s="146"/>
      <c r="AC736" s="146"/>
      <c r="AD736" s="146"/>
      <c r="AE736" s="146"/>
      <c r="AF736" s="146"/>
      <c r="AG736" s="146"/>
      <c r="AH736" s="331">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29">
        <f t="shared" si="35"/>
        <v>0</v>
      </c>
      <c r="Q737" s="146"/>
      <c r="R737" s="146"/>
      <c r="S737" s="146"/>
      <c r="T737" s="146"/>
      <c r="U737" s="146"/>
      <c r="V737" s="146"/>
      <c r="W737" s="146"/>
      <c r="X737" s="146"/>
      <c r="Y737" s="331">
        <f t="shared" si="36"/>
        <v>0</v>
      </c>
      <c r="Z737" s="146"/>
      <c r="AA737" s="146"/>
      <c r="AB737" s="146"/>
      <c r="AC737" s="146"/>
      <c r="AD737" s="146"/>
      <c r="AE737" s="146"/>
      <c r="AF737" s="146"/>
      <c r="AG737" s="146"/>
      <c r="AH737" s="331">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29">
        <f t="shared" si="35"/>
        <v>0</v>
      </c>
      <c r="Q738" s="146"/>
      <c r="R738" s="146"/>
      <c r="S738" s="146"/>
      <c r="T738" s="146"/>
      <c r="U738" s="146"/>
      <c r="V738" s="146"/>
      <c r="W738" s="146"/>
      <c r="X738" s="146"/>
      <c r="Y738" s="331">
        <f t="shared" si="36"/>
        <v>0</v>
      </c>
      <c r="Z738" s="146"/>
      <c r="AA738" s="146"/>
      <c r="AB738" s="146"/>
      <c r="AC738" s="146"/>
      <c r="AD738" s="146"/>
      <c r="AE738" s="146"/>
      <c r="AF738" s="146"/>
      <c r="AG738" s="146"/>
      <c r="AH738" s="331">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29">
        <f t="shared" si="35"/>
        <v>0</v>
      </c>
      <c r="Q739" s="146"/>
      <c r="R739" s="146"/>
      <c r="S739" s="146"/>
      <c r="T739" s="146"/>
      <c r="U739" s="146"/>
      <c r="V739" s="146"/>
      <c r="W739" s="146"/>
      <c r="X739" s="146"/>
      <c r="Y739" s="331">
        <f t="shared" si="36"/>
        <v>0</v>
      </c>
      <c r="Z739" s="146"/>
      <c r="AA739" s="146"/>
      <c r="AB739" s="146"/>
      <c r="AC739" s="146"/>
      <c r="AD739" s="146"/>
      <c r="AE739" s="146"/>
      <c r="AF739" s="146"/>
      <c r="AG739" s="146"/>
      <c r="AH739" s="331">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29">
        <f t="shared" si="35"/>
        <v>0</v>
      </c>
      <c r="Q740" s="146"/>
      <c r="R740" s="146"/>
      <c r="S740" s="146"/>
      <c r="T740" s="146"/>
      <c r="U740" s="146"/>
      <c r="V740" s="146"/>
      <c r="W740" s="146"/>
      <c r="X740" s="146"/>
      <c r="Y740" s="331">
        <f t="shared" si="36"/>
        <v>0</v>
      </c>
      <c r="Z740" s="146"/>
      <c r="AA740" s="146"/>
      <c r="AB740" s="146"/>
      <c r="AC740" s="146"/>
      <c r="AD740" s="146"/>
      <c r="AE740" s="146"/>
      <c r="AF740" s="146"/>
      <c r="AG740" s="146"/>
      <c r="AH740" s="331">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29">
        <f t="shared" si="35"/>
        <v>0</v>
      </c>
      <c r="Q741" s="146"/>
      <c r="R741" s="146"/>
      <c r="S741" s="146"/>
      <c r="T741" s="146"/>
      <c r="U741" s="146"/>
      <c r="V741" s="146"/>
      <c r="W741" s="146"/>
      <c r="X741" s="146"/>
      <c r="Y741" s="331">
        <f t="shared" si="36"/>
        <v>0</v>
      </c>
      <c r="Z741" s="146"/>
      <c r="AA741" s="146"/>
      <c r="AB741" s="146"/>
      <c r="AC741" s="146"/>
      <c r="AD741" s="146"/>
      <c r="AE741" s="146"/>
      <c r="AF741" s="146"/>
      <c r="AG741" s="146"/>
      <c r="AH741" s="331">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29">
        <f t="shared" si="35"/>
        <v>0</v>
      </c>
      <c r="Q742" s="146"/>
      <c r="R742" s="146"/>
      <c r="S742" s="146"/>
      <c r="T742" s="146"/>
      <c r="U742" s="146"/>
      <c r="V742" s="146"/>
      <c r="W742" s="146"/>
      <c r="X742" s="146"/>
      <c r="Y742" s="331">
        <f t="shared" si="36"/>
        <v>0</v>
      </c>
      <c r="Z742" s="146"/>
      <c r="AA742" s="146"/>
      <c r="AB742" s="146"/>
      <c r="AC742" s="146"/>
      <c r="AD742" s="146"/>
      <c r="AE742" s="146"/>
      <c r="AF742" s="146"/>
      <c r="AG742" s="146"/>
      <c r="AH742" s="331">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29">
        <f t="shared" si="35"/>
        <v>0</v>
      </c>
      <c r="Q743" s="146"/>
      <c r="R743" s="146"/>
      <c r="S743" s="146"/>
      <c r="T743" s="146"/>
      <c r="U743" s="146"/>
      <c r="V743" s="146"/>
      <c r="W743" s="146"/>
      <c r="X743" s="146"/>
      <c r="Y743" s="331">
        <f t="shared" si="36"/>
        <v>0</v>
      </c>
      <c r="Z743" s="146"/>
      <c r="AA743" s="146"/>
      <c r="AB743" s="146"/>
      <c r="AC743" s="146"/>
      <c r="AD743" s="146"/>
      <c r="AE743" s="146"/>
      <c r="AF743" s="146"/>
      <c r="AG743" s="146"/>
      <c r="AH743" s="331">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29">
        <f t="shared" si="35"/>
        <v>0</v>
      </c>
      <c r="Q744" s="146"/>
      <c r="R744" s="146"/>
      <c r="S744" s="146"/>
      <c r="T744" s="146"/>
      <c r="U744" s="146"/>
      <c r="V744" s="146"/>
      <c r="W744" s="146"/>
      <c r="X744" s="146"/>
      <c r="Y744" s="331">
        <f t="shared" si="36"/>
        <v>0</v>
      </c>
      <c r="Z744" s="146"/>
      <c r="AA744" s="146"/>
      <c r="AB744" s="146"/>
      <c r="AC744" s="146"/>
      <c r="AD744" s="146"/>
      <c r="AE744" s="146"/>
      <c r="AF744" s="146"/>
      <c r="AG744" s="146"/>
      <c r="AH744" s="331">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29">
        <f t="shared" si="35"/>
        <v>0</v>
      </c>
      <c r="Q745" s="146"/>
      <c r="R745" s="146"/>
      <c r="S745" s="146"/>
      <c r="T745" s="146"/>
      <c r="U745" s="146"/>
      <c r="V745" s="146"/>
      <c r="W745" s="146"/>
      <c r="X745" s="146"/>
      <c r="Y745" s="331">
        <f t="shared" si="36"/>
        <v>0</v>
      </c>
      <c r="Z745" s="146"/>
      <c r="AA745" s="146"/>
      <c r="AB745" s="146"/>
      <c r="AC745" s="146"/>
      <c r="AD745" s="146"/>
      <c r="AE745" s="146"/>
      <c r="AF745" s="146"/>
      <c r="AG745" s="146"/>
      <c r="AH745" s="331">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29">
        <f t="shared" si="35"/>
        <v>0</v>
      </c>
      <c r="Q746" s="146"/>
      <c r="R746" s="146"/>
      <c r="S746" s="146"/>
      <c r="T746" s="146"/>
      <c r="U746" s="146"/>
      <c r="V746" s="146"/>
      <c r="W746" s="146"/>
      <c r="X746" s="146"/>
      <c r="Y746" s="331">
        <f t="shared" si="36"/>
        <v>0</v>
      </c>
      <c r="Z746" s="146"/>
      <c r="AA746" s="146"/>
      <c r="AB746" s="146"/>
      <c r="AC746" s="146"/>
      <c r="AD746" s="146"/>
      <c r="AE746" s="146"/>
      <c r="AF746" s="146"/>
      <c r="AG746" s="146"/>
      <c r="AH746" s="331">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29">
        <f t="shared" si="35"/>
        <v>0</v>
      </c>
      <c r="Q747" s="146"/>
      <c r="R747" s="146"/>
      <c r="S747" s="146"/>
      <c r="T747" s="146"/>
      <c r="U747" s="146"/>
      <c r="V747" s="146"/>
      <c r="W747" s="146"/>
      <c r="X747" s="146"/>
      <c r="Y747" s="331">
        <f t="shared" si="36"/>
        <v>0</v>
      </c>
      <c r="Z747" s="146"/>
      <c r="AA747" s="146"/>
      <c r="AB747" s="146"/>
      <c r="AC747" s="146"/>
      <c r="AD747" s="146"/>
      <c r="AE747" s="146"/>
      <c r="AF747" s="146"/>
      <c r="AG747" s="146"/>
      <c r="AH747" s="331">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29">
        <f t="shared" si="35"/>
        <v>0</v>
      </c>
      <c r="Q748" s="146"/>
      <c r="R748" s="146"/>
      <c r="S748" s="146"/>
      <c r="T748" s="146"/>
      <c r="U748" s="146"/>
      <c r="V748" s="146"/>
      <c r="W748" s="146"/>
      <c r="X748" s="146"/>
      <c r="Y748" s="331">
        <f t="shared" si="36"/>
        <v>0</v>
      </c>
      <c r="Z748" s="146"/>
      <c r="AA748" s="146"/>
      <c r="AB748" s="146"/>
      <c r="AC748" s="146"/>
      <c r="AD748" s="146"/>
      <c r="AE748" s="146"/>
      <c r="AF748" s="146"/>
      <c r="AG748" s="146"/>
      <c r="AH748" s="331">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29">
        <f t="shared" si="35"/>
        <v>0</v>
      </c>
      <c r="Q749" s="146"/>
      <c r="R749" s="146"/>
      <c r="S749" s="146"/>
      <c r="T749" s="146"/>
      <c r="U749" s="146"/>
      <c r="V749" s="146"/>
      <c r="W749" s="146"/>
      <c r="X749" s="146"/>
      <c r="Y749" s="331">
        <f t="shared" si="36"/>
        <v>0</v>
      </c>
      <c r="Z749" s="146"/>
      <c r="AA749" s="146"/>
      <c r="AB749" s="146"/>
      <c r="AC749" s="146"/>
      <c r="AD749" s="146"/>
      <c r="AE749" s="146"/>
      <c r="AF749" s="146"/>
      <c r="AG749" s="146"/>
      <c r="AH749" s="331">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29">
        <f t="shared" si="35"/>
        <v>0</v>
      </c>
      <c r="Q750" s="146"/>
      <c r="R750" s="146"/>
      <c r="S750" s="146"/>
      <c r="T750" s="146"/>
      <c r="U750" s="146"/>
      <c r="V750" s="146"/>
      <c r="W750" s="146"/>
      <c r="X750" s="146"/>
      <c r="Y750" s="331">
        <f t="shared" si="36"/>
        <v>0</v>
      </c>
      <c r="Z750" s="146"/>
      <c r="AA750" s="146"/>
      <c r="AB750" s="146"/>
      <c r="AC750" s="146"/>
      <c r="AD750" s="146"/>
      <c r="AE750" s="146"/>
      <c r="AF750" s="146"/>
      <c r="AG750" s="146"/>
      <c r="AH750" s="331">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29">
        <f t="shared" si="35"/>
        <v>0</v>
      </c>
      <c r="Q751" s="146"/>
      <c r="R751" s="146"/>
      <c r="S751" s="146"/>
      <c r="T751" s="146"/>
      <c r="U751" s="146"/>
      <c r="V751" s="146"/>
      <c r="W751" s="146"/>
      <c r="X751" s="146"/>
      <c r="Y751" s="331">
        <f t="shared" si="36"/>
        <v>0</v>
      </c>
      <c r="Z751" s="146"/>
      <c r="AA751" s="146"/>
      <c r="AB751" s="146"/>
      <c r="AC751" s="146"/>
      <c r="AD751" s="146"/>
      <c r="AE751" s="146"/>
      <c r="AF751" s="146"/>
      <c r="AG751" s="146"/>
      <c r="AH751" s="331">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29">
        <f t="shared" si="35"/>
        <v>0</v>
      </c>
      <c r="Q752" s="146"/>
      <c r="R752" s="146"/>
      <c r="S752" s="146"/>
      <c r="T752" s="146"/>
      <c r="U752" s="146"/>
      <c r="V752" s="146"/>
      <c r="W752" s="146"/>
      <c r="X752" s="146"/>
      <c r="Y752" s="331">
        <f t="shared" si="36"/>
        <v>0</v>
      </c>
      <c r="Z752" s="146"/>
      <c r="AA752" s="146"/>
      <c r="AB752" s="146"/>
      <c r="AC752" s="146"/>
      <c r="AD752" s="146"/>
      <c r="AE752" s="146"/>
      <c r="AF752" s="146"/>
      <c r="AG752" s="146"/>
      <c r="AH752" s="331">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29">
        <f t="shared" si="35"/>
        <v>0</v>
      </c>
      <c r="Q753" s="146"/>
      <c r="R753" s="146"/>
      <c r="S753" s="146"/>
      <c r="T753" s="146"/>
      <c r="U753" s="146"/>
      <c r="V753" s="146"/>
      <c r="W753" s="146"/>
      <c r="X753" s="146"/>
      <c r="Y753" s="331">
        <f t="shared" si="36"/>
        <v>0</v>
      </c>
      <c r="Z753" s="146"/>
      <c r="AA753" s="146"/>
      <c r="AB753" s="146"/>
      <c r="AC753" s="146"/>
      <c r="AD753" s="146"/>
      <c r="AE753" s="146"/>
      <c r="AF753" s="146"/>
      <c r="AG753" s="146"/>
      <c r="AH753" s="331">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29">
        <f t="shared" si="35"/>
        <v>0</v>
      </c>
      <c r="Q754" s="146"/>
      <c r="R754" s="146"/>
      <c r="S754" s="146"/>
      <c r="T754" s="146"/>
      <c r="U754" s="146"/>
      <c r="V754" s="146"/>
      <c r="W754" s="146"/>
      <c r="X754" s="146"/>
      <c r="Y754" s="331">
        <f t="shared" si="36"/>
        <v>0</v>
      </c>
      <c r="Z754" s="146"/>
      <c r="AA754" s="146"/>
      <c r="AB754" s="146"/>
      <c r="AC754" s="146"/>
      <c r="AD754" s="146"/>
      <c r="AE754" s="146"/>
      <c r="AF754" s="146"/>
      <c r="AG754" s="146"/>
      <c r="AH754" s="331">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29">
        <f t="shared" si="35"/>
        <v>0</v>
      </c>
      <c r="Q755" s="146"/>
      <c r="R755" s="146"/>
      <c r="S755" s="146"/>
      <c r="T755" s="146"/>
      <c r="U755" s="146"/>
      <c r="V755" s="146"/>
      <c r="W755" s="146"/>
      <c r="X755" s="146"/>
      <c r="Y755" s="331">
        <f t="shared" si="36"/>
        <v>0</v>
      </c>
      <c r="Z755" s="146"/>
      <c r="AA755" s="146"/>
      <c r="AB755" s="146"/>
      <c r="AC755" s="146"/>
      <c r="AD755" s="146"/>
      <c r="AE755" s="146"/>
      <c r="AF755" s="146"/>
      <c r="AG755" s="146"/>
      <c r="AH755" s="331">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29">
        <f t="shared" si="35"/>
        <v>0</v>
      </c>
      <c r="Q756" s="146"/>
      <c r="R756" s="146"/>
      <c r="S756" s="146"/>
      <c r="T756" s="146"/>
      <c r="U756" s="146"/>
      <c r="V756" s="146"/>
      <c r="W756" s="146"/>
      <c r="X756" s="146"/>
      <c r="Y756" s="331">
        <f t="shared" si="36"/>
        <v>0</v>
      </c>
      <c r="Z756" s="146"/>
      <c r="AA756" s="146"/>
      <c r="AB756" s="146"/>
      <c r="AC756" s="146"/>
      <c r="AD756" s="146"/>
      <c r="AE756" s="146"/>
      <c r="AF756" s="146"/>
      <c r="AG756" s="146"/>
      <c r="AH756" s="331">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29">
        <f t="shared" si="35"/>
        <v>0</v>
      </c>
      <c r="Q757" s="146"/>
      <c r="R757" s="146"/>
      <c r="S757" s="146"/>
      <c r="T757" s="146"/>
      <c r="U757" s="146"/>
      <c r="V757" s="146"/>
      <c r="W757" s="146"/>
      <c r="X757" s="146"/>
      <c r="Y757" s="331">
        <f t="shared" si="36"/>
        <v>0</v>
      </c>
      <c r="Z757" s="146"/>
      <c r="AA757" s="146"/>
      <c r="AB757" s="146"/>
      <c r="AC757" s="146"/>
      <c r="AD757" s="146"/>
      <c r="AE757" s="146"/>
      <c r="AF757" s="146"/>
      <c r="AG757" s="146"/>
      <c r="AH757" s="331">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29">
        <f t="shared" si="35"/>
        <v>0</v>
      </c>
      <c r="Q758" s="146"/>
      <c r="R758" s="146"/>
      <c r="S758" s="146"/>
      <c r="T758" s="146"/>
      <c r="U758" s="146"/>
      <c r="V758" s="146"/>
      <c r="W758" s="146"/>
      <c r="X758" s="146"/>
      <c r="Y758" s="331">
        <f t="shared" si="36"/>
        <v>0</v>
      </c>
      <c r="Z758" s="146"/>
      <c r="AA758" s="146"/>
      <c r="AB758" s="146"/>
      <c r="AC758" s="146"/>
      <c r="AD758" s="146"/>
      <c r="AE758" s="146"/>
      <c r="AF758" s="146"/>
      <c r="AG758" s="146"/>
      <c r="AH758" s="331">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29">
        <f t="shared" si="35"/>
        <v>0</v>
      </c>
      <c r="Q759" s="146"/>
      <c r="R759" s="146"/>
      <c r="S759" s="146"/>
      <c r="T759" s="146"/>
      <c r="U759" s="146"/>
      <c r="V759" s="146"/>
      <c r="W759" s="146"/>
      <c r="X759" s="146"/>
      <c r="Y759" s="331">
        <f t="shared" si="36"/>
        <v>0</v>
      </c>
      <c r="Z759" s="146"/>
      <c r="AA759" s="146"/>
      <c r="AB759" s="146"/>
      <c r="AC759" s="146"/>
      <c r="AD759" s="146"/>
      <c r="AE759" s="146"/>
      <c r="AF759" s="146"/>
      <c r="AG759" s="146"/>
      <c r="AH759" s="331">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29">
        <f t="shared" si="35"/>
        <v>0</v>
      </c>
      <c r="Q760" s="146"/>
      <c r="R760" s="146"/>
      <c r="S760" s="146"/>
      <c r="T760" s="146"/>
      <c r="U760" s="146"/>
      <c r="V760" s="146"/>
      <c r="W760" s="146"/>
      <c r="X760" s="146"/>
      <c r="Y760" s="331">
        <f t="shared" si="36"/>
        <v>0</v>
      </c>
      <c r="Z760" s="146"/>
      <c r="AA760" s="146"/>
      <c r="AB760" s="146"/>
      <c r="AC760" s="146"/>
      <c r="AD760" s="146"/>
      <c r="AE760" s="146"/>
      <c r="AF760" s="146"/>
      <c r="AG760" s="146"/>
      <c r="AH760" s="331">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29">
        <f t="shared" si="35"/>
        <v>0</v>
      </c>
      <c r="Q761" s="146"/>
      <c r="R761" s="146"/>
      <c r="S761" s="146"/>
      <c r="T761" s="146"/>
      <c r="U761" s="146"/>
      <c r="V761" s="146"/>
      <c r="W761" s="146"/>
      <c r="X761" s="146"/>
      <c r="Y761" s="331">
        <f t="shared" si="36"/>
        <v>0</v>
      </c>
      <c r="Z761" s="146"/>
      <c r="AA761" s="146"/>
      <c r="AB761" s="146"/>
      <c r="AC761" s="146"/>
      <c r="AD761" s="146"/>
      <c r="AE761" s="146"/>
      <c r="AF761" s="146"/>
      <c r="AG761" s="146"/>
      <c r="AH761" s="331">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29">
        <f t="shared" si="35"/>
        <v>0</v>
      </c>
      <c r="Q762" s="146"/>
      <c r="R762" s="146"/>
      <c r="S762" s="146"/>
      <c r="T762" s="146"/>
      <c r="U762" s="146"/>
      <c r="V762" s="146"/>
      <c r="W762" s="146"/>
      <c r="X762" s="146"/>
      <c r="Y762" s="331">
        <f t="shared" si="36"/>
        <v>0</v>
      </c>
      <c r="Z762" s="146"/>
      <c r="AA762" s="146"/>
      <c r="AB762" s="146"/>
      <c r="AC762" s="146"/>
      <c r="AD762" s="146"/>
      <c r="AE762" s="146"/>
      <c r="AF762" s="146"/>
      <c r="AG762" s="146"/>
      <c r="AH762" s="331">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29">
        <f t="shared" si="35"/>
        <v>0</v>
      </c>
      <c r="Q763" s="146"/>
      <c r="R763" s="146"/>
      <c r="S763" s="146"/>
      <c r="T763" s="146"/>
      <c r="U763" s="146"/>
      <c r="V763" s="146"/>
      <c r="W763" s="146"/>
      <c r="X763" s="146"/>
      <c r="Y763" s="331">
        <f t="shared" si="36"/>
        <v>0</v>
      </c>
      <c r="Z763" s="146"/>
      <c r="AA763" s="146"/>
      <c r="AB763" s="146"/>
      <c r="AC763" s="146"/>
      <c r="AD763" s="146"/>
      <c r="AE763" s="146"/>
      <c r="AF763" s="146"/>
      <c r="AG763" s="146"/>
      <c r="AH763" s="331">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29">
        <f t="shared" si="35"/>
        <v>0</v>
      </c>
      <c r="Q764" s="146"/>
      <c r="R764" s="146"/>
      <c r="S764" s="146"/>
      <c r="T764" s="146"/>
      <c r="U764" s="146"/>
      <c r="V764" s="146"/>
      <c r="W764" s="146"/>
      <c r="X764" s="146"/>
      <c r="Y764" s="331">
        <f t="shared" si="36"/>
        <v>0</v>
      </c>
      <c r="Z764" s="146"/>
      <c r="AA764" s="146"/>
      <c r="AB764" s="146"/>
      <c r="AC764" s="146"/>
      <c r="AD764" s="146"/>
      <c r="AE764" s="146"/>
      <c r="AF764" s="146"/>
      <c r="AG764" s="146"/>
      <c r="AH764" s="331">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29">
        <f t="shared" si="35"/>
        <v>0</v>
      </c>
      <c r="Q765" s="146"/>
      <c r="R765" s="146"/>
      <c r="S765" s="146"/>
      <c r="T765" s="146"/>
      <c r="U765" s="146"/>
      <c r="V765" s="146"/>
      <c r="W765" s="146"/>
      <c r="X765" s="146"/>
      <c r="Y765" s="331">
        <f t="shared" si="36"/>
        <v>0</v>
      </c>
      <c r="Z765" s="146"/>
      <c r="AA765" s="146"/>
      <c r="AB765" s="146"/>
      <c r="AC765" s="146"/>
      <c r="AD765" s="146"/>
      <c r="AE765" s="146"/>
      <c r="AF765" s="146"/>
      <c r="AG765" s="146"/>
      <c r="AH765" s="331">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29">
        <f t="shared" si="35"/>
        <v>0</v>
      </c>
      <c r="Q766" s="146"/>
      <c r="R766" s="146"/>
      <c r="S766" s="146"/>
      <c r="T766" s="146"/>
      <c r="U766" s="146"/>
      <c r="V766" s="146"/>
      <c r="W766" s="146"/>
      <c r="X766" s="146"/>
      <c r="Y766" s="331">
        <f t="shared" si="36"/>
        <v>0</v>
      </c>
      <c r="Z766" s="146"/>
      <c r="AA766" s="146"/>
      <c r="AB766" s="146"/>
      <c r="AC766" s="146"/>
      <c r="AD766" s="146"/>
      <c r="AE766" s="146"/>
      <c r="AF766" s="146"/>
      <c r="AG766" s="146"/>
      <c r="AH766" s="331">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29">
        <f t="shared" si="35"/>
        <v>0</v>
      </c>
      <c r="Q767" s="146"/>
      <c r="R767" s="146"/>
      <c r="S767" s="146"/>
      <c r="T767" s="146"/>
      <c r="U767" s="146"/>
      <c r="V767" s="146"/>
      <c r="W767" s="146"/>
      <c r="X767" s="146"/>
      <c r="Y767" s="331">
        <f t="shared" si="36"/>
        <v>0</v>
      </c>
      <c r="Z767" s="146"/>
      <c r="AA767" s="146"/>
      <c r="AB767" s="146"/>
      <c r="AC767" s="146"/>
      <c r="AD767" s="146"/>
      <c r="AE767" s="146"/>
      <c r="AF767" s="146"/>
      <c r="AG767" s="146"/>
      <c r="AH767" s="331">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29">
        <f t="shared" si="35"/>
        <v>0</v>
      </c>
      <c r="Q768" s="146"/>
      <c r="R768" s="146"/>
      <c r="S768" s="146"/>
      <c r="T768" s="146"/>
      <c r="U768" s="146"/>
      <c r="V768" s="146"/>
      <c r="W768" s="146"/>
      <c r="X768" s="146"/>
      <c r="Y768" s="331">
        <f t="shared" si="36"/>
        <v>0</v>
      </c>
      <c r="Z768" s="146"/>
      <c r="AA768" s="146"/>
      <c r="AB768" s="146"/>
      <c r="AC768" s="146"/>
      <c r="AD768" s="146"/>
      <c r="AE768" s="146"/>
      <c r="AF768" s="146"/>
      <c r="AG768" s="146"/>
      <c r="AH768" s="331">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29">
        <f t="shared" si="35"/>
        <v>0</v>
      </c>
      <c r="Q769" s="146"/>
      <c r="R769" s="146"/>
      <c r="S769" s="146"/>
      <c r="T769" s="146"/>
      <c r="U769" s="146"/>
      <c r="V769" s="146"/>
      <c r="W769" s="146"/>
      <c r="X769" s="146"/>
      <c r="Y769" s="331">
        <f t="shared" si="36"/>
        <v>0</v>
      </c>
      <c r="Z769" s="146"/>
      <c r="AA769" s="146"/>
      <c r="AB769" s="146"/>
      <c r="AC769" s="146"/>
      <c r="AD769" s="146"/>
      <c r="AE769" s="146"/>
      <c r="AF769" s="146"/>
      <c r="AG769" s="146"/>
      <c r="AH769" s="331">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29">
        <f t="shared" si="35"/>
        <v>0</v>
      </c>
      <c r="Q770" s="146"/>
      <c r="R770" s="146"/>
      <c r="S770" s="146"/>
      <c r="T770" s="146"/>
      <c r="U770" s="146"/>
      <c r="V770" s="146"/>
      <c r="W770" s="146"/>
      <c r="X770" s="146"/>
      <c r="Y770" s="331">
        <f t="shared" si="36"/>
        <v>0</v>
      </c>
      <c r="Z770" s="146"/>
      <c r="AA770" s="146"/>
      <c r="AB770" s="146"/>
      <c r="AC770" s="146"/>
      <c r="AD770" s="146"/>
      <c r="AE770" s="146"/>
      <c r="AF770" s="146"/>
      <c r="AG770" s="146"/>
      <c r="AH770" s="331">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29">
        <f t="shared" si="35"/>
        <v>0</v>
      </c>
      <c r="Q771" s="146"/>
      <c r="R771" s="146"/>
      <c r="S771" s="146"/>
      <c r="T771" s="146"/>
      <c r="U771" s="146"/>
      <c r="V771" s="146"/>
      <c r="W771" s="146"/>
      <c r="X771" s="146"/>
      <c r="Y771" s="331">
        <f t="shared" si="36"/>
        <v>0</v>
      </c>
      <c r="Z771" s="146"/>
      <c r="AA771" s="146"/>
      <c r="AB771" s="146"/>
      <c r="AC771" s="146"/>
      <c r="AD771" s="146"/>
      <c r="AE771" s="146"/>
      <c r="AF771" s="146"/>
      <c r="AG771" s="146"/>
      <c r="AH771" s="331">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29">
        <f t="shared" si="35"/>
        <v>0</v>
      </c>
      <c r="Q772" s="146"/>
      <c r="R772" s="146"/>
      <c r="S772" s="146"/>
      <c r="T772" s="146"/>
      <c r="U772" s="146"/>
      <c r="V772" s="146"/>
      <c r="W772" s="146"/>
      <c r="X772" s="146"/>
      <c r="Y772" s="331">
        <f t="shared" si="36"/>
        <v>0</v>
      </c>
      <c r="Z772" s="146"/>
      <c r="AA772" s="146"/>
      <c r="AB772" s="146"/>
      <c r="AC772" s="146"/>
      <c r="AD772" s="146"/>
      <c r="AE772" s="146"/>
      <c r="AF772" s="146"/>
      <c r="AG772" s="146"/>
      <c r="AH772" s="331">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29">
        <f t="shared" si="35"/>
        <v>0</v>
      </c>
      <c r="Q773" s="146"/>
      <c r="R773" s="146"/>
      <c r="S773" s="146"/>
      <c r="T773" s="146"/>
      <c r="U773" s="146"/>
      <c r="V773" s="146"/>
      <c r="W773" s="146"/>
      <c r="X773" s="146"/>
      <c r="Y773" s="331">
        <f t="shared" si="36"/>
        <v>0</v>
      </c>
      <c r="Z773" s="146"/>
      <c r="AA773" s="146"/>
      <c r="AB773" s="146"/>
      <c r="AC773" s="146"/>
      <c r="AD773" s="146"/>
      <c r="AE773" s="146"/>
      <c r="AF773" s="146"/>
      <c r="AG773" s="146"/>
      <c r="AH773" s="331">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29">
        <f t="shared" si="35"/>
        <v>0</v>
      </c>
      <c r="Q774" s="146"/>
      <c r="R774" s="146"/>
      <c r="S774" s="146"/>
      <c r="T774" s="146"/>
      <c r="U774" s="146"/>
      <c r="V774" s="146"/>
      <c r="W774" s="146"/>
      <c r="X774" s="146"/>
      <c r="Y774" s="331">
        <f t="shared" si="36"/>
        <v>0</v>
      </c>
      <c r="Z774" s="146"/>
      <c r="AA774" s="146"/>
      <c r="AB774" s="146"/>
      <c r="AC774" s="146"/>
      <c r="AD774" s="146"/>
      <c r="AE774" s="146"/>
      <c r="AF774" s="146"/>
      <c r="AG774" s="146"/>
      <c r="AH774" s="331">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29">
        <f t="shared" si="35"/>
        <v>0</v>
      </c>
      <c r="Q775" s="146"/>
      <c r="R775" s="146"/>
      <c r="S775" s="146"/>
      <c r="T775" s="146"/>
      <c r="U775" s="146"/>
      <c r="V775" s="146"/>
      <c r="W775" s="146"/>
      <c r="X775" s="146"/>
      <c r="Y775" s="331">
        <f t="shared" si="36"/>
        <v>0</v>
      </c>
      <c r="Z775" s="146"/>
      <c r="AA775" s="146"/>
      <c r="AB775" s="146"/>
      <c r="AC775" s="146"/>
      <c r="AD775" s="146"/>
      <c r="AE775" s="146"/>
      <c r="AF775" s="146"/>
      <c r="AG775" s="146"/>
      <c r="AH775" s="331">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29">
        <f t="shared" si="35"/>
        <v>0</v>
      </c>
      <c r="Q776" s="146"/>
      <c r="R776" s="146"/>
      <c r="S776" s="146"/>
      <c r="T776" s="146"/>
      <c r="U776" s="146"/>
      <c r="V776" s="146"/>
      <c r="W776" s="146"/>
      <c r="X776" s="146"/>
      <c r="Y776" s="331">
        <f t="shared" si="36"/>
        <v>0</v>
      </c>
      <c r="Z776" s="146"/>
      <c r="AA776" s="146"/>
      <c r="AB776" s="146"/>
      <c r="AC776" s="146"/>
      <c r="AD776" s="146"/>
      <c r="AE776" s="146"/>
      <c r="AF776" s="146"/>
      <c r="AG776" s="146"/>
      <c r="AH776" s="331">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29">
        <f t="shared" si="35"/>
        <v>0</v>
      </c>
      <c r="Q777" s="146"/>
      <c r="R777" s="146"/>
      <c r="S777" s="146"/>
      <c r="T777" s="146"/>
      <c r="U777" s="146"/>
      <c r="V777" s="146"/>
      <c r="W777" s="146"/>
      <c r="X777" s="146"/>
      <c r="Y777" s="331">
        <f t="shared" si="36"/>
        <v>0</v>
      </c>
      <c r="Z777" s="146"/>
      <c r="AA777" s="146"/>
      <c r="AB777" s="146"/>
      <c r="AC777" s="146"/>
      <c r="AD777" s="146"/>
      <c r="AE777" s="146"/>
      <c r="AF777" s="146"/>
      <c r="AG777" s="146"/>
      <c r="AH777" s="331">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29">
        <f t="shared" si="35"/>
        <v>0</v>
      </c>
      <c r="Q778" s="146"/>
      <c r="R778" s="146"/>
      <c r="S778" s="146"/>
      <c r="T778" s="146"/>
      <c r="U778" s="146"/>
      <c r="V778" s="146"/>
      <c r="W778" s="146"/>
      <c r="X778" s="146"/>
      <c r="Y778" s="331">
        <f t="shared" si="36"/>
        <v>0</v>
      </c>
      <c r="Z778" s="146"/>
      <c r="AA778" s="146"/>
      <c r="AB778" s="146"/>
      <c r="AC778" s="146"/>
      <c r="AD778" s="146"/>
      <c r="AE778" s="146"/>
      <c r="AF778" s="146"/>
      <c r="AG778" s="146"/>
      <c r="AH778" s="331">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29">
        <f t="shared" si="35"/>
        <v>0</v>
      </c>
      <c r="Q779" s="146"/>
      <c r="R779" s="146"/>
      <c r="S779" s="146"/>
      <c r="T779" s="146"/>
      <c r="U779" s="146"/>
      <c r="V779" s="146"/>
      <c r="W779" s="146"/>
      <c r="X779" s="146"/>
      <c r="Y779" s="331">
        <f t="shared" si="36"/>
        <v>0</v>
      </c>
      <c r="Z779" s="146"/>
      <c r="AA779" s="146"/>
      <c r="AB779" s="146"/>
      <c r="AC779" s="146"/>
      <c r="AD779" s="146"/>
      <c r="AE779" s="146"/>
      <c r="AF779" s="146"/>
      <c r="AG779" s="146"/>
      <c r="AH779" s="331">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29">
        <f t="shared" si="35"/>
        <v>0</v>
      </c>
      <c r="Q780" s="146"/>
      <c r="R780" s="146"/>
      <c r="S780" s="146"/>
      <c r="T780" s="146"/>
      <c r="U780" s="146"/>
      <c r="V780" s="146"/>
      <c r="W780" s="146"/>
      <c r="X780" s="146"/>
      <c r="Y780" s="331">
        <f t="shared" si="36"/>
        <v>0</v>
      </c>
      <c r="Z780" s="146"/>
      <c r="AA780" s="146"/>
      <c r="AB780" s="146"/>
      <c r="AC780" s="146"/>
      <c r="AD780" s="146"/>
      <c r="AE780" s="146"/>
      <c r="AF780" s="146"/>
      <c r="AG780" s="146"/>
      <c r="AH780" s="331">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29">
        <f t="shared" ref="P781:P844" si="38">SUM(H781:N781)</f>
        <v>0</v>
      </c>
      <c r="Q781" s="146"/>
      <c r="R781" s="146"/>
      <c r="S781" s="146"/>
      <c r="T781" s="146"/>
      <c r="U781" s="146"/>
      <c r="V781" s="146"/>
      <c r="W781" s="146"/>
      <c r="X781" s="146"/>
      <c r="Y781" s="331">
        <f t="shared" ref="Y781:Y844" si="39">SUM(Q781:W781)</f>
        <v>0</v>
      </c>
      <c r="Z781" s="146"/>
      <c r="AA781" s="146"/>
      <c r="AB781" s="146"/>
      <c r="AC781" s="146"/>
      <c r="AD781" s="146"/>
      <c r="AE781" s="146"/>
      <c r="AF781" s="146"/>
      <c r="AG781" s="146"/>
      <c r="AH781" s="331">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29">
        <f t="shared" si="38"/>
        <v>0</v>
      </c>
      <c r="Q782" s="146"/>
      <c r="R782" s="146"/>
      <c r="S782" s="146"/>
      <c r="T782" s="146"/>
      <c r="U782" s="146"/>
      <c r="V782" s="146"/>
      <c r="W782" s="146"/>
      <c r="X782" s="146"/>
      <c r="Y782" s="331">
        <f t="shared" si="39"/>
        <v>0</v>
      </c>
      <c r="Z782" s="146"/>
      <c r="AA782" s="146"/>
      <c r="AB782" s="146"/>
      <c r="AC782" s="146"/>
      <c r="AD782" s="146"/>
      <c r="AE782" s="146"/>
      <c r="AF782" s="146"/>
      <c r="AG782" s="146"/>
      <c r="AH782" s="331">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29">
        <f t="shared" si="38"/>
        <v>0</v>
      </c>
      <c r="Q783" s="146"/>
      <c r="R783" s="146"/>
      <c r="S783" s="146"/>
      <c r="T783" s="146"/>
      <c r="U783" s="146"/>
      <c r="V783" s="146"/>
      <c r="W783" s="146"/>
      <c r="X783" s="146"/>
      <c r="Y783" s="331">
        <f t="shared" si="39"/>
        <v>0</v>
      </c>
      <c r="Z783" s="146"/>
      <c r="AA783" s="146"/>
      <c r="AB783" s="146"/>
      <c r="AC783" s="146"/>
      <c r="AD783" s="146"/>
      <c r="AE783" s="146"/>
      <c r="AF783" s="146"/>
      <c r="AG783" s="146"/>
      <c r="AH783" s="331">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29">
        <f t="shared" si="38"/>
        <v>0</v>
      </c>
      <c r="Q784" s="146"/>
      <c r="R784" s="146"/>
      <c r="S784" s="146"/>
      <c r="T784" s="146"/>
      <c r="U784" s="146"/>
      <c r="V784" s="146"/>
      <c r="W784" s="146"/>
      <c r="X784" s="146"/>
      <c r="Y784" s="331">
        <f t="shared" si="39"/>
        <v>0</v>
      </c>
      <c r="Z784" s="146"/>
      <c r="AA784" s="146"/>
      <c r="AB784" s="146"/>
      <c r="AC784" s="146"/>
      <c r="AD784" s="146"/>
      <c r="AE784" s="146"/>
      <c r="AF784" s="146"/>
      <c r="AG784" s="146"/>
      <c r="AH784" s="331">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29">
        <f t="shared" si="38"/>
        <v>0</v>
      </c>
      <c r="Q785" s="146"/>
      <c r="R785" s="146"/>
      <c r="S785" s="146"/>
      <c r="T785" s="146"/>
      <c r="U785" s="146"/>
      <c r="V785" s="146"/>
      <c r="W785" s="146"/>
      <c r="X785" s="146"/>
      <c r="Y785" s="331">
        <f t="shared" si="39"/>
        <v>0</v>
      </c>
      <c r="Z785" s="146"/>
      <c r="AA785" s="146"/>
      <c r="AB785" s="146"/>
      <c r="AC785" s="146"/>
      <c r="AD785" s="146"/>
      <c r="AE785" s="146"/>
      <c r="AF785" s="146"/>
      <c r="AG785" s="146"/>
      <c r="AH785" s="331">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29">
        <f t="shared" si="38"/>
        <v>0</v>
      </c>
      <c r="Q786" s="146"/>
      <c r="R786" s="146"/>
      <c r="S786" s="146"/>
      <c r="T786" s="146"/>
      <c r="U786" s="146"/>
      <c r="V786" s="146"/>
      <c r="W786" s="146"/>
      <c r="X786" s="146"/>
      <c r="Y786" s="331">
        <f t="shared" si="39"/>
        <v>0</v>
      </c>
      <c r="Z786" s="146"/>
      <c r="AA786" s="146"/>
      <c r="AB786" s="146"/>
      <c r="AC786" s="146"/>
      <c r="AD786" s="146"/>
      <c r="AE786" s="146"/>
      <c r="AF786" s="146"/>
      <c r="AG786" s="146"/>
      <c r="AH786" s="331">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29">
        <f t="shared" si="38"/>
        <v>0</v>
      </c>
      <c r="Q787" s="146"/>
      <c r="R787" s="146"/>
      <c r="S787" s="146"/>
      <c r="T787" s="146"/>
      <c r="U787" s="146"/>
      <c r="V787" s="146"/>
      <c r="W787" s="146"/>
      <c r="X787" s="146"/>
      <c r="Y787" s="331">
        <f t="shared" si="39"/>
        <v>0</v>
      </c>
      <c r="Z787" s="146"/>
      <c r="AA787" s="146"/>
      <c r="AB787" s="146"/>
      <c r="AC787" s="146"/>
      <c r="AD787" s="146"/>
      <c r="AE787" s="146"/>
      <c r="AF787" s="146"/>
      <c r="AG787" s="146"/>
      <c r="AH787" s="331">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29">
        <f t="shared" si="38"/>
        <v>0</v>
      </c>
      <c r="Q788" s="146"/>
      <c r="R788" s="146"/>
      <c r="S788" s="146"/>
      <c r="T788" s="146"/>
      <c r="U788" s="146"/>
      <c r="V788" s="146"/>
      <c r="W788" s="146"/>
      <c r="X788" s="146"/>
      <c r="Y788" s="331">
        <f t="shared" si="39"/>
        <v>0</v>
      </c>
      <c r="Z788" s="146"/>
      <c r="AA788" s="146"/>
      <c r="AB788" s="146"/>
      <c r="AC788" s="146"/>
      <c r="AD788" s="146"/>
      <c r="AE788" s="146"/>
      <c r="AF788" s="146"/>
      <c r="AG788" s="146"/>
      <c r="AH788" s="331">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29">
        <f t="shared" si="38"/>
        <v>0</v>
      </c>
      <c r="Q789" s="146"/>
      <c r="R789" s="146"/>
      <c r="S789" s="146"/>
      <c r="T789" s="146"/>
      <c r="U789" s="146"/>
      <c r="V789" s="146"/>
      <c r="W789" s="146"/>
      <c r="X789" s="146"/>
      <c r="Y789" s="331">
        <f t="shared" si="39"/>
        <v>0</v>
      </c>
      <c r="Z789" s="146"/>
      <c r="AA789" s="146"/>
      <c r="AB789" s="146"/>
      <c r="AC789" s="146"/>
      <c r="AD789" s="146"/>
      <c r="AE789" s="146"/>
      <c r="AF789" s="146"/>
      <c r="AG789" s="146"/>
      <c r="AH789" s="331">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29">
        <f t="shared" si="38"/>
        <v>0</v>
      </c>
      <c r="Q790" s="146"/>
      <c r="R790" s="146"/>
      <c r="S790" s="146"/>
      <c r="T790" s="146"/>
      <c r="U790" s="146"/>
      <c r="V790" s="146"/>
      <c r="W790" s="146"/>
      <c r="X790" s="146"/>
      <c r="Y790" s="331">
        <f t="shared" si="39"/>
        <v>0</v>
      </c>
      <c r="Z790" s="146"/>
      <c r="AA790" s="146"/>
      <c r="AB790" s="146"/>
      <c r="AC790" s="146"/>
      <c r="AD790" s="146"/>
      <c r="AE790" s="146"/>
      <c r="AF790" s="146"/>
      <c r="AG790" s="146"/>
      <c r="AH790" s="331">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29">
        <f t="shared" si="38"/>
        <v>0</v>
      </c>
      <c r="Q791" s="146"/>
      <c r="R791" s="146"/>
      <c r="S791" s="146"/>
      <c r="T791" s="146"/>
      <c r="U791" s="146"/>
      <c r="V791" s="146"/>
      <c r="W791" s="146"/>
      <c r="X791" s="146"/>
      <c r="Y791" s="331">
        <f t="shared" si="39"/>
        <v>0</v>
      </c>
      <c r="Z791" s="146"/>
      <c r="AA791" s="146"/>
      <c r="AB791" s="146"/>
      <c r="AC791" s="146"/>
      <c r="AD791" s="146"/>
      <c r="AE791" s="146"/>
      <c r="AF791" s="146"/>
      <c r="AG791" s="146"/>
      <c r="AH791" s="331">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29">
        <f t="shared" si="38"/>
        <v>0</v>
      </c>
      <c r="Q792" s="146"/>
      <c r="R792" s="146"/>
      <c r="S792" s="146"/>
      <c r="T792" s="146"/>
      <c r="U792" s="146"/>
      <c r="V792" s="146"/>
      <c r="W792" s="146"/>
      <c r="X792" s="146"/>
      <c r="Y792" s="331">
        <f t="shared" si="39"/>
        <v>0</v>
      </c>
      <c r="Z792" s="146"/>
      <c r="AA792" s="146"/>
      <c r="AB792" s="146"/>
      <c r="AC792" s="146"/>
      <c r="AD792" s="146"/>
      <c r="AE792" s="146"/>
      <c r="AF792" s="146"/>
      <c r="AG792" s="146"/>
      <c r="AH792" s="331">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29">
        <f t="shared" si="38"/>
        <v>0</v>
      </c>
      <c r="Q793" s="146"/>
      <c r="R793" s="146"/>
      <c r="S793" s="146"/>
      <c r="T793" s="146"/>
      <c r="U793" s="146"/>
      <c r="V793" s="146"/>
      <c r="W793" s="146"/>
      <c r="X793" s="146"/>
      <c r="Y793" s="331">
        <f t="shared" si="39"/>
        <v>0</v>
      </c>
      <c r="Z793" s="146"/>
      <c r="AA793" s="146"/>
      <c r="AB793" s="146"/>
      <c r="AC793" s="146"/>
      <c r="AD793" s="146"/>
      <c r="AE793" s="146"/>
      <c r="AF793" s="146"/>
      <c r="AG793" s="146"/>
      <c r="AH793" s="331">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29">
        <f t="shared" si="38"/>
        <v>0</v>
      </c>
      <c r="Q794" s="146"/>
      <c r="R794" s="146"/>
      <c r="S794" s="146"/>
      <c r="T794" s="146"/>
      <c r="U794" s="146"/>
      <c r="V794" s="146"/>
      <c r="W794" s="146"/>
      <c r="X794" s="146"/>
      <c r="Y794" s="331">
        <f t="shared" si="39"/>
        <v>0</v>
      </c>
      <c r="Z794" s="146"/>
      <c r="AA794" s="146"/>
      <c r="AB794" s="146"/>
      <c r="AC794" s="146"/>
      <c r="AD794" s="146"/>
      <c r="AE794" s="146"/>
      <c r="AF794" s="146"/>
      <c r="AG794" s="146"/>
      <c r="AH794" s="331">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29">
        <f t="shared" si="38"/>
        <v>0</v>
      </c>
      <c r="Q795" s="146"/>
      <c r="R795" s="146"/>
      <c r="S795" s="146"/>
      <c r="T795" s="146"/>
      <c r="U795" s="146"/>
      <c r="V795" s="146"/>
      <c r="W795" s="146"/>
      <c r="X795" s="146"/>
      <c r="Y795" s="331">
        <f t="shared" si="39"/>
        <v>0</v>
      </c>
      <c r="Z795" s="146"/>
      <c r="AA795" s="146"/>
      <c r="AB795" s="146"/>
      <c r="AC795" s="146"/>
      <c r="AD795" s="146"/>
      <c r="AE795" s="146"/>
      <c r="AF795" s="146"/>
      <c r="AG795" s="146"/>
      <c r="AH795" s="331">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29">
        <f t="shared" si="38"/>
        <v>0</v>
      </c>
      <c r="Q796" s="146"/>
      <c r="R796" s="146"/>
      <c r="S796" s="146"/>
      <c r="T796" s="146"/>
      <c r="U796" s="146"/>
      <c r="V796" s="146"/>
      <c r="W796" s="146"/>
      <c r="X796" s="146"/>
      <c r="Y796" s="331">
        <f t="shared" si="39"/>
        <v>0</v>
      </c>
      <c r="Z796" s="146"/>
      <c r="AA796" s="146"/>
      <c r="AB796" s="146"/>
      <c r="AC796" s="146"/>
      <c r="AD796" s="146"/>
      <c r="AE796" s="146"/>
      <c r="AF796" s="146"/>
      <c r="AG796" s="146"/>
      <c r="AH796" s="331">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29">
        <f t="shared" si="38"/>
        <v>0</v>
      </c>
      <c r="Q797" s="146"/>
      <c r="R797" s="146"/>
      <c r="S797" s="146"/>
      <c r="T797" s="146"/>
      <c r="U797" s="146"/>
      <c r="V797" s="146"/>
      <c r="W797" s="146"/>
      <c r="X797" s="146"/>
      <c r="Y797" s="331">
        <f t="shared" si="39"/>
        <v>0</v>
      </c>
      <c r="Z797" s="146"/>
      <c r="AA797" s="146"/>
      <c r="AB797" s="146"/>
      <c r="AC797" s="146"/>
      <c r="AD797" s="146"/>
      <c r="AE797" s="146"/>
      <c r="AF797" s="146"/>
      <c r="AG797" s="146"/>
      <c r="AH797" s="331">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29">
        <f t="shared" si="38"/>
        <v>0</v>
      </c>
      <c r="Q798" s="146"/>
      <c r="R798" s="146"/>
      <c r="S798" s="146"/>
      <c r="T798" s="146"/>
      <c r="U798" s="146"/>
      <c r="V798" s="146"/>
      <c r="W798" s="146"/>
      <c r="X798" s="146"/>
      <c r="Y798" s="331">
        <f t="shared" si="39"/>
        <v>0</v>
      </c>
      <c r="Z798" s="146"/>
      <c r="AA798" s="146"/>
      <c r="AB798" s="146"/>
      <c r="AC798" s="146"/>
      <c r="AD798" s="146"/>
      <c r="AE798" s="146"/>
      <c r="AF798" s="146"/>
      <c r="AG798" s="146"/>
      <c r="AH798" s="331">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29">
        <f t="shared" si="38"/>
        <v>0</v>
      </c>
      <c r="Q799" s="146"/>
      <c r="R799" s="146"/>
      <c r="S799" s="146"/>
      <c r="T799" s="146"/>
      <c r="U799" s="146"/>
      <c r="V799" s="146"/>
      <c r="W799" s="146"/>
      <c r="X799" s="146"/>
      <c r="Y799" s="331">
        <f t="shared" si="39"/>
        <v>0</v>
      </c>
      <c r="Z799" s="146"/>
      <c r="AA799" s="146"/>
      <c r="AB799" s="146"/>
      <c r="AC799" s="146"/>
      <c r="AD799" s="146"/>
      <c r="AE799" s="146"/>
      <c r="AF799" s="146"/>
      <c r="AG799" s="146"/>
      <c r="AH799" s="331">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29">
        <f t="shared" si="38"/>
        <v>0</v>
      </c>
      <c r="Q800" s="146"/>
      <c r="R800" s="146"/>
      <c r="S800" s="146"/>
      <c r="T800" s="146"/>
      <c r="U800" s="146"/>
      <c r="V800" s="146"/>
      <c r="W800" s="146"/>
      <c r="X800" s="146"/>
      <c r="Y800" s="331">
        <f t="shared" si="39"/>
        <v>0</v>
      </c>
      <c r="Z800" s="146"/>
      <c r="AA800" s="146"/>
      <c r="AB800" s="146"/>
      <c r="AC800" s="146"/>
      <c r="AD800" s="146"/>
      <c r="AE800" s="146"/>
      <c r="AF800" s="146"/>
      <c r="AG800" s="146"/>
      <c r="AH800" s="331">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29">
        <f t="shared" si="38"/>
        <v>0</v>
      </c>
      <c r="Q801" s="146"/>
      <c r="R801" s="146"/>
      <c r="S801" s="146"/>
      <c r="T801" s="146"/>
      <c r="U801" s="146"/>
      <c r="V801" s="146"/>
      <c r="W801" s="146"/>
      <c r="X801" s="146"/>
      <c r="Y801" s="331">
        <f t="shared" si="39"/>
        <v>0</v>
      </c>
      <c r="Z801" s="146"/>
      <c r="AA801" s="146"/>
      <c r="AB801" s="146"/>
      <c r="AC801" s="146"/>
      <c r="AD801" s="146"/>
      <c r="AE801" s="146"/>
      <c r="AF801" s="146"/>
      <c r="AG801" s="146"/>
      <c r="AH801" s="331">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29">
        <f t="shared" si="38"/>
        <v>0</v>
      </c>
      <c r="Q802" s="146"/>
      <c r="R802" s="146"/>
      <c r="S802" s="146"/>
      <c r="T802" s="146"/>
      <c r="U802" s="146"/>
      <c r="V802" s="146"/>
      <c r="W802" s="146"/>
      <c r="X802" s="146"/>
      <c r="Y802" s="331">
        <f t="shared" si="39"/>
        <v>0</v>
      </c>
      <c r="Z802" s="146"/>
      <c r="AA802" s="146"/>
      <c r="AB802" s="146"/>
      <c r="AC802" s="146"/>
      <c r="AD802" s="146"/>
      <c r="AE802" s="146"/>
      <c r="AF802" s="146"/>
      <c r="AG802" s="146"/>
      <c r="AH802" s="331">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29">
        <f t="shared" si="38"/>
        <v>0</v>
      </c>
      <c r="Q803" s="146"/>
      <c r="R803" s="146"/>
      <c r="S803" s="146"/>
      <c r="T803" s="146"/>
      <c r="U803" s="146"/>
      <c r="V803" s="146"/>
      <c r="W803" s="146"/>
      <c r="X803" s="146"/>
      <c r="Y803" s="331">
        <f t="shared" si="39"/>
        <v>0</v>
      </c>
      <c r="Z803" s="146"/>
      <c r="AA803" s="146"/>
      <c r="AB803" s="146"/>
      <c r="AC803" s="146"/>
      <c r="AD803" s="146"/>
      <c r="AE803" s="146"/>
      <c r="AF803" s="146"/>
      <c r="AG803" s="146"/>
      <c r="AH803" s="331">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29">
        <f t="shared" si="38"/>
        <v>0</v>
      </c>
      <c r="Q804" s="146"/>
      <c r="R804" s="146"/>
      <c r="S804" s="146"/>
      <c r="T804" s="146"/>
      <c r="U804" s="146"/>
      <c r="V804" s="146"/>
      <c r="W804" s="146"/>
      <c r="X804" s="146"/>
      <c r="Y804" s="331">
        <f t="shared" si="39"/>
        <v>0</v>
      </c>
      <c r="Z804" s="146"/>
      <c r="AA804" s="146"/>
      <c r="AB804" s="146"/>
      <c r="AC804" s="146"/>
      <c r="AD804" s="146"/>
      <c r="AE804" s="146"/>
      <c r="AF804" s="146"/>
      <c r="AG804" s="146"/>
      <c r="AH804" s="331">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29">
        <f t="shared" si="38"/>
        <v>0</v>
      </c>
      <c r="Q805" s="146"/>
      <c r="R805" s="146"/>
      <c r="S805" s="146"/>
      <c r="T805" s="146"/>
      <c r="U805" s="146"/>
      <c r="V805" s="146"/>
      <c r="W805" s="146"/>
      <c r="X805" s="146"/>
      <c r="Y805" s="331">
        <f t="shared" si="39"/>
        <v>0</v>
      </c>
      <c r="Z805" s="146"/>
      <c r="AA805" s="146"/>
      <c r="AB805" s="146"/>
      <c r="AC805" s="146"/>
      <c r="AD805" s="146"/>
      <c r="AE805" s="146"/>
      <c r="AF805" s="146"/>
      <c r="AG805" s="146"/>
      <c r="AH805" s="331">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29">
        <f t="shared" si="38"/>
        <v>0</v>
      </c>
      <c r="Q806" s="146"/>
      <c r="R806" s="146"/>
      <c r="S806" s="146"/>
      <c r="T806" s="146"/>
      <c r="U806" s="146"/>
      <c r="V806" s="146"/>
      <c r="W806" s="146"/>
      <c r="X806" s="146"/>
      <c r="Y806" s="331">
        <f t="shared" si="39"/>
        <v>0</v>
      </c>
      <c r="Z806" s="146"/>
      <c r="AA806" s="146"/>
      <c r="AB806" s="146"/>
      <c r="AC806" s="146"/>
      <c r="AD806" s="146"/>
      <c r="AE806" s="146"/>
      <c r="AF806" s="146"/>
      <c r="AG806" s="146"/>
      <c r="AH806" s="331">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29">
        <f t="shared" si="38"/>
        <v>0</v>
      </c>
      <c r="Q807" s="146"/>
      <c r="R807" s="146"/>
      <c r="S807" s="146"/>
      <c r="T807" s="146"/>
      <c r="U807" s="146"/>
      <c r="V807" s="146"/>
      <c r="W807" s="146"/>
      <c r="X807" s="146"/>
      <c r="Y807" s="331">
        <f t="shared" si="39"/>
        <v>0</v>
      </c>
      <c r="Z807" s="146"/>
      <c r="AA807" s="146"/>
      <c r="AB807" s="146"/>
      <c r="AC807" s="146"/>
      <c r="AD807" s="146"/>
      <c r="AE807" s="146"/>
      <c r="AF807" s="146"/>
      <c r="AG807" s="146"/>
      <c r="AH807" s="331">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29">
        <f t="shared" si="38"/>
        <v>0</v>
      </c>
      <c r="Q808" s="146"/>
      <c r="R808" s="146"/>
      <c r="S808" s="146"/>
      <c r="T808" s="146"/>
      <c r="U808" s="146"/>
      <c r="V808" s="146"/>
      <c r="W808" s="146"/>
      <c r="X808" s="146"/>
      <c r="Y808" s="331">
        <f t="shared" si="39"/>
        <v>0</v>
      </c>
      <c r="Z808" s="146"/>
      <c r="AA808" s="146"/>
      <c r="AB808" s="146"/>
      <c r="AC808" s="146"/>
      <c r="AD808" s="146"/>
      <c r="AE808" s="146"/>
      <c r="AF808" s="146"/>
      <c r="AG808" s="146"/>
      <c r="AH808" s="331">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29">
        <f t="shared" si="38"/>
        <v>0</v>
      </c>
      <c r="Q809" s="146"/>
      <c r="R809" s="146"/>
      <c r="S809" s="146"/>
      <c r="T809" s="146"/>
      <c r="U809" s="146"/>
      <c r="V809" s="146"/>
      <c r="W809" s="146"/>
      <c r="X809" s="146"/>
      <c r="Y809" s="331">
        <f t="shared" si="39"/>
        <v>0</v>
      </c>
      <c r="Z809" s="146"/>
      <c r="AA809" s="146"/>
      <c r="AB809" s="146"/>
      <c r="AC809" s="146"/>
      <c r="AD809" s="146"/>
      <c r="AE809" s="146"/>
      <c r="AF809" s="146"/>
      <c r="AG809" s="146"/>
      <c r="AH809" s="331">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29">
        <f t="shared" si="38"/>
        <v>0</v>
      </c>
      <c r="Q810" s="146"/>
      <c r="R810" s="146"/>
      <c r="S810" s="146"/>
      <c r="T810" s="146"/>
      <c r="U810" s="146"/>
      <c r="V810" s="146"/>
      <c r="W810" s="146"/>
      <c r="X810" s="146"/>
      <c r="Y810" s="331">
        <f t="shared" si="39"/>
        <v>0</v>
      </c>
      <c r="Z810" s="146"/>
      <c r="AA810" s="146"/>
      <c r="AB810" s="146"/>
      <c r="AC810" s="146"/>
      <c r="AD810" s="146"/>
      <c r="AE810" s="146"/>
      <c r="AF810" s="146"/>
      <c r="AG810" s="146"/>
      <c r="AH810" s="331">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29">
        <f t="shared" si="38"/>
        <v>0</v>
      </c>
      <c r="Q811" s="146"/>
      <c r="R811" s="146"/>
      <c r="S811" s="146"/>
      <c r="T811" s="146"/>
      <c r="U811" s="146"/>
      <c r="V811" s="146"/>
      <c r="W811" s="146"/>
      <c r="X811" s="146"/>
      <c r="Y811" s="331">
        <f t="shared" si="39"/>
        <v>0</v>
      </c>
      <c r="Z811" s="146"/>
      <c r="AA811" s="146"/>
      <c r="AB811" s="146"/>
      <c r="AC811" s="146"/>
      <c r="AD811" s="146"/>
      <c r="AE811" s="146"/>
      <c r="AF811" s="146"/>
      <c r="AG811" s="146"/>
      <c r="AH811" s="331">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29">
        <f t="shared" si="38"/>
        <v>0</v>
      </c>
      <c r="Q812" s="146"/>
      <c r="R812" s="146"/>
      <c r="S812" s="146"/>
      <c r="T812" s="146"/>
      <c r="U812" s="146"/>
      <c r="V812" s="146"/>
      <c r="W812" s="146"/>
      <c r="X812" s="146"/>
      <c r="Y812" s="331">
        <f t="shared" si="39"/>
        <v>0</v>
      </c>
      <c r="Z812" s="146"/>
      <c r="AA812" s="146"/>
      <c r="AB812" s="146"/>
      <c r="AC812" s="146"/>
      <c r="AD812" s="146"/>
      <c r="AE812" s="146"/>
      <c r="AF812" s="146"/>
      <c r="AG812" s="146"/>
      <c r="AH812" s="331">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29">
        <f t="shared" si="38"/>
        <v>0</v>
      </c>
      <c r="Q813" s="146"/>
      <c r="R813" s="146"/>
      <c r="S813" s="146"/>
      <c r="T813" s="146"/>
      <c r="U813" s="146"/>
      <c r="V813" s="146"/>
      <c r="W813" s="146"/>
      <c r="X813" s="146"/>
      <c r="Y813" s="331">
        <f t="shared" si="39"/>
        <v>0</v>
      </c>
      <c r="Z813" s="146"/>
      <c r="AA813" s="146"/>
      <c r="AB813" s="146"/>
      <c r="AC813" s="146"/>
      <c r="AD813" s="146"/>
      <c r="AE813" s="146"/>
      <c r="AF813" s="146"/>
      <c r="AG813" s="146"/>
      <c r="AH813" s="331">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29">
        <f t="shared" si="38"/>
        <v>0</v>
      </c>
      <c r="Q814" s="146"/>
      <c r="R814" s="146"/>
      <c r="S814" s="146"/>
      <c r="T814" s="146"/>
      <c r="U814" s="146"/>
      <c r="V814" s="146"/>
      <c r="W814" s="146"/>
      <c r="X814" s="146"/>
      <c r="Y814" s="331">
        <f t="shared" si="39"/>
        <v>0</v>
      </c>
      <c r="Z814" s="146"/>
      <c r="AA814" s="146"/>
      <c r="AB814" s="146"/>
      <c r="AC814" s="146"/>
      <c r="AD814" s="146"/>
      <c r="AE814" s="146"/>
      <c r="AF814" s="146"/>
      <c r="AG814" s="146"/>
      <c r="AH814" s="331">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29">
        <f t="shared" si="38"/>
        <v>0</v>
      </c>
      <c r="Q815" s="146"/>
      <c r="R815" s="146"/>
      <c r="S815" s="146"/>
      <c r="T815" s="146"/>
      <c r="U815" s="146"/>
      <c r="V815" s="146"/>
      <c r="W815" s="146"/>
      <c r="X815" s="146"/>
      <c r="Y815" s="331">
        <f t="shared" si="39"/>
        <v>0</v>
      </c>
      <c r="Z815" s="146"/>
      <c r="AA815" s="146"/>
      <c r="AB815" s="146"/>
      <c r="AC815" s="146"/>
      <c r="AD815" s="146"/>
      <c r="AE815" s="146"/>
      <c r="AF815" s="146"/>
      <c r="AG815" s="146"/>
      <c r="AH815" s="331">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29">
        <f t="shared" si="38"/>
        <v>0</v>
      </c>
      <c r="Q816" s="146"/>
      <c r="R816" s="146"/>
      <c r="S816" s="146"/>
      <c r="T816" s="146"/>
      <c r="U816" s="146"/>
      <c r="V816" s="146"/>
      <c r="W816" s="146"/>
      <c r="X816" s="146"/>
      <c r="Y816" s="331">
        <f t="shared" si="39"/>
        <v>0</v>
      </c>
      <c r="Z816" s="146"/>
      <c r="AA816" s="146"/>
      <c r="AB816" s="146"/>
      <c r="AC816" s="146"/>
      <c r="AD816" s="146"/>
      <c r="AE816" s="146"/>
      <c r="AF816" s="146"/>
      <c r="AG816" s="146"/>
      <c r="AH816" s="331">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29">
        <f t="shared" si="38"/>
        <v>0</v>
      </c>
      <c r="Q817" s="146"/>
      <c r="R817" s="146"/>
      <c r="S817" s="146"/>
      <c r="T817" s="146"/>
      <c r="U817" s="146"/>
      <c r="V817" s="146"/>
      <c r="W817" s="146"/>
      <c r="X817" s="146"/>
      <c r="Y817" s="331">
        <f t="shared" si="39"/>
        <v>0</v>
      </c>
      <c r="Z817" s="146"/>
      <c r="AA817" s="146"/>
      <c r="AB817" s="146"/>
      <c r="AC817" s="146"/>
      <c r="AD817" s="146"/>
      <c r="AE817" s="146"/>
      <c r="AF817" s="146"/>
      <c r="AG817" s="146"/>
      <c r="AH817" s="331">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29">
        <f t="shared" si="38"/>
        <v>0</v>
      </c>
      <c r="Q818" s="146"/>
      <c r="R818" s="146"/>
      <c r="S818" s="146"/>
      <c r="T818" s="146"/>
      <c r="U818" s="146"/>
      <c r="V818" s="146"/>
      <c r="W818" s="146"/>
      <c r="X818" s="146"/>
      <c r="Y818" s="331">
        <f t="shared" si="39"/>
        <v>0</v>
      </c>
      <c r="Z818" s="146"/>
      <c r="AA818" s="146"/>
      <c r="AB818" s="146"/>
      <c r="AC818" s="146"/>
      <c r="AD818" s="146"/>
      <c r="AE818" s="146"/>
      <c r="AF818" s="146"/>
      <c r="AG818" s="146"/>
      <c r="AH818" s="331">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29">
        <f t="shared" si="38"/>
        <v>0</v>
      </c>
      <c r="Q819" s="146"/>
      <c r="R819" s="146"/>
      <c r="S819" s="146"/>
      <c r="T819" s="146"/>
      <c r="U819" s="146"/>
      <c r="V819" s="146"/>
      <c r="W819" s="146"/>
      <c r="X819" s="146"/>
      <c r="Y819" s="331">
        <f t="shared" si="39"/>
        <v>0</v>
      </c>
      <c r="Z819" s="146"/>
      <c r="AA819" s="146"/>
      <c r="AB819" s="146"/>
      <c r="AC819" s="146"/>
      <c r="AD819" s="146"/>
      <c r="AE819" s="146"/>
      <c r="AF819" s="146"/>
      <c r="AG819" s="146"/>
      <c r="AH819" s="331">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29">
        <f t="shared" si="38"/>
        <v>0</v>
      </c>
      <c r="Q820" s="146"/>
      <c r="R820" s="146"/>
      <c r="S820" s="146"/>
      <c r="T820" s="146"/>
      <c r="U820" s="146"/>
      <c r="V820" s="146"/>
      <c r="W820" s="146"/>
      <c r="X820" s="146"/>
      <c r="Y820" s="331">
        <f t="shared" si="39"/>
        <v>0</v>
      </c>
      <c r="Z820" s="146"/>
      <c r="AA820" s="146"/>
      <c r="AB820" s="146"/>
      <c r="AC820" s="146"/>
      <c r="AD820" s="146"/>
      <c r="AE820" s="146"/>
      <c r="AF820" s="146"/>
      <c r="AG820" s="146"/>
      <c r="AH820" s="331">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29">
        <f t="shared" si="38"/>
        <v>0</v>
      </c>
      <c r="Q821" s="146"/>
      <c r="R821" s="146"/>
      <c r="S821" s="146"/>
      <c r="T821" s="146"/>
      <c r="U821" s="146"/>
      <c r="V821" s="146"/>
      <c r="W821" s="146"/>
      <c r="X821" s="146"/>
      <c r="Y821" s="331">
        <f t="shared" si="39"/>
        <v>0</v>
      </c>
      <c r="Z821" s="146"/>
      <c r="AA821" s="146"/>
      <c r="AB821" s="146"/>
      <c r="AC821" s="146"/>
      <c r="AD821" s="146"/>
      <c r="AE821" s="146"/>
      <c r="AF821" s="146"/>
      <c r="AG821" s="146"/>
      <c r="AH821" s="331">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29">
        <f t="shared" si="38"/>
        <v>0</v>
      </c>
      <c r="Q822" s="146"/>
      <c r="R822" s="146"/>
      <c r="S822" s="146"/>
      <c r="T822" s="146"/>
      <c r="U822" s="146"/>
      <c r="V822" s="146"/>
      <c r="W822" s="146"/>
      <c r="X822" s="146"/>
      <c r="Y822" s="331">
        <f t="shared" si="39"/>
        <v>0</v>
      </c>
      <c r="Z822" s="146"/>
      <c r="AA822" s="146"/>
      <c r="AB822" s="146"/>
      <c r="AC822" s="146"/>
      <c r="AD822" s="146"/>
      <c r="AE822" s="146"/>
      <c r="AF822" s="146"/>
      <c r="AG822" s="146"/>
      <c r="AH822" s="331">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29">
        <f t="shared" si="38"/>
        <v>0</v>
      </c>
      <c r="Q823" s="146"/>
      <c r="R823" s="146"/>
      <c r="S823" s="146"/>
      <c r="T823" s="146"/>
      <c r="U823" s="146"/>
      <c r="V823" s="146"/>
      <c r="W823" s="146"/>
      <c r="X823" s="146"/>
      <c r="Y823" s="331">
        <f t="shared" si="39"/>
        <v>0</v>
      </c>
      <c r="Z823" s="146"/>
      <c r="AA823" s="146"/>
      <c r="AB823" s="146"/>
      <c r="AC823" s="146"/>
      <c r="AD823" s="146"/>
      <c r="AE823" s="146"/>
      <c r="AF823" s="146"/>
      <c r="AG823" s="146"/>
      <c r="AH823" s="331">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29">
        <f t="shared" si="38"/>
        <v>0</v>
      </c>
      <c r="Q824" s="146"/>
      <c r="R824" s="146"/>
      <c r="S824" s="146"/>
      <c r="T824" s="146"/>
      <c r="U824" s="146"/>
      <c r="V824" s="146"/>
      <c r="W824" s="146"/>
      <c r="X824" s="146"/>
      <c r="Y824" s="331">
        <f t="shared" si="39"/>
        <v>0</v>
      </c>
      <c r="Z824" s="146"/>
      <c r="AA824" s="146"/>
      <c r="AB824" s="146"/>
      <c r="AC824" s="146"/>
      <c r="AD824" s="146"/>
      <c r="AE824" s="146"/>
      <c r="AF824" s="146"/>
      <c r="AG824" s="146"/>
      <c r="AH824" s="331">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29">
        <f t="shared" si="38"/>
        <v>0</v>
      </c>
      <c r="Q825" s="146"/>
      <c r="R825" s="146"/>
      <c r="S825" s="146"/>
      <c r="T825" s="146"/>
      <c r="U825" s="146"/>
      <c r="V825" s="146"/>
      <c r="W825" s="146"/>
      <c r="X825" s="146"/>
      <c r="Y825" s="331">
        <f t="shared" si="39"/>
        <v>0</v>
      </c>
      <c r="Z825" s="146"/>
      <c r="AA825" s="146"/>
      <c r="AB825" s="146"/>
      <c r="AC825" s="146"/>
      <c r="AD825" s="146"/>
      <c r="AE825" s="146"/>
      <c r="AF825" s="146"/>
      <c r="AG825" s="146"/>
      <c r="AH825" s="331">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29">
        <f t="shared" si="38"/>
        <v>0</v>
      </c>
      <c r="Q826" s="146"/>
      <c r="R826" s="146"/>
      <c r="S826" s="146"/>
      <c r="T826" s="146"/>
      <c r="U826" s="146"/>
      <c r="V826" s="146"/>
      <c r="W826" s="146"/>
      <c r="X826" s="146"/>
      <c r="Y826" s="331">
        <f t="shared" si="39"/>
        <v>0</v>
      </c>
      <c r="Z826" s="146"/>
      <c r="AA826" s="146"/>
      <c r="AB826" s="146"/>
      <c r="AC826" s="146"/>
      <c r="AD826" s="146"/>
      <c r="AE826" s="146"/>
      <c r="AF826" s="146"/>
      <c r="AG826" s="146"/>
      <c r="AH826" s="331">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29">
        <f t="shared" si="38"/>
        <v>0</v>
      </c>
      <c r="Q827" s="146"/>
      <c r="R827" s="146"/>
      <c r="S827" s="146"/>
      <c r="T827" s="146"/>
      <c r="U827" s="146"/>
      <c r="V827" s="146"/>
      <c r="W827" s="146"/>
      <c r="X827" s="146"/>
      <c r="Y827" s="331">
        <f t="shared" si="39"/>
        <v>0</v>
      </c>
      <c r="Z827" s="146"/>
      <c r="AA827" s="146"/>
      <c r="AB827" s="146"/>
      <c r="AC827" s="146"/>
      <c r="AD827" s="146"/>
      <c r="AE827" s="146"/>
      <c r="AF827" s="146"/>
      <c r="AG827" s="146"/>
      <c r="AH827" s="331">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29">
        <f t="shared" si="38"/>
        <v>0</v>
      </c>
      <c r="Q828" s="146"/>
      <c r="R828" s="146"/>
      <c r="S828" s="146"/>
      <c r="T828" s="146"/>
      <c r="U828" s="146"/>
      <c r="V828" s="146"/>
      <c r="W828" s="146"/>
      <c r="X828" s="146"/>
      <c r="Y828" s="331">
        <f t="shared" si="39"/>
        <v>0</v>
      </c>
      <c r="Z828" s="146"/>
      <c r="AA828" s="146"/>
      <c r="AB828" s="146"/>
      <c r="AC828" s="146"/>
      <c r="AD828" s="146"/>
      <c r="AE828" s="146"/>
      <c r="AF828" s="146"/>
      <c r="AG828" s="146"/>
      <c r="AH828" s="331">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29">
        <f t="shared" si="38"/>
        <v>0</v>
      </c>
      <c r="Q829" s="146"/>
      <c r="R829" s="146"/>
      <c r="S829" s="146"/>
      <c r="T829" s="146"/>
      <c r="U829" s="146"/>
      <c r="V829" s="146"/>
      <c r="W829" s="146"/>
      <c r="X829" s="146"/>
      <c r="Y829" s="331">
        <f t="shared" si="39"/>
        <v>0</v>
      </c>
      <c r="Z829" s="146"/>
      <c r="AA829" s="146"/>
      <c r="AB829" s="146"/>
      <c r="AC829" s="146"/>
      <c r="AD829" s="146"/>
      <c r="AE829" s="146"/>
      <c r="AF829" s="146"/>
      <c r="AG829" s="146"/>
      <c r="AH829" s="331">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29">
        <f t="shared" si="38"/>
        <v>0</v>
      </c>
      <c r="Q830" s="146"/>
      <c r="R830" s="146"/>
      <c r="S830" s="146"/>
      <c r="T830" s="146"/>
      <c r="U830" s="146"/>
      <c r="V830" s="146"/>
      <c r="W830" s="146"/>
      <c r="X830" s="146"/>
      <c r="Y830" s="331">
        <f t="shared" si="39"/>
        <v>0</v>
      </c>
      <c r="Z830" s="146"/>
      <c r="AA830" s="146"/>
      <c r="AB830" s="146"/>
      <c r="AC830" s="146"/>
      <c r="AD830" s="146"/>
      <c r="AE830" s="146"/>
      <c r="AF830" s="146"/>
      <c r="AG830" s="146"/>
      <c r="AH830" s="331">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29">
        <f t="shared" si="38"/>
        <v>0</v>
      </c>
      <c r="Q831" s="146"/>
      <c r="R831" s="146"/>
      <c r="S831" s="146"/>
      <c r="T831" s="146"/>
      <c r="U831" s="146"/>
      <c r="V831" s="146"/>
      <c r="W831" s="146"/>
      <c r="X831" s="146"/>
      <c r="Y831" s="331">
        <f t="shared" si="39"/>
        <v>0</v>
      </c>
      <c r="Z831" s="146"/>
      <c r="AA831" s="146"/>
      <c r="AB831" s="146"/>
      <c r="AC831" s="146"/>
      <c r="AD831" s="146"/>
      <c r="AE831" s="146"/>
      <c r="AF831" s="146"/>
      <c r="AG831" s="146"/>
      <c r="AH831" s="331">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29">
        <f t="shared" si="38"/>
        <v>0</v>
      </c>
      <c r="Q832" s="146"/>
      <c r="R832" s="146"/>
      <c r="S832" s="146"/>
      <c r="T832" s="146"/>
      <c r="U832" s="146"/>
      <c r="V832" s="146"/>
      <c r="W832" s="146"/>
      <c r="X832" s="146"/>
      <c r="Y832" s="331">
        <f t="shared" si="39"/>
        <v>0</v>
      </c>
      <c r="Z832" s="146"/>
      <c r="AA832" s="146"/>
      <c r="AB832" s="146"/>
      <c r="AC832" s="146"/>
      <c r="AD832" s="146"/>
      <c r="AE832" s="146"/>
      <c r="AF832" s="146"/>
      <c r="AG832" s="146"/>
      <c r="AH832" s="331">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29">
        <f t="shared" si="38"/>
        <v>0</v>
      </c>
      <c r="Q833" s="146"/>
      <c r="R833" s="146"/>
      <c r="S833" s="146"/>
      <c r="T833" s="146"/>
      <c r="U833" s="146"/>
      <c r="V833" s="146"/>
      <c r="W833" s="146"/>
      <c r="X833" s="146"/>
      <c r="Y833" s="331">
        <f t="shared" si="39"/>
        <v>0</v>
      </c>
      <c r="Z833" s="146"/>
      <c r="AA833" s="146"/>
      <c r="AB833" s="146"/>
      <c r="AC833" s="146"/>
      <c r="AD833" s="146"/>
      <c r="AE833" s="146"/>
      <c r="AF833" s="146"/>
      <c r="AG833" s="146"/>
      <c r="AH833" s="331">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29">
        <f t="shared" si="38"/>
        <v>0</v>
      </c>
      <c r="Q834" s="146"/>
      <c r="R834" s="146"/>
      <c r="S834" s="146"/>
      <c r="T834" s="146"/>
      <c r="U834" s="146"/>
      <c r="V834" s="146"/>
      <c r="W834" s="146"/>
      <c r="X834" s="146"/>
      <c r="Y834" s="331">
        <f t="shared" si="39"/>
        <v>0</v>
      </c>
      <c r="Z834" s="146"/>
      <c r="AA834" s="146"/>
      <c r="AB834" s="146"/>
      <c r="AC834" s="146"/>
      <c r="AD834" s="146"/>
      <c r="AE834" s="146"/>
      <c r="AF834" s="146"/>
      <c r="AG834" s="146"/>
      <c r="AH834" s="331">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29">
        <f t="shared" si="38"/>
        <v>0</v>
      </c>
      <c r="Q835" s="146"/>
      <c r="R835" s="146"/>
      <c r="S835" s="146"/>
      <c r="T835" s="146"/>
      <c r="U835" s="146"/>
      <c r="V835" s="146"/>
      <c r="W835" s="146"/>
      <c r="X835" s="146"/>
      <c r="Y835" s="331">
        <f t="shared" si="39"/>
        <v>0</v>
      </c>
      <c r="Z835" s="146"/>
      <c r="AA835" s="146"/>
      <c r="AB835" s="146"/>
      <c r="AC835" s="146"/>
      <c r="AD835" s="146"/>
      <c r="AE835" s="146"/>
      <c r="AF835" s="146"/>
      <c r="AG835" s="146"/>
      <c r="AH835" s="331">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29">
        <f t="shared" si="38"/>
        <v>0</v>
      </c>
      <c r="Q836" s="146"/>
      <c r="R836" s="146"/>
      <c r="S836" s="146"/>
      <c r="T836" s="146"/>
      <c r="U836" s="146"/>
      <c r="V836" s="146"/>
      <c r="W836" s="146"/>
      <c r="X836" s="146"/>
      <c r="Y836" s="331">
        <f t="shared" si="39"/>
        <v>0</v>
      </c>
      <c r="Z836" s="146"/>
      <c r="AA836" s="146"/>
      <c r="AB836" s="146"/>
      <c r="AC836" s="146"/>
      <c r="AD836" s="146"/>
      <c r="AE836" s="146"/>
      <c r="AF836" s="146"/>
      <c r="AG836" s="146"/>
      <c r="AH836" s="331">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29">
        <f t="shared" si="38"/>
        <v>0</v>
      </c>
      <c r="Q837" s="146"/>
      <c r="R837" s="146"/>
      <c r="S837" s="146"/>
      <c r="T837" s="146"/>
      <c r="U837" s="146"/>
      <c r="V837" s="146"/>
      <c r="W837" s="146"/>
      <c r="X837" s="146"/>
      <c r="Y837" s="331">
        <f t="shared" si="39"/>
        <v>0</v>
      </c>
      <c r="Z837" s="146"/>
      <c r="AA837" s="146"/>
      <c r="AB837" s="146"/>
      <c r="AC837" s="146"/>
      <c r="AD837" s="146"/>
      <c r="AE837" s="146"/>
      <c r="AF837" s="146"/>
      <c r="AG837" s="146"/>
      <c r="AH837" s="331">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29">
        <f t="shared" si="38"/>
        <v>0</v>
      </c>
      <c r="Q838" s="146"/>
      <c r="R838" s="146"/>
      <c r="S838" s="146"/>
      <c r="T838" s="146"/>
      <c r="U838" s="146"/>
      <c r="V838" s="146"/>
      <c r="W838" s="146"/>
      <c r="X838" s="146"/>
      <c r="Y838" s="331">
        <f t="shared" si="39"/>
        <v>0</v>
      </c>
      <c r="Z838" s="146"/>
      <c r="AA838" s="146"/>
      <c r="AB838" s="146"/>
      <c r="AC838" s="146"/>
      <c r="AD838" s="146"/>
      <c r="AE838" s="146"/>
      <c r="AF838" s="146"/>
      <c r="AG838" s="146"/>
      <c r="AH838" s="331">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29">
        <f t="shared" si="38"/>
        <v>0</v>
      </c>
      <c r="Q839" s="146"/>
      <c r="R839" s="146"/>
      <c r="S839" s="146"/>
      <c r="T839" s="146"/>
      <c r="U839" s="146"/>
      <c r="V839" s="146"/>
      <c r="W839" s="146"/>
      <c r="X839" s="146"/>
      <c r="Y839" s="331">
        <f t="shared" si="39"/>
        <v>0</v>
      </c>
      <c r="Z839" s="146"/>
      <c r="AA839" s="146"/>
      <c r="AB839" s="146"/>
      <c r="AC839" s="146"/>
      <c r="AD839" s="146"/>
      <c r="AE839" s="146"/>
      <c r="AF839" s="146"/>
      <c r="AG839" s="146"/>
      <c r="AH839" s="331">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29">
        <f t="shared" si="38"/>
        <v>0</v>
      </c>
      <c r="Q840" s="146"/>
      <c r="R840" s="146"/>
      <c r="S840" s="146"/>
      <c r="T840" s="146"/>
      <c r="U840" s="146"/>
      <c r="V840" s="146"/>
      <c r="W840" s="146"/>
      <c r="X840" s="146"/>
      <c r="Y840" s="331">
        <f t="shared" si="39"/>
        <v>0</v>
      </c>
      <c r="Z840" s="146"/>
      <c r="AA840" s="146"/>
      <c r="AB840" s="146"/>
      <c r="AC840" s="146"/>
      <c r="AD840" s="146"/>
      <c r="AE840" s="146"/>
      <c r="AF840" s="146"/>
      <c r="AG840" s="146"/>
      <c r="AH840" s="331">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29">
        <f t="shared" si="38"/>
        <v>0</v>
      </c>
      <c r="Q841" s="146"/>
      <c r="R841" s="146"/>
      <c r="S841" s="146"/>
      <c r="T841" s="146"/>
      <c r="U841" s="146"/>
      <c r="V841" s="146"/>
      <c r="W841" s="146"/>
      <c r="X841" s="146"/>
      <c r="Y841" s="331">
        <f t="shared" si="39"/>
        <v>0</v>
      </c>
      <c r="Z841" s="146"/>
      <c r="AA841" s="146"/>
      <c r="AB841" s="146"/>
      <c r="AC841" s="146"/>
      <c r="AD841" s="146"/>
      <c r="AE841" s="146"/>
      <c r="AF841" s="146"/>
      <c r="AG841" s="146"/>
      <c r="AH841" s="331">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29">
        <f t="shared" si="38"/>
        <v>0</v>
      </c>
      <c r="Q842" s="146"/>
      <c r="R842" s="146"/>
      <c r="S842" s="146"/>
      <c r="T842" s="146"/>
      <c r="U842" s="146"/>
      <c r="V842" s="146"/>
      <c r="W842" s="146"/>
      <c r="X842" s="146"/>
      <c r="Y842" s="331">
        <f t="shared" si="39"/>
        <v>0</v>
      </c>
      <c r="Z842" s="146"/>
      <c r="AA842" s="146"/>
      <c r="AB842" s="146"/>
      <c r="AC842" s="146"/>
      <c r="AD842" s="146"/>
      <c r="AE842" s="146"/>
      <c r="AF842" s="146"/>
      <c r="AG842" s="146"/>
      <c r="AH842" s="331">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29">
        <f t="shared" si="38"/>
        <v>0</v>
      </c>
      <c r="Q843" s="146"/>
      <c r="R843" s="146"/>
      <c r="S843" s="146"/>
      <c r="T843" s="146"/>
      <c r="U843" s="146"/>
      <c r="V843" s="146"/>
      <c r="W843" s="146"/>
      <c r="X843" s="146"/>
      <c r="Y843" s="331">
        <f t="shared" si="39"/>
        <v>0</v>
      </c>
      <c r="Z843" s="146"/>
      <c r="AA843" s="146"/>
      <c r="AB843" s="146"/>
      <c r="AC843" s="146"/>
      <c r="AD843" s="146"/>
      <c r="AE843" s="146"/>
      <c r="AF843" s="146"/>
      <c r="AG843" s="146"/>
      <c r="AH843" s="331">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29">
        <f t="shared" si="38"/>
        <v>0</v>
      </c>
      <c r="Q844" s="146"/>
      <c r="R844" s="146"/>
      <c r="S844" s="146"/>
      <c r="T844" s="146"/>
      <c r="U844" s="146"/>
      <c r="V844" s="146"/>
      <c r="W844" s="146"/>
      <c r="X844" s="146"/>
      <c r="Y844" s="331">
        <f t="shared" si="39"/>
        <v>0</v>
      </c>
      <c r="Z844" s="146"/>
      <c r="AA844" s="146"/>
      <c r="AB844" s="146"/>
      <c r="AC844" s="146"/>
      <c r="AD844" s="146"/>
      <c r="AE844" s="146"/>
      <c r="AF844" s="146"/>
      <c r="AG844" s="146"/>
      <c r="AH844" s="331">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29">
        <f t="shared" ref="P845:P908" si="41">SUM(H845:N845)</f>
        <v>0</v>
      </c>
      <c r="Q845" s="146"/>
      <c r="R845" s="146"/>
      <c r="S845" s="146"/>
      <c r="T845" s="146"/>
      <c r="U845" s="146"/>
      <c r="V845" s="146"/>
      <c r="W845" s="146"/>
      <c r="X845" s="146"/>
      <c r="Y845" s="331">
        <f t="shared" ref="Y845:Y908" si="42">SUM(Q845:W845)</f>
        <v>0</v>
      </c>
      <c r="Z845" s="146"/>
      <c r="AA845" s="146"/>
      <c r="AB845" s="146"/>
      <c r="AC845" s="146"/>
      <c r="AD845" s="146"/>
      <c r="AE845" s="146"/>
      <c r="AF845" s="146"/>
      <c r="AG845" s="146"/>
      <c r="AH845" s="331">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29">
        <f t="shared" si="41"/>
        <v>0</v>
      </c>
      <c r="Q846" s="146"/>
      <c r="R846" s="146"/>
      <c r="S846" s="146"/>
      <c r="T846" s="146"/>
      <c r="U846" s="146"/>
      <c r="V846" s="146"/>
      <c r="W846" s="146"/>
      <c r="X846" s="146"/>
      <c r="Y846" s="331">
        <f t="shared" si="42"/>
        <v>0</v>
      </c>
      <c r="Z846" s="146"/>
      <c r="AA846" s="146"/>
      <c r="AB846" s="146"/>
      <c r="AC846" s="146"/>
      <c r="AD846" s="146"/>
      <c r="AE846" s="146"/>
      <c r="AF846" s="146"/>
      <c r="AG846" s="146"/>
      <c r="AH846" s="331">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29">
        <f t="shared" si="41"/>
        <v>0</v>
      </c>
      <c r="Q847" s="146"/>
      <c r="R847" s="146"/>
      <c r="S847" s="146"/>
      <c r="T847" s="146"/>
      <c r="U847" s="146"/>
      <c r="V847" s="146"/>
      <c r="W847" s="146"/>
      <c r="X847" s="146"/>
      <c r="Y847" s="331">
        <f t="shared" si="42"/>
        <v>0</v>
      </c>
      <c r="Z847" s="146"/>
      <c r="AA847" s="146"/>
      <c r="AB847" s="146"/>
      <c r="AC847" s="146"/>
      <c r="AD847" s="146"/>
      <c r="AE847" s="146"/>
      <c r="AF847" s="146"/>
      <c r="AG847" s="146"/>
      <c r="AH847" s="331">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29">
        <f t="shared" si="41"/>
        <v>0</v>
      </c>
      <c r="Q848" s="146"/>
      <c r="R848" s="146"/>
      <c r="S848" s="146"/>
      <c r="T848" s="146"/>
      <c r="U848" s="146"/>
      <c r="V848" s="146"/>
      <c r="W848" s="146"/>
      <c r="X848" s="146"/>
      <c r="Y848" s="331">
        <f t="shared" si="42"/>
        <v>0</v>
      </c>
      <c r="Z848" s="146"/>
      <c r="AA848" s="146"/>
      <c r="AB848" s="146"/>
      <c r="AC848" s="146"/>
      <c r="AD848" s="146"/>
      <c r="AE848" s="146"/>
      <c r="AF848" s="146"/>
      <c r="AG848" s="146"/>
      <c r="AH848" s="331">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29">
        <f t="shared" si="41"/>
        <v>0</v>
      </c>
      <c r="Q849" s="146"/>
      <c r="R849" s="146"/>
      <c r="S849" s="146"/>
      <c r="T849" s="146"/>
      <c r="U849" s="146"/>
      <c r="V849" s="146"/>
      <c r="W849" s="146"/>
      <c r="X849" s="146"/>
      <c r="Y849" s="331">
        <f t="shared" si="42"/>
        <v>0</v>
      </c>
      <c r="Z849" s="146"/>
      <c r="AA849" s="146"/>
      <c r="AB849" s="146"/>
      <c r="AC849" s="146"/>
      <c r="AD849" s="146"/>
      <c r="AE849" s="146"/>
      <c r="AF849" s="146"/>
      <c r="AG849" s="146"/>
      <c r="AH849" s="331">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29">
        <f t="shared" si="41"/>
        <v>0</v>
      </c>
      <c r="Q850" s="146"/>
      <c r="R850" s="146"/>
      <c r="S850" s="146"/>
      <c r="T850" s="146"/>
      <c r="U850" s="146"/>
      <c r="V850" s="146"/>
      <c r="W850" s="146"/>
      <c r="X850" s="146"/>
      <c r="Y850" s="331">
        <f t="shared" si="42"/>
        <v>0</v>
      </c>
      <c r="Z850" s="146"/>
      <c r="AA850" s="146"/>
      <c r="AB850" s="146"/>
      <c r="AC850" s="146"/>
      <c r="AD850" s="146"/>
      <c r="AE850" s="146"/>
      <c r="AF850" s="146"/>
      <c r="AG850" s="146"/>
      <c r="AH850" s="331">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29">
        <f t="shared" si="41"/>
        <v>0</v>
      </c>
      <c r="Q851" s="146"/>
      <c r="R851" s="146"/>
      <c r="S851" s="146"/>
      <c r="T851" s="146"/>
      <c r="U851" s="146"/>
      <c r="V851" s="146"/>
      <c r="W851" s="146"/>
      <c r="X851" s="146"/>
      <c r="Y851" s="331">
        <f t="shared" si="42"/>
        <v>0</v>
      </c>
      <c r="Z851" s="146"/>
      <c r="AA851" s="146"/>
      <c r="AB851" s="146"/>
      <c r="AC851" s="146"/>
      <c r="AD851" s="146"/>
      <c r="AE851" s="146"/>
      <c r="AF851" s="146"/>
      <c r="AG851" s="146"/>
      <c r="AH851" s="331">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29">
        <f t="shared" si="41"/>
        <v>0</v>
      </c>
      <c r="Q852" s="146"/>
      <c r="R852" s="146"/>
      <c r="S852" s="146"/>
      <c r="T852" s="146"/>
      <c r="U852" s="146"/>
      <c r="V852" s="146"/>
      <c r="W852" s="146"/>
      <c r="X852" s="146"/>
      <c r="Y852" s="331">
        <f t="shared" si="42"/>
        <v>0</v>
      </c>
      <c r="Z852" s="146"/>
      <c r="AA852" s="146"/>
      <c r="AB852" s="146"/>
      <c r="AC852" s="146"/>
      <c r="AD852" s="146"/>
      <c r="AE852" s="146"/>
      <c r="AF852" s="146"/>
      <c r="AG852" s="146"/>
      <c r="AH852" s="331">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29">
        <f t="shared" si="41"/>
        <v>0</v>
      </c>
      <c r="Q853" s="146"/>
      <c r="R853" s="146"/>
      <c r="S853" s="146"/>
      <c r="T853" s="146"/>
      <c r="U853" s="146"/>
      <c r="V853" s="146"/>
      <c r="W853" s="146"/>
      <c r="X853" s="146"/>
      <c r="Y853" s="331">
        <f t="shared" si="42"/>
        <v>0</v>
      </c>
      <c r="Z853" s="146"/>
      <c r="AA853" s="146"/>
      <c r="AB853" s="146"/>
      <c r="AC853" s="146"/>
      <c r="AD853" s="146"/>
      <c r="AE853" s="146"/>
      <c r="AF853" s="146"/>
      <c r="AG853" s="146"/>
      <c r="AH853" s="331">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29">
        <f t="shared" si="41"/>
        <v>0</v>
      </c>
      <c r="Q854" s="146"/>
      <c r="R854" s="146"/>
      <c r="S854" s="146"/>
      <c r="T854" s="146"/>
      <c r="U854" s="146"/>
      <c r="V854" s="146"/>
      <c r="W854" s="146"/>
      <c r="X854" s="146"/>
      <c r="Y854" s="331">
        <f t="shared" si="42"/>
        <v>0</v>
      </c>
      <c r="Z854" s="146"/>
      <c r="AA854" s="146"/>
      <c r="AB854" s="146"/>
      <c r="AC854" s="146"/>
      <c r="AD854" s="146"/>
      <c r="AE854" s="146"/>
      <c r="AF854" s="146"/>
      <c r="AG854" s="146"/>
      <c r="AH854" s="331">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29">
        <f t="shared" si="41"/>
        <v>0</v>
      </c>
      <c r="Q855" s="146"/>
      <c r="R855" s="146"/>
      <c r="S855" s="146"/>
      <c r="T855" s="146"/>
      <c r="U855" s="146"/>
      <c r="V855" s="146"/>
      <c r="W855" s="146"/>
      <c r="X855" s="146"/>
      <c r="Y855" s="331">
        <f t="shared" si="42"/>
        <v>0</v>
      </c>
      <c r="Z855" s="146"/>
      <c r="AA855" s="146"/>
      <c r="AB855" s="146"/>
      <c r="AC855" s="146"/>
      <c r="AD855" s="146"/>
      <c r="AE855" s="146"/>
      <c r="AF855" s="146"/>
      <c r="AG855" s="146"/>
      <c r="AH855" s="331">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29">
        <f t="shared" si="41"/>
        <v>0</v>
      </c>
      <c r="Q856" s="146"/>
      <c r="R856" s="146"/>
      <c r="S856" s="146"/>
      <c r="T856" s="146"/>
      <c r="U856" s="146"/>
      <c r="V856" s="146"/>
      <c r="W856" s="146"/>
      <c r="X856" s="146"/>
      <c r="Y856" s="331">
        <f t="shared" si="42"/>
        <v>0</v>
      </c>
      <c r="Z856" s="146"/>
      <c r="AA856" s="146"/>
      <c r="AB856" s="146"/>
      <c r="AC856" s="146"/>
      <c r="AD856" s="146"/>
      <c r="AE856" s="146"/>
      <c r="AF856" s="146"/>
      <c r="AG856" s="146"/>
      <c r="AH856" s="331">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29">
        <f t="shared" si="41"/>
        <v>0</v>
      </c>
      <c r="Q857" s="146"/>
      <c r="R857" s="146"/>
      <c r="S857" s="146"/>
      <c r="T857" s="146"/>
      <c r="U857" s="146"/>
      <c r="V857" s="146"/>
      <c r="W857" s="146"/>
      <c r="X857" s="146"/>
      <c r="Y857" s="331">
        <f t="shared" si="42"/>
        <v>0</v>
      </c>
      <c r="Z857" s="146"/>
      <c r="AA857" s="146"/>
      <c r="AB857" s="146"/>
      <c r="AC857" s="146"/>
      <c r="AD857" s="146"/>
      <c r="AE857" s="146"/>
      <c r="AF857" s="146"/>
      <c r="AG857" s="146"/>
      <c r="AH857" s="331">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29">
        <f t="shared" si="41"/>
        <v>0</v>
      </c>
      <c r="Q858" s="146"/>
      <c r="R858" s="146"/>
      <c r="S858" s="146"/>
      <c r="T858" s="146"/>
      <c r="U858" s="146"/>
      <c r="V858" s="146"/>
      <c r="W858" s="146"/>
      <c r="X858" s="146"/>
      <c r="Y858" s="331">
        <f t="shared" si="42"/>
        <v>0</v>
      </c>
      <c r="Z858" s="146"/>
      <c r="AA858" s="146"/>
      <c r="AB858" s="146"/>
      <c r="AC858" s="146"/>
      <c r="AD858" s="146"/>
      <c r="AE858" s="146"/>
      <c r="AF858" s="146"/>
      <c r="AG858" s="146"/>
      <c r="AH858" s="331">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29">
        <f t="shared" si="41"/>
        <v>0</v>
      </c>
      <c r="Q859" s="146"/>
      <c r="R859" s="146"/>
      <c r="S859" s="146"/>
      <c r="T859" s="146"/>
      <c r="U859" s="146"/>
      <c r="V859" s="146"/>
      <c r="W859" s="146"/>
      <c r="X859" s="146"/>
      <c r="Y859" s="331">
        <f t="shared" si="42"/>
        <v>0</v>
      </c>
      <c r="Z859" s="146"/>
      <c r="AA859" s="146"/>
      <c r="AB859" s="146"/>
      <c r="AC859" s="146"/>
      <c r="AD859" s="146"/>
      <c r="AE859" s="146"/>
      <c r="AF859" s="146"/>
      <c r="AG859" s="146"/>
      <c r="AH859" s="331">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29">
        <f t="shared" si="41"/>
        <v>0</v>
      </c>
      <c r="Q860" s="146"/>
      <c r="R860" s="146"/>
      <c r="S860" s="146"/>
      <c r="T860" s="146"/>
      <c r="U860" s="146"/>
      <c r="V860" s="146"/>
      <c r="W860" s="146"/>
      <c r="X860" s="146"/>
      <c r="Y860" s="331">
        <f t="shared" si="42"/>
        <v>0</v>
      </c>
      <c r="Z860" s="146"/>
      <c r="AA860" s="146"/>
      <c r="AB860" s="146"/>
      <c r="AC860" s="146"/>
      <c r="AD860" s="146"/>
      <c r="AE860" s="146"/>
      <c r="AF860" s="146"/>
      <c r="AG860" s="146"/>
      <c r="AH860" s="331">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29">
        <f t="shared" si="41"/>
        <v>0</v>
      </c>
      <c r="Q861" s="146"/>
      <c r="R861" s="146"/>
      <c r="S861" s="146"/>
      <c r="T861" s="146"/>
      <c r="U861" s="146"/>
      <c r="V861" s="146"/>
      <c r="W861" s="146"/>
      <c r="X861" s="146"/>
      <c r="Y861" s="331">
        <f t="shared" si="42"/>
        <v>0</v>
      </c>
      <c r="Z861" s="146"/>
      <c r="AA861" s="146"/>
      <c r="AB861" s="146"/>
      <c r="AC861" s="146"/>
      <c r="AD861" s="146"/>
      <c r="AE861" s="146"/>
      <c r="AF861" s="146"/>
      <c r="AG861" s="146"/>
      <c r="AH861" s="331">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29">
        <f t="shared" si="41"/>
        <v>0</v>
      </c>
      <c r="Q862" s="146"/>
      <c r="R862" s="146"/>
      <c r="S862" s="146"/>
      <c r="T862" s="146"/>
      <c r="U862" s="146"/>
      <c r="V862" s="146"/>
      <c r="W862" s="146"/>
      <c r="X862" s="146"/>
      <c r="Y862" s="331">
        <f t="shared" si="42"/>
        <v>0</v>
      </c>
      <c r="Z862" s="146"/>
      <c r="AA862" s="146"/>
      <c r="AB862" s="146"/>
      <c r="AC862" s="146"/>
      <c r="AD862" s="146"/>
      <c r="AE862" s="146"/>
      <c r="AF862" s="146"/>
      <c r="AG862" s="146"/>
      <c r="AH862" s="331">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29">
        <f t="shared" si="41"/>
        <v>0</v>
      </c>
      <c r="Q863" s="146"/>
      <c r="R863" s="146"/>
      <c r="S863" s="146"/>
      <c r="T863" s="146"/>
      <c r="U863" s="146"/>
      <c r="V863" s="146"/>
      <c r="W863" s="146"/>
      <c r="X863" s="146"/>
      <c r="Y863" s="331">
        <f t="shared" si="42"/>
        <v>0</v>
      </c>
      <c r="Z863" s="146"/>
      <c r="AA863" s="146"/>
      <c r="AB863" s="146"/>
      <c r="AC863" s="146"/>
      <c r="AD863" s="146"/>
      <c r="AE863" s="146"/>
      <c r="AF863" s="146"/>
      <c r="AG863" s="146"/>
      <c r="AH863" s="331">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29">
        <f t="shared" si="41"/>
        <v>0</v>
      </c>
      <c r="Q864" s="146"/>
      <c r="R864" s="146"/>
      <c r="S864" s="146"/>
      <c r="T864" s="146"/>
      <c r="U864" s="146"/>
      <c r="V864" s="146"/>
      <c r="W864" s="146"/>
      <c r="X864" s="146"/>
      <c r="Y864" s="331">
        <f t="shared" si="42"/>
        <v>0</v>
      </c>
      <c r="Z864" s="146"/>
      <c r="AA864" s="146"/>
      <c r="AB864" s="146"/>
      <c r="AC864" s="146"/>
      <c r="AD864" s="146"/>
      <c r="AE864" s="146"/>
      <c r="AF864" s="146"/>
      <c r="AG864" s="146"/>
      <c r="AH864" s="331">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29">
        <f t="shared" si="41"/>
        <v>0</v>
      </c>
      <c r="Q865" s="146"/>
      <c r="R865" s="146"/>
      <c r="S865" s="146"/>
      <c r="T865" s="146"/>
      <c r="U865" s="146"/>
      <c r="V865" s="146"/>
      <c r="W865" s="146"/>
      <c r="X865" s="146"/>
      <c r="Y865" s="331">
        <f t="shared" si="42"/>
        <v>0</v>
      </c>
      <c r="Z865" s="146"/>
      <c r="AA865" s="146"/>
      <c r="AB865" s="146"/>
      <c r="AC865" s="146"/>
      <c r="AD865" s="146"/>
      <c r="AE865" s="146"/>
      <c r="AF865" s="146"/>
      <c r="AG865" s="146"/>
      <c r="AH865" s="331">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29">
        <f t="shared" si="41"/>
        <v>0</v>
      </c>
      <c r="Q866" s="146"/>
      <c r="R866" s="146"/>
      <c r="S866" s="146"/>
      <c r="T866" s="146"/>
      <c r="U866" s="146"/>
      <c r="V866" s="146"/>
      <c r="W866" s="146"/>
      <c r="X866" s="146"/>
      <c r="Y866" s="331">
        <f t="shared" si="42"/>
        <v>0</v>
      </c>
      <c r="Z866" s="146"/>
      <c r="AA866" s="146"/>
      <c r="AB866" s="146"/>
      <c r="AC866" s="146"/>
      <c r="AD866" s="146"/>
      <c r="AE866" s="146"/>
      <c r="AF866" s="146"/>
      <c r="AG866" s="146"/>
      <c r="AH866" s="331">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29">
        <f t="shared" si="41"/>
        <v>0</v>
      </c>
      <c r="Q867" s="146"/>
      <c r="R867" s="146"/>
      <c r="S867" s="146"/>
      <c r="T867" s="146"/>
      <c r="U867" s="146"/>
      <c r="V867" s="146"/>
      <c r="W867" s="146"/>
      <c r="X867" s="146"/>
      <c r="Y867" s="331">
        <f t="shared" si="42"/>
        <v>0</v>
      </c>
      <c r="Z867" s="146"/>
      <c r="AA867" s="146"/>
      <c r="AB867" s="146"/>
      <c r="AC867" s="146"/>
      <c r="AD867" s="146"/>
      <c r="AE867" s="146"/>
      <c r="AF867" s="146"/>
      <c r="AG867" s="146"/>
      <c r="AH867" s="331">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29">
        <f t="shared" si="41"/>
        <v>0</v>
      </c>
      <c r="Q868" s="146"/>
      <c r="R868" s="146"/>
      <c r="S868" s="146"/>
      <c r="T868" s="146"/>
      <c r="U868" s="146"/>
      <c r="V868" s="146"/>
      <c r="W868" s="146"/>
      <c r="X868" s="146"/>
      <c r="Y868" s="331">
        <f t="shared" si="42"/>
        <v>0</v>
      </c>
      <c r="Z868" s="146"/>
      <c r="AA868" s="146"/>
      <c r="AB868" s="146"/>
      <c r="AC868" s="146"/>
      <c r="AD868" s="146"/>
      <c r="AE868" s="146"/>
      <c r="AF868" s="146"/>
      <c r="AG868" s="146"/>
      <c r="AH868" s="331">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29">
        <f t="shared" si="41"/>
        <v>0</v>
      </c>
      <c r="Q869" s="146"/>
      <c r="R869" s="146"/>
      <c r="S869" s="146"/>
      <c r="T869" s="146"/>
      <c r="U869" s="146"/>
      <c r="V869" s="146"/>
      <c r="W869" s="146"/>
      <c r="X869" s="146"/>
      <c r="Y869" s="331">
        <f t="shared" si="42"/>
        <v>0</v>
      </c>
      <c r="Z869" s="146"/>
      <c r="AA869" s="146"/>
      <c r="AB869" s="146"/>
      <c r="AC869" s="146"/>
      <c r="AD869" s="146"/>
      <c r="AE869" s="146"/>
      <c r="AF869" s="146"/>
      <c r="AG869" s="146"/>
      <c r="AH869" s="331">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29">
        <f t="shared" si="41"/>
        <v>0</v>
      </c>
      <c r="Q870" s="146"/>
      <c r="R870" s="146"/>
      <c r="S870" s="146"/>
      <c r="T870" s="146"/>
      <c r="U870" s="146"/>
      <c r="V870" s="146"/>
      <c r="W870" s="146"/>
      <c r="X870" s="146"/>
      <c r="Y870" s="331">
        <f t="shared" si="42"/>
        <v>0</v>
      </c>
      <c r="Z870" s="146"/>
      <c r="AA870" s="146"/>
      <c r="AB870" s="146"/>
      <c r="AC870" s="146"/>
      <c r="AD870" s="146"/>
      <c r="AE870" s="146"/>
      <c r="AF870" s="146"/>
      <c r="AG870" s="146"/>
      <c r="AH870" s="331">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29">
        <f t="shared" si="41"/>
        <v>0</v>
      </c>
      <c r="Q871" s="146"/>
      <c r="R871" s="146"/>
      <c r="S871" s="146"/>
      <c r="T871" s="146"/>
      <c r="U871" s="146"/>
      <c r="V871" s="146"/>
      <c r="W871" s="146"/>
      <c r="X871" s="146"/>
      <c r="Y871" s="331">
        <f t="shared" si="42"/>
        <v>0</v>
      </c>
      <c r="Z871" s="146"/>
      <c r="AA871" s="146"/>
      <c r="AB871" s="146"/>
      <c r="AC871" s="146"/>
      <c r="AD871" s="146"/>
      <c r="AE871" s="146"/>
      <c r="AF871" s="146"/>
      <c r="AG871" s="146"/>
      <c r="AH871" s="331">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29">
        <f t="shared" si="41"/>
        <v>0</v>
      </c>
      <c r="Q872" s="146"/>
      <c r="R872" s="146"/>
      <c r="S872" s="146"/>
      <c r="T872" s="146"/>
      <c r="U872" s="146"/>
      <c r="V872" s="146"/>
      <c r="W872" s="146"/>
      <c r="X872" s="146"/>
      <c r="Y872" s="331">
        <f t="shared" si="42"/>
        <v>0</v>
      </c>
      <c r="Z872" s="146"/>
      <c r="AA872" s="146"/>
      <c r="AB872" s="146"/>
      <c r="AC872" s="146"/>
      <c r="AD872" s="146"/>
      <c r="AE872" s="146"/>
      <c r="AF872" s="146"/>
      <c r="AG872" s="146"/>
      <c r="AH872" s="331">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29">
        <f t="shared" si="41"/>
        <v>0</v>
      </c>
      <c r="Q873" s="146"/>
      <c r="R873" s="146"/>
      <c r="S873" s="146"/>
      <c r="T873" s="146"/>
      <c r="U873" s="146"/>
      <c r="V873" s="146"/>
      <c r="W873" s="146"/>
      <c r="X873" s="146"/>
      <c r="Y873" s="331">
        <f t="shared" si="42"/>
        <v>0</v>
      </c>
      <c r="Z873" s="146"/>
      <c r="AA873" s="146"/>
      <c r="AB873" s="146"/>
      <c r="AC873" s="146"/>
      <c r="AD873" s="146"/>
      <c r="AE873" s="146"/>
      <c r="AF873" s="146"/>
      <c r="AG873" s="146"/>
      <c r="AH873" s="331">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29">
        <f t="shared" si="41"/>
        <v>0</v>
      </c>
      <c r="Q874" s="146"/>
      <c r="R874" s="146"/>
      <c r="S874" s="146"/>
      <c r="T874" s="146"/>
      <c r="U874" s="146"/>
      <c r="V874" s="146"/>
      <c r="W874" s="146"/>
      <c r="X874" s="146"/>
      <c r="Y874" s="331">
        <f t="shared" si="42"/>
        <v>0</v>
      </c>
      <c r="Z874" s="146"/>
      <c r="AA874" s="146"/>
      <c r="AB874" s="146"/>
      <c r="AC874" s="146"/>
      <c r="AD874" s="146"/>
      <c r="AE874" s="146"/>
      <c r="AF874" s="146"/>
      <c r="AG874" s="146"/>
      <c r="AH874" s="331">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29">
        <f t="shared" si="41"/>
        <v>0</v>
      </c>
      <c r="Q875" s="146"/>
      <c r="R875" s="146"/>
      <c r="S875" s="146"/>
      <c r="T875" s="146"/>
      <c r="U875" s="146"/>
      <c r="V875" s="146"/>
      <c r="W875" s="146"/>
      <c r="X875" s="146"/>
      <c r="Y875" s="331">
        <f t="shared" si="42"/>
        <v>0</v>
      </c>
      <c r="Z875" s="146"/>
      <c r="AA875" s="146"/>
      <c r="AB875" s="146"/>
      <c r="AC875" s="146"/>
      <c r="AD875" s="146"/>
      <c r="AE875" s="146"/>
      <c r="AF875" s="146"/>
      <c r="AG875" s="146"/>
      <c r="AH875" s="331">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29">
        <f t="shared" si="41"/>
        <v>0</v>
      </c>
      <c r="Q876" s="146"/>
      <c r="R876" s="146"/>
      <c r="S876" s="146"/>
      <c r="T876" s="146"/>
      <c r="U876" s="146"/>
      <c r="V876" s="146"/>
      <c r="W876" s="146"/>
      <c r="X876" s="146"/>
      <c r="Y876" s="331">
        <f t="shared" si="42"/>
        <v>0</v>
      </c>
      <c r="Z876" s="146"/>
      <c r="AA876" s="146"/>
      <c r="AB876" s="146"/>
      <c r="AC876" s="146"/>
      <c r="AD876" s="146"/>
      <c r="AE876" s="146"/>
      <c r="AF876" s="146"/>
      <c r="AG876" s="146"/>
      <c r="AH876" s="331">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29">
        <f t="shared" si="41"/>
        <v>0</v>
      </c>
      <c r="Q877" s="146"/>
      <c r="R877" s="146"/>
      <c r="S877" s="146"/>
      <c r="T877" s="146"/>
      <c r="U877" s="146"/>
      <c r="V877" s="146"/>
      <c r="W877" s="146"/>
      <c r="X877" s="146"/>
      <c r="Y877" s="331">
        <f t="shared" si="42"/>
        <v>0</v>
      </c>
      <c r="Z877" s="146"/>
      <c r="AA877" s="146"/>
      <c r="AB877" s="146"/>
      <c r="AC877" s="146"/>
      <c r="AD877" s="146"/>
      <c r="AE877" s="146"/>
      <c r="AF877" s="146"/>
      <c r="AG877" s="146"/>
      <c r="AH877" s="331">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29">
        <f t="shared" si="41"/>
        <v>0</v>
      </c>
      <c r="Q878" s="146"/>
      <c r="R878" s="146"/>
      <c r="S878" s="146"/>
      <c r="T878" s="146"/>
      <c r="U878" s="146"/>
      <c r="V878" s="146"/>
      <c r="W878" s="146"/>
      <c r="X878" s="146"/>
      <c r="Y878" s="331">
        <f t="shared" si="42"/>
        <v>0</v>
      </c>
      <c r="Z878" s="146"/>
      <c r="AA878" s="146"/>
      <c r="AB878" s="146"/>
      <c r="AC878" s="146"/>
      <c r="AD878" s="146"/>
      <c r="AE878" s="146"/>
      <c r="AF878" s="146"/>
      <c r="AG878" s="146"/>
      <c r="AH878" s="331">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29">
        <f t="shared" si="41"/>
        <v>0</v>
      </c>
      <c r="Q879" s="146"/>
      <c r="R879" s="146"/>
      <c r="S879" s="146"/>
      <c r="T879" s="146"/>
      <c r="U879" s="146"/>
      <c r="V879" s="146"/>
      <c r="W879" s="146"/>
      <c r="X879" s="146"/>
      <c r="Y879" s="331">
        <f t="shared" si="42"/>
        <v>0</v>
      </c>
      <c r="Z879" s="146"/>
      <c r="AA879" s="146"/>
      <c r="AB879" s="146"/>
      <c r="AC879" s="146"/>
      <c r="AD879" s="146"/>
      <c r="AE879" s="146"/>
      <c r="AF879" s="146"/>
      <c r="AG879" s="146"/>
      <c r="AH879" s="331">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29">
        <f t="shared" si="41"/>
        <v>0</v>
      </c>
      <c r="Q880" s="146"/>
      <c r="R880" s="146"/>
      <c r="S880" s="146"/>
      <c r="T880" s="146"/>
      <c r="U880" s="146"/>
      <c r="V880" s="146"/>
      <c r="W880" s="146"/>
      <c r="X880" s="146"/>
      <c r="Y880" s="331">
        <f t="shared" si="42"/>
        <v>0</v>
      </c>
      <c r="Z880" s="146"/>
      <c r="AA880" s="146"/>
      <c r="AB880" s="146"/>
      <c r="AC880" s="146"/>
      <c r="AD880" s="146"/>
      <c r="AE880" s="146"/>
      <c r="AF880" s="146"/>
      <c r="AG880" s="146"/>
      <c r="AH880" s="331">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29">
        <f t="shared" si="41"/>
        <v>0</v>
      </c>
      <c r="Q881" s="146"/>
      <c r="R881" s="146"/>
      <c r="S881" s="146"/>
      <c r="T881" s="146"/>
      <c r="U881" s="146"/>
      <c r="V881" s="146"/>
      <c r="W881" s="146"/>
      <c r="X881" s="146"/>
      <c r="Y881" s="331">
        <f t="shared" si="42"/>
        <v>0</v>
      </c>
      <c r="Z881" s="146"/>
      <c r="AA881" s="146"/>
      <c r="AB881" s="146"/>
      <c r="AC881" s="146"/>
      <c r="AD881" s="146"/>
      <c r="AE881" s="146"/>
      <c r="AF881" s="146"/>
      <c r="AG881" s="146"/>
      <c r="AH881" s="331">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29">
        <f t="shared" si="41"/>
        <v>0</v>
      </c>
      <c r="Q882" s="146"/>
      <c r="R882" s="146"/>
      <c r="S882" s="146"/>
      <c r="T882" s="146"/>
      <c r="U882" s="146"/>
      <c r="V882" s="146"/>
      <c r="W882" s="146"/>
      <c r="X882" s="146"/>
      <c r="Y882" s="331">
        <f t="shared" si="42"/>
        <v>0</v>
      </c>
      <c r="Z882" s="146"/>
      <c r="AA882" s="146"/>
      <c r="AB882" s="146"/>
      <c r="AC882" s="146"/>
      <c r="AD882" s="146"/>
      <c r="AE882" s="146"/>
      <c r="AF882" s="146"/>
      <c r="AG882" s="146"/>
      <c r="AH882" s="331">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29">
        <f t="shared" si="41"/>
        <v>0</v>
      </c>
      <c r="Q883" s="146"/>
      <c r="R883" s="146"/>
      <c r="S883" s="146"/>
      <c r="T883" s="146"/>
      <c r="U883" s="146"/>
      <c r="V883" s="146"/>
      <c r="W883" s="146"/>
      <c r="X883" s="146"/>
      <c r="Y883" s="331">
        <f t="shared" si="42"/>
        <v>0</v>
      </c>
      <c r="Z883" s="146"/>
      <c r="AA883" s="146"/>
      <c r="AB883" s="146"/>
      <c r="AC883" s="146"/>
      <c r="AD883" s="146"/>
      <c r="AE883" s="146"/>
      <c r="AF883" s="146"/>
      <c r="AG883" s="146"/>
      <c r="AH883" s="331">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29">
        <f t="shared" si="41"/>
        <v>0</v>
      </c>
      <c r="Q884" s="146"/>
      <c r="R884" s="146"/>
      <c r="S884" s="146"/>
      <c r="T884" s="146"/>
      <c r="U884" s="146"/>
      <c r="V884" s="146"/>
      <c r="W884" s="146"/>
      <c r="X884" s="146"/>
      <c r="Y884" s="331">
        <f t="shared" si="42"/>
        <v>0</v>
      </c>
      <c r="Z884" s="146"/>
      <c r="AA884" s="146"/>
      <c r="AB884" s="146"/>
      <c r="AC884" s="146"/>
      <c r="AD884" s="146"/>
      <c r="AE884" s="146"/>
      <c r="AF884" s="146"/>
      <c r="AG884" s="146"/>
      <c r="AH884" s="331">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29">
        <f t="shared" si="41"/>
        <v>0</v>
      </c>
      <c r="Q885" s="146"/>
      <c r="R885" s="146"/>
      <c r="S885" s="146"/>
      <c r="T885" s="146"/>
      <c r="U885" s="146"/>
      <c r="V885" s="146"/>
      <c r="W885" s="146"/>
      <c r="X885" s="146"/>
      <c r="Y885" s="331">
        <f t="shared" si="42"/>
        <v>0</v>
      </c>
      <c r="Z885" s="146"/>
      <c r="AA885" s="146"/>
      <c r="AB885" s="146"/>
      <c r="AC885" s="146"/>
      <c r="AD885" s="146"/>
      <c r="AE885" s="146"/>
      <c r="AF885" s="146"/>
      <c r="AG885" s="146"/>
      <c r="AH885" s="331">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29">
        <f t="shared" si="41"/>
        <v>0</v>
      </c>
      <c r="Q886" s="146"/>
      <c r="R886" s="146"/>
      <c r="S886" s="146"/>
      <c r="T886" s="146"/>
      <c r="U886" s="146"/>
      <c r="V886" s="146"/>
      <c r="W886" s="146"/>
      <c r="X886" s="146"/>
      <c r="Y886" s="331">
        <f t="shared" si="42"/>
        <v>0</v>
      </c>
      <c r="Z886" s="146"/>
      <c r="AA886" s="146"/>
      <c r="AB886" s="146"/>
      <c r="AC886" s="146"/>
      <c r="AD886" s="146"/>
      <c r="AE886" s="146"/>
      <c r="AF886" s="146"/>
      <c r="AG886" s="146"/>
      <c r="AH886" s="331">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29">
        <f t="shared" si="41"/>
        <v>0</v>
      </c>
      <c r="Q887" s="146"/>
      <c r="R887" s="146"/>
      <c r="S887" s="146"/>
      <c r="T887" s="146"/>
      <c r="U887" s="146"/>
      <c r="V887" s="146"/>
      <c r="W887" s="146"/>
      <c r="X887" s="146"/>
      <c r="Y887" s="331">
        <f t="shared" si="42"/>
        <v>0</v>
      </c>
      <c r="Z887" s="146"/>
      <c r="AA887" s="146"/>
      <c r="AB887" s="146"/>
      <c r="AC887" s="146"/>
      <c r="AD887" s="146"/>
      <c r="AE887" s="146"/>
      <c r="AF887" s="146"/>
      <c r="AG887" s="146"/>
      <c r="AH887" s="331">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29">
        <f t="shared" si="41"/>
        <v>0</v>
      </c>
      <c r="Q888" s="146"/>
      <c r="R888" s="146"/>
      <c r="S888" s="146"/>
      <c r="T888" s="146"/>
      <c r="U888" s="146"/>
      <c r="V888" s="146"/>
      <c r="W888" s="146"/>
      <c r="X888" s="146"/>
      <c r="Y888" s="331">
        <f t="shared" si="42"/>
        <v>0</v>
      </c>
      <c r="Z888" s="146"/>
      <c r="AA888" s="146"/>
      <c r="AB888" s="146"/>
      <c r="AC888" s="146"/>
      <c r="AD888" s="146"/>
      <c r="AE888" s="146"/>
      <c r="AF888" s="146"/>
      <c r="AG888" s="146"/>
      <c r="AH888" s="331">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29">
        <f t="shared" si="41"/>
        <v>0</v>
      </c>
      <c r="Q889" s="146"/>
      <c r="R889" s="146"/>
      <c r="S889" s="146"/>
      <c r="T889" s="146"/>
      <c r="U889" s="146"/>
      <c r="V889" s="146"/>
      <c r="W889" s="146"/>
      <c r="X889" s="146"/>
      <c r="Y889" s="331">
        <f t="shared" si="42"/>
        <v>0</v>
      </c>
      <c r="Z889" s="146"/>
      <c r="AA889" s="146"/>
      <c r="AB889" s="146"/>
      <c r="AC889" s="146"/>
      <c r="AD889" s="146"/>
      <c r="AE889" s="146"/>
      <c r="AF889" s="146"/>
      <c r="AG889" s="146"/>
      <c r="AH889" s="331">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29">
        <f t="shared" si="41"/>
        <v>0</v>
      </c>
      <c r="Q890" s="146"/>
      <c r="R890" s="146"/>
      <c r="S890" s="146"/>
      <c r="T890" s="146"/>
      <c r="U890" s="146"/>
      <c r="V890" s="146"/>
      <c r="W890" s="146"/>
      <c r="X890" s="146"/>
      <c r="Y890" s="331">
        <f t="shared" si="42"/>
        <v>0</v>
      </c>
      <c r="Z890" s="146"/>
      <c r="AA890" s="146"/>
      <c r="AB890" s="146"/>
      <c r="AC890" s="146"/>
      <c r="AD890" s="146"/>
      <c r="AE890" s="146"/>
      <c r="AF890" s="146"/>
      <c r="AG890" s="146"/>
      <c r="AH890" s="331">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29">
        <f t="shared" si="41"/>
        <v>0</v>
      </c>
      <c r="Q891" s="146"/>
      <c r="R891" s="146"/>
      <c r="S891" s="146"/>
      <c r="T891" s="146"/>
      <c r="U891" s="146"/>
      <c r="V891" s="146"/>
      <c r="W891" s="146"/>
      <c r="X891" s="146"/>
      <c r="Y891" s="331">
        <f t="shared" si="42"/>
        <v>0</v>
      </c>
      <c r="Z891" s="146"/>
      <c r="AA891" s="146"/>
      <c r="AB891" s="146"/>
      <c r="AC891" s="146"/>
      <c r="AD891" s="146"/>
      <c r="AE891" s="146"/>
      <c r="AF891" s="146"/>
      <c r="AG891" s="146"/>
      <c r="AH891" s="331">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29">
        <f t="shared" si="41"/>
        <v>0</v>
      </c>
      <c r="Q892" s="146"/>
      <c r="R892" s="146"/>
      <c r="S892" s="146"/>
      <c r="T892" s="146"/>
      <c r="U892" s="146"/>
      <c r="V892" s="146"/>
      <c r="W892" s="146"/>
      <c r="X892" s="146"/>
      <c r="Y892" s="331">
        <f t="shared" si="42"/>
        <v>0</v>
      </c>
      <c r="Z892" s="146"/>
      <c r="AA892" s="146"/>
      <c r="AB892" s="146"/>
      <c r="AC892" s="146"/>
      <c r="AD892" s="146"/>
      <c r="AE892" s="146"/>
      <c r="AF892" s="146"/>
      <c r="AG892" s="146"/>
      <c r="AH892" s="331">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29">
        <f t="shared" si="41"/>
        <v>0</v>
      </c>
      <c r="Q893" s="146"/>
      <c r="R893" s="146"/>
      <c r="S893" s="146"/>
      <c r="T893" s="146"/>
      <c r="U893" s="146"/>
      <c r="V893" s="146"/>
      <c r="W893" s="146"/>
      <c r="X893" s="146"/>
      <c r="Y893" s="331">
        <f t="shared" si="42"/>
        <v>0</v>
      </c>
      <c r="Z893" s="146"/>
      <c r="AA893" s="146"/>
      <c r="AB893" s="146"/>
      <c r="AC893" s="146"/>
      <c r="AD893" s="146"/>
      <c r="AE893" s="146"/>
      <c r="AF893" s="146"/>
      <c r="AG893" s="146"/>
      <c r="AH893" s="331">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29">
        <f t="shared" si="41"/>
        <v>0</v>
      </c>
      <c r="Q894" s="146"/>
      <c r="R894" s="146"/>
      <c r="S894" s="146"/>
      <c r="T894" s="146"/>
      <c r="U894" s="146"/>
      <c r="V894" s="146"/>
      <c r="W894" s="146"/>
      <c r="X894" s="146"/>
      <c r="Y894" s="331">
        <f t="shared" si="42"/>
        <v>0</v>
      </c>
      <c r="Z894" s="146"/>
      <c r="AA894" s="146"/>
      <c r="AB894" s="146"/>
      <c r="AC894" s="146"/>
      <c r="AD894" s="146"/>
      <c r="AE894" s="146"/>
      <c r="AF894" s="146"/>
      <c r="AG894" s="146"/>
      <c r="AH894" s="331">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29">
        <f t="shared" si="41"/>
        <v>0</v>
      </c>
      <c r="Q895" s="146"/>
      <c r="R895" s="146"/>
      <c r="S895" s="146"/>
      <c r="T895" s="146"/>
      <c r="U895" s="146"/>
      <c r="V895" s="146"/>
      <c r="W895" s="146"/>
      <c r="X895" s="146"/>
      <c r="Y895" s="331">
        <f t="shared" si="42"/>
        <v>0</v>
      </c>
      <c r="Z895" s="146"/>
      <c r="AA895" s="146"/>
      <c r="AB895" s="146"/>
      <c r="AC895" s="146"/>
      <c r="AD895" s="146"/>
      <c r="AE895" s="146"/>
      <c r="AF895" s="146"/>
      <c r="AG895" s="146"/>
      <c r="AH895" s="331">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29">
        <f t="shared" si="41"/>
        <v>0</v>
      </c>
      <c r="Q896" s="146"/>
      <c r="R896" s="146"/>
      <c r="S896" s="146"/>
      <c r="T896" s="146"/>
      <c r="U896" s="146"/>
      <c r="V896" s="146"/>
      <c r="W896" s="146"/>
      <c r="X896" s="146"/>
      <c r="Y896" s="331">
        <f t="shared" si="42"/>
        <v>0</v>
      </c>
      <c r="Z896" s="146"/>
      <c r="AA896" s="146"/>
      <c r="AB896" s="146"/>
      <c r="AC896" s="146"/>
      <c r="AD896" s="146"/>
      <c r="AE896" s="146"/>
      <c r="AF896" s="146"/>
      <c r="AG896" s="146"/>
      <c r="AH896" s="331">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29">
        <f t="shared" si="41"/>
        <v>0</v>
      </c>
      <c r="Q897" s="146"/>
      <c r="R897" s="146"/>
      <c r="S897" s="146"/>
      <c r="T897" s="146"/>
      <c r="U897" s="146"/>
      <c r="V897" s="146"/>
      <c r="W897" s="146"/>
      <c r="X897" s="146"/>
      <c r="Y897" s="331">
        <f t="shared" si="42"/>
        <v>0</v>
      </c>
      <c r="Z897" s="146"/>
      <c r="AA897" s="146"/>
      <c r="AB897" s="146"/>
      <c r="AC897" s="146"/>
      <c r="AD897" s="146"/>
      <c r="AE897" s="146"/>
      <c r="AF897" s="146"/>
      <c r="AG897" s="146"/>
      <c r="AH897" s="331">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29">
        <f t="shared" si="41"/>
        <v>0</v>
      </c>
      <c r="Q898" s="146"/>
      <c r="R898" s="146"/>
      <c r="S898" s="146"/>
      <c r="T898" s="146"/>
      <c r="U898" s="146"/>
      <c r="V898" s="146"/>
      <c r="W898" s="146"/>
      <c r="X898" s="146"/>
      <c r="Y898" s="331">
        <f t="shared" si="42"/>
        <v>0</v>
      </c>
      <c r="Z898" s="146"/>
      <c r="AA898" s="146"/>
      <c r="AB898" s="146"/>
      <c r="AC898" s="146"/>
      <c r="AD898" s="146"/>
      <c r="AE898" s="146"/>
      <c r="AF898" s="146"/>
      <c r="AG898" s="146"/>
      <c r="AH898" s="331">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29">
        <f t="shared" si="41"/>
        <v>0</v>
      </c>
      <c r="Q899" s="146"/>
      <c r="R899" s="146"/>
      <c r="S899" s="146"/>
      <c r="T899" s="146"/>
      <c r="U899" s="146"/>
      <c r="V899" s="146"/>
      <c r="W899" s="146"/>
      <c r="X899" s="146"/>
      <c r="Y899" s="331">
        <f t="shared" si="42"/>
        <v>0</v>
      </c>
      <c r="Z899" s="146"/>
      <c r="AA899" s="146"/>
      <c r="AB899" s="146"/>
      <c r="AC899" s="146"/>
      <c r="AD899" s="146"/>
      <c r="AE899" s="146"/>
      <c r="AF899" s="146"/>
      <c r="AG899" s="146"/>
      <c r="AH899" s="331">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29">
        <f t="shared" si="41"/>
        <v>0</v>
      </c>
      <c r="Q900" s="146"/>
      <c r="R900" s="146"/>
      <c r="S900" s="146"/>
      <c r="T900" s="146"/>
      <c r="U900" s="146"/>
      <c r="V900" s="146"/>
      <c r="W900" s="146"/>
      <c r="X900" s="146"/>
      <c r="Y900" s="331">
        <f t="shared" si="42"/>
        <v>0</v>
      </c>
      <c r="Z900" s="146"/>
      <c r="AA900" s="146"/>
      <c r="AB900" s="146"/>
      <c r="AC900" s="146"/>
      <c r="AD900" s="146"/>
      <c r="AE900" s="146"/>
      <c r="AF900" s="146"/>
      <c r="AG900" s="146"/>
      <c r="AH900" s="331">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29">
        <f t="shared" si="41"/>
        <v>0</v>
      </c>
      <c r="Q901" s="146"/>
      <c r="R901" s="146"/>
      <c r="S901" s="146"/>
      <c r="T901" s="146"/>
      <c r="U901" s="146"/>
      <c r="V901" s="146"/>
      <c r="W901" s="146"/>
      <c r="X901" s="146"/>
      <c r="Y901" s="331">
        <f t="shared" si="42"/>
        <v>0</v>
      </c>
      <c r="Z901" s="146"/>
      <c r="AA901" s="146"/>
      <c r="AB901" s="146"/>
      <c r="AC901" s="146"/>
      <c r="AD901" s="146"/>
      <c r="AE901" s="146"/>
      <c r="AF901" s="146"/>
      <c r="AG901" s="146"/>
      <c r="AH901" s="331">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29">
        <f t="shared" si="41"/>
        <v>0</v>
      </c>
      <c r="Q902" s="146"/>
      <c r="R902" s="146"/>
      <c r="S902" s="146"/>
      <c r="T902" s="146"/>
      <c r="U902" s="146"/>
      <c r="V902" s="146"/>
      <c r="W902" s="146"/>
      <c r="X902" s="146"/>
      <c r="Y902" s="331">
        <f t="shared" si="42"/>
        <v>0</v>
      </c>
      <c r="Z902" s="146"/>
      <c r="AA902" s="146"/>
      <c r="AB902" s="146"/>
      <c r="AC902" s="146"/>
      <c r="AD902" s="146"/>
      <c r="AE902" s="146"/>
      <c r="AF902" s="146"/>
      <c r="AG902" s="146"/>
      <c r="AH902" s="331">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29">
        <f t="shared" si="41"/>
        <v>0</v>
      </c>
      <c r="Q903" s="146"/>
      <c r="R903" s="146"/>
      <c r="S903" s="146"/>
      <c r="T903" s="146"/>
      <c r="U903" s="146"/>
      <c r="V903" s="146"/>
      <c r="W903" s="146"/>
      <c r="X903" s="146"/>
      <c r="Y903" s="331">
        <f t="shared" si="42"/>
        <v>0</v>
      </c>
      <c r="Z903" s="146"/>
      <c r="AA903" s="146"/>
      <c r="AB903" s="146"/>
      <c r="AC903" s="146"/>
      <c r="AD903" s="146"/>
      <c r="AE903" s="146"/>
      <c r="AF903" s="146"/>
      <c r="AG903" s="146"/>
      <c r="AH903" s="331">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29">
        <f t="shared" si="41"/>
        <v>0</v>
      </c>
      <c r="Q904" s="146"/>
      <c r="R904" s="146"/>
      <c r="S904" s="146"/>
      <c r="T904" s="146"/>
      <c r="U904" s="146"/>
      <c r="V904" s="146"/>
      <c r="W904" s="146"/>
      <c r="X904" s="146"/>
      <c r="Y904" s="331">
        <f t="shared" si="42"/>
        <v>0</v>
      </c>
      <c r="Z904" s="146"/>
      <c r="AA904" s="146"/>
      <c r="AB904" s="146"/>
      <c r="AC904" s="146"/>
      <c r="AD904" s="146"/>
      <c r="AE904" s="146"/>
      <c r="AF904" s="146"/>
      <c r="AG904" s="146"/>
      <c r="AH904" s="331">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29">
        <f t="shared" si="41"/>
        <v>0</v>
      </c>
      <c r="Q905" s="146"/>
      <c r="R905" s="146"/>
      <c r="S905" s="146"/>
      <c r="T905" s="146"/>
      <c r="U905" s="146"/>
      <c r="V905" s="146"/>
      <c r="W905" s="146"/>
      <c r="X905" s="146"/>
      <c r="Y905" s="331">
        <f t="shared" si="42"/>
        <v>0</v>
      </c>
      <c r="Z905" s="146"/>
      <c r="AA905" s="146"/>
      <c r="AB905" s="146"/>
      <c r="AC905" s="146"/>
      <c r="AD905" s="146"/>
      <c r="AE905" s="146"/>
      <c r="AF905" s="146"/>
      <c r="AG905" s="146"/>
      <c r="AH905" s="331">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29">
        <f t="shared" si="41"/>
        <v>0</v>
      </c>
      <c r="Q906" s="146"/>
      <c r="R906" s="146"/>
      <c r="S906" s="146"/>
      <c r="T906" s="146"/>
      <c r="U906" s="146"/>
      <c r="V906" s="146"/>
      <c r="W906" s="146"/>
      <c r="X906" s="146"/>
      <c r="Y906" s="331">
        <f t="shared" si="42"/>
        <v>0</v>
      </c>
      <c r="Z906" s="146"/>
      <c r="AA906" s="146"/>
      <c r="AB906" s="146"/>
      <c r="AC906" s="146"/>
      <c r="AD906" s="146"/>
      <c r="AE906" s="146"/>
      <c r="AF906" s="146"/>
      <c r="AG906" s="146"/>
      <c r="AH906" s="331">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29">
        <f t="shared" si="41"/>
        <v>0</v>
      </c>
      <c r="Q907" s="146"/>
      <c r="R907" s="146"/>
      <c r="S907" s="146"/>
      <c r="T907" s="146"/>
      <c r="U907" s="146"/>
      <c r="V907" s="146"/>
      <c r="W907" s="146"/>
      <c r="X907" s="146"/>
      <c r="Y907" s="331">
        <f t="shared" si="42"/>
        <v>0</v>
      </c>
      <c r="Z907" s="146"/>
      <c r="AA907" s="146"/>
      <c r="AB907" s="146"/>
      <c r="AC907" s="146"/>
      <c r="AD907" s="146"/>
      <c r="AE907" s="146"/>
      <c r="AF907" s="146"/>
      <c r="AG907" s="146"/>
      <c r="AH907" s="331">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29">
        <f t="shared" si="41"/>
        <v>0</v>
      </c>
      <c r="Q908" s="146"/>
      <c r="R908" s="146"/>
      <c r="S908" s="146"/>
      <c r="T908" s="146"/>
      <c r="U908" s="146"/>
      <c r="V908" s="146"/>
      <c r="W908" s="146"/>
      <c r="X908" s="146"/>
      <c r="Y908" s="331">
        <f t="shared" si="42"/>
        <v>0</v>
      </c>
      <c r="Z908" s="146"/>
      <c r="AA908" s="146"/>
      <c r="AB908" s="146"/>
      <c r="AC908" s="146"/>
      <c r="AD908" s="146"/>
      <c r="AE908" s="146"/>
      <c r="AF908" s="146"/>
      <c r="AG908" s="146"/>
      <c r="AH908" s="331">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29">
        <f t="shared" ref="P909:P972" si="44">SUM(H909:N909)</f>
        <v>0</v>
      </c>
      <c r="Q909" s="146"/>
      <c r="R909" s="146"/>
      <c r="S909" s="146"/>
      <c r="T909" s="146"/>
      <c r="U909" s="146"/>
      <c r="V909" s="146"/>
      <c r="W909" s="146"/>
      <c r="X909" s="146"/>
      <c r="Y909" s="331">
        <f t="shared" ref="Y909:Y972" si="45">SUM(Q909:W909)</f>
        <v>0</v>
      </c>
      <c r="Z909" s="146"/>
      <c r="AA909" s="146"/>
      <c r="AB909" s="146"/>
      <c r="AC909" s="146"/>
      <c r="AD909" s="146"/>
      <c r="AE909" s="146"/>
      <c r="AF909" s="146"/>
      <c r="AG909" s="146"/>
      <c r="AH909" s="331">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29">
        <f t="shared" si="44"/>
        <v>0</v>
      </c>
      <c r="Q910" s="146"/>
      <c r="R910" s="146"/>
      <c r="S910" s="146"/>
      <c r="T910" s="146"/>
      <c r="U910" s="146"/>
      <c r="V910" s="146"/>
      <c r="W910" s="146"/>
      <c r="X910" s="146"/>
      <c r="Y910" s="331">
        <f t="shared" si="45"/>
        <v>0</v>
      </c>
      <c r="Z910" s="146"/>
      <c r="AA910" s="146"/>
      <c r="AB910" s="146"/>
      <c r="AC910" s="146"/>
      <c r="AD910" s="146"/>
      <c r="AE910" s="146"/>
      <c r="AF910" s="146"/>
      <c r="AG910" s="146"/>
      <c r="AH910" s="331">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29">
        <f t="shared" si="44"/>
        <v>0</v>
      </c>
      <c r="Q911" s="146"/>
      <c r="R911" s="146"/>
      <c r="S911" s="146"/>
      <c r="T911" s="146"/>
      <c r="U911" s="146"/>
      <c r="V911" s="146"/>
      <c r="W911" s="146"/>
      <c r="X911" s="146"/>
      <c r="Y911" s="331">
        <f t="shared" si="45"/>
        <v>0</v>
      </c>
      <c r="Z911" s="146"/>
      <c r="AA911" s="146"/>
      <c r="AB911" s="146"/>
      <c r="AC911" s="146"/>
      <c r="AD911" s="146"/>
      <c r="AE911" s="146"/>
      <c r="AF911" s="146"/>
      <c r="AG911" s="146"/>
      <c r="AH911" s="331">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29">
        <f t="shared" si="44"/>
        <v>0</v>
      </c>
      <c r="Q912" s="146"/>
      <c r="R912" s="146"/>
      <c r="S912" s="146"/>
      <c r="T912" s="146"/>
      <c r="U912" s="146"/>
      <c r="V912" s="146"/>
      <c r="W912" s="146"/>
      <c r="X912" s="146"/>
      <c r="Y912" s="331">
        <f t="shared" si="45"/>
        <v>0</v>
      </c>
      <c r="Z912" s="146"/>
      <c r="AA912" s="146"/>
      <c r="AB912" s="146"/>
      <c r="AC912" s="146"/>
      <c r="AD912" s="146"/>
      <c r="AE912" s="146"/>
      <c r="AF912" s="146"/>
      <c r="AG912" s="146"/>
      <c r="AH912" s="331">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29">
        <f t="shared" si="44"/>
        <v>0</v>
      </c>
      <c r="Q913" s="146"/>
      <c r="R913" s="146"/>
      <c r="S913" s="146"/>
      <c r="T913" s="146"/>
      <c r="U913" s="146"/>
      <c r="V913" s="146"/>
      <c r="W913" s="146"/>
      <c r="X913" s="146"/>
      <c r="Y913" s="331">
        <f t="shared" si="45"/>
        <v>0</v>
      </c>
      <c r="Z913" s="146"/>
      <c r="AA913" s="146"/>
      <c r="AB913" s="146"/>
      <c r="AC913" s="146"/>
      <c r="AD913" s="146"/>
      <c r="AE913" s="146"/>
      <c r="AF913" s="146"/>
      <c r="AG913" s="146"/>
      <c r="AH913" s="331">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29">
        <f t="shared" si="44"/>
        <v>0</v>
      </c>
      <c r="Q914" s="146"/>
      <c r="R914" s="146"/>
      <c r="S914" s="146"/>
      <c r="T914" s="146"/>
      <c r="U914" s="146"/>
      <c r="V914" s="146"/>
      <c r="W914" s="146"/>
      <c r="X914" s="146"/>
      <c r="Y914" s="331">
        <f t="shared" si="45"/>
        <v>0</v>
      </c>
      <c r="Z914" s="146"/>
      <c r="AA914" s="146"/>
      <c r="AB914" s="146"/>
      <c r="AC914" s="146"/>
      <c r="AD914" s="146"/>
      <c r="AE914" s="146"/>
      <c r="AF914" s="146"/>
      <c r="AG914" s="146"/>
      <c r="AH914" s="331">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29">
        <f t="shared" si="44"/>
        <v>0</v>
      </c>
      <c r="Q915" s="146"/>
      <c r="R915" s="146"/>
      <c r="S915" s="146"/>
      <c r="T915" s="146"/>
      <c r="U915" s="146"/>
      <c r="V915" s="146"/>
      <c r="W915" s="146"/>
      <c r="X915" s="146"/>
      <c r="Y915" s="331">
        <f t="shared" si="45"/>
        <v>0</v>
      </c>
      <c r="Z915" s="146"/>
      <c r="AA915" s="146"/>
      <c r="AB915" s="146"/>
      <c r="AC915" s="146"/>
      <c r="AD915" s="146"/>
      <c r="AE915" s="146"/>
      <c r="AF915" s="146"/>
      <c r="AG915" s="146"/>
      <c r="AH915" s="331">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29">
        <f t="shared" si="44"/>
        <v>0</v>
      </c>
      <c r="Q916" s="146"/>
      <c r="R916" s="146"/>
      <c r="S916" s="146"/>
      <c r="T916" s="146"/>
      <c r="U916" s="146"/>
      <c r="V916" s="146"/>
      <c r="W916" s="146"/>
      <c r="X916" s="146"/>
      <c r="Y916" s="331">
        <f t="shared" si="45"/>
        <v>0</v>
      </c>
      <c r="Z916" s="146"/>
      <c r="AA916" s="146"/>
      <c r="AB916" s="146"/>
      <c r="AC916" s="146"/>
      <c r="AD916" s="146"/>
      <c r="AE916" s="146"/>
      <c r="AF916" s="146"/>
      <c r="AG916" s="146"/>
      <c r="AH916" s="331">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29">
        <f t="shared" si="44"/>
        <v>0</v>
      </c>
      <c r="Q917" s="146"/>
      <c r="R917" s="146"/>
      <c r="S917" s="146"/>
      <c r="T917" s="146"/>
      <c r="U917" s="146"/>
      <c r="V917" s="146"/>
      <c r="W917" s="146"/>
      <c r="X917" s="146"/>
      <c r="Y917" s="331">
        <f t="shared" si="45"/>
        <v>0</v>
      </c>
      <c r="Z917" s="146"/>
      <c r="AA917" s="146"/>
      <c r="AB917" s="146"/>
      <c r="AC917" s="146"/>
      <c r="AD917" s="146"/>
      <c r="AE917" s="146"/>
      <c r="AF917" s="146"/>
      <c r="AG917" s="146"/>
      <c r="AH917" s="331">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29">
        <f t="shared" si="44"/>
        <v>0</v>
      </c>
      <c r="Q918" s="146"/>
      <c r="R918" s="146"/>
      <c r="S918" s="146"/>
      <c r="T918" s="146"/>
      <c r="U918" s="146"/>
      <c r="V918" s="146"/>
      <c r="W918" s="146"/>
      <c r="X918" s="146"/>
      <c r="Y918" s="331">
        <f t="shared" si="45"/>
        <v>0</v>
      </c>
      <c r="Z918" s="146"/>
      <c r="AA918" s="146"/>
      <c r="AB918" s="146"/>
      <c r="AC918" s="146"/>
      <c r="AD918" s="146"/>
      <c r="AE918" s="146"/>
      <c r="AF918" s="146"/>
      <c r="AG918" s="146"/>
      <c r="AH918" s="331">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29">
        <f t="shared" si="44"/>
        <v>0</v>
      </c>
      <c r="Q919" s="146"/>
      <c r="R919" s="146"/>
      <c r="S919" s="146"/>
      <c r="T919" s="146"/>
      <c r="U919" s="146"/>
      <c r="V919" s="146"/>
      <c r="W919" s="146"/>
      <c r="X919" s="146"/>
      <c r="Y919" s="331">
        <f t="shared" si="45"/>
        <v>0</v>
      </c>
      <c r="Z919" s="146"/>
      <c r="AA919" s="146"/>
      <c r="AB919" s="146"/>
      <c r="AC919" s="146"/>
      <c r="AD919" s="146"/>
      <c r="AE919" s="146"/>
      <c r="AF919" s="146"/>
      <c r="AG919" s="146"/>
      <c r="AH919" s="331">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29">
        <f t="shared" si="44"/>
        <v>0</v>
      </c>
      <c r="Q920" s="146"/>
      <c r="R920" s="146"/>
      <c r="S920" s="146"/>
      <c r="T920" s="146"/>
      <c r="U920" s="146"/>
      <c r="V920" s="146"/>
      <c r="W920" s="146"/>
      <c r="X920" s="146"/>
      <c r="Y920" s="331">
        <f t="shared" si="45"/>
        <v>0</v>
      </c>
      <c r="Z920" s="146"/>
      <c r="AA920" s="146"/>
      <c r="AB920" s="146"/>
      <c r="AC920" s="146"/>
      <c r="AD920" s="146"/>
      <c r="AE920" s="146"/>
      <c r="AF920" s="146"/>
      <c r="AG920" s="146"/>
      <c r="AH920" s="331">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29">
        <f t="shared" si="44"/>
        <v>0</v>
      </c>
      <c r="Q921" s="146"/>
      <c r="R921" s="146"/>
      <c r="S921" s="146"/>
      <c r="T921" s="146"/>
      <c r="U921" s="146"/>
      <c r="V921" s="146"/>
      <c r="W921" s="146"/>
      <c r="X921" s="146"/>
      <c r="Y921" s="331">
        <f t="shared" si="45"/>
        <v>0</v>
      </c>
      <c r="Z921" s="146"/>
      <c r="AA921" s="146"/>
      <c r="AB921" s="146"/>
      <c r="AC921" s="146"/>
      <c r="AD921" s="146"/>
      <c r="AE921" s="146"/>
      <c r="AF921" s="146"/>
      <c r="AG921" s="146"/>
      <c r="AH921" s="331">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29">
        <f t="shared" si="44"/>
        <v>0</v>
      </c>
      <c r="Q922" s="146"/>
      <c r="R922" s="146"/>
      <c r="S922" s="146"/>
      <c r="T922" s="146"/>
      <c r="U922" s="146"/>
      <c r="V922" s="146"/>
      <c r="W922" s="146"/>
      <c r="X922" s="146"/>
      <c r="Y922" s="331">
        <f t="shared" si="45"/>
        <v>0</v>
      </c>
      <c r="Z922" s="146"/>
      <c r="AA922" s="146"/>
      <c r="AB922" s="146"/>
      <c r="AC922" s="146"/>
      <c r="AD922" s="146"/>
      <c r="AE922" s="146"/>
      <c r="AF922" s="146"/>
      <c r="AG922" s="146"/>
      <c r="AH922" s="331">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29">
        <f t="shared" si="44"/>
        <v>0</v>
      </c>
      <c r="Q923" s="146"/>
      <c r="R923" s="146"/>
      <c r="S923" s="146"/>
      <c r="T923" s="146"/>
      <c r="U923" s="146"/>
      <c r="V923" s="146"/>
      <c r="W923" s="146"/>
      <c r="X923" s="146"/>
      <c r="Y923" s="331">
        <f t="shared" si="45"/>
        <v>0</v>
      </c>
      <c r="Z923" s="146"/>
      <c r="AA923" s="146"/>
      <c r="AB923" s="146"/>
      <c r="AC923" s="146"/>
      <c r="AD923" s="146"/>
      <c r="AE923" s="146"/>
      <c r="AF923" s="146"/>
      <c r="AG923" s="146"/>
      <c r="AH923" s="331">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29">
        <f t="shared" si="44"/>
        <v>0</v>
      </c>
      <c r="Q924" s="146"/>
      <c r="R924" s="146"/>
      <c r="S924" s="146"/>
      <c r="T924" s="146"/>
      <c r="U924" s="146"/>
      <c r="V924" s="146"/>
      <c r="W924" s="146"/>
      <c r="X924" s="146"/>
      <c r="Y924" s="331">
        <f t="shared" si="45"/>
        <v>0</v>
      </c>
      <c r="Z924" s="146"/>
      <c r="AA924" s="146"/>
      <c r="AB924" s="146"/>
      <c r="AC924" s="146"/>
      <c r="AD924" s="146"/>
      <c r="AE924" s="146"/>
      <c r="AF924" s="146"/>
      <c r="AG924" s="146"/>
      <c r="AH924" s="331">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29">
        <f t="shared" si="44"/>
        <v>0</v>
      </c>
      <c r="Q925" s="146"/>
      <c r="R925" s="146"/>
      <c r="S925" s="146"/>
      <c r="T925" s="146"/>
      <c r="U925" s="146"/>
      <c r="V925" s="146"/>
      <c r="W925" s="146"/>
      <c r="X925" s="146"/>
      <c r="Y925" s="331">
        <f t="shared" si="45"/>
        <v>0</v>
      </c>
      <c r="Z925" s="146"/>
      <c r="AA925" s="146"/>
      <c r="AB925" s="146"/>
      <c r="AC925" s="146"/>
      <c r="AD925" s="146"/>
      <c r="AE925" s="146"/>
      <c r="AF925" s="146"/>
      <c r="AG925" s="146"/>
      <c r="AH925" s="331">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29">
        <f t="shared" si="44"/>
        <v>0</v>
      </c>
      <c r="Q926" s="146"/>
      <c r="R926" s="146"/>
      <c r="S926" s="146"/>
      <c r="T926" s="146"/>
      <c r="U926" s="146"/>
      <c r="V926" s="146"/>
      <c r="W926" s="146"/>
      <c r="X926" s="146"/>
      <c r="Y926" s="331">
        <f t="shared" si="45"/>
        <v>0</v>
      </c>
      <c r="Z926" s="146"/>
      <c r="AA926" s="146"/>
      <c r="AB926" s="146"/>
      <c r="AC926" s="146"/>
      <c r="AD926" s="146"/>
      <c r="AE926" s="146"/>
      <c r="AF926" s="146"/>
      <c r="AG926" s="146"/>
      <c r="AH926" s="331">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29">
        <f t="shared" si="44"/>
        <v>0</v>
      </c>
      <c r="Q927" s="146"/>
      <c r="R927" s="146"/>
      <c r="S927" s="146"/>
      <c r="T927" s="146"/>
      <c r="U927" s="146"/>
      <c r="V927" s="146"/>
      <c r="W927" s="146"/>
      <c r="X927" s="146"/>
      <c r="Y927" s="331">
        <f t="shared" si="45"/>
        <v>0</v>
      </c>
      <c r="Z927" s="146"/>
      <c r="AA927" s="146"/>
      <c r="AB927" s="146"/>
      <c r="AC927" s="146"/>
      <c r="AD927" s="146"/>
      <c r="AE927" s="146"/>
      <c r="AF927" s="146"/>
      <c r="AG927" s="146"/>
      <c r="AH927" s="331">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29">
        <f t="shared" si="44"/>
        <v>0</v>
      </c>
      <c r="Q928" s="146"/>
      <c r="R928" s="146"/>
      <c r="S928" s="146"/>
      <c r="T928" s="146"/>
      <c r="U928" s="146"/>
      <c r="V928" s="146"/>
      <c r="W928" s="146"/>
      <c r="X928" s="146"/>
      <c r="Y928" s="331">
        <f t="shared" si="45"/>
        <v>0</v>
      </c>
      <c r="Z928" s="146"/>
      <c r="AA928" s="146"/>
      <c r="AB928" s="146"/>
      <c r="AC928" s="146"/>
      <c r="AD928" s="146"/>
      <c r="AE928" s="146"/>
      <c r="AF928" s="146"/>
      <c r="AG928" s="146"/>
      <c r="AH928" s="331">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29">
        <f t="shared" si="44"/>
        <v>0</v>
      </c>
      <c r="Q929" s="146"/>
      <c r="R929" s="146"/>
      <c r="S929" s="146"/>
      <c r="T929" s="146"/>
      <c r="U929" s="146"/>
      <c r="V929" s="146"/>
      <c r="W929" s="146"/>
      <c r="X929" s="146"/>
      <c r="Y929" s="331">
        <f t="shared" si="45"/>
        <v>0</v>
      </c>
      <c r="Z929" s="146"/>
      <c r="AA929" s="146"/>
      <c r="AB929" s="146"/>
      <c r="AC929" s="146"/>
      <c r="AD929" s="146"/>
      <c r="AE929" s="146"/>
      <c r="AF929" s="146"/>
      <c r="AG929" s="146"/>
      <c r="AH929" s="331">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29">
        <f t="shared" si="44"/>
        <v>0</v>
      </c>
      <c r="Q930" s="146"/>
      <c r="R930" s="146"/>
      <c r="S930" s="146"/>
      <c r="T930" s="146"/>
      <c r="U930" s="146"/>
      <c r="V930" s="146"/>
      <c r="W930" s="146"/>
      <c r="X930" s="146"/>
      <c r="Y930" s="331">
        <f t="shared" si="45"/>
        <v>0</v>
      </c>
      <c r="Z930" s="146"/>
      <c r="AA930" s="146"/>
      <c r="AB930" s="146"/>
      <c r="AC930" s="146"/>
      <c r="AD930" s="146"/>
      <c r="AE930" s="146"/>
      <c r="AF930" s="146"/>
      <c r="AG930" s="146"/>
      <c r="AH930" s="331">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29">
        <f t="shared" si="44"/>
        <v>0</v>
      </c>
      <c r="Q931" s="146"/>
      <c r="R931" s="146"/>
      <c r="S931" s="146"/>
      <c r="T931" s="146"/>
      <c r="U931" s="146"/>
      <c r="V931" s="146"/>
      <c r="W931" s="146"/>
      <c r="X931" s="146"/>
      <c r="Y931" s="331">
        <f t="shared" si="45"/>
        <v>0</v>
      </c>
      <c r="Z931" s="146"/>
      <c r="AA931" s="146"/>
      <c r="AB931" s="146"/>
      <c r="AC931" s="146"/>
      <c r="AD931" s="146"/>
      <c r="AE931" s="146"/>
      <c r="AF931" s="146"/>
      <c r="AG931" s="146"/>
      <c r="AH931" s="331">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29">
        <f t="shared" si="44"/>
        <v>0</v>
      </c>
      <c r="Q932" s="146"/>
      <c r="R932" s="146"/>
      <c r="S932" s="146"/>
      <c r="T932" s="146"/>
      <c r="U932" s="146"/>
      <c r="V932" s="146"/>
      <c r="W932" s="146"/>
      <c r="X932" s="146"/>
      <c r="Y932" s="331">
        <f t="shared" si="45"/>
        <v>0</v>
      </c>
      <c r="Z932" s="146"/>
      <c r="AA932" s="146"/>
      <c r="AB932" s="146"/>
      <c r="AC932" s="146"/>
      <c r="AD932" s="146"/>
      <c r="AE932" s="146"/>
      <c r="AF932" s="146"/>
      <c r="AG932" s="146"/>
      <c r="AH932" s="331">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29">
        <f t="shared" si="44"/>
        <v>0</v>
      </c>
      <c r="Q933" s="146"/>
      <c r="R933" s="146"/>
      <c r="S933" s="146"/>
      <c r="T933" s="146"/>
      <c r="U933" s="146"/>
      <c r="V933" s="146"/>
      <c r="W933" s="146"/>
      <c r="X933" s="146"/>
      <c r="Y933" s="331">
        <f t="shared" si="45"/>
        <v>0</v>
      </c>
      <c r="Z933" s="146"/>
      <c r="AA933" s="146"/>
      <c r="AB933" s="146"/>
      <c r="AC933" s="146"/>
      <c r="AD933" s="146"/>
      <c r="AE933" s="146"/>
      <c r="AF933" s="146"/>
      <c r="AG933" s="146"/>
      <c r="AH933" s="331">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29">
        <f t="shared" si="44"/>
        <v>0</v>
      </c>
      <c r="Q934" s="146"/>
      <c r="R934" s="146"/>
      <c r="S934" s="146"/>
      <c r="T934" s="146"/>
      <c r="U934" s="146"/>
      <c r="V934" s="146"/>
      <c r="W934" s="146"/>
      <c r="X934" s="146"/>
      <c r="Y934" s="331">
        <f t="shared" si="45"/>
        <v>0</v>
      </c>
      <c r="Z934" s="146"/>
      <c r="AA934" s="146"/>
      <c r="AB934" s="146"/>
      <c r="AC934" s="146"/>
      <c r="AD934" s="146"/>
      <c r="AE934" s="146"/>
      <c r="AF934" s="146"/>
      <c r="AG934" s="146"/>
      <c r="AH934" s="331">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29">
        <f t="shared" si="44"/>
        <v>0</v>
      </c>
      <c r="Q935" s="146"/>
      <c r="R935" s="146"/>
      <c r="S935" s="146"/>
      <c r="T935" s="146"/>
      <c r="U935" s="146"/>
      <c r="V935" s="146"/>
      <c r="W935" s="146"/>
      <c r="X935" s="146"/>
      <c r="Y935" s="331">
        <f t="shared" si="45"/>
        <v>0</v>
      </c>
      <c r="Z935" s="146"/>
      <c r="AA935" s="146"/>
      <c r="AB935" s="146"/>
      <c r="AC935" s="146"/>
      <c r="AD935" s="146"/>
      <c r="AE935" s="146"/>
      <c r="AF935" s="146"/>
      <c r="AG935" s="146"/>
      <c r="AH935" s="331">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29">
        <f t="shared" si="44"/>
        <v>0</v>
      </c>
      <c r="Q936" s="146"/>
      <c r="R936" s="146"/>
      <c r="S936" s="146"/>
      <c r="T936" s="146"/>
      <c r="U936" s="146"/>
      <c r="V936" s="146"/>
      <c r="W936" s="146"/>
      <c r="X936" s="146"/>
      <c r="Y936" s="331">
        <f t="shared" si="45"/>
        <v>0</v>
      </c>
      <c r="Z936" s="146"/>
      <c r="AA936" s="146"/>
      <c r="AB936" s="146"/>
      <c r="AC936" s="146"/>
      <c r="AD936" s="146"/>
      <c r="AE936" s="146"/>
      <c r="AF936" s="146"/>
      <c r="AG936" s="146"/>
      <c r="AH936" s="331">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29">
        <f t="shared" si="44"/>
        <v>0</v>
      </c>
      <c r="Q937" s="146"/>
      <c r="R937" s="146"/>
      <c r="S937" s="146"/>
      <c r="T937" s="146"/>
      <c r="U937" s="146"/>
      <c r="V937" s="146"/>
      <c r="W937" s="146"/>
      <c r="X937" s="146"/>
      <c r="Y937" s="331">
        <f t="shared" si="45"/>
        <v>0</v>
      </c>
      <c r="Z937" s="146"/>
      <c r="AA937" s="146"/>
      <c r="AB937" s="146"/>
      <c r="AC937" s="146"/>
      <c r="AD937" s="146"/>
      <c r="AE937" s="146"/>
      <c r="AF937" s="146"/>
      <c r="AG937" s="146"/>
      <c r="AH937" s="331">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29">
        <f t="shared" si="44"/>
        <v>0</v>
      </c>
      <c r="Q938" s="146"/>
      <c r="R938" s="146"/>
      <c r="S938" s="146"/>
      <c r="T938" s="146"/>
      <c r="U938" s="146"/>
      <c r="V938" s="146"/>
      <c r="W938" s="146"/>
      <c r="X938" s="146"/>
      <c r="Y938" s="331">
        <f t="shared" si="45"/>
        <v>0</v>
      </c>
      <c r="Z938" s="146"/>
      <c r="AA938" s="146"/>
      <c r="AB938" s="146"/>
      <c r="AC938" s="146"/>
      <c r="AD938" s="146"/>
      <c r="AE938" s="146"/>
      <c r="AF938" s="146"/>
      <c r="AG938" s="146"/>
      <c r="AH938" s="331">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29">
        <f t="shared" si="44"/>
        <v>0</v>
      </c>
      <c r="Q939" s="146"/>
      <c r="R939" s="146"/>
      <c r="S939" s="146"/>
      <c r="T939" s="146"/>
      <c r="U939" s="146"/>
      <c r="V939" s="146"/>
      <c r="W939" s="146"/>
      <c r="X939" s="146"/>
      <c r="Y939" s="331">
        <f t="shared" si="45"/>
        <v>0</v>
      </c>
      <c r="Z939" s="146"/>
      <c r="AA939" s="146"/>
      <c r="AB939" s="146"/>
      <c r="AC939" s="146"/>
      <c r="AD939" s="146"/>
      <c r="AE939" s="146"/>
      <c r="AF939" s="146"/>
      <c r="AG939" s="146"/>
      <c r="AH939" s="331">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29">
        <f t="shared" si="44"/>
        <v>0</v>
      </c>
      <c r="Q940" s="146"/>
      <c r="R940" s="146"/>
      <c r="S940" s="146"/>
      <c r="T940" s="146"/>
      <c r="U940" s="146"/>
      <c r="V940" s="146"/>
      <c r="W940" s="146"/>
      <c r="X940" s="146"/>
      <c r="Y940" s="331">
        <f t="shared" si="45"/>
        <v>0</v>
      </c>
      <c r="Z940" s="146"/>
      <c r="AA940" s="146"/>
      <c r="AB940" s="146"/>
      <c r="AC940" s="146"/>
      <c r="AD940" s="146"/>
      <c r="AE940" s="146"/>
      <c r="AF940" s="146"/>
      <c r="AG940" s="146"/>
      <c r="AH940" s="331">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29">
        <f t="shared" si="44"/>
        <v>0</v>
      </c>
      <c r="Q941" s="146"/>
      <c r="R941" s="146"/>
      <c r="S941" s="146"/>
      <c r="T941" s="146"/>
      <c r="U941" s="146"/>
      <c r="V941" s="146"/>
      <c r="W941" s="146"/>
      <c r="X941" s="146"/>
      <c r="Y941" s="331">
        <f t="shared" si="45"/>
        <v>0</v>
      </c>
      <c r="Z941" s="146"/>
      <c r="AA941" s="146"/>
      <c r="AB941" s="146"/>
      <c r="AC941" s="146"/>
      <c r="AD941" s="146"/>
      <c r="AE941" s="146"/>
      <c r="AF941" s="146"/>
      <c r="AG941" s="146"/>
      <c r="AH941" s="331">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29">
        <f t="shared" si="44"/>
        <v>0</v>
      </c>
      <c r="Q942" s="146"/>
      <c r="R942" s="146"/>
      <c r="S942" s="146"/>
      <c r="T942" s="146"/>
      <c r="U942" s="146"/>
      <c r="V942" s="146"/>
      <c r="W942" s="146"/>
      <c r="X942" s="146"/>
      <c r="Y942" s="331">
        <f t="shared" si="45"/>
        <v>0</v>
      </c>
      <c r="Z942" s="146"/>
      <c r="AA942" s="146"/>
      <c r="AB942" s="146"/>
      <c r="AC942" s="146"/>
      <c r="AD942" s="146"/>
      <c r="AE942" s="146"/>
      <c r="AF942" s="146"/>
      <c r="AG942" s="146"/>
      <c r="AH942" s="331">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29">
        <f t="shared" si="44"/>
        <v>0</v>
      </c>
      <c r="Q943" s="146"/>
      <c r="R943" s="146"/>
      <c r="S943" s="146"/>
      <c r="T943" s="146"/>
      <c r="U943" s="146"/>
      <c r="V943" s="146"/>
      <c r="W943" s="146"/>
      <c r="X943" s="146"/>
      <c r="Y943" s="331">
        <f t="shared" si="45"/>
        <v>0</v>
      </c>
      <c r="Z943" s="146"/>
      <c r="AA943" s="146"/>
      <c r="AB943" s="146"/>
      <c r="AC943" s="146"/>
      <c r="AD943" s="146"/>
      <c r="AE943" s="146"/>
      <c r="AF943" s="146"/>
      <c r="AG943" s="146"/>
      <c r="AH943" s="331">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29">
        <f t="shared" si="44"/>
        <v>0</v>
      </c>
      <c r="Q944" s="146"/>
      <c r="R944" s="146"/>
      <c r="S944" s="146"/>
      <c r="T944" s="146"/>
      <c r="U944" s="146"/>
      <c r="V944" s="146"/>
      <c r="W944" s="146"/>
      <c r="X944" s="146"/>
      <c r="Y944" s="331">
        <f t="shared" si="45"/>
        <v>0</v>
      </c>
      <c r="Z944" s="146"/>
      <c r="AA944" s="146"/>
      <c r="AB944" s="146"/>
      <c r="AC944" s="146"/>
      <c r="AD944" s="146"/>
      <c r="AE944" s="146"/>
      <c r="AF944" s="146"/>
      <c r="AG944" s="146"/>
      <c r="AH944" s="331">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29">
        <f t="shared" si="44"/>
        <v>0</v>
      </c>
      <c r="Q945" s="146"/>
      <c r="R945" s="146"/>
      <c r="S945" s="146"/>
      <c r="T945" s="146"/>
      <c r="U945" s="146"/>
      <c r="V945" s="146"/>
      <c r="W945" s="146"/>
      <c r="X945" s="146"/>
      <c r="Y945" s="331">
        <f t="shared" si="45"/>
        <v>0</v>
      </c>
      <c r="Z945" s="146"/>
      <c r="AA945" s="146"/>
      <c r="AB945" s="146"/>
      <c r="AC945" s="146"/>
      <c r="AD945" s="146"/>
      <c r="AE945" s="146"/>
      <c r="AF945" s="146"/>
      <c r="AG945" s="146"/>
      <c r="AH945" s="331">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29">
        <f t="shared" si="44"/>
        <v>0</v>
      </c>
      <c r="Q946" s="146"/>
      <c r="R946" s="146"/>
      <c r="S946" s="146"/>
      <c r="T946" s="146"/>
      <c r="U946" s="146"/>
      <c r="V946" s="146"/>
      <c r="W946" s="146"/>
      <c r="X946" s="146"/>
      <c r="Y946" s="331">
        <f t="shared" si="45"/>
        <v>0</v>
      </c>
      <c r="Z946" s="146"/>
      <c r="AA946" s="146"/>
      <c r="AB946" s="146"/>
      <c r="AC946" s="146"/>
      <c r="AD946" s="146"/>
      <c r="AE946" s="146"/>
      <c r="AF946" s="146"/>
      <c r="AG946" s="146"/>
      <c r="AH946" s="331">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29">
        <f t="shared" si="44"/>
        <v>0</v>
      </c>
      <c r="Q947" s="146"/>
      <c r="R947" s="146"/>
      <c r="S947" s="146"/>
      <c r="T947" s="146"/>
      <c r="U947" s="146"/>
      <c r="V947" s="146"/>
      <c r="W947" s="146"/>
      <c r="X947" s="146"/>
      <c r="Y947" s="331">
        <f t="shared" si="45"/>
        <v>0</v>
      </c>
      <c r="Z947" s="146"/>
      <c r="AA947" s="146"/>
      <c r="AB947" s="146"/>
      <c r="AC947" s="146"/>
      <c r="AD947" s="146"/>
      <c r="AE947" s="146"/>
      <c r="AF947" s="146"/>
      <c r="AG947" s="146"/>
      <c r="AH947" s="331">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29">
        <f t="shared" si="44"/>
        <v>0</v>
      </c>
      <c r="Q948" s="146"/>
      <c r="R948" s="146"/>
      <c r="S948" s="146"/>
      <c r="T948" s="146"/>
      <c r="U948" s="146"/>
      <c r="V948" s="146"/>
      <c r="W948" s="146"/>
      <c r="X948" s="146"/>
      <c r="Y948" s="331">
        <f t="shared" si="45"/>
        <v>0</v>
      </c>
      <c r="Z948" s="146"/>
      <c r="AA948" s="146"/>
      <c r="AB948" s="146"/>
      <c r="AC948" s="146"/>
      <c r="AD948" s="146"/>
      <c r="AE948" s="146"/>
      <c r="AF948" s="146"/>
      <c r="AG948" s="146"/>
      <c r="AH948" s="331">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29">
        <f t="shared" si="44"/>
        <v>0</v>
      </c>
      <c r="Q949" s="146"/>
      <c r="R949" s="146"/>
      <c r="S949" s="146"/>
      <c r="T949" s="146"/>
      <c r="U949" s="146"/>
      <c r="V949" s="146"/>
      <c r="W949" s="146"/>
      <c r="X949" s="146"/>
      <c r="Y949" s="331">
        <f t="shared" si="45"/>
        <v>0</v>
      </c>
      <c r="Z949" s="146"/>
      <c r="AA949" s="146"/>
      <c r="AB949" s="146"/>
      <c r="AC949" s="146"/>
      <c r="AD949" s="146"/>
      <c r="AE949" s="146"/>
      <c r="AF949" s="146"/>
      <c r="AG949" s="146"/>
      <c r="AH949" s="331">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29">
        <f t="shared" si="44"/>
        <v>0</v>
      </c>
      <c r="Q950" s="146"/>
      <c r="R950" s="146"/>
      <c r="S950" s="146"/>
      <c r="T950" s="146"/>
      <c r="U950" s="146"/>
      <c r="V950" s="146"/>
      <c r="W950" s="146"/>
      <c r="X950" s="146"/>
      <c r="Y950" s="331">
        <f t="shared" si="45"/>
        <v>0</v>
      </c>
      <c r="Z950" s="146"/>
      <c r="AA950" s="146"/>
      <c r="AB950" s="146"/>
      <c r="AC950" s="146"/>
      <c r="AD950" s="146"/>
      <c r="AE950" s="146"/>
      <c r="AF950" s="146"/>
      <c r="AG950" s="146"/>
      <c r="AH950" s="331">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29">
        <f t="shared" si="44"/>
        <v>0</v>
      </c>
      <c r="Q951" s="146"/>
      <c r="R951" s="146"/>
      <c r="S951" s="146"/>
      <c r="T951" s="146"/>
      <c r="U951" s="146"/>
      <c r="V951" s="146"/>
      <c r="W951" s="146"/>
      <c r="X951" s="146"/>
      <c r="Y951" s="331">
        <f t="shared" si="45"/>
        <v>0</v>
      </c>
      <c r="Z951" s="146"/>
      <c r="AA951" s="146"/>
      <c r="AB951" s="146"/>
      <c r="AC951" s="146"/>
      <c r="AD951" s="146"/>
      <c r="AE951" s="146"/>
      <c r="AF951" s="146"/>
      <c r="AG951" s="146"/>
      <c r="AH951" s="331">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29">
        <f t="shared" si="44"/>
        <v>0</v>
      </c>
      <c r="Q952" s="146"/>
      <c r="R952" s="146"/>
      <c r="S952" s="146"/>
      <c r="T952" s="146"/>
      <c r="U952" s="146"/>
      <c r="V952" s="146"/>
      <c r="W952" s="146"/>
      <c r="X952" s="146"/>
      <c r="Y952" s="331">
        <f t="shared" si="45"/>
        <v>0</v>
      </c>
      <c r="Z952" s="146"/>
      <c r="AA952" s="146"/>
      <c r="AB952" s="146"/>
      <c r="AC952" s="146"/>
      <c r="AD952" s="146"/>
      <c r="AE952" s="146"/>
      <c r="AF952" s="146"/>
      <c r="AG952" s="146"/>
      <c r="AH952" s="331">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29">
        <f t="shared" si="44"/>
        <v>0</v>
      </c>
      <c r="Q953" s="146"/>
      <c r="R953" s="146"/>
      <c r="S953" s="146"/>
      <c r="T953" s="146"/>
      <c r="U953" s="146"/>
      <c r="V953" s="146"/>
      <c r="W953" s="146"/>
      <c r="X953" s="146"/>
      <c r="Y953" s="331">
        <f t="shared" si="45"/>
        <v>0</v>
      </c>
      <c r="Z953" s="146"/>
      <c r="AA953" s="146"/>
      <c r="AB953" s="146"/>
      <c r="AC953" s="146"/>
      <c r="AD953" s="146"/>
      <c r="AE953" s="146"/>
      <c r="AF953" s="146"/>
      <c r="AG953" s="146"/>
      <c r="AH953" s="331">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29">
        <f t="shared" si="44"/>
        <v>0</v>
      </c>
      <c r="Q954" s="146"/>
      <c r="R954" s="146"/>
      <c r="S954" s="146"/>
      <c r="T954" s="146"/>
      <c r="U954" s="146"/>
      <c r="V954" s="146"/>
      <c r="W954" s="146"/>
      <c r="X954" s="146"/>
      <c r="Y954" s="331">
        <f t="shared" si="45"/>
        <v>0</v>
      </c>
      <c r="Z954" s="146"/>
      <c r="AA954" s="146"/>
      <c r="AB954" s="146"/>
      <c r="AC954" s="146"/>
      <c r="AD954" s="146"/>
      <c r="AE954" s="146"/>
      <c r="AF954" s="146"/>
      <c r="AG954" s="146"/>
      <c r="AH954" s="331">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29">
        <f t="shared" si="44"/>
        <v>0</v>
      </c>
      <c r="Q955" s="146"/>
      <c r="R955" s="146"/>
      <c r="S955" s="146"/>
      <c r="T955" s="146"/>
      <c r="U955" s="146"/>
      <c r="V955" s="146"/>
      <c r="W955" s="146"/>
      <c r="X955" s="146"/>
      <c r="Y955" s="331">
        <f t="shared" si="45"/>
        <v>0</v>
      </c>
      <c r="Z955" s="146"/>
      <c r="AA955" s="146"/>
      <c r="AB955" s="146"/>
      <c r="AC955" s="146"/>
      <c r="AD955" s="146"/>
      <c r="AE955" s="146"/>
      <c r="AF955" s="146"/>
      <c r="AG955" s="146"/>
      <c r="AH955" s="331">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29">
        <f t="shared" si="44"/>
        <v>0</v>
      </c>
      <c r="Q956" s="146"/>
      <c r="R956" s="146"/>
      <c r="S956" s="146"/>
      <c r="T956" s="146"/>
      <c r="U956" s="146"/>
      <c r="V956" s="146"/>
      <c r="W956" s="146"/>
      <c r="X956" s="146"/>
      <c r="Y956" s="331">
        <f t="shared" si="45"/>
        <v>0</v>
      </c>
      <c r="Z956" s="146"/>
      <c r="AA956" s="146"/>
      <c r="AB956" s="146"/>
      <c r="AC956" s="146"/>
      <c r="AD956" s="146"/>
      <c r="AE956" s="146"/>
      <c r="AF956" s="146"/>
      <c r="AG956" s="146"/>
      <c r="AH956" s="331">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29">
        <f t="shared" si="44"/>
        <v>0</v>
      </c>
      <c r="Q957" s="146"/>
      <c r="R957" s="146"/>
      <c r="S957" s="146"/>
      <c r="T957" s="146"/>
      <c r="U957" s="146"/>
      <c r="V957" s="146"/>
      <c r="W957" s="146"/>
      <c r="X957" s="146"/>
      <c r="Y957" s="331">
        <f t="shared" si="45"/>
        <v>0</v>
      </c>
      <c r="Z957" s="146"/>
      <c r="AA957" s="146"/>
      <c r="AB957" s="146"/>
      <c r="AC957" s="146"/>
      <c r="AD957" s="146"/>
      <c r="AE957" s="146"/>
      <c r="AF957" s="146"/>
      <c r="AG957" s="146"/>
      <c r="AH957" s="331">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29">
        <f t="shared" si="44"/>
        <v>0</v>
      </c>
      <c r="Q958" s="146"/>
      <c r="R958" s="146"/>
      <c r="S958" s="146"/>
      <c r="T958" s="146"/>
      <c r="U958" s="146"/>
      <c r="V958" s="146"/>
      <c r="W958" s="146"/>
      <c r="X958" s="146"/>
      <c r="Y958" s="331">
        <f t="shared" si="45"/>
        <v>0</v>
      </c>
      <c r="Z958" s="146"/>
      <c r="AA958" s="146"/>
      <c r="AB958" s="146"/>
      <c r="AC958" s="146"/>
      <c r="AD958" s="146"/>
      <c r="AE958" s="146"/>
      <c r="AF958" s="146"/>
      <c r="AG958" s="146"/>
      <c r="AH958" s="331">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29">
        <f t="shared" si="44"/>
        <v>0</v>
      </c>
      <c r="Q959" s="146"/>
      <c r="R959" s="146"/>
      <c r="S959" s="146"/>
      <c r="T959" s="146"/>
      <c r="U959" s="146"/>
      <c r="V959" s="146"/>
      <c r="W959" s="146"/>
      <c r="X959" s="146"/>
      <c r="Y959" s="331">
        <f t="shared" si="45"/>
        <v>0</v>
      </c>
      <c r="Z959" s="146"/>
      <c r="AA959" s="146"/>
      <c r="AB959" s="146"/>
      <c r="AC959" s="146"/>
      <c r="AD959" s="146"/>
      <c r="AE959" s="146"/>
      <c r="AF959" s="146"/>
      <c r="AG959" s="146"/>
      <c r="AH959" s="331">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29">
        <f t="shared" si="44"/>
        <v>0</v>
      </c>
      <c r="Q960" s="146"/>
      <c r="R960" s="146"/>
      <c r="S960" s="146"/>
      <c r="T960" s="146"/>
      <c r="U960" s="146"/>
      <c r="V960" s="146"/>
      <c r="W960" s="146"/>
      <c r="X960" s="146"/>
      <c r="Y960" s="331">
        <f t="shared" si="45"/>
        <v>0</v>
      </c>
      <c r="Z960" s="146"/>
      <c r="AA960" s="146"/>
      <c r="AB960" s="146"/>
      <c r="AC960" s="146"/>
      <c r="AD960" s="146"/>
      <c r="AE960" s="146"/>
      <c r="AF960" s="146"/>
      <c r="AG960" s="146"/>
      <c r="AH960" s="331">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29">
        <f t="shared" si="44"/>
        <v>0</v>
      </c>
      <c r="Q961" s="146"/>
      <c r="R961" s="146"/>
      <c r="S961" s="146"/>
      <c r="T961" s="146"/>
      <c r="U961" s="146"/>
      <c r="V961" s="146"/>
      <c r="W961" s="146"/>
      <c r="X961" s="146"/>
      <c r="Y961" s="331">
        <f t="shared" si="45"/>
        <v>0</v>
      </c>
      <c r="Z961" s="146"/>
      <c r="AA961" s="146"/>
      <c r="AB961" s="146"/>
      <c r="AC961" s="146"/>
      <c r="AD961" s="146"/>
      <c r="AE961" s="146"/>
      <c r="AF961" s="146"/>
      <c r="AG961" s="146"/>
      <c r="AH961" s="331">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29">
        <f t="shared" si="44"/>
        <v>0</v>
      </c>
      <c r="Q962" s="146"/>
      <c r="R962" s="146"/>
      <c r="S962" s="146"/>
      <c r="T962" s="146"/>
      <c r="U962" s="146"/>
      <c r="V962" s="146"/>
      <c r="W962" s="146"/>
      <c r="X962" s="146"/>
      <c r="Y962" s="331">
        <f t="shared" si="45"/>
        <v>0</v>
      </c>
      <c r="Z962" s="146"/>
      <c r="AA962" s="146"/>
      <c r="AB962" s="146"/>
      <c r="AC962" s="146"/>
      <c r="AD962" s="146"/>
      <c r="AE962" s="146"/>
      <c r="AF962" s="146"/>
      <c r="AG962" s="146"/>
      <c r="AH962" s="331">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29">
        <f t="shared" si="44"/>
        <v>0</v>
      </c>
      <c r="Q963" s="146"/>
      <c r="R963" s="146"/>
      <c r="S963" s="146"/>
      <c r="T963" s="146"/>
      <c r="U963" s="146"/>
      <c r="V963" s="146"/>
      <c r="W963" s="146"/>
      <c r="X963" s="146"/>
      <c r="Y963" s="331">
        <f t="shared" si="45"/>
        <v>0</v>
      </c>
      <c r="Z963" s="146"/>
      <c r="AA963" s="146"/>
      <c r="AB963" s="146"/>
      <c r="AC963" s="146"/>
      <c r="AD963" s="146"/>
      <c r="AE963" s="146"/>
      <c r="AF963" s="146"/>
      <c r="AG963" s="146"/>
      <c r="AH963" s="331">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29">
        <f t="shared" si="44"/>
        <v>0</v>
      </c>
      <c r="Q964" s="146"/>
      <c r="R964" s="146"/>
      <c r="S964" s="146"/>
      <c r="T964" s="146"/>
      <c r="U964" s="146"/>
      <c r="V964" s="146"/>
      <c r="W964" s="146"/>
      <c r="X964" s="146"/>
      <c r="Y964" s="331">
        <f t="shared" si="45"/>
        <v>0</v>
      </c>
      <c r="Z964" s="146"/>
      <c r="AA964" s="146"/>
      <c r="AB964" s="146"/>
      <c r="AC964" s="146"/>
      <c r="AD964" s="146"/>
      <c r="AE964" s="146"/>
      <c r="AF964" s="146"/>
      <c r="AG964" s="146"/>
      <c r="AH964" s="331">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29">
        <f t="shared" si="44"/>
        <v>0</v>
      </c>
      <c r="Q965" s="146"/>
      <c r="R965" s="146"/>
      <c r="S965" s="146"/>
      <c r="T965" s="146"/>
      <c r="U965" s="146"/>
      <c r="V965" s="146"/>
      <c r="W965" s="146"/>
      <c r="X965" s="146"/>
      <c r="Y965" s="331">
        <f t="shared" si="45"/>
        <v>0</v>
      </c>
      <c r="Z965" s="146"/>
      <c r="AA965" s="146"/>
      <c r="AB965" s="146"/>
      <c r="AC965" s="146"/>
      <c r="AD965" s="146"/>
      <c r="AE965" s="146"/>
      <c r="AF965" s="146"/>
      <c r="AG965" s="146"/>
      <c r="AH965" s="331">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29">
        <f t="shared" si="44"/>
        <v>0</v>
      </c>
      <c r="Q966" s="146"/>
      <c r="R966" s="146"/>
      <c r="S966" s="146"/>
      <c r="T966" s="146"/>
      <c r="U966" s="146"/>
      <c r="V966" s="146"/>
      <c r="W966" s="146"/>
      <c r="X966" s="146"/>
      <c r="Y966" s="331">
        <f t="shared" si="45"/>
        <v>0</v>
      </c>
      <c r="Z966" s="146"/>
      <c r="AA966" s="146"/>
      <c r="AB966" s="146"/>
      <c r="AC966" s="146"/>
      <c r="AD966" s="146"/>
      <c r="AE966" s="146"/>
      <c r="AF966" s="146"/>
      <c r="AG966" s="146"/>
      <c r="AH966" s="331">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29">
        <f t="shared" si="44"/>
        <v>0</v>
      </c>
      <c r="Q967" s="146"/>
      <c r="R967" s="146"/>
      <c r="S967" s="146"/>
      <c r="T967" s="146"/>
      <c r="U967" s="146"/>
      <c r="V967" s="146"/>
      <c r="W967" s="146"/>
      <c r="X967" s="146"/>
      <c r="Y967" s="331">
        <f t="shared" si="45"/>
        <v>0</v>
      </c>
      <c r="Z967" s="146"/>
      <c r="AA967" s="146"/>
      <c r="AB967" s="146"/>
      <c r="AC967" s="146"/>
      <c r="AD967" s="146"/>
      <c r="AE967" s="146"/>
      <c r="AF967" s="146"/>
      <c r="AG967" s="146"/>
      <c r="AH967" s="331">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29">
        <f t="shared" si="44"/>
        <v>0</v>
      </c>
      <c r="Q968" s="146"/>
      <c r="R968" s="146"/>
      <c r="S968" s="146"/>
      <c r="T968" s="146"/>
      <c r="U968" s="146"/>
      <c r="V968" s="146"/>
      <c r="W968" s="146"/>
      <c r="X968" s="146"/>
      <c r="Y968" s="331">
        <f t="shared" si="45"/>
        <v>0</v>
      </c>
      <c r="Z968" s="146"/>
      <c r="AA968" s="146"/>
      <c r="AB968" s="146"/>
      <c r="AC968" s="146"/>
      <c r="AD968" s="146"/>
      <c r="AE968" s="146"/>
      <c r="AF968" s="146"/>
      <c r="AG968" s="146"/>
      <c r="AH968" s="331">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29">
        <f t="shared" si="44"/>
        <v>0</v>
      </c>
      <c r="Q969" s="146"/>
      <c r="R969" s="146"/>
      <c r="S969" s="146"/>
      <c r="T969" s="146"/>
      <c r="U969" s="146"/>
      <c r="V969" s="146"/>
      <c r="W969" s="146"/>
      <c r="X969" s="146"/>
      <c r="Y969" s="331">
        <f t="shared" si="45"/>
        <v>0</v>
      </c>
      <c r="Z969" s="146"/>
      <c r="AA969" s="146"/>
      <c r="AB969" s="146"/>
      <c r="AC969" s="146"/>
      <c r="AD969" s="146"/>
      <c r="AE969" s="146"/>
      <c r="AF969" s="146"/>
      <c r="AG969" s="146"/>
      <c r="AH969" s="331">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29">
        <f t="shared" si="44"/>
        <v>0</v>
      </c>
      <c r="Q970" s="146"/>
      <c r="R970" s="146"/>
      <c r="S970" s="146"/>
      <c r="T970" s="146"/>
      <c r="U970" s="146"/>
      <c r="V970" s="146"/>
      <c r="W970" s="146"/>
      <c r="X970" s="146"/>
      <c r="Y970" s="331">
        <f t="shared" si="45"/>
        <v>0</v>
      </c>
      <c r="Z970" s="146"/>
      <c r="AA970" s="146"/>
      <c r="AB970" s="146"/>
      <c r="AC970" s="146"/>
      <c r="AD970" s="146"/>
      <c r="AE970" s="146"/>
      <c r="AF970" s="146"/>
      <c r="AG970" s="146"/>
      <c r="AH970" s="331">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29">
        <f t="shared" si="44"/>
        <v>0</v>
      </c>
      <c r="Q971" s="146"/>
      <c r="R971" s="146"/>
      <c r="S971" s="146"/>
      <c r="T971" s="146"/>
      <c r="U971" s="146"/>
      <c r="V971" s="146"/>
      <c r="W971" s="146"/>
      <c r="X971" s="146"/>
      <c r="Y971" s="331">
        <f t="shared" si="45"/>
        <v>0</v>
      </c>
      <c r="Z971" s="146"/>
      <c r="AA971" s="146"/>
      <c r="AB971" s="146"/>
      <c r="AC971" s="146"/>
      <c r="AD971" s="146"/>
      <c r="AE971" s="146"/>
      <c r="AF971" s="146"/>
      <c r="AG971" s="146"/>
      <c r="AH971" s="331">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29">
        <f t="shared" si="44"/>
        <v>0</v>
      </c>
      <c r="Q972" s="146"/>
      <c r="R972" s="146"/>
      <c r="S972" s="146"/>
      <c r="T972" s="146"/>
      <c r="U972" s="146"/>
      <c r="V972" s="146"/>
      <c r="W972" s="146"/>
      <c r="X972" s="146"/>
      <c r="Y972" s="331">
        <f t="shared" si="45"/>
        <v>0</v>
      </c>
      <c r="Z972" s="146"/>
      <c r="AA972" s="146"/>
      <c r="AB972" s="146"/>
      <c r="AC972" s="146"/>
      <c r="AD972" s="146"/>
      <c r="AE972" s="146"/>
      <c r="AF972" s="146"/>
      <c r="AG972" s="146"/>
      <c r="AH972" s="331">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29">
        <f t="shared" ref="P973:P1000" si="47">SUM(H973:N973)</f>
        <v>0</v>
      </c>
      <c r="Q973" s="146"/>
      <c r="R973" s="146"/>
      <c r="S973" s="146"/>
      <c r="T973" s="146"/>
      <c r="U973" s="146"/>
      <c r="V973" s="146"/>
      <c r="W973" s="146"/>
      <c r="X973" s="146"/>
      <c r="Y973" s="331">
        <f t="shared" ref="Y973:Y1000" si="48">SUM(Q973:W973)</f>
        <v>0</v>
      </c>
      <c r="Z973" s="146"/>
      <c r="AA973" s="146"/>
      <c r="AB973" s="146"/>
      <c r="AC973" s="146"/>
      <c r="AD973" s="146"/>
      <c r="AE973" s="146"/>
      <c r="AF973" s="146"/>
      <c r="AG973" s="146"/>
      <c r="AH973" s="331">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29">
        <f t="shared" si="47"/>
        <v>0</v>
      </c>
      <c r="Q974" s="146"/>
      <c r="R974" s="146"/>
      <c r="S974" s="146"/>
      <c r="T974" s="146"/>
      <c r="U974" s="146"/>
      <c r="V974" s="146"/>
      <c r="W974" s="146"/>
      <c r="X974" s="146"/>
      <c r="Y974" s="331">
        <f t="shared" si="48"/>
        <v>0</v>
      </c>
      <c r="Z974" s="146"/>
      <c r="AA974" s="146"/>
      <c r="AB974" s="146"/>
      <c r="AC974" s="146"/>
      <c r="AD974" s="146"/>
      <c r="AE974" s="146"/>
      <c r="AF974" s="146"/>
      <c r="AG974" s="146"/>
      <c r="AH974" s="331">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29">
        <f t="shared" si="47"/>
        <v>0</v>
      </c>
      <c r="Q975" s="146"/>
      <c r="R975" s="146"/>
      <c r="S975" s="146"/>
      <c r="T975" s="146"/>
      <c r="U975" s="146"/>
      <c r="V975" s="146"/>
      <c r="W975" s="146"/>
      <c r="X975" s="146"/>
      <c r="Y975" s="331">
        <f t="shared" si="48"/>
        <v>0</v>
      </c>
      <c r="Z975" s="146"/>
      <c r="AA975" s="146"/>
      <c r="AB975" s="146"/>
      <c r="AC975" s="146"/>
      <c r="AD975" s="146"/>
      <c r="AE975" s="146"/>
      <c r="AF975" s="146"/>
      <c r="AG975" s="146"/>
      <c r="AH975" s="331">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29">
        <f t="shared" si="47"/>
        <v>0</v>
      </c>
      <c r="Q976" s="146"/>
      <c r="R976" s="146"/>
      <c r="S976" s="146"/>
      <c r="T976" s="146"/>
      <c r="U976" s="146"/>
      <c r="V976" s="146"/>
      <c r="W976" s="146"/>
      <c r="X976" s="146"/>
      <c r="Y976" s="331">
        <f t="shared" si="48"/>
        <v>0</v>
      </c>
      <c r="Z976" s="146"/>
      <c r="AA976" s="146"/>
      <c r="AB976" s="146"/>
      <c r="AC976" s="146"/>
      <c r="AD976" s="146"/>
      <c r="AE976" s="146"/>
      <c r="AF976" s="146"/>
      <c r="AG976" s="146"/>
      <c r="AH976" s="331">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29">
        <f t="shared" si="47"/>
        <v>0</v>
      </c>
      <c r="Q977" s="146"/>
      <c r="R977" s="146"/>
      <c r="S977" s="146"/>
      <c r="T977" s="146"/>
      <c r="U977" s="146"/>
      <c r="V977" s="146"/>
      <c r="W977" s="146"/>
      <c r="X977" s="146"/>
      <c r="Y977" s="331">
        <f t="shared" si="48"/>
        <v>0</v>
      </c>
      <c r="Z977" s="146"/>
      <c r="AA977" s="146"/>
      <c r="AB977" s="146"/>
      <c r="AC977" s="146"/>
      <c r="AD977" s="146"/>
      <c r="AE977" s="146"/>
      <c r="AF977" s="146"/>
      <c r="AG977" s="146"/>
      <c r="AH977" s="331">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29">
        <f t="shared" si="47"/>
        <v>0</v>
      </c>
      <c r="Q978" s="146"/>
      <c r="R978" s="146"/>
      <c r="S978" s="146"/>
      <c r="T978" s="146"/>
      <c r="U978" s="146"/>
      <c r="V978" s="146"/>
      <c r="W978" s="146"/>
      <c r="X978" s="146"/>
      <c r="Y978" s="331">
        <f t="shared" si="48"/>
        <v>0</v>
      </c>
      <c r="Z978" s="146"/>
      <c r="AA978" s="146"/>
      <c r="AB978" s="146"/>
      <c r="AC978" s="146"/>
      <c r="AD978" s="146"/>
      <c r="AE978" s="146"/>
      <c r="AF978" s="146"/>
      <c r="AG978" s="146"/>
      <c r="AH978" s="331">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29">
        <f t="shared" si="47"/>
        <v>0</v>
      </c>
      <c r="Q979" s="146"/>
      <c r="R979" s="146"/>
      <c r="S979" s="146"/>
      <c r="T979" s="146"/>
      <c r="U979" s="146"/>
      <c r="V979" s="146"/>
      <c r="W979" s="146"/>
      <c r="X979" s="146"/>
      <c r="Y979" s="331">
        <f t="shared" si="48"/>
        <v>0</v>
      </c>
      <c r="Z979" s="146"/>
      <c r="AA979" s="146"/>
      <c r="AB979" s="146"/>
      <c r="AC979" s="146"/>
      <c r="AD979" s="146"/>
      <c r="AE979" s="146"/>
      <c r="AF979" s="146"/>
      <c r="AG979" s="146"/>
      <c r="AH979" s="331">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29">
        <f t="shared" si="47"/>
        <v>0</v>
      </c>
      <c r="Q980" s="146"/>
      <c r="R980" s="146"/>
      <c r="S980" s="146"/>
      <c r="T980" s="146"/>
      <c r="U980" s="146"/>
      <c r="V980" s="146"/>
      <c r="W980" s="146"/>
      <c r="X980" s="146"/>
      <c r="Y980" s="331">
        <f t="shared" si="48"/>
        <v>0</v>
      </c>
      <c r="Z980" s="146"/>
      <c r="AA980" s="146"/>
      <c r="AB980" s="146"/>
      <c r="AC980" s="146"/>
      <c r="AD980" s="146"/>
      <c r="AE980" s="146"/>
      <c r="AF980" s="146"/>
      <c r="AG980" s="146"/>
      <c r="AH980" s="331">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29">
        <f t="shared" si="47"/>
        <v>0</v>
      </c>
      <c r="Q981" s="146"/>
      <c r="R981" s="146"/>
      <c r="S981" s="146"/>
      <c r="T981" s="146"/>
      <c r="U981" s="146"/>
      <c r="V981" s="146"/>
      <c r="W981" s="146"/>
      <c r="X981" s="146"/>
      <c r="Y981" s="331">
        <f t="shared" si="48"/>
        <v>0</v>
      </c>
      <c r="Z981" s="146"/>
      <c r="AA981" s="146"/>
      <c r="AB981" s="146"/>
      <c r="AC981" s="146"/>
      <c r="AD981" s="146"/>
      <c r="AE981" s="146"/>
      <c r="AF981" s="146"/>
      <c r="AG981" s="146"/>
      <c r="AH981" s="331">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29">
        <f t="shared" si="47"/>
        <v>0</v>
      </c>
      <c r="Q982" s="146"/>
      <c r="R982" s="146"/>
      <c r="S982" s="146"/>
      <c r="T982" s="146"/>
      <c r="U982" s="146"/>
      <c r="V982" s="146"/>
      <c r="W982" s="146"/>
      <c r="X982" s="146"/>
      <c r="Y982" s="331">
        <f t="shared" si="48"/>
        <v>0</v>
      </c>
      <c r="Z982" s="146"/>
      <c r="AA982" s="146"/>
      <c r="AB982" s="146"/>
      <c r="AC982" s="146"/>
      <c r="AD982" s="146"/>
      <c r="AE982" s="146"/>
      <c r="AF982" s="146"/>
      <c r="AG982" s="146"/>
      <c r="AH982" s="331">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29">
        <f t="shared" si="47"/>
        <v>0</v>
      </c>
      <c r="Q983" s="146"/>
      <c r="R983" s="146"/>
      <c r="S983" s="146"/>
      <c r="T983" s="146"/>
      <c r="U983" s="146"/>
      <c r="V983" s="146"/>
      <c r="W983" s="146"/>
      <c r="X983" s="146"/>
      <c r="Y983" s="331">
        <f t="shared" si="48"/>
        <v>0</v>
      </c>
      <c r="Z983" s="146"/>
      <c r="AA983" s="146"/>
      <c r="AB983" s="146"/>
      <c r="AC983" s="146"/>
      <c r="AD983" s="146"/>
      <c r="AE983" s="146"/>
      <c r="AF983" s="146"/>
      <c r="AG983" s="146"/>
      <c r="AH983" s="331">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29">
        <f t="shared" si="47"/>
        <v>0</v>
      </c>
      <c r="Q984" s="146"/>
      <c r="R984" s="146"/>
      <c r="S984" s="146"/>
      <c r="T984" s="146"/>
      <c r="U984" s="146"/>
      <c r="V984" s="146"/>
      <c r="W984" s="146"/>
      <c r="X984" s="146"/>
      <c r="Y984" s="331">
        <f t="shared" si="48"/>
        <v>0</v>
      </c>
      <c r="Z984" s="146"/>
      <c r="AA984" s="146"/>
      <c r="AB984" s="146"/>
      <c r="AC984" s="146"/>
      <c r="AD984" s="146"/>
      <c r="AE984" s="146"/>
      <c r="AF984" s="146"/>
      <c r="AG984" s="146"/>
      <c r="AH984" s="331">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29">
        <f t="shared" si="47"/>
        <v>0</v>
      </c>
      <c r="Q985" s="146"/>
      <c r="R985" s="146"/>
      <c r="S985" s="146"/>
      <c r="T985" s="146"/>
      <c r="U985" s="146"/>
      <c r="V985" s="146"/>
      <c r="W985" s="146"/>
      <c r="X985" s="146"/>
      <c r="Y985" s="331">
        <f t="shared" si="48"/>
        <v>0</v>
      </c>
      <c r="Z985" s="146"/>
      <c r="AA985" s="146"/>
      <c r="AB985" s="146"/>
      <c r="AC985" s="146"/>
      <c r="AD985" s="146"/>
      <c r="AE985" s="146"/>
      <c r="AF985" s="146"/>
      <c r="AG985" s="146"/>
      <c r="AH985" s="331">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29">
        <f t="shared" si="47"/>
        <v>0</v>
      </c>
      <c r="Q986" s="146"/>
      <c r="R986" s="146"/>
      <c r="S986" s="146"/>
      <c r="T986" s="146"/>
      <c r="U986" s="146"/>
      <c r="V986" s="146"/>
      <c r="W986" s="146"/>
      <c r="X986" s="146"/>
      <c r="Y986" s="331">
        <f t="shared" si="48"/>
        <v>0</v>
      </c>
      <c r="Z986" s="146"/>
      <c r="AA986" s="146"/>
      <c r="AB986" s="146"/>
      <c r="AC986" s="146"/>
      <c r="AD986" s="146"/>
      <c r="AE986" s="146"/>
      <c r="AF986" s="146"/>
      <c r="AG986" s="146"/>
      <c r="AH986" s="331">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29">
        <f t="shared" si="47"/>
        <v>0</v>
      </c>
      <c r="Q987" s="146"/>
      <c r="R987" s="146"/>
      <c r="S987" s="146"/>
      <c r="T987" s="146"/>
      <c r="U987" s="146"/>
      <c r="V987" s="146"/>
      <c r="W987" s="146"/>
      <c r="X987" s="146"/>
      <c r="Y987" s="331">
        <f t="shared" si="48"/>
        <v>0</v>
      </c>
      <c r="Z987" s="146"/>
      <c r="AA987" s="146"/>
      <c r="AB987" s="146"/>
      <c r="AC987" s="146"/>
      <c r="AD987" s="146"/>
      <c r="AE987" s="146"/>
      <c r="AF987" s="146"/>
      <c r="AG987" s="146"/>
      <c r="AH987" s="331">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29">
        <f t="shared" si="47"/>
        <v>0</v>
      </c>
      <c r="Q988" s="146"/>
      <c r="R988" s="146"/>
      <c r="S988" s="146"/>
      <c r="T988" s="146"/>
      <c r="U988" s="146"/>
      <c r="V988" s="146"/>
      <c r="W988" s="146"/>
      <c r="X988" s="146"/>
      <c r="Y988" s="331">
        <f t="shared" si="48"/>
        <v>0</v>
      </c>
      <c r="Z988" s="146"/>
      <c r="AA988" s="146"/>
      <c r="AB988" s="146"/>
      <c r="AC988" s="146"/>
      <c r="AD988" s="146"/>
      <c r="AE988" s="146"/>
      <c r="AF988" s="146"/>
      <c r="AG988" s="146"/>
      <c r="AH988" s="331">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29">
        <f t="shared" si="47"/>
        <v>0</v>
      </c>
      <c r="Q989" s="146"/>
      <c r="R989" s="146"/>
      <c r="S989" s="146"/>
      <c r="T989" s="146"/>
      <c r="U989" s="146"/>
      <c r="V989" s="146"/>
      <c r="W989" s="146"/>
      <c r="X989" s="146"/>
      <c r="Y989" s="331">
        <f t="shared" si="48"/>
        <v>0</v>
      </c>
      <c r="Z989" s="146"/>
      <c r="AA989" s="146"/>
      <c r="AB989" s="146"/>
      <c r="AC989" s="146"/>
      <c r="AD989" s="146"/>
      <c r="AE989" s="146"/>
      <c r="AF989" s="146"/>
      <c r="AG989" s="146"/>
      <c r="AH989" s="331">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29">
        <f t="shared" si="47"/>
        <v>0</v>
      </c>
      <c r="Q990" s="146"/>
      <c r="R990" s="146"/>
      <c r="S990" s="146"/>
      <c r="T990" s="146"/>
      <c r="U990" s="146"/>
      <c r="V990" s="146"/>
      <c r="W990" s="146"/>
      <c r="X990" s="146"/>
      <c r="Y990" s="331">
        <f t="shared" si="48"/>
        <v>0</v>
      </c>
      <c r="Z990" s="146"/>
      <c r="AA990" s="146"/>
      <c r="AB990" s="146"/>
      <c r="AC990" s="146"/>
      <c r="AD990" s="146"/>
      <c r="AE990" s="146"/>
      <c r="AF990" s="146"/>
      <c r="AG990" s="146"/>
      <c r="AH990" s="331">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29">
        <f t="shared" si="47"/>
        <v>0</v>
      </c>
      <c r="Q991" s="146"/>
      <c r="R991" s="146"/>
      <c r="S991" s="146"/>
      <c r="T991" s="146"/>
      <c r="U991" s="146"/>
      <c r="V991" s="146"/>
      <c r="W991" s="146"/>
      <c r="X991" s="146"/>
      <c r="Y991" s="331">
        <f t="shared" si="48"/>
        <v>0</v>
      </c>
      <c r="Z991" s="146"/>
      <c r="AA991" s="146"/>
      <c r="AB991" s="146"/>
      <c r="AC991" s="146"/>
      <c r="AD991" s="146"/>
      <c r="AE991" s="146"/>
      <c r="AF991" s="146"/>
      <c r="AG991" s="146"/>
      <c r="AH991" s="331">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29">
        <f t="shared" si="47"/>
        <v>0</v>
      </c>
      <c r="Q992" s="146"/>
      <c r="R992" s="146"/>
      <c r="S992" s="146"/>
      <c r="T992" s="146"/>
      <c r="U992" s="146"/>
      <c r="V992" s="146"/>
      <c r="W992" s="146"/>
      <c r="X992" s="146"/>
      <c r="Y992" s="331">
        <f t="shared" si="48"/>
        <v>0</v>
      </c>
      <c r="Z992" s="146"/>
      <c r="AA992" s="146"/>
      <c r="AB992" s="146"/>
      <c r="AC992" s="146"/>
      <c r="AD992" s="146"/>
      <c r="AE992" s="146"/>
      <c r="AF992" s="146"/>
      <c r="AG992" s="146"/>
      <c r="AH992" s="331">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29">
        <f t="shared" si="47"/>
        <v>0</v>
      </c>
      <c r="Q993" s="146"/>
      <c r="R993" s="146"/>
      <c r="S993" s="146"/>
      <c r="T993" s="146"/>
      <c r="U993" s="146"/>
      <c r="V993" s="146"/>
      <c r="W993" s="146"/>
      <c r="X993" s="146"/>
      <c r="Y993" s="331">
        <f t="shared" si="48"/>
        <v>0</v>
      </c>
      <c r="Z993" s="146"/>
      <c r="AA993" s="146"/>
      <c r="AB993" s="146"/>
      <c r="AC993" s="146"/>
      <c r="AD993" s="146"/>
      <c r="AE993" s="146"/>
      <c r="AF993" s="146"/>
      <c r="AG993" s="146"/>
      <c r="AH993" s="331">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29">
        <f t="shared" si="47"/>
        <v>0</v>
      </c>
      <c r="Q994" s="146"/>
      <c r="R994" s="146"/>
      <c r="S994" s="146"/>
      <c r="T994" s="146"/>
      <c r="U994" s="146"/>
      <c r="V994" s="146"/>
      <c r="W994" s="146"/>
      <c r="X994" s="146"/>
      <c r="Y994" s="331">
        <f t="shared" si="48"/>
        <v>0</v>
      </c>
      <c r="Z994" s="146"/>
      <c r="AA994" s="146"/>
      <c r="AB994" s="146"/>
      <c r="AC994" s="146"/>
      <c r="AD994" s="146"/>
      <c r="AE994" s="146"/>
      <c r="AF994" s="146"/>
      <c r="AG994" s="146"/>
      <c r="AH994" s="331">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29">
        <f t="shared" si="47"/>
        <v>0</v>
      </c>
      <c r="Q995" s="146"/>
      <c r="R995" s="146"/>
      <c r="S995" s="146"/>
      <c r="T995" s="146"/>
      <c r="U995" s="146"/>
      <c r="V995" s="146"/>
      <c r="W995" s="146"/>
      <c r="X995" s="146"/>
      <c r="Y995" s="331">
        <f t="shared" si="48"/>
        <v>0</v>
      </c>
      <c r="Z995" s="146"/>
      <c r="AA995" s="146"/>
      <c r="AB995" s="146"/>
      <c r="AC995" s="146"/>
      <c r="AD995" s="146"/>
      <c r="AE995" s="146"/>
      <c r="AF995" s="146"/>
      <c r="AG995" s="146"/>
      <c r="AH995" s="331">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29">
        <f t="shared" si="47"/>
        <v>0</v>
      </c>
      <c r="Q996" s="146"/>
      <c r="R996" s="146"/>
      <c r="S996" s="146"/>
      <c r="T996" s="146"/>
      <c r="U996" s="146"/>
      <c r="V996" s="146"/>
      <c r="W996" s="146"/>
      <c r="X996" s="146"/>
      <c r="Y996" s="331">
        <f t="shared" si="48"/>
        <v>0</v>
      </c>
      <c r="Z996" s="146"/>
      <c r="AA996" s="146"/>
      <c r="AB996" s="146"/>
      <c r="AC996" s="146"/>
      <c r="AD996" s="146"/>
      <c r="AE996" s="146"/>
      <c r="AF996" s="146"/>
      <c r="AG996" s="146"/>
      <c r="AH996" s="331">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29">
        <f t="shared" si="47"/>
        <v>0</v>
      </c>
      <c r="Q997" s="146"/>
      <c r="R997" s="146"/>
      <c r="S997" s="146"/>
      <c r="T997" s="146"/>
      <c r="U997" s="146"/>
      <c r="V997" s="146"/>
      <c r="W997" s="146"/>
      <c r="X997" s="146"/>
      <c r="Y997" s="331">
        <f t="shared" si="48"/>
        <v>0</v>
      </c>
      <c r="Z997" s="146"/>
      <c r="AA997" s="146"/>
      <c r="AB997" s="146"/>
      <c r="AC997" s="146"/>
      <c r="AD997" s="146"/>
      <c r="AE997" s="146"/>
      <c r="AF997" s="146"/>
      <c r="AG997" s="146"/>
      <c r="AH997" s="331">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29">
        <f t="shared" si="47"/>
        <v>0</v>
      </c>
      <c r="Q998" s="146"/>
      <c r="R998" s="146"/>
      <c r="S998" s="146"/>
      <c r="T998" s="146"/>
      <c r="U998" s="146"/>
      <c r="V998" s="146"/>
      <c r="W998" s="146"/>
      <c r="X998" s="146"/>
      <c r="Y998" s="331">
        <f t="shared" si="48"/>
        <v>0</v>
      </c>
      <c r="Z998" s="146"/>
      <c r="AA998" s="146"/>
      <c r="AB998" s="146"/>
      <c r="AC998" s="146"/>
      <c r="AD998" s="146"/>
      <c r="AE998" s="146"/>
      <c r="AF998" s="146"/>
      <c r="AG998" s="146"/>
      <c r="AH998" s="331">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29">
        <f t="shared" si="47"/>
        <v>0</v>
      </c>
      <c r="Q999" s="146"/>
      <c r="R999" s="146"/>
      <c r="S999" s="146"/>
      <c r="T999" s="146"/>
      <c r="U999" s="146"/>
      <c r="V999" s="146"/>
      <c r="W999" s="146"/>
      <c r="X999" s="146"/>
      <c r="Y999" s="331">
        <f t="shared" si="48"/>
        <v>0</v>
      </c>
      <c r="Z999" s="146"/>
      <c r="AA999" s="146"/>
      <c r="AB999" s="146"/>
      <c r="AC999" s="146"/>
      <c r="AD999" s="146"/>
      <c r="AE999" s="146"/>
      <c r="AF999" s="146"/>
      <c r="AG999" s="146"/>
      <c r="AH999" s="331">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29">
        <f t="shared" si="47"/>
        <v>0</v>
      </c>
      <c r="Q1000" s="146"/>
      <c r="R1000" s="146"/>
      <c r="S1000" s="146"/>
      <c r="T1000" s="146"/>
      <c r="U1000" s="146"/>
      <c r="V1000" s="146"/>
      <c r="W1000" s="146"/>
      <c r="X1000" s="146"/>
      <c r="Y1000" s="331">
        <f t="shared" si="48"/>
        <v>0</v>
      </c>
      <c r="Z1000" s="146"/>
      <c r="AA1000" s="146"/>
      <c r="AB1000" s="146"/>
      <c r="AC1000" s="146"/>
      <c r="AD1000" s="146"/>
      <c r="AE1000" s="146"/>
      <c r="AF1000" s="146"/>
      <c r="AG1000" s="146"/>
      <c r="AH1000" s="331">
        <f t="shared" si="49"/>
        <v>0</v>
      </c>
      <c r="AI1000" s="146"/>
      <c r="AJ1000" s="146"/>
      <c r="AK1000" s="146"/>
      <c r="AL1000" s="146"/>
      <c r="AM1000" s="146"/>
      <c r="AN1000" s="146"/>
      <c r="AO1000" s="146"/>
      <c r="AP1000" s="146"/>
      <c r="AQ1000" s="146"/>
      <c r="AR1000" s="146"/>
      <c r="AS1000" s="146"/>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A6" zoomScale="90" zoomScaleNormal="90" zoomScaleSheetLayoutView="70" workbookViewId="0">
      <selection activeCell="C26" sqref="C26"/>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88" t="s">
        <v>8</v>
      </c>
      <c r="B1" s="388"/>
      <c r="C1" s="388"/>
      <c r="D1" s="388"/>
      <c r="E1" s="388"/>
      <c r="F1" s="388"/>
      <c r="G1" s="388"/>
      <c r="H1" s="388"/>
      <c r="I1" s="388"/>
      <c r="J1" s="388"/>
      <c r="K1" s="388"/>
      <c r="L1" s="388"/>
      <c r="M1" s="388"/>
      <c r="N1" s="388"/>
      <c r="O1" s="3"/>
      <c r="P1" s="3"/>
      <c r="Q1" s="3"/>
      <c r="R1" s="3"/>
      <c r="S1" s="3"/>
      <c r="T1" s="3"/>
      <c r="U1" s="3"/>
    </row>
    <row r="2" spans="1:21" s="217" customFormat="1" ht="20.25" customHeight="1" x14ac:dyDescent="0.3">
      <c r="A2" s="389" t="s">
        <v>9</v>
      </c>
      <c r="B2" s="389"/>
      <c r="C2" s="389"/>
      <c r="D2" s="389"/>
      <c r="E2" s="389"/>
      <c r="F2" s="389"/>
      <c r="G2" s="389"/>
      <c r="H2" s="389"/>
      <c r="I2" s="389"/>
      <c r="J2" s="389"/>
      <c r="K2" s="389"/>
      <c r="L2" s="389"/>
      <c r="M2" s="389"/>
      <c r="N2" s="389"/>
      <c r="O2" s="4"/>
      <c r="P2" s="4"/>
      <c r="Q2" s="4"/>
      <c r="R2" s="4"/>
      <c r="S2" s="4"/>
      <c r="T2" s="4"/>
      <c r="U2" s="4"/>
    </row>
    <row r="3" spans="1:21" s="217" customFormat="1" ht="24" customHeight="1" thickBot="1" x14ac:dyDescent="0.25">
      <c r="A3" s="386" t="s">
        <v>1375</v>
      </c>
      <c r="B3" s="386"/>
      <c r="C3" s="386"/>
      <c r="D3" s="386"/>
      <c r="E3" s="386"/>
      <c r="F3" s="386"/>
      <c r="G3" s="386"/>
      <c r="H3" s="386"/>
      <c r="I3" s="386"/>
      <c r="J3" s="386"/>
      <c r="K3" s="386"/>
      <c r="L3" s="386"/>
      <c r="M3" s="386"/>
      <c r="N3" s="386"/>
      <c r="O3" s="21"/>
      <c r="P3" s="21"/>
      <c r="Q3" s="21"/>
      <c r="R3" s="21"/>
      <c r="S3" s="21"/>
      <c r="T3" s="21"/>
      <c r="U3" s="21"/>
    </row>
    <row r="4" spans="1:21" s="2" customFormat="1" ht="33.75" customHeight="1" x14ac:dyDescent="0.2">
      <c r="A4" s="261" t="s">
        <v>10</v>
      </c>
      <c r="B4" s="203" t="str">
        <f>'Start Here'!B4:D4</f>
        <v>San Anselmo</v>
      </c>
      <c r="C4" s="259"/>
      <c r="I4" s="397" t="s">
        <v>1370</v>
      </c>
      <c r="J4" s="398"/>
      <c r="K4" s="398"/>
      <c r="L4" s="398"/>
      <c r="M4" s="399"/>
    </row>
    <row r="5" spans="1:21" s="2" customFormat="1" ht="22.5" customHeight="1" thickBot="1" x14ac:dyDescent="0.35">
      <c r="A5" s="261" t="s">
        <v>36</v>
      </c>
      <c r="B5" s="202">
        <f>'Start Here'!B5:C5</f>
        <v>2018</v>
      </c>
      <c r="C5" s="260" t="str">
        <f>'Table A'!C5</f>
        <v>(Jan. 1 - Dec. 31)</v>
      </c>
      <c r="E5" s="91"/>
      <c r="F5" s="91"/>
      <c r="G5" s="91"/>
      <c r="H5" s="91"/>
      <c r="I5" s="400" t="s">
        <v>1290</v>
      </c>
      <c r="J5" s="401"/>
      <c r="K5" s="401"/>
      <c r="L5" s="401"/>
      <c r="M5" s="402"/>
    </row>
    <row r="7" spans="1:21" ht="18" x14ac:dyDescent="0.25">
      <c r="A7" s="393" t="s">
        <v>13</v>
      </c>
      <c r="B7" s="393"/>
      <c r="C7" s="393"/>
      <c r="D7" s="393"/>
      <c r="E7" s="393"/>
      <c r="F7" s="393"/>
      <c r="G7" s="393"/>
      <c r="H7" s="393"/>
      <c r="I7" s="393"/>
      <c r="J7" s="393"/>
      <c r="K7" s="393"/>
      <c r="L7" s="393"/>
      <c r="M7" s="393"/>
      <c r="N7" s="393"/>
    </row>
    <row r="8" spans="1:21" ht="18" x14ac:dyDescent="0.25">
      <c r="A8" s="393" t="s">
        <v>83</v>
      </c>
      <c r="B8" s="393"/>
      <c r="C8" s="393"/>
      <c r="D8" s="393"/>
      <c r="E8" s="393"/>
      <c r="F8" s="393"/>
      <c r="G8" s="393"/>
      <c r="H8" s="393"/>
      <c r="I8" s="393"/>
      <c r="J8" s="393"/>
      <c r="K8" s="393"/>
      <c r="L8" s="393"/>
      <c r="M8" s="393"/>
      <c r="N8" s="393"/>
    </row>
    <row r="9" spans="1:21" ht="18" x14ac:dyDescent="0.25">
      <c r="A9" s="393" t="s">
        <v>14</v>
      </c>
      <c r="B9" s="393"/>
      <c r="C9" s="393"/>
      <c r="D9" s="393"/>
      <c r="E9" s="393"/>
      <c r="F9" s="393"/>
      <c r="G9" s="393"/>
      <c r="H9" s="393"/>
      <c r="I9" s="393"/>
      <c r="J9" s="393"/>
      <c r="K9" s="393"/>
      <c r="L9" s="393"/>
      <c r="M9" s="393"/>
      <c r="N9" s="393"/>
    </row>
    <row r="10" spans="1:21" x14ac:dyDescent="0.2">
      <c r="A10" s="92"/>
      <c r="B10" s="92"/>
      <c r="C10" s="79">
        <v>1</v>
      </c>
      <c r="D10" s="392">
        <v>2</v>
      </c>
      <c r="E10" s="392"/>
      <c r="F10" s="392"/>
      <c r="G10" s="392"/>
      <c r="H10" s="392"/>
      <c r="I10" s="392"/>
      <c r="J10" s="392"/>
      <c r="K10" s="392"/>
      <c r="L10" s="392"/>
      <c r="M10" s="79">
        <v>3</v>
      </c>
      <c r="N10" s="79">
        <v>4</v>
      </c>
    </row>
    <row r="11" spans="1:21" ht="58.5" customHeight="1" x14ac:dyDescent="0.2">
      <c r="A11" s="406" t="s">
        <v>15</v>
      </c>
      <c r="B11" s="406"/>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90" t="s">
        <v>16</v>
      </c>
      <c r="B12" s="181" t="s">
        <v>5</v>
      </c>
      <c r="C12" s="391">
        <f>VLOOKUP($B$4,'RHNA Allocations'!$C$2:$H$540,2,0)</f>
        <v>33</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2</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96">
        <f>SUM(D12:L12)+SUM(D13:L13)</f>
        <v>5</v>
      </c>
      <c r="N12" s="394">
        <f>MAX(0,C12-M12)</f>
        <v>28</v>
      </c>
    </row>
    <row r="13" spans="1:21" x14ac:dyDescent="0.2">
      <c r="A13" s="390"/>
      <c r="B13" s="181" t="s">
        <v>20</v>
      </c>
      <c r="C13" s="391"/>
      <c r="D13" s="11">
        <f>IF(D$11=$B$5,'Table A2'!$R$12,IF(D$11&lt;$B$5,(VLOOKUP(CONCATENATE($B$4," ",D$11),'RHNA past year values'!$D$2:$V$2433,5,0)),0))</f>
        <v>2</v>
      </c>
      <c r="E13" s="11">
        <f>IF(E$11=$B$5,'Table A2'!$R$12,IF(E$11&lt;$B$5,(VLOOKUP(CONCATENATE($B$4," ",E$11),'RHNA past year values'!$D$2:$V$2433,5,0)),0))</f>
        <v>0</v>
      </c>
      <c r="F13" s="11">
        <f>IF(F$11=$B$5,'Table A2'!$R$12,IF(F$11&lt;$B$5,(VLOOKUP(CONCATENATE($B$4," ",F$11),'RHNA past year values'!$D$2:$V$2433,5,0)),0))</f>
        <v>1</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95"/>
      <c r="N13" s="395"/>
    </row>
    <row r="14" spans="1:21" x14ac:dyDescent="0.2">
      <c r="A14" s="390" t="s">
        <v>17</v>
      </c>
      <c r="B14" s="181" t="s">
        <v>5</v>
      </c>
      <c r="C14" s="391">
        <f>VLOOKUP($B$4,'RHNA Allocations'!$C$2:$H$540,3,0)</f>
        <v>17</v>
      </c>
      <c r="D14" s="11">
        <f>IF(D$11=$B$5,'Table A2'!$S$12+'Table F'!$H$16,IF(D$11&lt;$B$5,(VLOOKUP(CONCATENATE($B$4," ",D$11),'RHNA past year values'!$D$2:$V$2433,9,0)),0))</f>
        <v>0</v>
      </c>
      <c r="E14" s="11"/>
      <c r="F14" s="11">
        <f>IF(F$11=$B$5,'Table A2'!$S$12+'Table F'!$H$16,IF(F$11&lt;$B$5,(VLOOKUP(CONCATENATE($B$4," ",F$11),'RHNA past year values'!$D$2:$V$2433,9,0)),0))</f>
        <v>2</v>
      </c>
      <c r="G14" s="11">
        <f>IF(G$11=$B$5,'Table A2'!$S$12+'Table F'!$H$16,IF(G$11&lt;$B$5,(VLOOKUP(CONCATENATE($B$4," ",G$11),'RHNA past year values'!$D$2:$V$2433,9,0)),0))</f>
        <v>2</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96">
        <f>SUM(D14:L14)+SUM(D15:L15)</f>
        <v>5</v>
      </c>
      <c r="N14" s="394">
        <f>MAX(0,C14-M14)</f>
        <v>12</v>
      </c>
    </row>
    <row r="15" spans="1:21" x14ac:dyDescent="0.2">
      <c r="A15" s="390"/>
      <c r="B15" s="181" t="s">
        <v>20</v>
      </c>
      <c r="C15" s="39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1</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95"/>
      <c r="N15" s="395"/>
    </row>
    <row r="16" spans="1:21" x14ac:dyDescent="0.2">
      <c r="A16" s="390" t="s">
        <v>18</v>
      </c>
      <c r="B16" s="181" t="s">
        <v>5</v>
      </c>
      <c r="C16" s="391">
        <f>VLOOKUP($B$4,'RHNA Allocations'!$C$2:$H$540,4,0)</f>
        <v>19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96">
        <f>SUM(D16:L16)+SUM(D17:L17)</f>
        <v>14</v>
      </c>
      <c r="N16" s="394">
        <f>MAX(0,C16-M16)</f>
        <v>5</v>
      </c>
    </row>
    <row r="17" spans="1:14" x14ac:dyDescent="0.2">
      <c r="A17" s="390"/>
      <c r="B17" s="181" t="s">
        <v>20</v>
      </c>
      <c r="C17" s="391"/>
      <c r="D17" s="11">
        <f>IF(D$11=$B$5,'Table A2'!$V$12,IF(D$11&lt;$B$5,(VLOOKUP(CONCATENATE($B$4," ",D$11),'RHNA past year values'!$D$2:$V$2433,13,0)),0))</f>
        <v>2</v>
      </c>
      <c r="E17" s="11">
        <f>IF(E$11=$B$5,'Table A2'!$V$12,IF(E$11&lt;$B$5,(VLOOKUP(CONCATENATE($B$4," ",E$11),'RHNA past year values'!$D$2:$V$2433,13,0)),0))</f>
        <v>1</v>
      </c>
      <c r="F17" s="11">
        <f>IF(F$11=$B$5,'Table A2'!$V$12,IF(F$11&lt;$B$5,(VLOOKUP(CONCATENATE($B$4," ",F$11),'RHNA past year values'!$D$2:$V$2433,13,0)),0))</f>
        <v>4</v>
      </c>
      <c r="G17" s="11">
        <f>IF(G$11=$B$5,'Table A2'!$V$12,IF(G$11&lt;$B$5,(VLOOKUP(CONCATENATE($B$4," ",G$11),'RHNA past year values'!$D$2:$V$2433,13,0)),0))</f>
        <v>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95"/>
      <c r="N17" s="395"/>
    </row>
    <row r="18" spans="1:14" ht="15" thickBot="1" x14ac:dyDescent="0.25">
      <c r="A18" s="169" t="s">
        <v>19</v>
      </c>
      <c r="B18" s="170"/>
      <c r="C18" s="171">
        <f>VLOOKUP($B$4,'RHNA Allocations'!$C$2:$H$540,5,0)</f>
        <v>37</v>
      </c>
      <c r="D18" s="12">
        <f>IF(D$11=$B$5,'Table A2'!$W$12,IF(D$11&lt;$B$5,(VLOOKUP(CONCATENATE($B$4," ",D$11),'RHNA past year values'!$D$2:$V$2433,16,0)),0))</f>
        <v>1</v>
      </c>
      <c r="E18" s="12">
        <f>IF(E$11=$B$5,'Table A2'!$W$12,IF(E$11&lt;$B$5,(VLOOKUP(CONCATENATE($B$4," ",E$11),'RHNA past year values'!$D$2:$V$2433,16,0)),0))</f>
        <v>4</v>
      </c>
      <c r="F18" s="12">
        <f>IF(F$11=$B$5,'Table A2'!$W$12,IF(F$11&lt;$B$5,(VLOOKUP(CONCATENATE($B$4," ",F$11),'RHNA past year values'!$D$2:$V$2433,16,0)),0))</f>
        <v>5</v>
      </c>
      <c r="G18" s="12">
        <f>IF(G$11=$B$5,'Table A2'!$W$12,IF(G$11&lt;$B$5,(VLOOKUP(CONCATENATE($B$4," ",G$11),'RHNA past year values'!$D$2:$V$2433,16,0)),0))</f>
        <v>25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35</v>
      </c>
      <c r="N18" s="173">
        <f>MAX(0,C18-M18)</f>
        <v>2</v>
      </c>
    </row>
    <row r="19" spans="1:14" ht="15" thickTop="1" x14ac:dyDescent="0.2">
      <c r="A19" s="403" t="s">
        <v>79</v>
      </c>
      <c r="B19" s="404"/>
      <c r="C19" s="174">
        <f>SUM(C12:C18)</f>
        <v>106</v>
      </c>
      <c r="D19" s="175"/>
      <c r="E19" s="175"/>
      <c r="F19" s="175"/>
      <c r="G19" s="175"/>
      <c r="H19" s="175"/>
      <c r="I19" s="175"/>
      <c r="J19" s="175"/>
      <c r="K19" s="175"/>
      <c r="L19" s="175"/>
      <c r="M19" s="175"/>
      <c r="N19" s="176"/>
    </row>
    <row r="20" spans="1:14" x14ac:dyDescent="0.2">
      <c r="A20" s="405" t="s">
        <v>1381</v>
      </c>
      <c r="B20" s="405"/>
      <c r="C20" s="405"/>
      <c r="D20" s="177">
        <f t="shared" ref="D20:N20" si="0">SUM(D12:D18)</f>
        <v>5</v>
      </c>
      <c r="E20" s="177">
        <f t="shared" si="0"/>
        <v>5</v>
      </c>
      <c r="F20" s="177">
        <f t="shared" si="0"/>
        <v>12</v>
      </c>
      <c r="G20" s="177">
        <f t="shared" si="0"/>
        <v>37</v>
      </c>
      <c r="H20" s="177">
        <f t="shared" si="0"/>
        <v>0</v>
      </c>
      <c r="I20" s="177">
        <f t="shared" si="0"/>
        <v>0</v>
      </c>
      <c r="J20" s="177">
        <f t="shared" si="0"/>
        <v>0</v>
      </c>
      <c r="K20" s="177">
        <f t="shared" si="0"/>
        <v>0</v>
      </c>
      <c r="L20" s="177">
        <f t="shared" si="0"/>
        <v>0</v>
      </c>
      <c r="M20" s="177">
        <f t="shared" si="0"/>
        <v>59</v>
      </c>
      <c r="N20" s="177">
        <f t="shared" si="0"/>
        <v>47</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88" t="s">
        <v>8</v>
      </c>
      <c r="B1" s="388"/>
      <c r="C1" s="388"/>
      <c r="D1" s="388"/>
      <c r="E1" s="388"/>
      <c r="F1" s="388"/>
      <c r="G1" s="388"/>
      <c r="H1" s="388"/>
      <c r="I1" s="388"/>
      <c r="J1" s="388"/>
      <c r="K1" s="388"/>
      <c r="L1" s="388"/>
      <c r="M1" s="388"/>
      <c r="N1" s="388"/>
      <c r="O1" s="388"/>
      <c r="P1" s="388"/>
      <c r="Q1" s="388"/>
      <c r="R1" s="3"/>
      <c r="S1" s="3"/>
      <c r="T1" s="3"/>
      <c r="U1" s="3"/>
      <c r="V1" s="3"/>
      <c r="W1" s="3"/>
      <c r="X1" s="3"/>
      <c r="Y1" s="3"/>
    </row>
    <row r="2" spans="1:25" s="217" customFormat="1" ht="20.25" customHeight="1" x14ac:dyDescent="0.3">
      <c r="A2" s="389" t="s">
        <v>9</v>
      </c>
      <c r="B2" s="389"/>
      <c r="C2" s="389"/>
      <c r="D2" s="389"/>
      <c r="E2" s="389"/>
      <c r="F2" s="389"/>
      <c r="G2" s="389"/>
      <c r="H2" s="389"/>
      <c r="I2" s="389"/>
      <c r="J2" s="389"/>
      <c r="K2" s="389"/>
      <c r="L2" s="389"/>
      <c r="M2" s="389"/>
      <c r="N2" s="389"/>
      <c r="O2" s="389"/>
      <c r="P2" s="389"/>
      <c r="Q2" s="389"/>
      <c r="R2" s="4"/>
      <c r="S2" s="4"/>
      <c r="T2" s="4"/>
      <c r="U2" s="4"/>
      <c r="V2" s="4"/>
      <c r="W2" s="4"/>
      <c r="X2" s="4"/>
      <c r="Y2" s="4"/>
    </row>
    <row r="3" spans="1:25" s="217" customFormat="1" ht="15.75" customHeight="1" x14ac:dyDescent="0.2">
      <c r="A3" s="386" t="s">
        <v>1375</v>
      </c>
      <c r="B3" s="386"/>
      <c r="C3" s="386"/>
      <c r="D3" s="386"/>
      <c r="E3" s="386"/>
      <c r="F3" s="386"/>
      <c r="G3" s="386"/>
      <c r="H3" s="386"/>
      <c r="I3" s="386"/>
      <c r="J3" s="386"/>
      <c r="K3" s="386"/>
      <c r="L3" s="386"/>
      <c r="M3" s="386"/>
      <c r="N3" s="386"/>
      <c r="O3" s="386"/>
      <c r="P3" s="386"/>
      <c r="Q3" s="386"/>
      <c r="R3" s="21"/>
      <c r="S3" s="21"/>
      <c r="T3" s="21"/>
      <c r="U3" s="21"/>
      <c r="V3" s="21"/>
      <c r="W3" s="21"/>
      <c r="X3" s="21"/>
      <c r="Y3" s="21"/>
    </row>
    <row r="4" spans="1:25" s="2" customFormat="1" ht="25.5" customHeight="1" x14ac:dyDescent="0.2">
      <c r="A4" s="258" t="s">
        <v>10</v>
      </c>
      <c r="B4" s="203" t="str">
        <f>'Start Here'!B4:D4</f>
        <v>San Anselmo</v>
      </c>
      <c r="C4" s="259"/>
      <c r="K4" s="379" t="s">
        <v>1374</v>
      </c>
      <c r="L4" s="380"/>
      <c r="M4" s="380"/>
      <c r="N4" s="381"/>
    </row>
    <row r="5" spans="1:25" s="2" customFormat="1" ht="25.5" customHeight="1" x14ac:dyDescent="0.2">
      <c r="A5" s="258" t="s">
        <v>36</v>
      </c>
      <c r="B5" s="202">
        <f>'Start Here'!B5</f>
        <v>2018</v>
      </c>
      <c r="C5" s="260" t="str">
        <f>'Table A2'!C5</f>
        <v>(Jan. 1 - Dec. 31)</v>
      </c>
      <c r="D5" s="5"/>
      <c r="E5" s="5"/>
      <c r="K5" s="382" t="s">
        <v>106</v>
      </c>
      <c r="L5" s="383"/>
      <c r="M5" s="383"/>
      <c r="N5" s="384"/>
    </row>
    <row r="6" spans="1:25" s="2" customFormat="1" ht="20.25" customHeight="1" x14ac:dyDescent="0.35">
      <c r="A6" s="1"/>
      <c r="B6" s="233"/>
      <c r="C6" s="5"/>
      <c r="D6" s="5"/>
      <c r="E6" s="5"/>
      <c r="I6" s="16"/>
      <c r="J6" s="16"/>
      <c r="K6" s="16"/>
      <c r="L6" s="16"/>
      <c r="M6" s="16"/>
      <c r="N6" s="16"/>
    </row>
    <row r="8" spans="1:25" ht="15.75" x14ac:dyDescent="0.25">
      <c r="A8" s="418" t="s">
        <v>21</v>
      </c>
      <c r="B8" s="418"/>
      <c r="C8" s="418"/>
      <c r="D8" s="418"/>
      <c r="E8" s="418"/>
      <c r="F8" s="418"/>
      <c r="G8" s="418"/>
      <c r="H8" s="418"/>
      <c r="I8" s="418"/>
      <c r="J8" s="418"/>
      <c r="K8" s="418"/>
      <c r="L8" s="418"/>
      <c r="M8" s="418"/>
      <c r="N8" s="418"/>
      <c r="O8" s="418"/>
      <c r="P8" s="418"/>
      <c r="Q8" s="418"/>
      <c r="R8" s="419"/>
    </row>
    <row r="9" spans="1:25" ht="15.75" x14ac:dyDescent="0.25">
      <c r="A9" s="415" t="s">
        <v>49</v>
      </c>
      <c r="B9" s="416"/>
      <c r="C9" s="416"/>
      <c r="D9" s="416"/>
      <c r="E9" s="416"/>
      <c r="F9" s="416"/>
      <c r="G9" s="416"/>
      <c r="H9" s="416"/>
      <c r="I9" s="416"/>
      <c r="J9" s="416"/>
      <c r="K9" s="416"/>
      <c r="L9" s="416"/>
      <c r="M9" s="416"/>
      <c r="N9" s="416"/>
      <c r="O9" s="416"/>
      <c r="P9" s="416"/>
      <c r="Q9" s="416"/>
      <c r="R9" s="417"/>
    </row>
    <row r="10" spans="1:25" s="234" customFormat="1" ht="39.75" customHeight="1" x14ac:dyDescent="0.25">
      <c r="A10" s="363" t="s">
        <v>43</v>
      </c>
      <c r="B10" s="412"/>
      <c r="C10" s="412"/>
      <c r="D10" s="412"/>
      <c r="E10" s="179" t="s">
        <v>53</v>
      </c>
      <c r="F10" s="363" t="s">
        <v>50</v>
      </c>
      <c r="G10" s="412"/>
      <c r="H10" s="412"/>
      <c r="I10" s="412"/>
      <c r="J10" s="179" t="s">
        <v>116</v>
      </c>
      <c r="K10" s="363" t="s">
        <v>117</v>
      </c>
      <c r="L10" s="413"/>
      <c r="M10" s="413"/>
      <c r="N10" s="413"/>
      <c r="O10" s="413"/>
      <c r="P10" s="413"/>
      <c r="Q10" s="413"/>
      <c r="R10" s="413"/>
    </row>
    <row r="11" spans="1:25" s="17" customFormat="1" x14ac:dyDescent="0.2">
      <c r="A11" s="409">
        <v>1</v>
      </c>
      <c r="B11" s="414"/>
      <c r="C11" s="414"/>
      <c r="D11" s="411"/>
      <c r="E11" s="183">
        <v>2</v>
      </c>
      <c r="F11" s="409">
        <v>3</v>
      </c>
      <c r="G11" s="410"/>
      <c r="H11" s="410"/>
      <c r="I11" s="411"/>
      <c r="J11" s="79">
        <v>4</v>
      </c>
      <c r="K11" s="79">
        <v>5</v>
      </c>
      <c r="L11" s="79">
        <v>6</v>
      </c>
      <c r="M11" s="79">
        <v>7</v>
      </c>
      <c r="N11" s="392">
        <v>8</v>
      </c>
      <c r="O11" s="392"/>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407" t="s">
        <v>136</v>
      </c>
      <c r="B13" s="408"/>
      <c r="C13" s="408"/>
      <c r="D13" s="408"/>
      <c r="E13" s="408"/>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71" activePane="bottomLeft" state="frozen"/>
      <selection pane="bottomLeft" activeCell="A69" sqref="A69:A9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88" t="s">
        <v>8</v>
      </c>
      <c r="B1" s="441"/>
      <c r="C1" s="441"/>
      <c r="D1" s="441"/>
      <c r="E1" s="88"/>
      <c r="F1" s="88"/>
      <c r="G1" s="3"/>
      <c r="H1" s="3"/>
      <c r="I1" s="3"/>
      <c r="J1" s="3"/>
      <c r="K1" s="3"/>
      <c r="L1" s="3"/>
      <c r="M1" s="3"/>
      <c r="N1" s="3"/>
      <c r="O1" s="3"/>
      <c r="P1" s="3"/>
      <c r="Q1" s="3"/>
      <c r="R1" s="3"/>
      <c r="S1" s="3"/>
      <c r="T1" s="3"/>
      <c r="U1" s="3"/>
      <c r="V1" s="3"/>
    </row>
    <row r="2" spans="1:22" s="217" customFormat="1" ht="20.25" customHeight="1" x14ac:dyDescent="0.3">
      <c r="A2" s="389" t="s">
        <v>9</v>
      </c>
      <c r="B2" s="441"/>
      <c r="C2" s="441"/>
      <c r="D2" s="441"/>
      <c r="E2" s="182"/>
      <c r="F2" s="182"/>
      <c r="G2" s="4"/>
      <c r="H2" s="4"/>
      <c r="I2" s="4"/>
      <c r="J2" s="4"/>
      <c r="K2" s="4"/>
      <c r="L2" s="4"/>
      <c r="M2" s="4"/>
      <c r="N2" s="4"/>
      <c r="O2" s="4"/>
      <c r="P2" s="4"/>
      <c r="Q2" s="4"/>
      <c r="R2" s="4"/>
      <c r="S2" s="4"/>
      <c r="T2" s="4"/>
      <c r="U2" s="4"/>
      <c r="V2" s="4"/>
    </row>
    <row r="3" spans="1:22" s="217" customFormat="1" ht="15.75" customHeight="1" x14ac:dyDescent="0.2">
      <c r="A3" s="386" t="s">
        <v>1375</v>
      </c>
      <c r="B3" s="441"/>
      <c r="C3" s="441"/>
      <c r="D3" s="441"/>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San Anselmo</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40" t="s">
        <v>26</v>
      </c>
      <c r="B7" s="440"/>
      <c r="C7" s="440"/>
      <c r="D7" s="440"/>
    </row>
    <row r="8" spans="1:22" ht="15.75" x14ac:dyDescent="0.2">
      <c r="A8" s="440" t="s">
        <v>41</v>
      </c>
      <c r="B8" s="440"/>
      <c r="C8" s="440"/>
      <c r="D8" s="440"/>
    </row>
    <row r="9" spans="1:22" s="17" customFormat="1" ht="52.5" customHeight="1" x14ac:dyDescent="0.2">
      <c r="A9" s="437" t="s">
        <v>42</v>
      </c>
      <c r="B9" s="438"/>
      <c r="C9" s="438"/>
      <c r="D9" s="439"/>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243" customFormat="1" ht="12.75" x14ac:dyDescent="0.25">
      <c r="A12" s="420"/>
      <c r="B12" s="423"/>
      <c r="C12" s="423"/>
      <c r="D12" s="305"/>
    </row>
    <row r="13" spans="1:22" s="243" customFormat="1" ht="12.75" x14ac:dyDescent="0.25">
      <c r="A13" s="421"/>
      <c r="B13" s="424"/>
      <c r="C13" s="424"/>
      <c r="D13" s="307"/>
    </row>
    <row r="14" spans="1:22" s="243" customFormat="1" ht="13.5" thickBot="1" x14ac:dyDescent="0.3">
      <c r="A14" s="422"/>
      <c r="B14" s="425"/>
      <c r="C14" s="425"/>
      <c r="D14" s="309"/>
    </row>
    <row r="15" spans="1:22" s="243" customFormat="1" ht="12.75" x14ac:dyDescent="0.25">
      <c r="A15" s="420"/>
      <c r="B15" s="423"/>
      <c r="C15" s="423"/>
      <c r="D15" s="307"/>
    </row>
    <row r="16" spans="1:22" s="243" customFormat="1" ht="13.5" thickBot="1" x14ac:dyDescent="0.3">
      <c r="A16" s="422"/>
      <c r="B16" s="425"/>
      <c r="C16" s="425"/>
      <c r="D16" s="309"/>
    </row>
    <row r="17" spans="1:4" s="243" customFormat="1" ht="12.75" x14ac:dyDescent="0.25">
      <c r="A17" s="420"/>
      <c r="B17" s="423"/>
      <c r="C17" s="423"/>
      <c r="D17" s="307"/>
    </row>
    <row r="18" spans="1:4" s="243" customFormat="1" ht="12.75" x14ac:dyDescent="0.25">
      <c r="A18" s="421"/>
      <c r="B18" s="424"/>
      <c r="C18" s="424"/>
      <c r="D18" s="307"/>
    </row>
    <row r="19" spans="1:4" s="243" customFormat="1" ht="13.5" thickBot="1" x14ac:dyDescent="0.3">
      <c r="A19" s="422"/>
      <c r="B19" s="425"/>
      <c r="C19" s="425"/>
      <c r="D19" s="309"/>
    </row>
    <row r="20" spans="1:4" s="243" customFormat="1" ht="12.75" x14ac:dyDescent="0.25">
      <c r="A20" s="306"/>
      <c r="B20" s="310"/>
      <c r="C20" s="423"/>
      <c r="D20" s="307"/>
    </row>
    <row r="21" spans="1:4" s="243" customFormat="1" ht="12.75" x14ac:dyDescent="0.25">
      <c r="A21" s="306"/>
      <c r="B21" s="310"/>
      <c r="C21" s="424"/>
      <c r="D21" s="307"/>
    </row>
    <row r="22" spans="1:4" s="243" customFormat="1" ht="15.75" thickBot="1" x14ac:dyDescent="0.3">
      <c r="A22" s="311"/>
      <c r="B22" s="312"/>
      <c r="C22" s="425"/>
      <c r="D22" s="309"/>
    </row>
    <row r="23" spans="1:4" s="243" customFormat="1" ht="12.75" x14ac:dyDescent="0.25">
      <c r="A23" s="420"/>
      <c r="B23" s="423"/>
      <c r="C23" s="423"/>
      <c r="D23" s="307"/>
    </row>
    <row r="24" spans="1:4" s="243" customFormat="1" ht="13.5" thickBot="1" x14ac:dyDescent="0.3">
      <c r="A24" s="422"/>
      <c r="B24" s="425"/>
      <c r="C24" s="425"/>
      <c r="D24" s="309"/>
    </row>
    <row r="25" spans="1:4" s="243" customFormat="1" ht="12.75" x14ac:dyDescent="0.25">
      <c r="A25" s="420"/>
      <c r="B25" s="423"/>
      <c r="C25" s="423"/>
      <c r="D25" s="307"/>
    </row>
    <row r="26" spans="1:4" s="243" customFormat="1" ht="12.75" x14ac:dyDescent="0.25">
      <c r="A26" s="421"/>
      <c r="B26" s="424"/>
      <c r="C26" s="424"/>
      <c r="D26" s="307"/>
    </row>
    <row r="27" spans="1:4" s="243" customFormat="1" ht="13.5" thickBot="1" x14ac:dyDescent="0.3">
      <c r="A27" s="422"/>
      <c r="B27" s="425"/>
      <c r="C27" s="425"/>
      <c r="D27" s="309"/>
    </row>
    <row r="28" spans="1:4" s="243" customFormat="1" ht="12.75" x14ac:dyDescent="0.25">
      <c r="A28" s="420"/>
      <c r="B28" s="423"/>
      <c r="C28" s="423"/>
      <c r="D28" s="307"/>
    </row>
    <row r="29" spans="1:4" s="243" customFormat="1" ht="12.75" x14ac:dyDescent="0.25">
      <c r="A29" s="421"/>
      <c r="B29" s="424"/>
      <c r="C29" s="424"/>
      <c r="D29" s="307"/>
    </row>
    <row r="30" spans="1:4" s="243" customFormat="1" ht="12.75" x14ac:dyDescent="0.25">
      <c r="A30" s="421"/>
      <c r="B30" s="424"/>
      <c r="C30" s="424"/>
      <c r="D30" s="307"/>
    </row>
    <row r="31" spans="1:4" s="243" customFormat="1" ht="13.5" thickBot="1" x14ac:dyDescent="0.3">
      <c r="A31" s="422"/>
      <c r="B31" s="425"/>
      <c r="C31" s="425"/>
      <c r="D31" s="309"/>
    </row>
    <row r="32" spans="1:4" s="243" customFormat="1" ht="12.75" x14ac:dyDescent="0.25">
      <c r="A32" s="420"/>
      <c r="B32" s="423"/>
      <c r="C32" s="423"/>
      <c r="D32" s="307"/>
    </row>
    <row r="33" spans="1:4" s="243" customFormat="1" ht="13.5" thickBot="1" x14ac:dyDescent="0.3">
      <c r="A33" s="422"/>
      <c r="B33" s="425"/>
      <c r="C33" s="425"/>
      <c r="D33" s="309"/>
    </row>
    <row r="34" spans="1:4" s="243" customFormat="1" ht="12.75" x14ac:dyDescent="0.25">
      <c r="A34" s="420"/>
      <c r="B34" s="423"/>
      <c r="C34" s="423"/>
      <c r="D34" s="426"/>
    </row>
    <row r="35" spans="1:4" s="243" customFormat="1" ht="13.5" thickBot="1" x14ac:dyDescent="0.3">
      <c r="A35" s="422"/>
      <c r="B35" s="425"/>
      <c r="C35" s="425"/>
      <c r="D35" s="427"/>
    </row>
    <row r="36" spans="1:4" s="243" customFormat="1" ht="12.75" x14ac:dyDescent="0.25">
      <c r="A36" s="420"/>
      <c r="B36" s="423"/>
      <c r="C36" s="423"/>
      <c r="D36" s="307"/>
    </row>
    <row r="37" spans="1:4" s="243" customFormat="1" ht="12.75" x14ac:dyDescent="0.25">
      <c r="A37" s="421"/>
      <c r="B37" s="424"/>
      <c r="C37" s="424"/>
      <c r="D37" s="307"/>
    </row>
    <row r="38" spans="1:4" s="243" customFormat="1" ht="13.5" thickBot="1" x14ac:dyDescent="0.3">
      <c r="A38" s="422"/>
      <c r="B38" s="425"/>
      <c r="C38" s="425"/>
      <c r="D38" s="309"/>
    </row>
    <row r="39" spans="1:4" s="243" customFormat="1" ht="12.75" x14ac:dyDescent="0.25">
      <c r="A39" s="420"/>
      <c r="B39" s="423"/>
      <c r="C39" s="423"/>
      <c r="D39" s="307"/>
    </row>
    <row r="40" spans="1:4" s="243" customFormat="1" ht="12.75" x14ac:dyDescent="0.25">
      <c r="A40" s="421"/>
      <c r="B40" s="424"/>
      <c r="C40" s="424"/>
      <c r="D40" s="307"/>
    </row>
    <row r="41" spans="1:4" s="243" customFormat="1" ht="12.75" x14ac:dyDescent="0.25">
      <c r="A41" s="421"/>
      <c r="B41" s="424"/>
      <c r="C41" s="424"/>
      <c r="D41" s="307"/>
    </row>
    <row r="42" spans="1:4" s="243" customFormat="1" ht="13.5" thickBot="1" x14ac:dyDescent="0.3">
      <c r="A42" s="422"/>
      <c r="B42" s="425"/>
      <c r="C42" s="425"/>
      <c r="D42" s="309"/>
    </row>
    <row r="43" spans="1:4" s="243" customFormat="1" ht="12.75" x14ac:dyDescent="0.25">
      <c r="A43" s="420"/>
      <c r="B43" s="423"/>
      <c r="C43" s="426"/>
      <c r="D43" s="307"/>
    </row>
    <row r="44" spans="1:4" s="243" customFormat="1" ht="13.5" thickBot="1" x14ac:dyDescent="0.3">
      <c r="A44" s="422"/>
      <c r="B44" s="425"/>
      <c r="C44" s="427"/>
      <c r="D44" s="309"/>
    </row>
    <row r="45" spans="1:4" s="243" customFormat="1" ht="12.75" x14ac:dyDescent="0.25">
      <c r="A45" s="420"/>
      <c r="B45" s="423"/>
      <c r="C45" s="423"/>
      <c r="D45" s="426"/>
    </row>
    <row r="46" spans="1:4" s="243" customFormat="1" ht="13.5" thickBot="1" x14ac:dyDescent="0.3">
      <c r="A46" s="422"/>
      <c r="B46" s="425"/>
      <c r="C46" s="425"/>
      <c r="D46" s="427"/>
    </row>
    <row r="47" spans="1:4" s="243" customFormat="1" ht="12.75" x14ac:dyDescent="0.25">
      <c r="A47" s="420"/>
      <c r="B47" s="423"/>
      <c r="C47" s="423"/>
      <c r="D47" s="307"/>
    </row>
    <row r="48" spans="1:4" s="243" customFormat="1" ht="13.5" thickBot="1" x14ac:dyDescent="0.3">
      <c r="A48" s="422"/>
      <c r="B48" s="425"/>
      <c r="C48" s="425"/>
      <c r="D48" s="309"/>
    </row>
    <row r="49" spans="1:4" s="243" customFormat="1" ht="12.75" x14ac:dyDescent="0.25">
      <c r="A49" s="420"/>
      <c r="B49" s="423"/>
      <c r="C49" s="423"/>
      <c r="D49" s="307"/>
    </row>
    <row r="50" spans="1:4" s="243" customFormat="1" ht="12.75" x14ac:dyDescent="0.25">
      <c r="A50" s="421"/>
      <c r="B50" s="424"/>
      <c r="C50" s="424"/>
      <c r="D50" s="307"/>
    </row>
    <row r="51" spans="1:4" s="243" customFormat="1" ht="13.5" thickBot="1" x14ac:dyDescent="0.3">
      <c r="A51" s="422"/>
      <c r="B51" s="425"/>
      <c r="C51" s="425"/>
      <c r="D51" s="309"/>
    </row>
    <row r="52" spans="1:4" s="243" customFormat="1" ht="12.75" x14ac:dyDescent="0.25">
      <c r="A52" s="420"/>
      <c r="B52" s="423"/>
      <c r="C52" s="423"/>
      <c r="D52" s="307"/>
    </row>
    <row r="53" spans="1:4" s="243" customFormat="1" ht="13.5" thickBot="1" x14ac:dyDescent="0.3">
      <c r="A53" s="422"/>
      <c r="B53" s="425"/>
      <c r="C53" s="425"/>
      <c r="D53" s="309"/>
    </row>
    <row r="54" spans="1:4" s="243" customFormat="1" ht="12.75" x14ac:dyDescent="0.25">
      <c r="A54" s="420"/>
      <c r="B54" s="423"/>
      <c r="C54" s="423"/>
      <c r="D54" s="307"/>
    </row>
    <row r="55" spans="1:4" s="243" customFormat="1" ht="12.75" x14ac:dyDescent="0.25">
      <c r="A55" s="421"/>
      <c r="B55" s="424"/>
      <c r="C55" s="424"/>
      <c r="D55" s="307"/>
    </row>
    <row r="56" spans="1:4" s="243" customFormat="1" ht="12.75" x14ac:dyDescent="0.25">
      <c r="A56" s="421"/>
      <c r="B56" s="424"/>
      <c r="C56" s="424"/>
      <c r="D56" s="307"/>
    </row>
    <row r="57" spans="1:4" s="243" customFormat="1" ht="13.5" thickBot="1" x14ac:dyDescent="0.3">
      <c r="A57" s="422"/>
      <c r="B57" s="425"/>
      <c r="C57" s="425"/>
      <c r="D57" s="309"/>
    </row>
    <row r="58" spans="1:4" s="243" customFormat="1" ht="12.75" x14ac:dyDescent="0.25">
      <c r="A58" s="420"/>
      <c r="B58" s="423"/>
      <c r="C58" s="423"/>
      <c r="D58" s="307"/>
    </row>
    <row r="59" spans="1:4" s="243" customFormat="1" ht="12.75" x14ac:dyDescent="0.25">
      <c r="A59" s="421"/>
      <c r="B59" s="424"/>
      <c r="C59" s="424"/>
      <c r="D59" s="307"/>
    </row>
    <row r="60" spans="1:4" s="243" customFormat="1" ht="13.5" thickBot="1" x14ac:dyDescent="0.3">
      <c r="A60" s="422"/>
      <c r="B60" s="425"/>
      <c r="C60" s="425"/>
      <c r="D60" s="309"/>
    </row>
    <row r="61" spans="1:4" s="243" customFormat="1" ht="13.5" thickBot="1" x14ac:dyDescent="0.3">
      <c r="A61" s="308"/>
      <c r="B61" s="313"/>
      <c r="C61" s="313"/>
      <c r="D61" s="309"/>
    </row>
    <row r="62" spans="1:4" s="243" customFormat="1" ht="12.75" x14ac:dyDescent="0.25">
      <c r="A62" s="420"/>
      <c r="B62" s="423"/>
      <c r="C62" s="423"/>
      <c r="D62" s="307"/>
    </row>
    <row r="63" spans="1:4" s="243" customFormat="1" ht="12.75" x14ac:dyDescent="0.25">
      <c r="A63" s="421"/>
      <c r="B63" s="424"/>
      <c r="C63" s="424"/>
      <c r="D63" s="307"/>
    </row>
    <row r="64" spans="1:4" s="243" customFormat="1" ht="13.5" thickBot="1" x14ac:dyDescent="0.3">
      <c r="A64" s="422"/>
      <c r="B64" s="425"/>
      <c r="C64" s="425"/>
      <c r="D64" s="309"/>
    </row>
    <row r="65" spans="1:4" s="243" customFormat="1" ht="12.75" x14ac:dyDescent="0.25">
      <c r="A65" s="420"/>
      <c r="B65" s="423"/>
      <c r="C65" s="423"/>
      <c r="D65" s="307"/>
    </row>
    <row r="66" spans="1:4" s="243" customFormat="1" ht="13.5" thickBot="1" x14ac:dyDescent="0.3">
      <c r="A66" s="422"/>
      <c r="B66" s="425"/>
      <c r="C66" s="425"/>
      <c r="D66" s="309"/>
    </row>
    <row r="67" spans="1:4" s="243" customFormat="1" ht="13.5" thickBot="1" x14ac:dyDescent="0.3">
      <c r="A67" s="308"/>
      <c r="B67" s="313"/>
      <c r="C67" s="313"/>
      <c r="D67" s="309"/>
    </row>
    <row r="68" spans="1:4" s="243" customFormat="1" ht="13.5" thickBot="1" x14ac:dyDescent="0.3">
      <c r="A68" s="230"/>
      <c r="B68" s="230"/>
      <c r="C68" s="230"/>
      <c r="D68" s="230"/>
    </row>
    <row r="69" spans="1:4" s="243" customFormat="1" ht="39" thickBot="1" x14ac:dyDescent="0.3">
      <c r="A69" s="314" t="s">
        <v>1475</v>
      </c>
      <c r="B69" s="315" t="s">
        <v>1476</v>
      </c>
      <c r="C69" s="315" t="s">
        <v>1477</v>
      </c>
      <c r="D69" s="305" t="s">
        <v>1533</v>
      </c>
    </row>
    <row r="70" spans="1:4" s="243" customFormat="1" ht="39" thickBot="1" x14ac:dyDescent="0.3">
      <c r="A70" s="314" t="s">
        <v>1478</v>
      </c>
      <c r="B70" s="315" t="s">
        <v>1479</v>
      </c>
      <c r="C70" s="315" t="s">
        <v>1480</v>
      </c>
      <c r="D70" s="307" t="s">
        <v>1534</v>
      </c>
    </row>
    <row r="71" spans="1:4" s="243" customFormat="1" ht="64.5" thickBot="1" x14ac:dyDescent="0.3">
      <c r="A71" s="314" t="s">
        <v>1481</v>
      </c>
      <c r="B71" s="315" t="s">
        <v>1482</v>
      </c>
      <c r="C71" s="315" t="s">
        <v>1483</v>
      </c>
      <c r="D71" s="307" t="s">
        <v>1535</v>
      </c>
    </row>
    <row r="72" spans="1:4" s="243" customFormat="1" ht="90" thickBot="1" x14ac:dyDescent="0.3">
      <c r="A72" s="306" t="s">
        <v>1484</v>
      </c>
      <c r="B72" s="310" t="s">
        <v>1485</v>
      </c>
      <c r="C72" s="315" t="s">
        <v>1486</v>
      </c>
      <c r="D72" s="307" t="s">
        <v>1536</v>
      </c>
    </row>
    <row r="73" spans="1:4" s="243" customFormat="1" ht="48.75" thickBot="1" x14ac:dyDescent="0.3">
      <c r="A73" s="314" t="s">
        <v>1487</v>
      </c>
      <c r="B73" s="315" t="s">
        <v>1488</v>
      </c>
      <c r="C73" s="315" t="s">
        <v>1489</v>
      </c>
      <c r="D73" s="307" t="s">
        <v>1537</v>
      </c>
    </row>
    <row r="74" spans="1:4" s="243" customFormat="1" ht="51.75" thickBot="1" x14ac:dyDescent="0.3">
      <c r="A74" s="314" t="s">
        <v>1491</v>
      </c>
      <c r="B74" s="315" t="s">
        <v>1492</v>
      </c>
      <c r="C74" s="315" t="s">
        <v>1490</v>
      </c>
      <c r="D74" s="307" t="s">
        <v>1538</v>
      </c>
    </row>
    <row r="75" spans="1:4" s="243" customFormat="1" ht="51.75" thickBot="1" x14ac:dyDescent="0.3">
      <c r="A75" s="314" t="s">
        <v>1493</v>
      </c>
      <c r="B75" s="315" t="s">
        <v>1494</v>
      </c>
      <c r="C75" s="315">
        <v>2015</v>
      </c>
      <c r="D75" s="307" t="s">
        <v>1539</v>
      </c>
    </row>
    <row r="76" spans="1:4" s="243" customFormat="1" ht="39" thickBot="1" x14ac:dyDescent="0.3">
      <c r="A76" s="314" t="s">
        <v>1496</v>
      </c>
      <c r="B76" s="315" t="s">
        <v>1497</v>
      </c>
      <c r="C76" s="315" t="s">
        <v>1498</v>
      </c>
      <c r="D76" s="307" t="s">
        <v>1540</v>
      </c>
    </row>
    <row r="77" spans="1:4" s="243" customFormat="1" ht="26.25" thickBot="1" x14ac:dyDescent="0.3">
      <c r="A77" s="314" t="s">
        <v>1499</v>
      </c>
      <c r="B77" s="315" t="s">
        <v>1500</v>
      </c>
      <c r="C77" s="315" t="s">
        <v>1501</v>
      </c>
      <c r="D77" s="315" t="s">
        <v>1495</v>
      </c>
    </row>
    <row r="78" spans="1:4" s="243" customFormat="1" ht="39" thickBot="1" x14ac:dyDescent="0.3">
      <c r="A78" s="314" t="s">
        <v>1502</v>
      </c>
      <c r="B78" s="315" t="s">
        <v>1503</v>
      </c>
      <c r="C78" s="315" t="s">
        <v>1504</v>
      </c>
      <c r="D78" s="307" t="s">
        <v>1541</v>
      </c>
    </row>
    <row r="79" spans="1:4" s="243" customFormat="1" ht="102.75" thickBot="1" x14ac:dyDescent="0.3">
      <c r="A79" s="314" t="s">
        <v>1505</v>
      </c>
      <c r="B79" s="315" t="s">
        <v>1506</v>
      </c>
      <c r="C79" s="315" t="s">
        <v>1490</v>
      </c>
      <c r="D79" s="307" t="s">
        <v>1542</v>
      </c>
    </row>
    <row r="80" spans="1:4" s="243" customFormat="1" ht="24.75" thickBot="1" x14ac:dyDescent="0.3">
      <c r="A80" s="314" t="s">
        <v>1507</v>
      </c>
      <c r="B80" s="315" t="s">
        <v>1508</v>
      </c>
      <c r="C80" s="315" t="s">
        <v>1490</v>
      </c>
      <c r="D80" s="307" t="s">
        <v>1490</v>
      </c>
    </row>
    <row r="81" spans="1:4" s="243" customFormat="1" ht="24.75" thickBot="1" x14ac:dyDescent="0.3">
      <c r="A81" s="314" t="s">
        <v>1509</v>
      </c>
      <c r="B81" s="315" t="s">
        <v>1532</v>
      </c>
      <c r="C81" s="315" t="s">
        <v>1532</v>
      </c>
      <c r="D81" s="315" t="s">
        <v>1490</v>
      </c>
    </row>
    <row r="82" spans="1:4" s="243" customFormat="1" ht="36.75" thickBot="1" x14ac:dyDescent="0.3">
      <c r="A82" s="314" t="s">
        <v>1510</v>
      </c>
      <c r="B82" s="315" t="s">
        <v>1511</v>
      </c>
      <c r="C82" s="315">
        <v>2015</v>
      </c>
      <c r="D82" s="307" t="s">
        <v>1543</v>
      </c>
    </row>
    <row r="83" spans="1:4" s="243" customFormat="1" ht="51.75" thickBot="1" x14ac:dyDescent="0.3">
      <c r="A83" s="314" t="s">
        <v>1512</v>
      </c>
      <c r="B83" s="315" t="s">
        <v>1513</v>
      </c>
      <c r="C83" s="315">
        <v>2016</v>
      </c>
      <c r="D83" s="307" t="s">
        <v>1544</v>
      </c>
    </row>
    <row r="84" spans="1:4" s="243" customFormat="1" ht="39" thickBot="1" x14ac:dyDescent="0.3">
      <c r="A84" s="314" t="s">
        <v>1514</v>
      </c>
      <c r="B84" s="315" t="s">
        <v>1515</v>
      </c>
      <c r="C84" s="315">
        <v>2016</v>
      </c>
      <c r="D84" s="307" t="s">
        <v>1545</v>
      </c>
    </row>
    <row r="85" spans="1:4" s="243" customFormat="1" ht="51.75" thickBot="1" x14ac:dyDescent="0.3">
      <c r="A85" s="314" t="s">
        <v>1516</v>
      </c>
      <c r="B85" s="315" t="s">
        <v>1517</v>
      </c>
      <c r="C85" s="315">
        <v>2016</v>
      </c>
      <c r="D85" s="307" t="s">
        <v>1546</v>
      </c>
    </row>
    <row r="86" spans="1:4" s="243" customFormat="1" ht="63.75" x14ac:dyDescent="0.25">
      <c r="A86" s="314" t="s">
        <v>1518</v>
      </c>
      <c r="B86" s="315" t="s">
        <v>1519</v>
      </c>
      <c r="C86" s="315" t="s">
        <v>1520</v>
      </c>
      <c r="D86" s="307" t="s">
        <v>1547</v>
      </c>
    </row>
    <row r="87" spans="1:4" s="243" customFormat="1" ht="48.75" thickBot="1" x14ac:dyDescent="0.3">
      <c r="A87" s="308" t="s">
        <v>1521</v>
      </c>
      <c r="B87" s="313" t="s">
        <v>1532</v>
      </c>
      <c r="C87" s="313" t="s">
        <v>1532</v>
      </c>
      <c r="D87" s="309" t="s">
        <v>1522</v>
      </c>
    </row>
    <row r="88" spans="1:4" s="243" customFormat="1" ht="64.5" thickBot="1" x14ac:dyDescent="0.3">
      <c r="A88" s="314" t="s">
        <v>1523</v>
      </c>
      <c r="B88" s="315" t="s">
        <v>1524</v>
      </c>
      <c r="C88" s="315" t="s">
        <v>1525</v>
      </c>
      <c r="D88" s="307" t="s">
        <v>1548</v>
      </c>
    </row>
    <row r="89" spans="1:4" s="243" customFormat="1" ht="24" x14ac:dyDescent="0.25">
      <c r="A89" s="314" t="s">
        <v>1526</v>
      </c>
      <c r="B89" s="315" t="s">
        <v>1527</v>
      </c>
      <c r="C89" s="315" t="s">
        <v>1490</v>
      </c>
      <c r="D89" s="307" t="s">
        <v>1549</v>
      </c>
    </row>
    <row r="90" spans="1:4" s="243" customFormat="1" ht="39" thickBot="1" x14ac:dyDescent="0.3">
      <c r="A90" s="308" t="s">
        <v>1528</v>
      </c>
      <c r="B90" s="313" t="s">
        <v>1529</v>
      </c>
      <c r="C90" s="313" t="s">
        <v>1530</v>
      </c>
      <c r="D90" s="309" t="s">
        <v>1531</v>
      </c>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28"/>
      <c r="B121" s="429"/>
      <c r="C121" s="429"/>
      <c r="D121" s="430"/>
    </row>
    <row r="122" spans="1:4" s="17" customFormat="1" ht="12.75" x14ac:dyDescent="0.2">
      <c r="A122" s="431"/>
      <c r="B122" s="432"/>
      <c r="C122" s="432"/>
      <c r="D122" s="433"/>
    </row>
    <row r="123" spans="1:4" s="17" customFormat="1" ht="12.75" x14ac:dyDescent="0.2">
      <c r="A123" s="431"/>
      <c r="B123" s="432"/>
      <c r="C123" s="432"/>
      <c r="D123" s="433"/>
    </row>
    <row r="124" spans="1:4" s="17" customFormat="1" ht="12.75" x14ac:dyDescent="0.2">
      <c r="A124" s="431"/>
      <c r="B124" s="432"/>
      <c r="C124" s="432"/>
      <c r="D124" s="433"/>
    </row>
    <row r="125" spans="1:4" s="17" customFormat="1" ht="12.75" x14ac:dyDescent="0.2">
      <c r="A125" s="431"/>
      <c r="B125" s="432"/>
      <c r="C125" s="432"/>
      <c r="D125" s="433"/>
    </row>
    <row r="126" spans="1:4" s="17" customFormat="1" ht="12.75" x14ac:dyDescent="0.2">
      <c r="A126" s="431"/>
      <c r="B126" s="432"/>
      <c r="C126" s="432"/>
      <c r="D126" s="433"/>
    </row>
    <row r="127" spans="1:4" s="17" customFormat="1" ht="12.75" x14ac:dyDescent="0.2">
      <c r="A127" s="431"/>
      <c r="B127" s="432"/>
      <c r="C127" s="432"/>
      <c r="D127" s="433"/>
    </row>
    <row r="128" spans="1:4" s="17" customFormat="1" ht="12.75" x14ac:dyDescent="0.2">
      <c r="A128" s="434"/>
      <c r="B128" s="435"/>
      <c r="C128" s="435"/>
      <c r="D128" s="436"/>
    </row>
  </sheetData>
  <sheetProtection password="DC37" sheet="1" objects="1" scenarios="1"/>
  <mergeCells count="67">
    <mergeCell ref="A121:D128"/>
    <mergeCell ref="A9:D9"/>
    <mergeCell ref="A7:D7"/>
    <mergeCell ref="A8:D8"/>
    <mergeCell ref="A1:D1"/>
    <mergeCell ref="A2:D2"/>
    <mergeCell ref="A3:D3"/>
    <mergeCell ref="A12:A14"/>
    <mergeCell ref="B12:B14"/>
    <mergeCell ref="C12:C14"/>
    <mergeCell ref="A15:A16"/>
    <mergeCell ref="B15:B16"/>
    <mergeCell ref="C15:C16"/>
    <mergeCell ref="A17:A19"/>
    <mergeCell ref="B17:B19"/>
    <mergeCell ref="C17:C19"/>
    <mergeCell ref="C20:C22"/>
    <mergeCell ref="A23:A24"/>
    <mergeCell ref="B23:B24"/>
    <mergeCell ref="C23:C24"/>
    <mergeCell ref="A25:A27"/>
    <mergeCell ref="B25:B27"/>
    <mergeCell ref="C25:C27"/>
    <mergeCell ref="A28:A31"/>
    <mergeCell ref="B28:B31"/>
    <mergeCell ref="C28:C31"/>
    <mergeCell ref="A32:A33"/>
    <mergeCell ref="B32:B33"/>
    <mergeCell ref="C32:C33"/>
    <mergeCell ref="A34:A35"/>
    <mergeCell ref="B34:B35"/>
    <mergeCell ref="C34:C35"/>
    <mergeCell ref="D34:D35"/>
    <mergeCell ref="A36:A38"/>
    <mergeCell ref="B36:B38"/>
    <mergeCell ref="C36:C38"/>
    <mergeCell ref="A39:A42"/>
    <mergeCell ref="B39:B42"/>
    <mergeCell ref="C39:C42"/>
    <mergeCell ref="A43:A44"/>
    <mergeCell ref="B43:B44"/>
    <mergeCell ref="C43:C44"/>
    <mergeCell ref="A45:A46"/>
    <mergeCell ref="B45:B46"/>
    <mergeCell ref="C45:C46"/>
    <mergeCell ref="D45:D46"/>
    <mergeCell ref="A47:A48"/>
    <mergeCell ref="B47:B48"/>
    <mergeCell ref="C47:C48"/>
    <mergeCell ref="A49:A51"/>
    <mergeCell ref="B49:B51"/>
    <mergeCell ref="C49:C51"/>
    <mergeCell ref="A52:A53"/>
    <mergeCell ref="B52:B53"/>
    <mergeCell ref="C52:C53"/>
    <mergeCell ref="A54:A57"/>
    <mergeCell ref="B54:B57"/>
    <mergeCell ref="C54:C57"/>
    <mergeCell ref="A58:A60"/>
    <mergeCell ref="B58:B60"/>
    <mergeCell ref="C58:C60"/>
    <mergeCell ref="A62:A64"/>
    <mergeCell ref="B62:B64"/>
    <mergeCell ref="C62:C64"/>
    <mergeCell ref="A65:A66"/>
    <mergeCell ref="B65:B66"/>
    <mergeCell ref="C65:C66"/>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F6" zoomScale="90" zoomScaleNormal="90" zoomScaleSheetLayoutView="70" workbookViewId="0">
      <selection activeCell="H21" sqref="H21"/>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88" t="s">
        <v>8</v>
      </c>
      <c r="B1" s="388"/>
      <c r="C1" s="388"/>
      <c r="D1" s="388"/>
      <c r="E1" s="388"/>
      <c r="F1" s="388"/>
      <c r="G1" s="388"/>
      <c r="H1" s="388"/>
      <c r="I1" s="388"/>
      <c r="J1" s="3"/>
      <c r="K1" s="3"/>
      <c r="L1" s="3"/>
      <c r="M1" s="3"/>
      <c r="N1" s="3"/>
      <c r="O1" s="3"/>
      <c r="P1" s="3"/>
      <c r="Q1" s="3"/>
      <c r="R1" s="3"/>
      <c r="S1" s="3"/>
      <c r="T1" s="3"/>
      <c r="U1" s="3"/>
      <c r="V1" s="3"/>
    </row>
    <row r="2" spans="1:22" s="217" customFormat="1" ht="20.25" customHeight="1" x14ac:dyDescent="0.3">
      <c r="A2" s="389" t="s">
        <v>9</v>
      </c>
      <c r="B2" s="389"/>
      <c r="C2" s="389"/>
      <c r="D2" s="389"/>
      <c r="E2" s="389"/>
      <c r="F2" s="389"/>
      <c r="G2" s="389"/>
      <c r="H2" s="389"/>
      <c r="I2" s="389"/>
      <c r="J2" s="4"/>
      <c r="K2" s="4"/>
      <c r="L2" s="4"/>
      <c r="M2" s="4"/>
      <c r="N2" s="4"/>
      <c r="O2" s="4"/>
      <c r="P2" s="4"/>
      <c r="Q2" s="4"/>
      <c r="R2" s="4"/>
      <c r="S2" s="4"/>
      <c r="T2" s="4"/>
      <c r="U2" s="4"/>
      <c r="V2" s="4"/>
    </row>
    <row r="3" spans="1:22" s="217" customFormat="1" ht="15.75" customHeight="1" x14ac:dyDescent="0.2">
      <c r="A3" s="386" t="s">
        <v>1375</v>
      </c>
      <c r="B3" s="386"/>
      <c r="C3" s="386"/>
      <c r="D3" s="386"/>
      <c r="E3" s="386"/>
      <c r="F3" s="386"/>
      <c r="G3" s="386"/>
      <c r="H3" s="386"/>
      <c r="I3" s="386"/>
      <c r="J3" s="21"/>
      <c r="K3" s="21"/>
      <c r="L3" s="21"/>
      <c r="M3" s="21"/>
      <c r="N3" s="21"/>
      <c r="O3" s="21"/>
      <c r="P3" s="21"/>
      <c r="Q3" s="21"/>
      <c r="R3" s="21"/>
      <c r="S3" s="21"/>
      <c r="T3" s="21"/>
      <c r="U3" s="21"/>
      <c r="V3" s="21"/>
    </row>
    <row r="4" spans="1:22" s="2" customFormat="1" ht="25.5" customHeight="1" x14ac:dyDescent="0.2">
      <c r="A4" s="258" t="s">
        <v>10</v>
      </c>
      <c r="B4" s="203" t="str">
        <f>'Start Here'!B4:D4</f>
        <v>San Anselmo</v>
      </c>
      <c r="C4" s="259"/>
      <c r="H4" s="379" t="s">
        <v>1374</v>
      </c>
      <c r="I4" s="380"/>
      <c r="J4" s="381"/>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40" t="s">
        <v>30</v>
      </c>
      <c r="B8" s="440"/>
      <c r="C8" s="440"/>
      <c r="D8" s="440"/>
      <c r="E8" s="440"/>
      <c r="F8" s="440"/>
      <c r="G8" s="440"/>
      <c r="H8" s="440"/>
      <c r="I8" s="440"/>
      <c r="J8" s="419"/>
    </row>
    <row r="9" spans="1:22" ht="15.75" x14ac:dyDescent="0.2">
      <c r="A9" s="440" t="s">
        <v>37</v>
      </c>
      <c r="B9" s="440"/>
      <c r="C9" s="440"/>
      <c r="D9" s="440"/>
      <c r="E9" s="440"/>
      <c r="F9" s="440"/>
      <c r="G9" s="440"/>
      <c r="H9" s="440"/>
      <c r="I9" s="440"/>
      <c r="J9" s="419"/>
    </row>
    <row r="10" spans="1:22" ht="45" customHeight="1" x14ac:dyDescent="0.2">
      <c r="A10" s="364" t="s">
        <v>43</v>
      </c>
      <c r="B10" s="366"/>
      <c r="C10" s="366"/>
      <c r="D10" s="367"/>
      <c r="E10" s="363" t="s">
        <v>31</v>
      </c>
      <c r="F10" s="363"/>
      <c r="G10" s="363"/>
      <c r="H10" s="363"/>
      <c r="I10" s="179" t="s">
        <v>32</v>
      </c>
      <c r="J10" s="179" t="s">
        <v>33</v>
      </c>
    </row>
    <row r="11" spans="1:22" ht="14.25" customHeight="1" x14ac:dyDescent="0.2">
      <c r="A11" s="364">
        <v>1</v>
      </c>
      <c r="B11" s="365"/>
      <c r="C11" s="365"/>
      <c r="D11" s="367"/>
      <c r="E11" s="364">
        <v>2</v>
      </c>
      <c r="F11" s="366"/>
      <c r="G11" s="366"/>
      <c r="H11" s="367"/>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42" t="s">
        <v>136</v>
      </c>
      <c r="B13" s="443"/>
      <c r="C13" s="444"/>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2"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88" t="s">
        <v>8</v>
      </c>
      <c r="B1" s="388"/>
      <c r="C1" s="388"/>
      <c r="D1" s="388"/>
      <c r="E1" s="388"/>
      <c r="F1" s="388"/>
      <c r="G1" s="388"/>
      <c r="H1" s="388"/>
      <c r="I1" s="388"/>
      <c r="J1" s="388"/>
      <c r="K1" s="3"/>
      <c r="L1" s="3"/>
      <c r="M1" s="3"/>
      <c r="N1" s="3"/>
      <c r="O1" s="3"/>
      <c r="P1" s="3"/>
      <c r="Q1" s="3"/>
      <c r="R1" s="3"/>
      <c r="S1" s="3"/>
      <c r="T1" s="3"/>
      <c r="U1" s="3"/>
    </row>
    <row r="2" spans="1:21" s="217" customFormat="1" ht="20.25" customHeight="1" x14ac:dyDescent="0.3">
      <c r="A2" s="389" t="s">
        <v>9</v>
      </c>
      <c r="B2" s="389"/>
      <c r="C2" s="389"/>
      <c r="D2" s="389"/>
      <c r="E2" s="389"/>
      <c r="F2" s="389"/>
      <c r="G2" s="389"/>
      <c r="H2" s="389"/>
      <c r="I2" s="389"/>
      <c r="J2" s="389"/>
      <c r="K2" s="4"/>
      <c r="L2" s="4"/>
      <c r="M2" s="4"/>
      <c r="N2" s="4"/>
      <c r="O2" s="4"/>
      <c r="P2" s="4"/>
      <c r="Q2" s="4"/>
      <c r="R2" s="4"/>
      <c r="S2" s="4"/>
      <c r="T2" s="4"/>
      <c r="U2" s="4"/>
    </row>
    <row r="3" spans="1:21" s="217" customFormat="1" ht="15.75" customHeight="1" x14ac:dyDescent="0.2">
      <c r="A3" s="386" t="s">
        <v>1375</v>
      </c>
      <c r="B3" s="386"/>
      <c r="C3" s="386"/>
      <c r="D3" s="386"/>
      <c r="E3" s="386"/>
      <c r="F3" s="386"/>
      <c r="G3" s="386"/>
      <c r="H3" s="386"/>
      <c r="I3" s="386"/>
      <c r="J3" s="386"/>
      <c r="K3" s="21"/>
      <c r="L3" s="21"/>
      <c r="M3" s="21"/>
      <c r="N3" s="21"/>
      <c r="O3" s="21"/>
      <c r="P3" s="21"/>
      <c r="Q3" s="21"/>
      <c r="R3" s="21"/>
      <c r="S3" s="21"/>
      <c r="T3" s="21"/>
      <c r="U3" s="21"/>
    </row>
    <row r="4" spans="1:21" s="2" customFormat="1" ht="16.5" customHeight="1" x14ac:dyDescent="0.2">
      <c r="A4" s="258" t="s">
        <v>10</v>
      </c>
      <c r="B4" s="203" t="str">
        <f>'Start Here'!B4:D4</f>
        <v>San Anselmo</v>
      </c>
      <c r="C4" s="263"/>
      <c r="D4" s="69"/>
      <c r="E4" s="69"/>
      <c r="F4" s="69"/>
      <c r="G4" s="69"/>
      <c r="H4" s="69"/>
      <c r="I4" s="379" t="s">
        <v>1374</v>
      </c>
      <c r="J4" s="381"/>
      <c r="K4" s="255"/>
      <c r="L4" s="255"/>
      <c r="M4" s="452"/>
      <c r="N4" s="452"/>
      <c r="O4" s="452"/>
      <c r="P4" s="452"/>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68" t="s">
        <v>40</v>
      </c>
      <c r="B8" s="371"/>
      <c r="C8" s="371"/>
      <c r="D8" s="371"/>
      <c r="E8" s="371"/>
      <c r="F8" s="371"/>
      <c r="G8" s="371"/>
      <c r="H8" s="371"/>
      <c r="I8" s="371"/>
      <c r="J8" s="372"/>
    </row>
    <row r="9" spans="1:21" ht="15.75" customHeight="1" x14ac:dyDescent="0.2">
      <c r="A9" s="368" t="s">
        <v>1361</v>
      </c>
      <c r="B9" s="371"/>
      <c r="C9" s="371"/>
      <c r="D9" s="371"/>
      <c r="E9" s="371"/>
      <c r="F9" s="371"/>
      <c r="G9" s="371"/>
      <c r="H9" s="371"/>
      <c r="I9" s="371"/>
      <c r="J9" s="372"/>
    </row>
    <row r="10" spans="1:21" ht="58.5" customHeight="1" x14ac:dyDescent="0.2">
      <c r="A10" s="445" t="s">
        <v>1362</v>
      </c>
      <c r="B10" s="446"/>
      <c r="C10" s="446"/>
      <c r="D10" s="446"/>
      <c r="E10" s="446"/>
      <c r="F10" s="446"/>
      <c r="G10" s="446"/>
      <c r="H10" s="446"/>
      <c r="I10" s="446"/>
      <c r="J10" s="447"/>
    </row>
    <row r="11" spans="1:21" ht="77.25" customHeight="1" x14ac:dyDescent="0.2">
      <c r="A11" s="448" t="s">
        <v>34</v>
      </c>
      <c r="B11" s="449" t="s">
        <v>1352</v>
      </c>
      <c r="C11" s="450"/>
      <c r="D11" s="450"/>
      <c r="E11" s="451"/>
      <c r="F11" s="448" t="s">
        <v>1357</v>
      </c>
      <c r="G11" s="448"/>
      <c r="H11" s="448"/>
      <c r="I11" s="448"/>
      <c r="J11" s="448" t="s">
        <v>1358</v>
      </c>
    </row>
    <row r="12" spans="1:21" ht="60" customHeight="1" x14ac:dyDescent="0.2">
      <c r="A12" s="448"/>
      <c r="B12" s="128" t="s">
        <v>1353</v>
      </c>
      <c r="C12" s="128" t="s">
        <v>1354</v>
      </c>
      <c r="D12" s="128" t="s">
        <v>1355</v>
      </c>
      <c r="E12" s="128" t="s">
        <v>1356</v>
      </c>
      <c r="F12" s="128" t="s">
        <v>1353</v>
      </c>
      <c r="G12" s="128" t="s">
        <v>1354</v>
      </c>
      <c r="H12" s="128" t="s">
        <v>1355</v>
      </c>
      <c r="I12" s="128" t="s">
        <v>1356</v>
      </c>
      <c r="J12" s="448"/>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23" zoomScaleNormal="100" zoomScaleSheetLayoutView="100" workbookViewId="0">
      <selection activeCell="C44" sqref="C44"/>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San Anselmo</v>
      </c>
      <c r="C3" s="265"/>
    </row>
    <row r="4" spans="1:3" ht="18" customHeight="1" x14ac:dyDescent="0.2">
      <c r="A4" s="266" t="s">
        <v>36</v>
      </c>
      <c r="B4" s="204">
        <f>'Start Here'!B5</f>
        <v>2018</v>
      </c>
      <c r="C4" s="267" t="s">
        <v>52</v>
      </c>
    </row>
    <row r="7" spans="1:3" ht="16.5" thickBot="1" x14ac:dyDescent="0.3">
      <c r="A7" s="458"/>
      <c r="B7" s="458"/>
      <c r="C7" s="458"/>
    </row>
    <row r="8" spans="1:3" ht="15" customHeight="1" x14ac:dyDescent="0.2">
      <c r="A8" s="465" t="s">
        <v>1379</v>
      </c>
      <c r="B8" s="466"/>
      <c r="C8" s="467"/>
    </row>
    <row r="9" spans="1:3" x14ac:dyDescent="0.2">
      <c r="A9" s="468" t="s">
        <v>15</v>
      </c>
      <c r="B9" s="448"/>
      <c r="C9" s="83" t="s">
        <v>60</v>
      </c>
    </row>
    <row r="10" spans="1:3" x14ac:dyDescent="0.2">
      <c r="A10" s="469" t="s">
        <v>16</v>
      </c>
      <c r="B10" s="206" t="s">
        <v>5</v>
      </c>
      <c r="C10" s="84">
        <f>'Table A2'!H12</f>
        <v>0</v>
      </c>
    </row>
    <row r="11" spans="1:3" ht="25.5" x14ac:dyDescent="0.2">
      <c r="A11" s="469"/>
      <c r="B11" s="206" t="s">
        <v>20</v>
      </c>
      <c r="C11" s="84">
        <f>'Table A2'!I12</f>
        <v>0</v>
      </c>
    </row>
    <row r="12" spans="1:3" x14ac:dyDescent="0.2">
      <c r="A12" s="469" t="s">
        <v>17</v>
      </c>
      <c r="B12" s="206" t="s">
        <v>5</v>
      </c>
      <c r="C12" s="84">
        <f>'Table A2'!J12</f>
        <v>0</v>
      </c>
    </row>
    <row r="13" spans="1:3" ht="25.5" x14ac:dyDescent="0.2">
      <c r="A13" s="469"/>
      <c r="B13" s="206" t="s">
        <v>20</v>
      </c>
      <c r="C13" s="84">
        <f>'Table A2'!K12</f>
        <v>2</v>
      </c>
    </row>
    <row r="14" spans="1:3" x14ac:dyDescent="0.2">
      <c r="A14" s="469" t="s">
        <v>18</v>
      </c>
      <c r="B14" s="206" t="s">
        <v>5</v>
      </c>
      <c r="C14" s="84">
        <f>'Table A2'!L12</f>
        <v>0</v>
      </c>
    </row>
    <row r="15" spans="1:3" ht="25.5" x14ac:dyDescent="0.2">
      <c r="A15" s="469"/>
      <c r="B15" s="206" t="s">
        <v>20</v>
      </c>
      <c r="C15" s="84">
        <f>'Table A2'!M12</f>
        <v>8</v>
      </c>
    </row>
    <row r="16" spans="1:3" ht="28.5" customHeight="1" thickBot="1" x14ac:dyDescent="0.25">
      <c r="A16" s="207" t="s">
        <v>19</v>
      </c>
      <c r="B16" s="208"/>
      <c r="C16" s="85">
        <f>'Table A2'!N12</f>
        <v>7</v>
      </c>
    </row>
    <row r="17" spans="1:9" ht="15.75" thickTop="1" thickBot="1" x14ac:dyDescent="0.25">
      <c r="A17" s="470" t="s">
        <v>1381</v>
      </c>
      <c r="B17" s="471"/>
      <c r="C17" s="86">
        <f>SUM(C10:C16)</f>
        <v>17</v>
      </c>
    </row>
    <row r="18" spans="1:9" ht="29.25" customHeight="1" x14ac:dyDescent="0.2">
      <c r="A18" s="475" t="s">
        <v>78</v>
      </c>
      <c r="B18" s="475"/>
      <c r="C18" s="475"/>
      <c r="D18" s="475"/>
    </row>
    <row r="20" spans="1:9" ht="15" thickBot="1" x14ac:dyDescent="0.25"/>
    <row r="21" spans="1:9" ht="15" customHeight="1" x14ac:dyDescent="0.2">
      <c r="A21" s="472" t="s">
        <v>1378</v>
      </c>
      <c r="B21" s="473"/>
      <c r="C21" s="473"/>
      <c r="D21" s="187"/>
    </row>
    <row r="22" spans="1:9" ht="15" customHeight="1" x14ac:dyDescent="0.2">
      <c r="A22" s="456" t="s">
        <v>87</v>
      </c>
      <c r="B22" s="461"/>
      <c r="C22" s="462"/>
      <c r="D22" s="209">
        <f>COUNTIF('Table A'!P13:P1000,"&gt;0")</f>
        <v>11</v>
      </c>
    </row>
    <row r="23" spans="1:9" ht="17.25" customHeight="1" x14ac:dyDescent="0.2">
      <c r="A23" s="456" t="s">
        <v>70</v>
      </c>
      <c r="B23" s="461"/>
      <c r="C23" s="462"/>
      <c r="D23" s="209">
        <f>'Table A'!P12</f>
        <v>12</v>
      </c>
    </row>
    <row r="24" spans="1:9" ht="15" customHeight="1" x14ac:dyDescent="0.2">
      <c r="A24" s="456" t="s">
        <v>71</v>
      </c>
      <c r="B24" s="461"/>
      <c r="C24" s="462"/>
      <c r="D24" s="209">
        <f>'Table A'!Q12</f>
        <v>12</v>
      </c>
    </row>
    <row r="25" spans="1:9" ht="15.75" customHeight="1" thickBot="1" x14ac:dyDescent="0.25">
      <c r="A25" s="459" t="s">
        <v>72</v>
      </c>
      <c r="B25" s="463"/>
      <c r="C25" s="464"/>
      <c r="D25" s="210">
        <f>'Table A'!R12</f>
        <v>0</v>
      </c>
    </row>
    <row r="26" spans="1:9" ht="15" x14ac:dyDescent="0.25">
      <c r="A26" s="211"/>
      <c r="B26" s="211"/>
    </row>
    <row r="27" spans="1:9" ht="15.75" thickBot="1" x14ac:dyDescent="0.3">
      <c r="A27" s="211"/>
      <c r="B27" s="211"/>
      <c r="G27" s="87"/>
      <c r="H27" s="87"/>
      <c r="I27" s="87"/>
    </row>
    <row r="28" spans="1:9" ht="15" customHeight="1" x14ac:dyDescent="0.2">
      <c r="A28" s="472" t="s">
        <v>73</v>
      </c>
      <c r="B28" s="473"/>
      <c r="C28" s="473"/>
      <c r="D28" s="474"/>
      <c r="G28" s="87"/>
      <c r="H28" s="87"/>
      <c r="I28" s="87"/>
    </row>
    <row r="29" spans="1:9" x14ac:dyDescent="0.2">
      <c r="A29" s="456" t="s">
        <v>74</v>
      </c>
      <c r="B29" s="457"/>
      <c r="C29" s="457"/>
      <c r="D29" s="212">
        <f>(COUNTIFS('Table A'!S:S,"Yes-but no action taken"))+(COUNTIF('Table A'!S:S,"Yes-Approved"))+(COUNTIF('Table A'!S:S,"Yes-Denied"))</f>
        <v>1</v>
      </c>
    </row>
    <row r="30" spans="1:9" x14ac:dyDescent="0.2">
      <c r="A30" s="456" t="s">
        <v>75</v>
      </c>
      <c r="B30" s="457"/>
      <c r="C30" s="457"/>
      <c r="D30" s="212">
        <f>SUMIF('Table A'!S:S, "Yes-Approved",'Table A'!Q:Q )</f>
        <v>2</v>
      </c>
    </row>
    <row r="31" spans="1:9" x14ac:dyDescent="0.2">
      <c r="A31" s="456" t="s">
        <v>76</v>
      </c>
      <c r="B31" s="457"/>
      <c r="C31" s="457"/>
      <c r="D31" s="213">
        <f>COUNTIF('Table A'!S:S, "Yes-Approved")</f>
        <v>1</v>
      </c>
    </row>
    <row r="32" spans="1:9" ht="15" thickBot="1" x14ac:dyDescent="0.25">
      <c r="A32" s="459" t="s">
        <v>77</v>
      </c>
      <c r="B32" s="460"/>
      <c r="C32" s="460"/>
      <c r="D32" s="210">
        <f>SUMIF('Table A2'!AJ:AJ, "Y",'Table A2'!AH:AH)</f>
        <v>0</v>
      </c>
    </row>
    <row r="34" spans="1:5" ht="21" thickBot="1" x14ac:dyDescent="0.35">
      <c r="A34" s="88"/>
      <c r="B34" s="91"/>
      <c r="C34" s="91"/>
    </row>
    <row r="35" spans="1:5" ht="15" customHeight="1" x14ac:dyDescent="0.2">
      <c r="A35" s="453" t="s">
        <v>111</v>
      </c>
      <c r="B35" s="454"/>
      <c r="C35" s="454"/>
      <c r="D35" s="455"/>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2557B-EEE1-49F1-9558-636A0EB8CF1C}">
  <ds:schemaRefs>
    <ds:schemaRef ds:uri="http://schemas.openxmlformats.org/package/2006/metadata/core-properties"/>
    <ds:schemaRef ds:uri="http://purl.org/dc/dcmitype/"/>
    <ds:schemaRef ds:uri="http://purl.org/dc/terms/"/>
    <ds:schemaRef ds:uri="http://schemas.microsoft.com/sharepoint/v4"/>
    <ds:schemaRef ds:uri="405b6985-c3dd-4470-855d-73d37ecd8f4a"/>
    <ds:schemaRef ds:uri="http://www.w3.org/XML/1998/namespace"/>
    <ds:schemaRef ds:uri="fa1292a6-c867-4dc0-8365-966f4ba7d8a5"/>
    <ds:schemaRef ds:uri="http://schemas.microsoft.com/office/2006/documentManagement/types"/>
    <ds:schemaRef ds:uri="http://schemas.microsoft.com/office/infopath/2007/PartnerControls"/>
    <ds:schemaRef ds:uri="519a02af-947b-49c3-a71f-4904445a5a9e"/>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09DEE2A8-E9D2-4529-A102-1EB6EA117FEF}"/>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Tom Brinkhuis</cp:lastModifiedBy>
  <cp:lastPrinted>2019-02-08T22:03:00Z</cp:lastPrinted>
  <dcterms:created xsi:type="dcterms:W3CDTF">2018-09-27T21:13:30Z</dcterms:created>
  <dcterms:modified xsi:type="dcterms:W3CDTF">2019-04-03T23:36:04Z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