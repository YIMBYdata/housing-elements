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P:\Advance Planning\General Plan\Amendments\Housing Element\Housing Element Annual Report\2018 APR\"/>
    </mc:Choice>
  </mc:AlternateContent>
  <workbookProtection lockStructure="1"/>
  <bookViews>
    <workbookView xWindow="0" yWindow="0" windowWidth="28800" windowHeight="13020" tabRatio="627" activeTab="4"/>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A2'!#REF!</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P38" i="2"/>
  <c r="P37" i="2"/>
  <c r="P36" i="2"/>
  <c r="P35" i="2"/>
  <c r="P33" i="2"/>
  <c r="P32" i="2"/>
  <c r="P31" i="2"/>
  <c r="P30" i="2"/>
  <c r="P29" i="2"/>
  <c r="P28" i="2"/>
  <c r="P27" i="2"/>
  <c r="P26" i="2"/>
  <c r="P25" i="2"/>
  <c r="P24" i="2"/>
  <c r="P23" i="2"/>
  <c r="P22" i="2"/>
  <c r="P21" i="2"/>
  <c r="P20" i="2"/>
  <c r="P19" i="2"/>
  <c r="P18" i="2"/>
  <c r="P15"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<sst xmlns="http://schemas.openxmlformats.org/spreadsheetml/2006/main" count="7381" uniqueCount="1714">
  <si>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</si>
  <si>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</si>
  <si>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</si>
  <si>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</si>
  <si>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</si>
  <si>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</si>
  <si>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</si>
  <si>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</si>
  <si>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</si>
  <si>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</si>
  <si>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</si>
  <si>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</si>
  <si>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</si>
  <si>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</si>
  <si>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</si>
  <si>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</si>
  <si>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</si>
  <si>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</si>
  <si>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</si>
  <si>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</si>
  <si>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</si>
  <si>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</si>
  <si>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</si>
  <si>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</si>
  <si>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</si>
  <si>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</si>
  <si>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</si>
  <si>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</si>
  <si>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</si>
  <si>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</si>
  <si>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</si>
  <si>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</si>
  <si>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</si>
  <si>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</si>
  <si>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</si>
  <si>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</si>
  <si>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</si>
  <si>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</si>
  <si>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</si>
  <si>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</si>
  <si>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</si>
  <si>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</si>
  <si>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</si>
  <si>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</si>
  <si>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</si>
  <si>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</si>
  <si>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</si>
  <si>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</si>
  <si>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</si>
  <si>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</si>
  <si>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</si>
  <si>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</si>
  <si>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</si>
  <si>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</si>
  <si>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</si>
  <si>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</si>
  <si>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</si>
  <si>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</si>
  <si>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</si>
  <si>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</si>
  <si>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</si>
  <si>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</si>
  <si>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</si>
  <si>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</si>
  <si>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</si>
  <si>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</si>
  <si>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</si>
  <si>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</si>
  <si>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</si>
  <si>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</si>
  <si>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</si>
  <si>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</si>
  <si>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</si>
  <si>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</si>
  <si>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</si>
  <si>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</si>
  <si>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</si>
  <si>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</si>
  <si>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</si>
  <si>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</si>
  <si>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</si>
  <si>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</si>
  <si>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</si>
  <si>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</si>
  <si>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</si>
  <si>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</si>
  <si>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</si>
  <si>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</si>
  <si>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</si>
  <si>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</si>
  <si>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</si>
  <si>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</si>
  <si>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</si>
  <si>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</si>
  <si>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</si>
  <si>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</si>
  <si>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</si>
  <si>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</si>
  <si>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</si>
  <si>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</si>
  <si>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</si>
  <si>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</si>
  <si>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</si>
  <si>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</si>
  <si>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</si>
  <si>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</si>
  <si>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</si>
  <si>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</si>
  <si>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</si>
  <si>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</si>
  <si>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</si>
  <si>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</si>
  <si>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</si>
  <si>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</si>
  <si>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</si>
  <si>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</si>
  <si>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</si>
  <si>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</si>
  <si>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</si>
  <si>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</si>
  <si>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</si>
  <si>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</si>
  <si>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</si>
  <si>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</si>
  <si>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</si>
  <si>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</si>
  <si>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</si>
  <si>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</si>
  <si>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</si>
  <si>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</si>
  <si>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</si>
  <si>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</si>
  <si>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</si>
  <si>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</si>
  <si>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</si>
  <si>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</si>
  <si>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</si>
  <si>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</si>
  <si>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</si>
  <si>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</si>
  <si>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</si>
  <si>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</si>
  <si>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</si>
  <si>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</si>
  <si>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</si>
  <si>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</si>
  <si>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</si>
  <si>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</si>
  <si>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</si>
  <si>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</si>
  <si>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</si>
  <si>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</si>
  <si>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</si>
  <si>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</si>
  <si>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</si>
  <si>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</si>
  <si>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</si>
  <si>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</si>
  <si>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</si>
  <si>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</si>
  <si>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</si>
  <si>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</si>
  <si>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</si>
  <si>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</si>
  <si>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</si>
  <si>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</si>
  <si>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</si>
  <si>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</si>
  <si>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</si>
  <si>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</si>
  <si>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</si>
  <si>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</si>
  <si>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</si>
  <si>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</si>
  <si>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</si>
  <si>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</si>
  <si>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</si>
  <si>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</si>
  <si>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</si>
  <si>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</si>
  <si>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</si>
  <si>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</si>
  <si>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</si>
  <si>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</si>
  <si>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</si>
  <si>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</si>
  <si>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</si>
  <si>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</si>
  <si>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</si>
  <si>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</si>
  <si>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</si>
  <si>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</si>
  <si>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</si>
  <si>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</si>
  <si>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</si>
  <si>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</si>
  <si>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</si>
  <si>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</si>
  <si>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</si>
  <si>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</si>
  <si>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</si>
  <si>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</si>
  <si>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</si>
  <si>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</si>
  <si>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</si>
  <si>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</si>
  <si>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</si>
  <si>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</si>
  <si>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</si>
  <si>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</si>
  <si>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</si>
  <si>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</si>
  <si>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</si>
  <si>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</si>
  <si>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</si>
  <si>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</si>
  <si>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</si>
  <si>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</si>
  <si>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</si>
  <si>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</si>
  <si>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</si>
  <si>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</si>
  <si>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</si>
  <si>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</si>
  <si>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</si>
  <si>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</si>
  <si>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</si>
  <si>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</si>
  <si>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</si>
  <si>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</si>
  <si>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</si>
  <si>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</si>
  <si>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</si>
  <si>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</si>
  <si>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</si>
  <si>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</si>
  <si>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</si>
  <si>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</si>
  <si>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</si>
  <si>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</si>
  <si>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</si>
  <si>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</si>
  <si>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</si>
  <si>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</si>
  <si>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</si>
  <si>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</si>
  <si>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</si>
  <si>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</si>
  <si>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</si>
  <si>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</si>
  <si>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</si>
  <si>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</si>
  <si>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</si>
  <si>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</si>
  <si>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</si>
  <si>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</si>
  <si>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</si>
  <si>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</si>
  <si>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</si>
  <si>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</si>
  <si>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</si>
  <si>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</si>
  <si>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</si>
  <si>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</si>
  <si>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</si>
  <si>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</si>
  <si>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</si>
  <si>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</si>
  <si>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</si>
  <si>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</si>
  <si>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</si>
  <si>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</si>
  <si>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</si>
  <si>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</si>
  <si>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</si>
  <si>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</si>
  <si>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</si>
  <si>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</si>
  <si>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</si>
  <si>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</si>
  <si>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</si>
  <si>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</si>
  <si>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</si>
  <si>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</si>
  <si>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</si>
  <si>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</si>
  <si>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</si>
  <si>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</si>
  <si>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</si>
  <si>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</si>
  <si>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</si>
  <si>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</si>
  <si>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</si>
  <si>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</si>
  <si>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</si>
  <si>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</si>
  <si>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</si>
  <si>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</si>
  <si>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</si>
  <si>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</si>
  <si>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</si>
  <si>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</si>
  <si>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</si>
  <si>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</si>
  <si>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</si>
  <si>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</si>
  <si>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</si>
  <si>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</si>
  <si>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</si>
  <si>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</si>
  <si>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</si>
  <si>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</si>
  <si>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</si>
  <si>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</si>
  <si>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</si>
  <si>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</si>
  <si>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</si>
  <si>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</si>
  <si>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</si>
  <si>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</si>
  <si>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</si>
  <si>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</si>
  <si>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</si>
  <si>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</si>
  <si>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</si>
  <si>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</si>
  <si>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</si>
  <si>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</si>
  <si>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</si>
  <si>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</si>
  <si>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</si>
  <si>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</si>
  <si>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</si>
  <si>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</si>
  <si>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</si>
  <si>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</si>
  <si>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</si>
  <si>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</si>
  <si>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</si>
  <si>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</si>
  <si>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</si>
  <si>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</si>
  <si>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</si>
  <si>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</si>
  <si>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</si>
  <si>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</si>
  <si>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</si>
  <si>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</si>
  <si>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</si>
  <si>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</si>
  <si>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</si>
  <si>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</si>
  <si>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</si>
  <si>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</si>
  <si>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</si>
  <si>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</si>
  <si>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</si>
  <si>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</si>
  <si>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</si>
  <si>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</si>
  <si>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</si>
  <si>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</si>
  <si>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</si>
  <si>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</si>
  <si>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</si>
  <si>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</si>
  <si>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</si>
  <si>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</si>
  <si>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</si>
  <si>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</si>
  <si>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</si>
  <si>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</si>
  <si>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</si>
  <si>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</si>
  <si>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</si>
  <si>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</si>
  <si>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</si>
  <si>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</si>
  <si>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</si>
  <si>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</si>
  <si>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</si>
  <si>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</si>
  <si>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</si>
  <si>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</si>
  <si>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</si>
  <si>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</si>
  <si>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</si>
  <si>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</si>
  <si>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</si>
  <si>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</si>
  <si>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</si>
  <si>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</si>
  <si>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</si>
  <si>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</si>
  <si>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</si>
  <si>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</si>
  <si>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</si>
  <si>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</si>
  <si>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</si>
  <si>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</si>
  <si>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</si>
  <si>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</si>
  <si>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</si>
  <si>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</si>
  <si>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</si>
  <si>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</si>
  <si>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</si>
  <si>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</si>
  <si>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</si>
  <si>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</si>
  <si>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</si>
  <si>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</si>
  <si>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</si>
  <si>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</si>
  <si>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</si>
  <si>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</si>
  <si>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</si>
  <si>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</si>
  <si>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</si>
  <si>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</si>
  <si>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</si>
  <si>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</si>
  <si>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</si>
  <si>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</si>
  <si>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</si>
  <si>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</si>
  <si>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</si>
  <si>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</si>
  <si>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</si>
  <si>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</si>
  <si>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</si>
  <si>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</si>
  <si>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</si>
  <si>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</si>
  <si>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</si>
  <si>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</si>
  <si>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</si>
  <si>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</si>
  <si>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</si>
  <si>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</si>
  <si>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</si>
  <si>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</si>
  <si>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</si>
  <si>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</si>
  <si>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</si>
  <si>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</si>
  <si>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</si>
  <si>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</si>
  <si>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</si>
  <si>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</si>
  <si>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</si>
  <si>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</si>
  <si>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</si>
  <si>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</si>
  <si>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</si>
  <si>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</si>
  <si>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</si>
  <si>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</si>
  <si>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</si>
  <si>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</si>
  <si>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</si>
  <si>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</si>
  <si>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</si>
  <si>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</si>
  <si>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</si>
  <si>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</si>
  <si>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</si>
  <si>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</si>
  <si>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</si>
  <si>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</si>
  <si>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</si>
  <si>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</si>
  <si>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</si>
  <si>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</si>
  <si>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</si>
  <si>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</si>
  <si>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</si>
  <si>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</si>
  <si>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</si>
  <si>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</si>
  <si>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</si>
  <si>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</si>
  <si>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</si>
  <si>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</si>
  <si>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</si>
  <si>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</si>
  <si>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</si>
  <si>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</si>
  <si>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</si>
  <si>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</si>
  <si>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</si>
  <si>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</si>
  <si>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</si>
  <si>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</si>
  <si>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</si>
  <si>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</si>
  <si>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</si>
  <si>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</si>
  <si>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</si>
  <si>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</si>
  <si>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</si>
  <si>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</si>
  <si>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</si>
  <si>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</si>
  <si>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</si>
  <si>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</si>
  <si>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</si>
  <si>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</si>
  <si>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</si>
  <si>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</si>
  <si>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</si>
  <si>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</si>
  <si>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</si>
  <si>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</si>
  <si>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</si>
  <si>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</si>
  <si>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</si>
  <si>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</si>
  <si>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</si>
  <si>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</si>
  <si>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</si>
  <si>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</si>
  <si>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</si>
  <si>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</si>
  <si>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</si>
  <si>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</si>
  <si>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</si>
  <si>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</si>
  <si>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</si>
  <si>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</si>
  <si>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</si>
  <si>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</si>
  <si>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</si>
  <si>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</si>
  <si>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</si>
  <si>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</si>
  <si>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</si>
  <si>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</si>
  <si>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</si>
  <si>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</si>
  <si>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</si>
  <si>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</si>
  <si>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</si>
  <si>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</si>
  <si>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</si>
  <si>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</si>
  <si>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</si>
  <si>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</si>
  <si>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</si>
  <si>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</si>
  <si>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</si>
  <si>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</si>
  <si>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</si>
  <si>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</si>
  <si>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</si>
  <si>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</si>
  <si>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</si>
  <si>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</si>
  <si>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</si>
  <si>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</si>
  <si>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</si>
  <si>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</si>
  <si>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</si>
  <si>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</si>
  <si>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</si>
  <si>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</si>
  <si>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</si>
  <si>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</si>
  <si>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</si>
  <si>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</si>
  <si>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</si>
  <si>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</si>
  <si>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</si>
  <si>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</si>
  <si>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</si>
  <si>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</si>
  <si>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</si>
  <si>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</si>
  <si>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</si>
  <si>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</si>
  <si>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</si>
  <si>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</si>
  <si>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</si>
  <si>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</si>
  <si>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</si>
  <si>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</si>
  <si>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</si>
  <si>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</si>
  <si>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</si>
  <si>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</si>
  <si>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</si>
  <si>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</si>
  <si>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</si>
  <si>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</si>
  <si>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</si>
  <si>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</si>
  <si>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</si>
  <si>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</si>
  <si>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</si>
  <si>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</si>
  <si>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</si>
  <si>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</si>
  <si>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</si>
  <si>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</si>
  <si>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</si>
  <si>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</si>
  <si>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</si>
  <si>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</si>
  <si>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</si>
  <si>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</si>
  <si>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</si>
  <si>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</si>
  <si>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</si>
  <si>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</si>
  <si>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</si>
  <si>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</si>
  <si>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</si>
  <si>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</si>
  <si>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</si>
  <si>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</si>
  <si>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</si>
  <si>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</si>
  <si>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</si>
  <si>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</si>
  <si>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</si>
  <si>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</si>
  <si>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</si>
  <si>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</si>
  <si>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</si>
  <si>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</si>
  <si>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</si>
  <si>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</si>
  <si>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</si>
  <si>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</si>
  <si>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</si>
  <si>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</si>
  <si>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</si>
  <si>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</si>
  <si>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</si>
  <si>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</si>
  <si>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</si>
  <si>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</si>
  <si>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</si>
  <si>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</si>
  <si>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</si>
  <si>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</si>
  <si>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</si>
  <si>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</si>
  <si>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</si>
  <si>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</si>
  <si>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</si>
  <si>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</si>
  <si>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</si>
  <si>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</si>
  <si>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</si>
  <si>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</si>
  <si>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</si>
  <si>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</si>
  <si>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</si>
  <si>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</si>
  <si>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</si>
  <si>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</si>
  <si>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</si>
  <si>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</si>
  <si>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</si>
  <si>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</si>
  <si>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</si>
  <si>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</si>
  <si>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</si>
  <si>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</si>
  <si>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</si>
  <si>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</si>
  <si>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</si>
  <si>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</si>
  <si>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</si>
  <si>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</si>
  <si>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</si>
  <si>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</si>
  <si>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</si>
  <si>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</si>
  <si>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</si>
  <si>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</si>
  <si>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</si>
  <si>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</si>
  <si>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</si>
  <si>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</si>
  <si>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</si>
  <si>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</si>
  <si>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</si>
  <si>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</si>
  <si>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</si>
  <si>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</si>
  <si>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</si>
  <si>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</si>
  <si>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</si>
  <si>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</si>
  <si>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</si>
  <si>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</si>
  <si>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</si>
  <si>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</si>
  <si>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</si>
  <si>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</si>
  <si>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</si>
  <si>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</si>
  <si>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</si>
  <si>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</si>
  <si>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</si>
  <si>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</si>
  <si>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</si>
  <si>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</si>
  <si>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</si>
  <si>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</si>
  <si>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</si>
  <si>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</si>
  <si>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</si>
  <si>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</si>
  <si>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</si>
  <si>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</si>
  <si>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</si>
  <si>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</si>
  <si>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</si>
  <si>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</si>
  <si>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</si>
  <si>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</si>
  <si>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</si>
  <si>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</si>
  <si>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</si>
  <si>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</si>
  <si>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</si>
  <si>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</si>
  <si>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</si>
  <si>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</si>
  <si>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</si>
  <si>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</si>
  <si>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</si>
  <si>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</si>
  <si>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</si>
  <si>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</si>
  <si>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</si>
  <si>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</si>
  <si>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</si>
  <si>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</si>
  <si>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</si>
  <si>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</si>
  <si>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</si>
  <si>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</si>
  <si>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</si>
  <si>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</si>
  <si>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</si>
  <si>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</si>
  <si>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</si>
  <si>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</si>
  <si>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</si>
  <si>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</si>
  <si>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</si>
  <si>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</si>
  <si>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</si>
  <si>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</si>
  <si>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</si>
  <si>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</si>
  <si>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</si>
  <si>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</si>
  <si>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</si>
  <si>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</si>
  <si>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</si>
  <si>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</si>
  <si>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</si>
  <si>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</si>
  <si>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</si>
  <si>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</si>
  <si>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</si>
  <si>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</si>
  <si>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</si>
  <si>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</si>
  <si>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</si>
  <si>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</si>
  <si>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</si>
  <si>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</si>
  <si>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</si>
  <si>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</si>
  <si>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</si>
  <si>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</si>
  <si>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</si>
  <si>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</si>
  <si>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</si>
  <si>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</si>
  <si>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</si>
  <si>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</si>
  <si>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</si>
  <si>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</si>
  <si>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</si>
  <si>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</si>
  <si>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</si>
  <si>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</si>
  <si>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</si>
  <si>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</si>
  <si>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</si>
  <si>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</si>
  <si>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</si>
  <si>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</si>
  <si>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</si>
  <si>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</si>
  <si>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</si>
  <si>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</si>
  <si>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</si>
  <si>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</si>
  <si>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</si>
  <si>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</si>
  <si>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</si>
  <si>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</si>
  <si>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</si>
  <si>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</si>
  <si>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</si>
  <si>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</si>
  <si>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</si>
  <si>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</si>
  <si>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</si>
  <si>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</si>
  <si>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</si>
  <si>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</si>
  <si>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</si>
  <si>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</si>
  <si>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</si>
  <si>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</si>
  <si>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</si>
  <si>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</si>
  <si>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</si>
  <si>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</si>
  <si>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</si>
  <si>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</si>
  <si>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</si>
  <si>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</si>
  <si>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</si>
  <si>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</si>
  <si>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</si>
  <si>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</si>
  <si>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</si>
  <si>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</si>
  <si>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</si>
  <si>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</si>
  <si>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</si>
  <si>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</si>
  <si>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</si>
  <si>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</si>
  <si>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</si>
  <si>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</si>
  <si>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</si>
  <si>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</si>
  <si>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</si>
  <si>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</si>
  <si>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</si>
  <si>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</si>
  <si>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</si>
  <si>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</si>
  <si>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</si>
  <si>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</si>
  <si>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</si>
  <si>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</si>
  <si>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</si>
  <si>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</si>
  <si>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</si>
  <si>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</si>
  <si>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</si>
  <si>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</si>
  <si>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</si>
  <si>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</si>
  <si>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</si>
  <si>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</si>
  <si>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</si>
  <si>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</si>
  <si>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</si>
  <si>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</si>
  <si>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</si>
  <si>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</si>
  <si>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</si>
  <si>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</si>
  <si>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</si>
  <si>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</si>
  <si>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</si>
  <si>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</si>
  <si>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</si>
  <si>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</si>
  <si>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</si>
  <si>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</si>
  <si>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</si>
  <si>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</si>
  <si>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</si>
  <si>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</si>
  <si>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</si>
  <si>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</si>
  <si>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</si>
  <si>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</si>
  <si>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</si>
  <si>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</si>
  <si>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</si>
  <si>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</si>
  <si>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</si>
  <si>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</si>
  <si>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</si>
  <si>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</si>
  <si>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</si>
  <si>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</si>
  <si>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</si>
  <si>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</si>
  <si>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</si>
  <si>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</si>
  <si>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</si>
  <si>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</si>
  <si>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</si>
  <si>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</si>
  <si>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</si>
  <si>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</si>
  <si>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</si>
  <si>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</si>
  <si>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</si>
  <si>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</si>
  <si>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</si>
  <si>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</si>
  <si>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</si>
  <si>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</si>
  <si>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</si>
  <si>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</si>
  <si>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</si>
  <si>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</si>
  <si>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</si>
  <si>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</si>
  <si>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</si>
  <si>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</si>
  <si>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</si>
  <si>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</si>
  <si>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</si>
  <si>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</si>
  <si>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</si>
  <si>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</si>
  <si>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</si>
  <si>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</si>
  <si>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</si>
  <si>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</si>
  <si>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</si>
  <si>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</si>
  <si>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</si>
  <si>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</si>
  <si>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</si>
  <si>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</si>
  <si>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</si>
  <si>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</si>
  <si>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</si>
  <si>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</si>
  <si>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</si>
  <si>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</si>
  <si>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</si>
  <si>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</si>
  <si>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</si>
  <si>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</si>
  <si>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</si>
  <si>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</si>
  <si>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</si>
  <si>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</si>
  <si>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</si>
  <si>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</si>
  <si>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</si>
  <si>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</si>
  <si>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</si>
  <si>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</si>
  <si>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</si>
  <si>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</si>
  <si>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</si>
  <si>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</si>
  <si>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</si>
  <si>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</si>
  <si>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</si>
  <si>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</si>
  <si>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</si>
  <si>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</si>
  <si>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</si>
  <si>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</si>
  <si>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</si>
  <si>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</si>
  <si>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</si>
  <si>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</si>
  <si>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</si>
  <si>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</si>
  <si>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</si>
  <si>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</si>
  <si>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</si>
  <si>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</si>
  <si>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</si>
  <si>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</si>
  <si>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</si>
  <si>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</si>
  <si>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</si>
  <si>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</si>
  <si>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</si>
  <si>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</si>
  <si>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</si>
  <si>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</si>
  <si>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</si>
  <si>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</si>
  <si>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</si>
  <si>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</si>
  <si>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</si>
  <si>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</si>
  <si>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</si>
  <si>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</si>
  <si>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</si>
  <si>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</si>
  <si>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</si>
  <si>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</si>
  <si>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</si>
  <si>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</si>
  <si>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</si>
  <si>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</si>
  <si>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</si>
  <si>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</si>
  <si>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</si>
  <si>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</si>
  <si>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</si>
  <si>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</si>
  <si>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</si>
  <si>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</si>
  <si>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</si>
  <si>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</si>
  <si>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</si>
  <si>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</si>
  <si>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</si>
  <si>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</si>
  <si>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</si>
  <si>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</si>
  <si>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</si>
  <si>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</si>
  <si>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</si>
  <si>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</si>
  <si>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</si>
  <si>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</si>
  <si>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</si>
  <si>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</si>
  <si>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</si>
  <si>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</si>
  <si>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</si>
  <si>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</si>
  <si>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</si>
  <si>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</si>
  <si>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</si>
  <si>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</si>
  <si>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</si>
  <si>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</si>
  <si>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</si>
  <si>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</si>
  <si>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</si>
  <si>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</si>
  <si>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</si>
  <si>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</si>
  <si>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</si>
  <si>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</si>
  <si>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</si>
  <si>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</si>
  <si>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</si>
  <si>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</si>
  <si>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</si>
  <si>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</si>
  <si>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</si>
  <si>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</si>
  <si>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</si>
  <si>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</si>
  <si>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</si>
  <si>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</si>
  <si>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</si>
  <si>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</si>
  <si>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</si>
  <si>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</si>
  <si>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</si>
  <si>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</si>
  <si>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</si>
  <si>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</si>
  <si>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</si>
  <si>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</si>
  <si>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</si>
  <si>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</si>
  <si>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</si>
  <si>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</si>
  <si>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</si>
  <si>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</si>
  <si>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</si>
  <si>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</si>
  <si>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</si>
  <si>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</si>
  <si>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</si>
  <si>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</si>
  <si>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</si>
  <si>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</si>
  <si>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</si>
  <si>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</si>
  <si>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</si>
  <si>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</si>
  <si>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</si>
  <si>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</si>
  <si>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</si>
  <si>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</si>
  <si>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</si>
  <si>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</si>
  <si>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</si>
  <si>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</si>
  <si>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</si>
  <si>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</si>
  <si>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</si>
  <si>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</si>
  <si>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</si>
  <si>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</si>
  <si>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</si>
  <si>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</si>
  <si>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</si>
  <si>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</si>
  <si>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</si>
  <si>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</si>
  <si>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</si>
  <si>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</si>
  <si>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</si>
  <si>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</si>
  <si>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</si>
  <si>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</si>
  <si>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</si>
  <si>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</si>
  <si>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</si>
  <si>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</si>
  <si>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</si>
  <si>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</si>
  <si>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</si>
  <si>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</si>
  <si>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</si>
  <si>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</si>
  <si>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</si>
  <si>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</si>
  <si>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</si>
  <si>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</si>
  <si>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</si>
  <si>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</si>
  <si>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</si>
  <si>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</si>
  <si>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</si>
  <si>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</si>
  <si>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</si>
  <si>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</si>
  <si>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</si>
  <si>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</si>
  <si>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</si>
  <si>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</si>
  <si>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</si>
  <si>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</si>
  <si>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</si>
  <si>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</si>
  <si>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</si>
  <si>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</si>
  <si>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</si>
  <si>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</si>
  <si>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</si>
  <si>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</si>
  <si>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</si>
  <si>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</si>
  <si>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</si>
  <si>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</si>
  <si>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</si>
  <si>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</si>
  <si>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</si>
  <si>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</si>
  <si>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</si>
  <si>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</si>
  <si>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</si>
  <si>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</si>
  <si>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</si>
  <si>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</si>
  <si>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</si>
  <si>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</si>
  <si>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</si>
  <si>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</si>
  <si>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</si>
  <si>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</si>
  <si>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</si>
  <si>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</si>
  <si>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</si>
  <si>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</si>
  <si>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</si>
  <si>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</si>
  <si>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</si>
  <si>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</si>
  <si>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</si>
  <si>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</si>
  <si>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</si>
  <si>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</si>
  <si>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</si>
  <si>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</si>
  <si>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</si>
  <si>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</si>
  <si>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</si>
  <si>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</si>
  <si>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</si>
  <si>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</si>
  <si>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</si>
  <si>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</si>
  <si>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</si>
  <si>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</si>
  <si>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</si>
  <si>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</si>
  <si>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</si>
  <si>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</si>
  <si>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</si>
  <si>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</si>
  <si>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</si>
  <si>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</si>
  <si>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</si>
  <si>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</si>
  <si>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</si>
  <si>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</si>
  <si>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</si>
  <si>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</si>
  <si>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</si>
  <si>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</si>
  <si>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</si>
  <si>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</si>
  <si>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</si>
  <si>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</si>
  <si>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</si>
  <si>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</si>
  <si>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</si>
  <si>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</si>
  <si>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</si>
  <si>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</si>
  <si>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</si>
  <si>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</si>
  <si>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</si>
  <si>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</si>
  <si>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</si>
  <si>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</si>
  <si>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</si>
  <si>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</si>
  <si>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</si>
  <si>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</si>
  <si>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</si>
  <si>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</si>
  <si>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</si>
  <si>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</si>
  <si>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</si>
  <si>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</si>
  <si>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</si>
  <si>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</si>
  <si>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</si>
  <si>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</si>
  <si>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</si>
  <si>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</si>
  <si>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</si>
  <si>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</si>
  <si>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</si>
  <si>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</si>
  <si>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</si>
  <si>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</si>
  <si>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</si>
  <si>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</si>
  <si>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</si>
  <si>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</si>
  <si>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</si>
  <si>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</si>
  <si>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</si>
  <si>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</si>
  <si>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</si>
  <si>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</si>
  <si>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</si>
  <si>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</si>
  <si>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</si>
  <si>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</si>
  <si>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</si>
  <si>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</si>
  <si>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</si>
  <si>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</si>
  <si>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</si>
  <si>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</si>
  <si>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</si>
  <si>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</si>
  <si>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</si>
  <si>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</si>
  <si>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</si>
  <si>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</si>
  <si>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</si>
  <si>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</si>
  <si>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</si>
  <si>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</si>
  <si>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</si>
  <si>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</si>
  <si>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</si>
  <si>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</si>
  <si>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</si>
  <si>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</si>
  <si>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</si>
  <si>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</si>
  <si>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</si>
  <si>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</si>
  <si>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</si>
  <si>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</si>
  <si>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</si>
  <si>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</si>
  <si>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</si>
  <si>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</si>
  <si>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</si>
  <si>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</si>
  <si>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</si>
  <si>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</si>
  <si>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</si>
  <si>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</si>
  <si>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</si>
  <si>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</si>
  <si>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</si>
  <si>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</si>
  <si>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</si>
  <si>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</si>
  <si>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</si>
  <si>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</si>
  <si>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</si>
  <si>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</si>
  <si>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</si>
  <si>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</si>
  <si>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</si>
  <si>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</si>
  <si>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</si>
  <si>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</si>
  <si>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</si>
  <si>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</si>
  <si>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</si>
  <si>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</si>
  <si>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</si>
  <si>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</si>
  <si>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</si>
  <si>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</si>
  <si>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</si>
  <si>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</si>
  <si>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</si>
  <si>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</si>
  <si>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</si>
  <si>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</si>
  <si>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</si>
  <si>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</si>
  <si>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</si>
  <si>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</si>
  <si>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</si>
  <si>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</si>
  <si>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</si>
  <si>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</si>
  <si>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</si>
  <si>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</si>
  <si>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</si>
  <si>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</si>
  <si>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</si>
  <si>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</si>
  <si>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</si>
  <si>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</si>
  <si>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</si>
  <si>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</si>
  <si>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</si>
  <si>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</si>
  <si>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</si>
  <si>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</si>
  <si>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</si>
  <si>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</si>
  <si>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</si>
  <si>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</si>
  <si>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</si>
  <si>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</si>
  <si>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</si>
  <si>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</si>
  <si>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</si>
  <si>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</si>
  <si>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</si>
  <si>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</si>
  <si>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</si>
  <si>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</si>
  <si>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</si>
  <si>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</si>
  <si>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</si>
  <si>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</si>
  <si>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</si>
  <si>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</si>
  <si>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</si>
  <si>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</si>
  <si>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</si>
  <si>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</si>
  <si>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22 Orinda Way</t>
  </si>
  <si>
    <t>19 La Encinal</t>
  </si>
  <si>
    <t>4 Sunrise Hill</t>
  </si>
  <si>
    <t>52 Mira Loma</t>
  </si>
  <si>
    <t>77 Sleepy Hollow Ln</t>
  </si>
  <si>
    <t>140 Camino Sobrante</t>
  </si>
  <si>
    <t>Drummond</t>
  </si>
  <si>
    <t>Buckley</t>
  </si>
  <si>
    <t>Director of Planning</t>
  </si>
  <si>
    <t>dbuckley@cityoforinda.org</t>
  </si>
  <si>
    <t>260-050-006</t>
  </si>
  <si>
    <t>264-240-005</t>
  </si>
  <si>
    <t>273-140-013</t>
  </si>
  <si>
    <t>268-481-002</t>
  </si>
  <si>
    <t>262-010-043</t>
  </si>
  <si>
    <t>365-440-012</t>
  </si>
  <si>
    <t>273-350-012</t>
  </si>
  <si>
    <t>273-350-014</t>
  </si>
  <si>
    <t>273-350-007</t>
  </si>
  <si>
    <t>273-350-005</t>
  </si>
  <si>
    <t>273-350-013</t>
  </si>
  <si>
    <t>273-350-006</t>
  </si>
  <si>
    <t>273-380-011</t>
  </si>
  <si>
    <t>270-010-001</t>
  </si>
  <si>
    <t>273-330-008</t>
  </si>
  <si>
    <t>273-330-010</t>
  </si>
  <si>
    <t>273-360-006</t>
  </si>
  <si>
    <t>273-380-003</t>
  </si>
  <si>
    <t>273-380-004</t>
  </si>
  <si>
    <t>273-380-005</t>
  </si>
  <si>
    <t>273-380-006</t>
  </si>
  <si>
    <t>273-380-007</t>
  </si>
  <si>
    <t>273-380-008</t>
  </si>
  <si>
    <t>273-380-009</t>
  </si>
  <si>
    <t>273-380-010</t>
  </si>
  <si>
    <t>273-380-012</t>
  </si>
  <si>
    <t>273-380-013</t>
  </si>
  <si>
    <t>273-380-014</t>
  </si>
  <si>
    <t>266-012-009</t>
  </si>
  <si>
    <t>273-330-012</t>
  </si>
  <si>
    <t>273-360-002</t>
  </si>
  <si>
    <t>262-042-026</t>
  </si>
  <si>
    <t>273-360-012</t>
  </si>
  <si>
    <t>266-340-003</t>
  </si>
  <si>
    <t>273-340-023</t>
  </si>
  <si>
    <t>273-350-015</t>
  </si>
  <si>
    <t>273-350-008</t>
  </si>
  <si>
    <t>273-350-010</t>
  </si>
  <si>
    <t>273-350-009</t>
  </si>
  <si>
    <t>273-350-011</t>
  </si>
  <si>
    <t>273-340-014</t>
  </si>
  <si>
    <t>273-380-017</t>
  </si>
  <si>
    <t>273-380-018</t>
  </si>
  <si>
    <t>273-380-019</t>
  </si>
  <si>
    <t>273-380-020</t>
  </si>
  <si>
    <t>273-380-021</t>
  </si>
  <si>
    <t>273-380-022</t>
  </si>
  <si>
    <t>273-380-023</t>
  </si>
  <si>
    <t>273-380-024</t>
  </si>
  <si>
    <t>273-380-026</t>
  </si>
  <si>
    <t>273-380-027</t>
  </si>
  <si>
    <t>273-380-028</t>
  </si>
  <si>
    <t>273-380-025</t>
  </si>
  <si>
    <t>273-310-013</t>
  </si>
  <si>
    <t>SFD</t>
  </si>
  <si>
    <t>ADU</t>
  </si>
  <si>
    <t>2 to 4</t>
  </si>
  <si>
    <t>O</t>
  </si>
  <si>
    <t>261 Monte Vista Ridge Road</t>
  </si>
  <si>
    <t>119 Melody Lane</t>
  </si>
  <si>
    <t>20 Paintbrush Lane</t>
  </si>
  <si>
    <t>16 Paintbrush Lane</t>
  </si>
  <si>
    <t>21 Paintbrush Lane</t>
  </si>
  <si>
    <t>87 Grassy Hill Way</t>
  </si>
  <si>
    <t>85 Grassy Hill Way</t>
  </si>
  <si>
    <t>81 Grassy Hill Way</t>
  </si>
  <si>
    <t>88 Grassy Hill Way'</t>
  </si>
  <si>
    <t>93 Grassy Hill Way</t>
  </si>
  <si>
    <t>91 Grassy Hill Way</t>
  </si>
  <si>
    <t>22 Wild Lilac Way</t>
  </si>
  <si>
    <t>86 Grassy Hill Way</t>
  </si>
  <si>
    <t>83 Grassy Hill Way</t>
  </si>
  <si>
    <t>53 Wilder Road</t>
  </si>
  <si>
    <t>38 Oakridge Lane</t>
  </si>
  <si>
    <t>98 Dairy Creek Lane</t>
  </si>
  <si>
    <t>16 Honeywood Road</t>
  </si>
  <si>
    <t>221 El Toyonal</t>
  </si>
  <si>
    <t>75 Windy Creek Way</t>
  </si>
  <si>
    <t>25 Paintbrush Lane</t>
  </si>
  <si>
    <t>38 Los Dedos</t>
  </si>
  <si>
    <t>83 Dairy Creek Lane</t>
  </si>
  <si>
    <t>12 Paintbrush Lane</t>
  </si>
  <si>
    <t>33 Bigleaf Road</t>
  </si>
  <si>
    <t>8 Wild Lilac Way</t>
  </si>
  <si>
    <t>10 Wild Lilac Way</t>
  </si>
  <si>
    <t>12 Wild Lilac Way</t>
  </si>
  <si>
    <t>52 Tomcat Way</t>
  </si>
  <si>
    <t>26 Wild Lilac Way</t>
  </si>
  <si>
    <t>28 Wild Lilac Way</t>
  </si>
  <si>
    <t>10 Paintbrush Lane</t>
  </si>
  <si>
    <t>13 Muth Drive</t>
  </si>
  <si>
    <t>264-260-012</t>
  </si>
  <si>
    <t>No</t>
  </si>
  <si>
    <t>266-250-013</t>
  </si>
  <si>
    <t>268-033-005</t>
  </si>
  <si>
    <t>265-051-015</t>
  </si>
  <si>
    <t>80 Dairy Creek Lane</t>
  </si>
  <si>
    <t>273-320-012</t>
  </si>
  <si>
    <t>262-212-015</t>
  </si>
  <si>
    <t>273-360-018</t>
  </si>
  <si>
    <t>273-360-008</t>
  </si>
  <si>
    <t>273-330-013</t>
  </si>
  <si>
    <t>273-300-014</t>
  </si>
  <si>
    <t>98 Monkey Flower Lane</t>
  </si>
  <si>
    <t>91 Monkey Flower Lane</t>
  </si>
  <si>
    <t>95 Monkey Flower Lane</t>
  </si>
  <si>
    <t>97 Monkey Flower Lane</t>
  </si>
  <si>
    <t>99 Monkey Flower Lane</t>
  </si>
  <si>
    <t>273-340-006</t>
  </si>
  <si>
    <t>273-350-001</t>
  </si>
  <si>
    <t>273-350-002</t>
  </si>
  <si>
    <t>273-350-003</t>
  </si>
  <si>
    <t>273-350-004</t>
  </si>
  <si>
    <t>273-370-001</t>
  </si>
  <si>
    <t>273-370-002</t>
  </si>
  <si>
    <t>273-370-003</t>
  </si>
  <si>
    <t>273-380-015</t>
  </si>
  <si>
    <t>273-380-029</t>
  </si>
  <si>
    <t>273-380-030</t>
  </si>
  <si>
    <t>273-330-014</t>
  </si>
  <si>
    <t>268-490-005</t>
  </si>
  <si>
    <t>56 Brookwood Road</t>
  </si>
  <si>
    <t>273-065-026</t>
  </si>
  <si>
    <t>58 Tomcat Way</t>
  </si>
  <si>
    <t>61 Tomcat Way</t>
  </si>
  <si>
    <t>62 Tomcat Way</t>
  </si>
  <si>
    <t>59 Tomcat Way</t>
  </si>
  <si>
    <t>63 Tomcat Way</t>
  </si>
  <si>
    <t>60 Tomcat Way</t>
  </si>
  <si>
    <t>65 Tomcat Way</t>
  </si>
  <si>
    <t>68 Tomcat Way</t>
  </si>
  <si>
    <t>67 Tomcat Way</t>
  </si>
  <si>
    <t>56 Tomcat Way</t>
  </si>
  <si>
    <t>61 Wilder Road</t>
  </si>
  <si>
    <t>88 Grassy Hill Way</t>
  </si>
  <si>
    <t>N</t>
  </si>
  <si>
    <t>273-370-021</t>
  </si>
  <si>
    <t>273-340-026</t>
  </si>
  <si>
    <t>273-370-027</t>
  </si>
  <si>
    <t>273-370-026</t>
  </si>
  <si>
    <t>273-370-028</t>
  </si>
  <si>
    <t>260-071-005</t>
  </si>
  <si>
    <t>273-370-019</t>
  </si>
  <si>
    <t>273-300-001</t>
  </si>
  <si>
    <t>273-330-007</t>
  </si>
  <si>
    <t>273-370-017</t>
  </si>
  <si>
    <t>273-350-019</t>
  </si>
  <si>
    <t>273-350-020</t>
  </si>
  <si>
    <t>273-370-008</t>
  </si>
  <si>
    <t>270-080-010</t>
  </si>
  <si>
    <t>273-300-003</t>
  </si>
  <si>
    <t>273-310-008</t>
  </si>
  <si>
    <t>273-370-025</t>
  </si>
  <si>
    <t>273-340-025</t>
  </si>
  <si>
    <t>273-320-017</t>
  </si>
  <si>
    <t>273-370-023</t>
  </si>
  <si>
    <t>273-370-018</t>
  </si>
  <si>
    <t>268-063-011</t>
  </si>
  <si>
    <t>273-370-024</t>
  </si>
  <si>
    <t>251-030-017</t>
  </si>
  <si>
    <t>273-310-004</t>
  </si>
  <si>
    <t>273-350-016</t>
  </si>
  <si>
    <t>273-370-009</t>
  </si>
  <si>
    <t>273-370-010</t>
  </si>
  <si>
    <t>273-310-002</t>
  </si>
  <si>
    <t>273-350-021</t>
  </si>
  <si>
    <t>273-310-003</t>
  </si>
  <si>
    <t>273-370-011</t>
  </si>
  <si>
    <t>262-091-011</t>
  </si>
  <si>
    <t>273-370-012</t>
  </si>
  <si>
    <t>273-300-012</t>
  </si>
  <si>
    <t>273-320-018</t>
  </si>
  <si>
    <t>264-160-030</t>
  </si>
  <si>
    <t>273-320-001</t>
  </si>
  <si>
    <t>18 Wilder Road</t>
  </si>
  <si>
    <t>30 Charles Hill Road</t>
  </si>
  <si>
    <t>11 West Hill Way</t>
  </si>
  <si>
    <t>17 Painbrush Lane</t>
  </si>
  <si>
    <t>17 West Hill Way</t>
  </si>
  <si>
    <t>30 Wilder Road</t>
  </si>
  <si>
    <t>28 Wilder Road</t>
  </si>
  <si>
    <t>12 West Hill Way</t>
  </si>
  <si>
    <t>53 Rheem Boulevard</t>
  </si>
  <si>
    <t>62 Boeger Ranch Road</t>
  </si>
  <si>
    <t>20 Wilder Road</t>
  </si>
  <si>
    <t>28 Paintbrush Lane</t>
  </si>
  <si>
    <t>15 West Hill Way</t>
  </si>
  <si>
    <t>67 Muth Drive</t>
  </si>
  <si>
    <t>17 White Oak Road</t>
  </si>
  <si>
    <t>38 Wilder Road</t>
  </si>
  <si>
    <t>16 West Hill Way</t>
  </si>
  <si>
    <t>18 West Hill Way</t>
  </si>
  <si>
    <t>20 West Hill Way</t>
  </si>
  <si>
    <t>252 Camino Sobrante</t>
  </si>
  <si>
    <t>22 West Hill Way</t>
  </si>
  <si>
    <t>29 Bigleaf Road</t>
  </si>
  <si>
    <t>113 Canon Drive</t>
  </si>
  <si>
    <t>84 Mossbridge Lane</t>
  </si>
  <si>
    <t>564 Tahos Road</t>
  </si>
  <si>
    <t>50 Boeger Ranch Road</t>
  </si>
  <si>
    <t>7 Oak Flat Road</t>
  </si>
  <si>
    <t>69 Windy Creek Way</t>
  </si>
  <si>
    <t>73 Windy Creek Way</t>
  </si>
  <si>
    <t>68 Windy Creek Way</t>
  </si>
  <si>
    <t>72 Windy Creek Way</t>
  </si>
  <si>
    <t>71 Windy Creek Way</t>
  </si>
  <si>
    <t>70 Windy Creek Way</t>
  </si>
  <si>
    <t>417 Moraga Way</t>
  </si>
  <si>
    <t>57 Tomcat Way</t>
  </si>
  <si>
    <t>66 Tomcat Way</t>
  </si>
  <si>
    <t>77 Sleepy Hollow Lane</t>
  </si>
  <si>
    <t>61 Windy Creek Way</t>
  </si>
  <si>
    <t>66 Windy Creek Way</t>
  </si>
  <si>
    <t>65 Windy Creek Way</t>
  </si>
  <si>
    <t>62 Windy Creek Way</t>
  </si>
  <si>
    <t>67 Windy Creek Way</t>
  </si>
  <si>
    <t>60 Windy Creek Way</t>
  </si>
  <si>
    <t>89 Grassy Hill Way</t>
  </si>
  <si>
    <t>82 Grassy Hill Way</t>
  </si>
  <si>
    <t>80 Grassy Hill Way</t>
  </si>
  <si>
    <t>22 Coffee Berry Lane</t>
  </si>
  <si>
    <t>25 Coffee Berry Lane</t>
  </si>
  <si>
    <t>27 Coffee Berry Lane</t>
  </si>
  <si>
    <t>23 Coffee Berry Lane</t>
  </si>
  <si>
    <t>32 Coffee Berry Lane</t>
  </si>
  <si>
    <t>28 Coffee Berry Lane</t>
  </si>
  <si>
    <t>30 Coffee Berry Lane</t>
  </si>
  <si>
    <t>23 Wild Rye Way</t>
  </si>
  <si>
    <t>17 Wild Rye Way</t>
  </si>
  <si>
    <t>19 Wild Rye Way</t>
  </si>
  <si>
    <t>9 Frogs Leap Way</t>
  </si>
  <si>
    <t>26 Wilder Road</t>
  </si>
  <si>
    <t>9 Bigleaf Road</t>
  </si>
  <si>
    <t>5 Bigleaf Road</t>
  </si>
  <si>
    <t>26 Paintbrush Lane</t>
  </si>
  <si>
    <t xml:space="preserve">ACTION 1.A: ORINDA GROVE
DEVELOPMENT
Facilitate redevelopment/reuse of the former Pine Grove School as a mixed-income residential development including 8 moderate- income housing units and 65 market-rate
housing units.
</t>
  </si>
  <si>
    <t>Facilitate the production of at least 42 new single-family homes (suitable for moderate- and above moderate income households) between 2014 and 2022 (RHNA period). Facilitate completion of 8 units of owner-occupied housing affordable to moderate income households on the former Pine Grove School site. Provide for a diversity of housing types to meet current and future needs of all
residents without compromising the semi-rural character of Orinda's single-family neighborhoods. Encourage planned unit developments,
which allow variations from
development standards provided that the overall density of the site remainsconsistent with the General Plan.</t>
  </si>
  <si>
    <t>Building permits for 41 units at Orinda Grove were issued in 2013
and permits for the remaining 32 units were issued in 2014. The
below market rate program for the development was established and the application process for affordable units was completed. By the end of 2015, all units were constructed and final building inspections had been conducted.</t>
  </si>
  <si>
    <t>2014-2015</t>
  </si>
  <si>
    <t>ACTION 1.B: MONTEVERDE SENIOR
APARTMENTS DEVELOPMENT
Facilitate continued development and
construction of the Monteverde Senior
Apartments development on the former
Orinda Library site. This development will
produce 66 units of housing for very low- and
extremely low-income seniors at a density of
48 units per acre and is anticipated to be
completed in December 2014.</t>
  </si>
  <si>
    <t>Facilitate completion of 66 units of 2014 housing for very low- and extremely low-income seniors at the Monteverde Senior Apartments Project. Provide for a diversity of housing types to meet current and future needs of all residents without compromising the semi-rural character of Orinda's single-family neighborhoods. Participate in those housing assistance programs that are most appropriate to Orinda's setting and demographcis, with an amphasis on programs that benefit local seniors and those who live or work in Orinda. Continue to provide density bonusesfor housing that includes dedicated affordable untis or units set aside for seniors, consistent with state law.</t>
  </si>
  <si>
    <t>Construction was completed in November 2014 and the development was fully occupied in December 2014.</t>
  </si>
  <si>
    <t>ACTION 1.E: SECOND UNITS IN WILDER
(GATEWAY VALLEY)
Encourage builders in the Wilder development to include second units in new homes or to incorporate space with the flexibility for second unit conversions in the future.</t>
  </si>
  <si>
    <t>ACTION 1.C: PROMOTION OF SECOND
UNITS
Continue to implement a public information
and outreach campaign via the City’s website
and the Orinda City newsletter to inform
property owners of the standards for second
unit development and the importance of
second units to Orinda. Provide information to encourage residents to apply for second units, particularly where their homes already include space that is configured for a conforming second unit (e.g., carriage houses, au pair quarters, second kitchens on floors with separate entrances). The City will produce a flyer regarding second units and provide the flyer at the Planning Department counter and to project applicants for all discretionary land use applications. On
average, a total of 93 discretionary land use
applications, mainly for residential
development projects, are considered
annually by the Planning Department. Many of the projects are on property that could support the development of a second unit. In addition, the City will publish at least annually informational materials pertaining to second units through a combination of media including the City’s website and direct mailings.</t>
  </si>
  <si>
    <t>Ongoing</t>
  </si>
  <si>
    <t>ACTION 1.D: LEGALIZATION OF EXISTING
UNREGISTERED SECOND UNITS
Notify property owners that under the revised
second dwelling unit standards, formerly
illegal second units may possibly now meet
the requirements of the Zoning Ordinance.</t>
  </si>
  <si>
    <t>Promote the registration and
legalization of existing second units in the city that meet current zoning and building safety standards, including those which are in active use as rental housing and those with the potential to be used as rental units. Facilitate development of 57 second units between 2014 and 2022. Based on prevailing market rents (and the analysis in Chapter 4 of this element), it is presumed that 2 of these units will be affordable to very low-income households, 13 to low-income households, and 38 to moderate-income households.</t>
  </si>
  <si>
    <t>ACTION 1.F: AFFORDABLE HOUSING
INCENTIVE PROGRAM
Continue to implement the City’s affordable
housing incentive program (density bonus
ordinance), which grants up to a 35 percent
increase in the number of permitted units for
developments which set aside 20 percent or
more of their units as affordable, as defined
by state law.</t>
  </si>
  <si>
    <t>ACTION 1.G: TECHNICAL ASSISTANCE TO
ORGANIZATIONS THAT CAN DEVELOP
OR PRESERVE LOWER-COST HOUSING
Provide outreach and assistance to nonprofit
organizations and builders whose expertise
can inure to the benefit of low- and moderate-income Orinda residents, particularly
seniors and those with special needs.</t>
  </si>
  <si>
    <t>ACTION 2.A: ASSISTANCE TO LOWER-
INCOME SENIOR HOMEOWNERS
Participate in Contra Costa County’s housing
rehabilitation program, and publicize the
availability of the County’s low interest loan
programs for lower-income seniors and
other households.</t>
  </si>
  <si>
    <t>Encourage reinvestment in the city's housing stock by private property owners. Encourage 10 existing very low-income Orinda households to participate in the
County’s major rehabilitation loan
program.</t>
  </si>
  <si>
    <t>The City continues to participate in Contra Costa County's housing
rehabilitation program. Due to limited time and resources, the City
did not take additional steps to advertise the program's availability
during the planning period. The City will begin coordinating with County staff and advertise the program in the city newsletter at least annually, and will post information/links to the City's website.</t>
  </si>
  <si>
    <t>Participate in those housing assistance programs that are most appropriate to Orinda's setting and demographcis,
with an amphasis on programs that benefit local seniors and those who live or work in Orinda.
Facilitate completion of 66 units of housing for very low- and extremely low-income seniors at the Monteverde Senior Apartments Project.</t>
  </si>
  <si>
    <t>The City worked successfully with Eden Housing to develop 66 units affordable to extremely low- and very low-income senior households at the Monteverde Senior Housing project. The project includes one manger’s unit affordable at the moderate income level. The City will continue to meet with interested housing developers on an ongoing basis. When applications for affordable units or mixed-income housing developments are received, the City will proactively work with the applicants to address issues of concern, such as parking, traffic and design, and will continue to explore ways to reduce the cost of developing such housing in Orinda on a case-by-case basis.</t>
  </si>
  <si>
    <t>Through the City’s affordable housing program, 66 units restricted to extremely low- and very low-income households were developed at a density greater than allowed without the program for the
Monteverde Senior Housing project. Without the program
approximately 55 units would have been allowed on the project site. The development was competed in November 2014 and fully
occupied in December 2014. The City will continue to implement the Affordable Housing Incentive Program. The City will continue to
meet with interested housing developers on an ongoing basis.</t>
  </si>
  <si>
    <t>ACTION 2.B: PARTICIPATION IN FIRST-TIME HOMEBUYER AND MCC PROGRAMS
Participate in the County’s First-Time
Homebuyer and Mortgage Credit Certificate
(MCC) programs.</t>
  </si>
  <si>
    <t>Encourage reinvestment in the city's housing stock by private property owners. Encourage the preservation of existing affordable housing in the city, including the Orinda Senior Village, and existing second units and rental apartments. Conserve Orinda's existing supply of smaller and more affordable single-family homes, including older two- and three-bedroom homes on lots smaller than 10,000 square feet.</t>
  </si>
  <si>
    <t>2015</t>
  </si>
  <si>
    <t>The City continues to participate in Contra Costa County's First Time Home Buyer and Mortgage Credit Certificate programs. Due to limited time and resources, the City did not take additional steps to advertise the program's availability during the planning period. As noted in the Housing Element, the City will coorindate with County staff on implementing this program more proactively.</t>
  </si>
  <si>
    <t>ACTION 2.C: HOME MAINTENANCE AND
REPAIR PROGRAMS
Advertise the availability of existing home
maintenance, repair, and improvement
programs such as the low- and zero-interest
loans offered through Contra Costa County’s
Neighborhood Preservation Program.
Consider applying for additional grant funding
to assist homeowners with addressing ADA
accessibility modifications to their homes.
Conduct code enforcement on a complaint-driven basis to address safety and code
compliance issues.</t>
  </si>
  <si>
    <t>Encourage reinvestment in the city's housing stock by private property owners. Preserve 100 percent of the existing multi-family rental units in the city through 2023. Preserve 100 percent of the existing housing in the city's nonresidential zoning districts through 2023. Encrourage 10 existing very low-income Orinda households to participate in the County's major rehabiltiation loan program.</t>
  </si>
  <si>
    <t>2015
(advertising)
and 2017
(funding)</t>
  </si>
  <si>
    <t>ACTION 2.D: SECOND UNIT RENT DATA
Continue to collect and monitor data on
second unit rents to better understand their
role in the Orinda housing market and the
income groups they serve.</t>
  </si>
  <si>
    <t>Encourage the preservation of existing Ongoing affordable housing in the city, including
the Orinda Senior Village, and existing second units and rental apartments.</t>
  </si>
  <si>
    <t>The City collected and monitored data periodically on second unit
rents using online rental forums such as Craigslist. As noted in the
Housing Element, the City will create a survey on second units which will be updated annually by the Planning Department.</t>
  </si>
  <si>
    <t>ACTION 2.E: FLOOR AREA RATIO LIMITS
Maintain a sliding scale for calculating floor
area ratios (FAR) as a way to preserve the
city’s existing stock of smaller homes.</t>
  </si>
  <si>
    <t>Encourage reinvestment in the city's housing stock by private property owners. Conserve Orinda's existing supply of smaller and more affordable single-family homes, including older two- and three-bedroom homes on lots smaller than 10,000 square feet.</t>
  </si>
  <si>
    <t>Planning Staff continues to successfully implement this program
through the structure size limitations of the City’s Zoning Code
(Orinda Municipal Code Section 17.6.8).</t>
  </si>
  <si>
    <t>ACTION 2.F: DESIGN AWARDS AND
RECOGNITION
Develop a new category in the Mayor’s
Awards for Architectural Excellence for small
homes or modifications to existing small
homes.</t>
  </si>
  <si>
    <t>ACTION 2.G: REDUCTION IN HOME
ENERGY COSTS
Continue to advise residents of programs for
reducing residential energy costs.</t>
  </si>
  <si>
    <t>Encourage reinvestment in the city's housing stock by private property owners.</t>
  </si>
  <si>
    <t>There is information on some of the available energy cost reduction
assistance programs in the Planning Department waiting area. Per
the Housing Element, the Planning Department will update
information on energy assistance programs in the waiting area and
will make links available on the City's website.</t>
  </si>
  <si>
    <t>ACTION 2.H: TITLE 24 ADMINISTRATION
Continue to enforce residential energy
conservation requirements as set forth in Title 24, California Administrative Code.</t>
  </si>
  <si>
    <t>Implemented by Building Inspection Department staff through the
application of the building codes. The 2016 Building Code took effect on January 1, 2017 and presents more challenging energy savings targets compared to the 2013 Building Code.</t>
  </si>
  <si>
    <t>ACTION 3.A: DOWNTOWN
Study the feasibility of mixed-use development at appropriate densities.</t>
  </si>
  <si>
    <t>Continue to allow multi-family
residential uses above the ground floor within Orinda’s Downtown Commercial zoning district.</t>
  </si>
  <si>
    <t>2018</t>
  </si>
  <si>
    <t>The City continues to allow residential units above commercial uses that are part of a mixed use development with a general use permit per Orinda Municipal Code Sections 17.8.4 and 17.31.</t>
  </si>
  <si>
    <t>ACTION 3.B: ADJUSTMENT OF DESIGN
STANDARDS TO IMPROVE
AFFORDABILITY
Implement the City’s Affordable Housing
Incentive Program to reduce production costs
in projects containing affordable units such as adjusting design standards on a case-by-case basis, which could include adjusting standards for setbacks, lot coverage, street width, unit size, and parking, for all affordable housing projects.</t>
  </si>
  <si>
    <t>Meet annually with at least one
affordable housing developer or
representative of an affordable housing advocacy group to discuss housing issues, needs and opportunities in Orinda.
Encourage larger-scale residential
developments to include a mix of unit types, including smaller units and units that are affordable to lower- and moderate-income households.</t>
  </si>
  <si>
    <t>Construction of 66 units of housing for very low- and extremely low-income seniors at the Monteverde Senior Apartments Project was
completed in December 2014. This project made use of the City's
Affordable Housing Incentive Program to build at a higher density
than usually allowed by code. The City will continue to meet with interested housing developers on an ongoing basis. When applications for affordable units or mixed-income housing developments are received, the City will proactively work with the applicants to address issues of concern, such as parking, traffic and design, and will continue to explore ways to reduce the cost of developing such housing in Orinda on a case-by-case basis.</t>
  </si>
  <si>
    <t>ACTION 3.C: SHARED HOUSING PROGRAM
Consider participating in ECHO housing’s
“Shared Housing” or some similar program as a way to improve housing opportunities for
lower-income seniors and extremely low-income Orinda residents.</t>
  </si>
  <si>
    <t>Encourage the sharing of housing units by homeowners seeking to age in place or supplement their income. Shared housing can provide an important resource for seniors, young adults, and others in the community who cannot afford their own home or apartment.</t>
  </si>
  <si>
    <t>Due to limited time and staff resources since approval of the
Housing Element in 2015, the city did not take action to pursue a
partnership with ECHO or other similar program to establish a shared senior housing program in Orinda during the 2017 calendar year. This action will be pursued in 2018.</t>
  </si>
  <si>
    <t>ACTION 3.D: NO NET LOSS OF HOUSING
CAPACITY
Develop and implement an evaluation
procedure to ensure the City maintains
sufficient land to accommodate the Regional
Housing Needs Allocation throughout the
planning period. Because Orinda has a limited number of sites on which it can meet its Regional Housing Needs Allocation for low- and very low-income households during the planning period, it is important that the
availability of these sites be monitored.
Section 65863 of the California Government
Code stipulates that a community may not
reduce the allowable density on a housing site if the result is that the city is no longer able to meet its Regional Housing Needs Allocation. The City will comply with Government Code 65863.</t>
  </si>
  <si>
    <t>Maintain an adequate number and
variety of sites to meet the City’s
Regional Housing Needs Allocation.</t>
  </si>
  <si>
    <t>Orinda has a limited number of sites on which it can meet its
Regional Housing Needs Allocation durign the planning period.
Therefore, the Planning Department monitors the existing sites
identified in the Housing Element as zoning changes are proposed
and/or as development is proposed on multi-family housing sites.</t>
  </si>
  <si>
    <t>ACTION 3.E: HOUSING SITE(S)
As a part of the 5th Cycle Housing Element,
the City considered anew whether to rely on
the 3.2 acre Santa Maria site to help meet the City’s RHNA for lower income households. The City selected the Santa Maria site in EIR Alternative 1 to zone at up to 20 dwelling units per acre (the “default density” under State law) in order to accommodate 48 units of the City’s allocation of lower income households. Through this Action, the City will initiate and process an amendment of the development policies (i.e., general plan, zoning and/or zoning map) applicable on the selected site to replace the existing High Density Overlay District on the site with policies to accommodate a total of 48 units at up to 20 dwelling units per acre (the “default density” under State law). This will be a public process. The precise wording of the development policies and configuration of the area covered will be determined through that public process.</t>
  </si>
  <si>
    <t>Maintain an adequate number and
variety of sites to meet the City’s
Regional Housing Needs Allocation. Meet Orinda's Regional Housing Needs Allocation mandates through a
combination of second units and
rezoning of adequate land area at the default density.</t>
  </si>
  <si>
    <t>Within 2
years of
Adoption of
Housing
Element</t>
  </si>
  <si>
    <t>On March 15, 2016, the Orinda City council approved revisions to
the use permit process in the RM District consistent with Action 3E of the Housing Element.</t>
  </si>
  <si>
    <t>ACTION 4.B: REDUCTION OF PERMITTING
COSTS AND DELAYS
Explore the feasibility of expanding the City’s
Affordable Housing Incentive Program to
add provisions for reductions in application processing costs for multi-family projects containing affordable units.</t>
  </si>
  <si>
    <t>Ensure that Orinda’s permitting and approval processes do not unduly constrain or delay the construction of housing. City procedures should be consistent with Permit Streamlining Act requirements and should not include unreasonable fees or regulations. Make a "completeness" determination for planning applications within two weeks or less for 80 percent of all applications received, rather than
waiting the full 30 days allowed by the Permit Streamlining Act.
Provide at least one workshop or
training seminar a year to assist
owners, builders, contractors, and
others with understanding Orinda's development process and requirements.</t>
  </si>
  <si>
    <t>Planning Staff continues to be responsive to applicants and
successfully make completeness determinations ahead of the 30-
day completeness deadline. Development impact fee waivers are
available for affordable housing projects.</t>
  </si>
  <si>
    <t>ACTION 4.A: REVISE THE USE PERMIT
REQUIREMENTS
Revise the use permit process in the
Residential Medium-Density (RM) District.</t>
  </si>
  <si>
    <t>Ensure that Orinda’s permitting and approval processes do not unduly constrain or delay the construction of housing. City procedures should be
consistent with Permit Streamlining Act requirements and should not include unreasonable fees or regulations.</t>
  </si>
  <si>
    <t>Within 1 year
of adoption
of Housing
Element</t>
  </si>
  <si>
    <t>ACTION 4.C: SHARED PARKING
REGULATIONS
Consider adopting shared parking regulations
where it can be demonstrated that there will
be no parking shortages.</t>
  </si>
  <si>
    <t>Consider flexibility in development
standards, such as reduced parking requirements for senior housing, in order to accommodate additional affordable units and reduce housing costs.</t>
  </si>
  <si>
    <t>Exceptions to the parking regulations are considered on a case-by-case basis. Consideration of a shared parking program is pending.</t>
  </si>
  <si>
    <t>ACTION 4.D: BUILDING CODE UPDATES
Continue to implement the California Building
Code of Regulations as locally amended.
Update or amend the codes as state
requirements change.</t>
  </si>
  <si>
    <t>Ensure that Orinda’s permitting and approval processes do not unduly constrain or delay the construction of
housing.</t>
  </si>
  <si>
    <t>Latest building code and local amendments adopted in January
2017. Revised small-scale solar PV streamlining requirements
adopted in 2015. The building code is administered by the Contra
Costa County Building Department.</t>
  </si>
  <si>
    <t>ACTION 4.E: FEE UPDATES
Periodically review planning and building fees
to ensure they cover required costs but are
not more than is necessary to provide the
required City services.</t>
  </si>
  <si>
    <t>Ensure that Orinda’s permitting and approval processes do not unduly constrain or delay the construction of housing.</t>
  </si>
  <si>
    <t>Annually</t>
  </si>
  <si>
    <t>ACTION 5.A: FAIR HOUSING PROGRAM
Distribute information regarding fair housing
issues in the City’s quarterly newsletter, at
the Orinda Library, and at City offices.</t>
  </si>
  <si>
    <t>Continue to promote equal housing opportunity for all Orinda residents and others seeking housing in the city, regardless of race, religion, marital/family status, ethnic background, or other arbitrary factors. Support programs that educate and inform residents about fair housing laws, the Regional Housing Needs
Allocation process, and the City's
obligations under state housing law. Follow up on 100 percent of all fair housing complaints received by the City.</t>
  </si>
  <si>
    <t>ACTION 5.B: LOCAL PREFERENCE IN
HOUSING OPPORTUNITIES
Continue measures to ensure that persons
who work in Orinda receive preference in the
occupancy of new affordable for-sale housing
units.</t>
  </si>
  <si>
    <t>Support programs that educate and inform residents about fair housing laws, the Regional Housing Needs Allocation process, and the City's obligations under state housing law.</t>
  </si>
  <si>
    <t>The local preference program provisions were incorporated into the
established below market rate program for the Orinda Grove project. This action will be continued for other development projects.</t>
  </si>
  <si>
    <t>ACTION 5.C: ASSISTANCE FOR PERSONS
WITH DEVELOPMENTAL DISABILITIES.
Support the construction and rehabilitation of
housing to meet the needs of Orinda
residents with developmental disabilities,
including small group homes and units in
affordable housing developments that are
designed for developmentally disabled
persons.</t>
  </si>
  <si>
    <t>Encourage the development of
housing designed to meet the unique needs of seniors and persons with disabilities. The City endorses the concept of universal design, wherein all new construction and renovations
are designed to recognize the varying levels of mobility in the population.</t>
  </si>
  <si>
    <t>Several of the units in the Monteverde project included universal
design features to accommodate the unique needs to seniors and
persons with disabiltiies. This action will be continued.</t>
  </si>
  <si>
    <t xml:space="preserve">Encourage the incluson of second units in new single-family homes, and support the creation of such units in existing single-family homes, subject to design criteria of the Zoning Ordinance and building code standards as well as neighborhood compatibility considerations. Facilitate development of 57 second units between 2014 and 2022. Based on prevailing market rents (and analysis in Chapter 4 of this element), it is presumed that 2 of these units will be affordable to very low-income households, 13 to low-income households, 38 to moderate-income households. </t>
  </si>
  <si>
    <t>Building permits for three second units were issued in 2015,
two in 2016, seven were issued in 2017, and four in 2018. Applicants at the Planning Department counter are informed of the second unit standards and, as appropriate, encouraged to consider including a second unit in their development proposals. As of January 1, 2017, state law overrides local ordinances and requires local jurisdictions to ministerially approve certain second units, also known as "accessory dwelling units" (ADUs) if units meet a set of minimum standards. Since this new law went into effect, there has been an increase in resident interest in construction of ADUs and multiple plans have been submitted and approved by the Planning Department. On August 1, 2017, the City Council approved Ordinance 17-03 consistent with the new state law, allowing for increased awareness and opportunities for ADU construction. 2018 matched the number of entitlements issued for second units in 2017, and it is anticipated that interest will continue.</t>
  </si>
  <si>
    <t>See statement above regarding Action 1C. One building permit was issued in 2018 for the legalization of an existing second unit that was entitled and reported in 2017.</t>
  </si>
  <si>
    <t xml:space="preserve">See statement above regarding Action 1C. To date, approvals have been granted for 7 second units in the Wilder subdivision. The Planning Department staff continue to inform Wilder developers of this Housing Element objective, and many of the approved plans have an option of including or converting square footage to second units. One such project was approved in 2018. </t>
  </si>
  <si>
    <t>The City participates in Contra Costa County's Neighborhood
Preservation Program. Due to limited time and resources, the City
did not take additional steps to advertise the program's availability
during the planning period. As noted in the Housing Element, the City will coorindate with County staff on implementing this program more proactively in 2019.</t>
  </si>
  <si>
    <t>In 2016, a Mayor's Award was presented for Eden Housing's
Monteverde Senior Housing project, which included 66 multifamily
units. For the 2018 Mayor's Award, staff will consider small single
family projects.</t>
  </si>
  <si>
    <t>The Planning Department's fees are updated annually to reflect
actual processing costs. The 2020 fiscal year fee schedule will take effect July 1, 2019.</t>
  </si>
  <si>
    <t>This policy remains active. There were no fair housing complaints in 2018. The City periodically includes housing inforamtion in a
quarterly newsletter. Articles regarding affordable homeownership
opportunities at Orinda Grove and the status of the Monteverde
Senior Apartments project were included in past newsletters.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</si>
</sst>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14" fontId="42" fillId="0" borderId="1" xfId="0" applyNumberFormat="1" applyFont="1" applyBorder="1" applyProtection="1">
      <protection locked="0"/>
    </xf>
    <xf numFmtId="14" fontId="3" fillId="0" borderId="1" xfId="0" applyNumberFormat="1" applyFont="1" applyFill="1" applyBorder="1" applyAlignment="1" applyProtection="1">
      <alignment horizontal="right" vertical="top"/>
      <protection locked="0"/>
    </xf>
    <xf numFmtId="14"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horizontal="right" wrapText="1"/>
      <protection locked="0"/>
    </xf>
    <xf numFmtId="14" fontId="3" fillId="0" borderId="0" xfId="0" applyNumberFormat="1" applyFont="1" applyAlignment="1" applyProtection="1">
      <alignment wrapText="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49" fontId="33" fillId="0" borderId="55" xfId="0" applyNumberFormat="1" applyFont="1" applyBorder="1" applyAlignment="1" applyProtection="1">
      <alignment horizontal="left" vertical="center" wrapText="1"/>
      <protection locked="0"/>
    </xf>
    <xf numFmtId="49" fontId="33" fillId="0" borderId="14" xfId="0" applyNumberFormat="1" applyFont="1" applyBorder="1" applyAlignment="1" applyProtection="1">
      <alignment horizontal="left" vertical="center" wrapText="1"/>
      <protection locked="0"/>
    </xf>
    <xf numFmtId="168" fontId="33" fillId="0" borderId="56" xfId="0" applyNumberFormat="1" applyFont="1" applyBorder="1" applyAlignment="1" applyProtection="1">
      <alignment horizontal="center" vertical="center" wrapText="1"/>
      <protection locked="0"/>
    </xf>
    <xf numFmtId="49" fontId="33" fillId="0" borderId="1" xfId="0" applyNumberFormat="1" applyFont="1" applyBorder="1" applyAlignment="1" applyProtection="1">
      <alignment horizontal="left" vertical="center" wrapText="1"/>
      <protection locked="0"/>
    </xf>
    <xf numFmtId="49" fontId="33" fillId="0" borderId="1" xfId="0" applyNumberFormat="1" applyFont="1" applyFill="1" applyBorder="1" applyAlignment="1" applyProtection="1">
      <alignment horizontal="center" vertical="center" wrapText="1"/>
      <protection locked="0"/>
    </xf>
    <xf numFmtId="49" fontId="33" fillId="4" borderId="1" xfId="0" applyNumberFormat="1" applyFont="1" applyFill="1" applyBorder="1" applyAlignment="1" applyProtection="1">
      <alignment horizontal="left" vertical="center" wrapText="1"/>
      <protection locked="0"/>
    </xf>
    <xf numFmtId="168" fontId="33" fillId="0" borderId="1" xfId="0" applyNumberFormat="1" applyFont="1" applyBorder="1" applyAlignment="1" applyProtection="1">
      <alignment horizontal="center" vertical="center" wrapText="1"/>
      <protection locked="0"/>
    </xf>
    <xf numFmtId="168" fontId="33" fillId="0" borderId="14" xfId="0" applyNumberFormat="1" applyFont="1" applyBorder="1" applyAlignment="1" applyProtection="1">
      <alignment horizontal="center" vertical="center" wrapText="1"/>
      <protection locked="0"/>
    </xf>
    <xf numFmtId="0" fontId="3" fillId="0" borderId="14" xfId="0" applyFont="1" applyBorder="1" applyAlignment="1" applyProtection="1">
      <alignment horizontal="center"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view="pageLayout" zoomScaleNormal="100" workbookViewId="0">
      <selection activeCell="A12" sqref="A12:C12"/>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4" t="s">
        <v>130</v>
      </c>
      <c r="B1" s="385"/>
      <c r="C1" s="385"/>
      <c r="D1" s="385"/>
      <c r="E1" s="385"/>
      <c r="F1" s="38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3" t="s">
        <v>51</v>
      </c>
      <c r="B3" s="394"/>
      <c r="C3" s="395"/>
      <c r="E3" s="387" t="s">
        <v>131</v>
      </c>
      <c r="F3" s="388"/>
    </row>
    <row r="4" spans="1:12" ht="21.6" customHeight="1" x14ac:dyDescent="0.25">
      <c r="A4" s="31" t="s">
        <v>125</v>
      </c>
      <c r="B4" s="398" t="s">
        <v>1204</v>
      </c>
      <c r="C4" s="399"/>
      <c r="D4" s="24"/>
      <c r="E4" s="389" t="s">
        <v>1378</v>
      </c>
      <c r="F4" s="390"/>
      <c r="G4" s="253"/>
      <c r="H4" s="253"/>
      <c r="I4" s="253"/>
      <c r="J4" s="253"/>
      <c r="K4" s="253"/>
      <c r="L4" s="23"/>
    </row>
    <row r="5" spans="1:12" ht="21.6" customHeight="1" thickBot="1" x14ac:dyDescent="0.3">
      <c r="A5" s="32" t="s">
        <v>126</v>
      </c>
      <c r="B5" s="396">
        <v>2018</v>
      </c>
      <c r="C5" s="397"/>
      <c r="D5" s="25"/>
      <c r="E5" s="389"/>
      <c r="F5" s="390"/>
      <c r="G5" s="25"/>
      <c r="H5" s="25"/>
      <c r="I5" s="25"/>
      <c r="J5" s="25"/>
      <c r="K5" s="25"/>
      <c r="L5" s="23"/>
    </row>
    <row r="6" spans="1:12" ht="21.6" customHeight="1" x14ac:dyDescent="0.25">
      <c r="A6" s="400" t="s">
        <v>124</v>
      </c>
      <c r="B6" s="401"/>
      <c r="C6" s="402"/>
      <c r="D6" s="25"/>
      <c r="E6" s="389"/>
      <c r="F6" s="390"/>
      <c r="G6" s="25"/>
      <c r="H6" s="25"/>
      <c r="I6" s="25"/>
      <c r="J6" s="25"/>
      <c r="K6" s="25"/>
      <c r="L6" s="23"/>
    </row>
    <row r="7" spans="1:12" ht="21.6" customHeight="1" x14ac:dyDescent="0.25">
      <c r="A7" s="30" t="s">
        <v>121</v>
      </c>
      <c r="B7" s="403" t="s">
        <v>1388</v>
      </c>
      <c r="C7" s="404"/>
      <c r="D7" s="26"/>
      <c r="E7" s="389"/>
      <c r="F7" s="390"/>
      <c r="G7" s="25"/>
      <c r="H7" s="25"/>
      <c r="I7" s="25"/>
      <c r="J7" s="25"/>
      <c r="K7" s="25"/>
      <c r="L7" s="23"/>
    </row>
    <row r="8" spans="1:12" ht="21.6" customHeight="1" x14ac:dyDescent="0.25">
      <c r="A8" s="31" t="s">
        <v>122</v>
      </c>
      <c r="B8" s="403" t="s">
        <v>1389</v>
      </c>
      <c r="C8" s="404"/>
      <c r="D8" s="25"/>
      <c r="E8" s="389"/>
      <c r="F8" s="390"/>
      <c r="G8" s="25"/>
      <c r="H8" s="25"/>
      <c r="I8" s="25"/>
      <c r="J8" s="25"/>
      <c r="K8" s="25"/>
      <c r="L8" s="23"/>
    </row>
    <row r="9" spans="1:12" ht="21.6" customHeight="1" x14ac:dyDescent="0.25">
      <c r="A9" s="31" t="s">
        <v>127</v>
      </c>
      <c r="B9" s="403" t="s">
        <v>1390</v>
      </c>
      <c r="C9" s="404"/>
      <c r="D9" s="25"/>
      <c r="E9" s="389"/>
      <c r="F9" s="390"/>
      <c r="G9" s="25"/>
      <c r="H9" s="25"/>
      <c r="I9" s="25"/>
      <c r="J9" s="25"/>
      <c r="K9" s="25"/>
      <c r="L9" s="23"/>
    </row>
    <row r="10" spans="1:12" ht="21.6" customHeight="1" x14ac:dyDescent="0.25">
      <c r="A10" s="31" t="s">
        <v>128</v>
      </c>
      <c r="B10" s="405" t="s">
        <v>1391</v>
      </c>
      <c r="C10" s="404"/>
      <c r="D10" s="25"/>
      <c r="E10" s="389"/>
      <c r="F10" s="390"/>
      <c r="G10" s="25"/>
      <c r="H10" s="25"/>
      <c r="I10" s="25"/>
      <c r="J10" s="25"/>
      <c r="K10" s="25"/>
      <c r="L10" s="23"/>
    </row>
    <row r="11" spans="1:12" ht="21.6" customHeight="1" thickBot="1" x14ac:dyDescent="0.3">
      <c r="A11" s="33" t="s">
        <v>129</v>
      </c>
      <c r="B11" s="406">
        <v>9252534210</v>
      </c>
      <c r="C11" s="407"/>
      <c r="D11" s="25"/>
      <c r="E11" s="389"/>
      <c r="F11" s="390"/>
      <c r="G11" s="25"/>
      <c r="H11" s="25"/>
      <c r="I11" s="25"/>
      <c r="J11" s="25"/>
      <c r="K11" s="25"/>
      <c r="L11" s="23"/>
    </row>
    <row r="12" spans="1:12" ht="21.6" customHeight="1" x14ac:dyDescent="0.25">
      <c r="A12" s="408" t="s">
        <v>123</v>
      </c>
      <c r="B12" s="409"/>
      <c r="C12" s="410"/>
      <c r="D12" s="25"/>
      <c r="E12" s="389"/>
      <c r="F12" s="390"/>
      <c r="G12" s="25"/>
      <c r="H12" s="25"/>
      <c r="I12" s="25"/>
      <c r="J12" s="25"/>
      <c r="K12" s="25"/>
      <c r="L12" s="23"/>
    </row>
    <row r="13" spans="1:12" ht="21.6" customHeight="1" x14ac:dyDescent="0.25">
      <c r="A13" s="29" t="s">
        <v>2</v>
      </c>
      <c r="B13" s="380" t="s">
        <v>1382</v>
      </c>
      <c r="C13" s="381"/>
      <c r="D13" s="27"/>
      <c r="E13" s="389"/>
      <c r="F13" s="390"/>
      <c r="G13" s="27"/>
      <c r="H13" s="27"/>
      <c r="I13" s="27"/>
      <c r="J13" s="27"/>
      <c r="K13" s="27"/>
      <c r="L13" s="23"/>
    </row>
    <row r="14" spans="1:12" ht="21.6" customHeight="1" x14ac:dyDescent="0.25">
      <c r="A14" s="28" t="s">
        <v>119</v>
      </c>
      <c r="B14" s="382" t="s">
        <v>1204</v>
      </c>
      <c r="C14" s="382"/>
      <c r="D14" s="25"/>
      <c r="E14" s="389"/>
      <c r="F14" s="390"/>
      <c r="G14" s="25"/>
      <c r="H14" s="25"/>
      <c r="I14" s="25"/>
      <c r="J14" s="25"/>
      <c r="K14" s="25"/>
      <c r="L14" s="23"/>
    </row>
    <row r="15" spans="1:12" ht="21.6" customHeight="1" thickBot="1" x14ac:dyDescent="0.3">
      <c r="A15" s="28" t="s">
        <v>120</v>
      </c>
      <c r="B15" s="383">
        <v>94563</v>
      </c>
      <c r="C15" s="383"/>
      <c r="D15" s="24"/>
      <c r="E15" s="391"/>
      <c r="F15" s="392"/>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64" activePane="bottomLeft" state="frozen"/>
      <selection pane="bottomLeft" activeCell="C69" sqref="C69"/>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33" t="s">
        <v>8</v>
      </c>
      <c r="B1" s="433"/>
      <c r="C1" s="433"/>
      <c r="D1" s="433"/>
      <c r="E1" s="433"/>
      <c r="F1" s="433"/>
      <c r="G1" s="433"/>
      <c r="H1" s="433"/>
      <c r="I1" s="433"/>
      <c r="J1" s="433"/>
      <c r="K1" s="433"/>
      <c r="L1" s="433"/>
      <c r="M1" s="433"/>
      <c r="N1" s="433"/>
      <c r="O1" s="433"/>
      <c r="P1" s="433"/>
      <c r="Q1" s="433"/>
      <c r="R1" s="433"/>
      <c r="S1" s="433"/>
      <c r="T1" s="433"/>
      <c r="U1" s="74"/>
      <c r="V1" s="74"/>
      <c r="W1" s="74"/>
    </row>
    <row r="2" spans="1:23" s="255" customFormat="1" ht="27.75" customHeight="1" x14ac:dyDescent="0.35">
      <c r="A2" s="433" t="s">
        <v>9</v>
      </c>
      <c r="B2" s="433"/>
      <c r="C2" s="433"/>
      <c r="D2" s="433"/>
      <c r="E2" s="433"/>
      <c r="F2" s="433"/>
      <c r="G2" s="433"/>
      <c r="H2" s="433"/>
      <c r="I2" s="433"/>
      <c r="J2" s="433"/>
      <c r="K2" s="433"/>
      <c r="L2" s="433"/>
      <c r="M2" s="433"/>
      <c r="N2" s="433"/>
      <c r="O2" s="433"/>
      <c r="P2" s="433"/>
      <c r="Q2" s="433"/>
      <c r="R2" s="433"/>
      <c r="S2" s="433"/>
      <c r="T2" s="433"/>
      <c r="U2" s="75"/>
      <c r="V2" s="75"/>
      <c r="W2" s="75"/>
    </row>
    <row r="3" spans="1:23" s="255" customFormat="1" ht="15.75" customHeight="1" x14ac:dyDescent="0.2">
      <c r="A3" s="434" t="s">
        <v>1376</v>
      </c>
      <c r="B3" s="434"/>
      <c r="C3" s="434"/>
      <c r="D3" s="434"/>
      <c r="E3" s="434"/>
      <c r="F3" s="434"/>
      <c r="G3" s="434"/>
      <c r="H3" s="434"/>
      <c r="I3" s="434"/>
      <c r="J3" s="434"/>
      <c r="K3" s="434"/>
      <c r="L3" s="434"/>
      <c r="M3" s="434"/>
      <c r="N3" s="434"/>
      <c r="O3" s="434"/>
      <c r="P3" s="434"/>
      <c r="Q3" s="434"/>
      <c r="R3" s="434"/>
      <c r="S3" s="434"/>
      <c r="T3" s="434"/>
      <c r="U3" s="76"/>
      <c r="V3" s="76"/>
      <c r="W3" s="76"/>
    </row>
    <row r="4" spans="1:23" s="79" customFormat="1" ht="25.5" customHeight="1" x14ac:dyDescent="0.2">
      <c r="A4" s="314" t="s">
        <v>10</v>
      </c>
      <c r="B4" s="236" t="str">
        <f>'Start Here'!B4:D4</f>
        <v>Orinda</v>
      </c>
      <c r="C4" s="315"/>
      <c r="D4" s="78"/>
      <c r="E4" s="78"/>
      <c r="F4" s="78"/>
      <c r="G4" s="78"/>
      <c r="H4" s="78"/>
      <c r="I4" s="78"/>
      <c r="L4" s="427" t="s">
        <v>1374</v>
      </c>
      <c r="M4" s="428"/>
      <c r="N4" s="428"/>
      <c r="O4" s="429"/>
    </row>
    <row r="5" spans="1:23" s="79" customFormat="1" ht="25.5" customHeight="1" x14ac:dyDescent="0.2">
      <c r="A5" s="316" t="s">
        <v>36</v>
      </c>
      <c r="B5" s="237">
        <f>'Start Here'!B5</f>
        <v>2018</v>
      </c>
      <c r="C5" s="318" t="str">
        <f>'Table A2'!C5</f>
        <v>(Jan. 1 - Dec. 31)</v>
      </c>
      <c r="D5" s="7"/>
      <c r="E5" s="78"/>
      <c r="F5" s="78"/>
      <c r="L5" s="430" t="s">
        <v>106</v>
      </c>
      <c r="M5" s="431"/>
      <c r="N5" s="431"/>
      <c r="O5" s="432"/>
    </row>
    <row r="6" spans="1:23" s="255" customFormat="1" x14ac:dyDescent="0.2"/>
    <row r="7" spans="1:23" s="241" customFormat="1" ht="18" x14ac:dyDescent="0.25">
      <c r="A7" s="424" t="s">
        <v>0</v>
      </c>
      <c r="B7" s="425"/>
      <c r="C7" s="425"/>
      <c r="D7" s="425"/>
      <c r="E7" s="425"/>
      <c r="F7" s="425"/>
      <c r="G7" s="425"/>
      <c r="H7" s="425"/>
      <c r="I7" s="425"/>
      <c r="J7" s="425"/>
      <c r="K7" s="425"/>
      <c r="L7" s="425"/>
      <c r="M7" s="425"/>
      <c r="N7" s="425"/>
      <c r="O7" s="425"/>
      <c r="P7" s="425"/>
      <c r="Q7" s="425"/>
      <c r="R7" s="425"/>
      <c r="S7" s="425"/>
      <c r="T7" s="426"/>
    </row>
    <row r="8" spans="1:23" s="241" customFormat="1" ht="22.9" customHeight="1" x14ac:dyDescent="0.2">
      <c r="A8" s="421" t="s">
        <v>64</v>
      </c>
      <c r="B8" s="422"/>
      <c r="C8" s="422"/>
      <c r="D8" s="422"/>
      <c r="E8" s="422"/>
      <c r="F8" s="422"/>
      <c r="G8" s="422"/>
      <c r="H8" s="422"/>
      <c r="I8" s="422"/>
      <c r="J8" s="422"/>
      <c r="K8" s="422"/>
      <c r="L8" s="422"/>
      <c r="M8" s="422"/>
      <c r="N8" s="422"/>
      <c r="O8" s="422"/>
      <c r="P8" s="422"/>
      <c r="Q8" s="422"/>
      <c r="R8" s="422"/>
      <c r="S8" s="422"/>
      <c r="T8" s="423"/>
    </row>
    <row r="9" spans="1:23" s="241" customFormat="1" ht="57.6" customHeight="1" x14ac:dyDescent="0.2">
      <c r="A9" s="416" t="s">
        <v>43</v>
      </c>
      <c r="B9" s="417"/>
      <c r="C9" s="417"/>
      <c r="D9" s="417"/>
      <c r="E9" s="418"/>
      <c r="F9" s="416" t="s">
        <v>112</v>
      </c>
      <c r="G9" s="418"/>
      <c r="H9" s="224" t="s">
        <v>63</v>
      </c>
      <c r="I9" s="416" t="s">
        <v>1363</v>
      </c>
      <c r="J9" s="419"/>
      <c r="K9" s="419"/>
      <c r="L9" s="419"/>
      <c r="M9" s="419"/>
      <c r="N9" s="419"/>
      <c r="O9" s="419"/>
      <c r="P9" s="420"/>
      <c r="Q9" s="224" t="s">
        <v>1364</v>
      </c>
      <c r="R9" s="224" t="s">
        <v>1365</v>
      </c>
      <c r="S9" s="224" t="s">
        <v>113</v>
      </c>
      <c r="T9" s="224" t="s">
        <v>58</v>
      </c>
    </row>
    <row r="10" spans="1:23" s="97" customFormat="1" x14ac:dyDescent="0.2">
      <c r="A10" s="412">
        <v>1</v>
      </c>
      <c r="B10" s="413"/>
      <c r="C10" s="413"/>
      <c r="D10" s="414"/>
      <c r="E10" s="415"/>
      <c r="F10" s="221">
        <v>2</v>
      </c>
      <c r="G10" s="216">
        <v>3</v>
      </c>
      <c r="H10" s="223">
        <v>4</v>
      </c>
      <c r="I10" s="411">
        <v>5</v>
      </c>
      <c r="J10" s="411"/>
      <c r="K10" s="411"/>
      <c r="L10" s="411"/>
      <c r="M10" s="411"/>
      <c r="N10" s="411"/>
      <c r="O10" s="411"/>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6"/>
      <c r="C12" s="356"/>
      <c r="D12" s="351"/>
      <c r="E12" s="357"/>
      <c r="F12" s="356"/>
      <c r="G12" s="356"/>
      <c r="H12" s="351"/>
      <c r="I12" s="358">
        <f t="shared" ref="I12:O12" si="0">SUM(I13:I1000)</f>
        <v>0</v>
      </c>
      <c r="J12" s="358">
        <f t="shared" si="0"/>
        <v>0</v>
      </c>
      <c r="K12" s="358">
        <f t="shared" si="0"/>
        <v>0</v>
      </c>
      <c r="L12" s="358">
        <f t="shared" si="0"/>
        <v>0</v>
      </c>
      <c r="M12" s="358">
        <f t="shared" si="0"/>
        <v>0</v>
      </c>
      <c r="N12" s="358">
        <f t="shared" si="0"/>
        <v>7</v>
      </c>
      <c r="O12" s="358">
        <f t="shared" si="0"/>
        <v>48</v>
      </c>
      <c r="P12" s="358">
        <f>SUM(P13:P1000)</f>
        <v>55</v>
      </c>
      <c r="Q12" s="358">
        <f>SUM(Q13:Q1000)</f>
        <v>55</v>
      </c>
      <c r="R12" s="358">
        <f>SUM(R13:R1000)</f>
        <v>0</v>
      </c>
      <c r="S12" s="359">
        <f>COUNTIF(S13:S1000,"*Yes*")</f>
        <v>0</v>
      </c>
      <c r="T12" s="360"/>
    </row>
    <row r="13" spans="1:23" ht="25.5" x14ac:dyDescent="0.2">
      <c r="A13" s="165"/>
      <c r="B13" s="165" t="s">
        <v>1483</v>
      </c>
      <c r="C13" s="165" t="s">
        <v>1450</v>
      </c>
      <c r="D13" s="165"/>
      <c r="E13" s="165"/>
      <c r="F13" s="165" t="s">
        <v>1447</v>
      </c>
      <c r="G13" s="165" t="s">
        <v>1449</v>
      </c>
      <c r="H13" s="329">
        <v>43314</v>
      </c>
      <c r="I13" s="165"/>
      <c r="J13" s="165"/>
      <c r="K13" s="165"/>
      <c r="L13" s="165"/>
      <c r="M13" s="165"/>
      <c r="N13" s="165">
        <v>1</v>
      </c>
      <c r="O13" s="165"/>
      <c r="P13" s="344">
        <f t="shared" ref="P13:P76" si="1">SUM(I13:O13)</f>
        <v>1</v>
      </c>
      <c r="Q13" s="165">
        <v>1</v>
      </c>
      <c r="R13" s="165"/>
      <c r="S13" s="165" t="s">
        <v>1484</v>
      </c>
      <c r="T13" s="330"/>
    </row>
    <row r="14" spans="1:23" x14ac:dyDescent="0.2">
      <c r="A14" s="165"/>
      <c r="B14" s="165" t="s">
        <v>1485</v>
      </c>
      <c r="C14" s="165" t="s">
        <v>1451</v>
      </c>
      <c r="D14" s="165"/>
      <c r="E14" s="165"/>
      <c r="F14" s="165" t="s">
        <v>1447</v>
      </c>
      <c r="G14" s="165" t="s">
        <v>1449</v>
      </c>
      <c r="H14" s="329">
        <v>43347</v>
      </c>
      <c r="I14" s="165"/>
      <c r="J14" s="165"/>
      <c r="K14" s="165"/>
      <c r="L14" s="165"/>
      <c r="M14" s="165"/>
      <c r="N14" s="165">
        <v>1</v>
      </c>
      <c r="O14" s="165"/>
      <c r="P14" s="344">
        <f>SUM(I14:O14)</f>
        <v>1</v>
      </c>
      <c r="Q14" s="165">
        <v>1</v>
      </c>
      <c r="R14" s="165"/>
      <c r="S14" s="165" t="s">
        <v>1484</v>
      </c>
      <c r="T14" s="330"/>
    </row>
    <row r="15" spans="1:23" x14ac:dyDescent="0.2">
      <c r="A15" s="165"/>
      <c r="B15" s="165" t="s">
        <v>1486</v>
      </c>
      <c r="C15" s="165" t="s">
        <v>1482</v>
      </c>
      <c r="D15" s="165"/>
      <c r="E15" s="165"/>
      <c r="F15" s="165" t="s">
        <v>1447</v>
      </c>
      <c r="G15" s="165" t="s">
        <v>1449</v>
      </c>
      <c r="H15" s="361">
        <v>43445</v>
      </c>
      <c r="I15" s="165"/>
      <c r="J15" s="165"/>
      <c r="K15" s="165"/>
      <c r="L15" s="165"/>
      <c r="M15" s="165"/>
      <c r="N15" s="165">
        <v>1</v>
      </c>
      <c r="O15" s="165"/>
      <c r="P15" s="344">
        <f>SUM(I15:O15)</f>
        <v>1</v>
      </c>
      <c r="Q15" s="165">
        <v>1</v>
      </c>
      <c r="R15" s="165"/>
      <c r="S15" s="165" t="s">
        <v>1484</v>
      </c>
      <c r="T15" s="330"/>
    </row>
    <row r="16" spans="1:23" ht="25.5" x14ac:dyDescent="0.2">
      <c r="A16" s="165"/>
      <c r="B16" s="165" t="s">
        <v>1423</v>
      </c>
      <c r="C16" s="165" t="s">
        <v>1387</v>
      </c>
      <c r="D16" s="165"/>
      <c r="E16" s="165"/>
      <c r="F16" s="165" t="s">
        <v>1447</v>
      </c>
      <c r="G16" s="165" t="s">
        <v>1449</v>
      </c>
      <c r="H16" s="329">
        <v>43234</v>
      </c>
      <c r="I16" s="165"/>
      <c r="J16" s="165"/>
      <c r="K16" s="165"/>
      <c r="L16" s="165"/>
      <c r="M16" s="165"/>
      <c r="N16" s="165">
        <v>1</v>
      </c>
      <c r="O16" s="165"/>
      <c r="P16" s="344">
        <f t="shared" si="1"/>
        <v>1</v>
      </c>
      <c r="Q16" s="165">
        <v>1</v>
      </c>
      <c r="R16" s="165"/>
      <c r="S16" s="165" t="s">
        <v>1484</v>
      </c>
      <c r="T16" s="330"/>
    </row>
    <row r="17" spans="1:20" ht="25.5" x14ac:dyDescent="0.2">
      <c r="A17" s="165"/>
      <c r="B17" s="165" t="s">
        <v>1407</v>
      </c>
      <c r="C17" s="165" t="s">
        <v>1452</v>
      </c>
      <c r="D17" s="165"/>
      <c r="E17" s="165"/>
      <c r="F17" s="165" t="s">
        <v>1446</v>
      </c>
      <c r="G17" s="165" t="s">
        <v>1449</v>
      </c>
      <c r="H17" s="329">
        <v>43159</v>
      </c>
      <c r="I17" s="165"/>
      <c r="J17" s="165"/>
      <c r="K17" s="165"/>
      <c r="L17" s="165"/>
      <c r="M17" s="165"/>
      <c r="N17" s="165"/>
      <c r="O17" s="165">
        <v>1</v>
      </c>
      <c r="P17" s="344">
        <f t="shared" si="1"/>
        <v>1</v>
      </c>
      <c r="Q17" s="165">
        <v>1</v>
      </c>
      <c r="R17" s="165"/>
      <c r="S17" s="165" t="s">
        <v>1484</v>
      </c>
      <c r="T17" s="330"/>
    </row>
    <row r="18" spans="1:20" ht="25.5" x14ac:dyDescent="0.2">
      <c r="A18" s="165"/>
      <c r="B18" s="165" t="s">
        <v>1421</v>
      </c>
      <c r="C18" s="165" t="s">
        <v>1453</v>
      </c>
      <c r="D18" s="165"/>
      <c r="E18" s="165"/>
      <c r="F18" s="165" t="s">
        <v>1446</v>
      </c>
      <c r="G18" s="165" t="s">
        <v>1449</v>
      </c>
      <c r="H18" s="329">
        <v>43194</v>
      </c>
      <c r="I18" s="165"/>
      <c r="J18" s="165"/>
      <c r="K18" s="165"/>
      <c r="L18" s="165"/>
      <c r="M18" s="165"/>
      <c r="N18" s="165"/>
      <c r="O18" s="165">
        <v>1</v>
      </c>
      <c r="P18" s="344">
        <f t="shared" si="1"/>
        <v>1</v>
      </c>
      <c r="Q18" s="165">
        <v>1</v>
      </c>
      <c r="R18" s="165"/>
      <c r="S18" s="165" t="s">
        <v>1484</v>
      </c>
      <c r="T18" s="330"/>
    </row>
    <row r="19" spans="1:20" ht="25.5" x14ac:dyDescent="0.2">
      <c r="A19" s="165"/>
      <c r="B19" s="165" t="s">
        <v>1406</v>
      </c>
      <c r="C19" s="165" t="s">
        <v>1454</v>
      </c>
      <c r="D19" s="165"/>
      <c r="E19" s="165"/>
      <c r="F19" s="165" t="s">
        <v>1446</v>
      </c>
      <c r="G19" s="165" t="s">
        <v>1449</v>
      </c>
      <c r="H19" s="329">
        <v>43159</v>
      </c>
      <c r="I19" s="165"/>
      <c r="J19" s="165"/>
      <c r="K19" s="165"/>
      <c r="L19" s="165"/>
      <c r="M19" s="165"/>
      <c r="N19" s="165"/>
      <c r="O19" s="165">
        <v>1</v>
      </c>
      <c r="P19" s="344">
        <f t="shared" si="1"/>
        <v>1</v>
      </c>
      <c r="Q19" s="165">
        <v>1</v>
      </c>
      <c r="R19" s="165"/>
      <c r="S19" s="165" t="s">
        <v>1484</v>
      </c>
      <c r="T19" s="330"/>
    </row>
    <row r="20" spans="1:20" s="258" customFormat="1" ht="25.5" x14ac:dyDescent="0.2">
      <c r="A20" s="165"/>
      <c r="B20" s="165" t="s">
        <v>1436</v>
      </c>
      <c r="C20" s="165" t="s">
        <v>1455</v>
      </c>
      <c r="D20" s="165"/>
      <c r="E20" s="165"/>
      <c r="F20" s="165" t="s">
        <v>1446</v>
      </c>
      <c r="G20" s="165" t="s">
        <v>1449</v>
      </c>
      <c r="H20" s="329">
        <v>43189</v>
      </c>
      <c r="I20" s="165"/>
      <c r="J20" s="165"/>
      <c r="K20" s="165"/>
      <c r="L20" s="165"/>
      <c r="M20" s="165"/>
      <c r="N20" s="165"/>
      <c r="O20" s="165">
        <v>1</v>
      </c>
      <c r="P20" s="344">
        <f t="shared" si="1"/>
        <v>1</v>
      </c>
      <c r="Q20" s="165">
        <v>1</v>
      </c>
      <c r="R20" s="165"/>
      <c r="S20" s="165" t="s">
        <v>1484</v>
      </c>
      <c r="T20" s="330"/>
    </row>
    <row r="21" spans="1:20" s="258" customFormat="1" ht="25.5" x14ac:dyDescent="0.2">
      <c r="A21" s="165"/>
      <c r="B21" s="165" t="s">
        <v>1435</v>
      </c>
      <c r="C21" s="165" t="s">
        <v>1456</v>
      </c>
      <c r="D21" s="165"/>
      <c r="E21" s="165"/>
      <c r="F21" s="165" t="s">
        <v>1446</v>
      </c>
      <c r="G21" s="165" t="s">
        <v>1449</v>
      </c>
      <c r="H21" s="329">
        <v>43189</v>
      </c>
      <c r="I21" s="165"/>
      <c r="J21" s="165"/>
      <c r="K21" s="165"/>
      <c r="L21" s="165"/>
      <c r="M21" s="165"/>
      <c r="N21" s="165"/>
      <c r="O21" s="165">
        <v>1</v>
      </c>
      <c r="P21" s="344">
        <f t="shared" si="1"/>
        <v>1</v>
      </c>
      <c r="Q21" s="165">
        <v>1</v>
      </c>
      <c r="R21" s="165"/>
      <c r="S21" s="165" t="s">
        <v>1484</v>
      </c>
      <c r="T21" s="330"/>
    </row>
    <row r="22" spans="1:20" s="258" customFormat="1" ht="25.5" x14ac:dyDescent="0.2">
      <c r="A22" s="165"/>
      <c r="B22" s="165" t="s">
        <v>1433</v>
      </c>
      <c r="C22" s="165" t="s">
        <v>1457</v>
      </c>
      <c r="D22" s="165"/>
      <c r="E22" s="165"/>
      <c r="F22" s="165" t="s">
        <v>1446</v>
      </c>
      <c r="G22" s="165" t="s">
        <v>1449</v>
      </c>
      <c r="H22" s="329">
        <v>43189</v>
      </c>
      <c r="I22" s="165"/>
      <c r="J22" s="165"/>
      <c r="K22" s="165"/>
      <c r="L22" s="165"/>
      <c r="M22" s="165"/>
      <c r="N22" s="165"/>
      <c r="O22" s="165">
        <v>1</v>
      </c>
      <c r="P22" s="344">
        <f t="shared" si="1"/>
        <v>1</v>
      </c>
      <c r="Q22" s="165">
        <v>1</v>
      </c>
      <c r="R22" s="165"/>
      <c r="S22" s="165" t="s">
        <v>1484</v>
      </c>
      <c r="T22" s="330"/>
    </row>
    <row r="23" spans="1:20" s="258" customFormat="1" ht="25.5" x14ac:dyDescent="0.2">
      <c r="A23" s="165"/>
      <c r="B23" s="165" t="s">
        <v>1440</v>
      </c>
      <c r="C23" s="165" t="s">
        <v>1458</v>
      </c>
      <c r="D23" s="165"/>
      <c r="E23" s="165"/>
      <c r="F23" s="165" t="s">
        <v>1446</v>
      </c>
      <c r="G23" s="165" t="s">
        <v>1449</v>
      </c>
      <c r="H23" s="329">
        <v>43189</v>
      </c>
      <c r="I23" s="165"/>
      <c r="J23" s="165"/>
      <c r="K23" s="165"/>
      <c r="L23" s="165"/>
      <c r="M23" s="165"/>
      <c r="N23" s="165"/>
      <c r="O23" s="165">
        <v>1</v>
      </c>
      <c r="P23" s="344">
        <f t="shared" si="1"/>
        <v>1</v>
      </c>
      <c r="Q23" s="165">
        <v>1</v>
      </c>
      <c r="R23" s="165"/>
      <c r="S23" s="165" t="s">
        <v>1484</v>
      </c>
      <c r="T23" s="330"/>
    </row>
    <row r="24" spans="1:20" s="258" customFormat="1" ht="25.5" x14ac:dyDescent="0.2">
      <c r="A24" s="165"/>
      <c r="B24" s="165" t="s">
        <v>1439</v>
      </c>
      <c r="C24" s="165" t="s">
        <v>1459</v>
      </c>
      <c r="D24" s="165"/>
      <c r="E24" s="165"/>
      <c r="F24" s="165" t="s">
        <v>1446</v>
      </c>
      <c r="G24" s="165" t="s">
        <v>1449</v>
      </c>
      <c r="H24" s="329">
        <v>43200</v>
      </c>
      <c r="I24" s="165"/>
      <c r="J24" s="165"/>
      <c r="K24" s="165"/>
      <c r="L24" s="165"/>
      <c r="M24" s="165"/>
      <c r="N24" s="165"/>
      <c r="O24" s="165">
        <v>1</v>
      </c>
      <c r="P24" s="344">
        <f t="shared" si="1"/>
        <v>1</v>
      </c>
      <c r="Q24" s="165">
        <v>1</v>
      </c>
      <c r="R24" s="165"/>
      <c r="S24" s="165" t="s">
        <v>1484</v>
      </c>
      <c r="T24" s="330"/>
    </row>
    <row r="25" spans="1:20" s="258" customFormat="1" ht="25.5" x14ac:dyDescent="0.2">
      <c r="A25" s="165"/>
      <c r="B25" s="165" t="s">
        <v>1438</v>
      </c>
      <c r="C25" s="165" t="s">
        <v>1460</v>
      </c>
      <c r="D25" s="165"/>
      <c r="E25" s="165"/>
      <c r="F25" s="165" t="s">
        <v>1446</v>
      </c>
      <c r="G25" s="165" t="s">
        <v>1449</v>
      </c>
      <c r="H25" s="329">
        <v>43189</v>
      </c>
      <c r="I25" s="165"/>
      <c r="J25" s="165"/>
      <c r="K25" s="165"/>
      <c r="L25" s="165"/>
      <c r="M25" s="165"/>
      <c r="N25" s="165"/>
      <c r="O25" s="165">
        <v>1</v>
      </c>
      <c r="P25" s="344">
        <f t="shared" si="1"/>
        <v>1</v>
      </c>
      <c r="Q25" s="165">
        <v>1</v>
      </c>
      <c r="R25" s="165"/>
      <c r="S25" s="165" t="s">
        <v>1484</v>
      </c>
      <c r="T25" s="330"/>
    </row>
    <row r="26" spans="1:20" s="258" customFormat="1" x14ac:dyDescent="0.2">
      <c r="A26" s="165"/>
      <c r="B26" s="165" t="s">
        <v>1443</v>
      </c>
      <c r="C26" s="165" t="s">
        <v>1461</v>
      </c>
      <c r="D26" s="165"/>
      <c r="E26" s="165"/>
      <c r="F26" s="165" t="s">
        <v>1446</v>
      </c>
      <c r="G26" s="165" t="s">
        <v>1449</v>
      </c>
      <c r="H26" s="329">
        <v>43189</v>
      </c>
      <c r="I26" s="165"/>
      <c r="J26" s="165"/>
      <c r="K26" s="165"/>
      <c r="L26" s="165"/>
      <c r="M26" s="165"/>
      <c r="N26" s="165"/>
      <c r="O26" s="165">
        <v>1</v>
      </c>
      <c r="P26" s="344">
        <f t="shared" si="1"/>
        <v>1</v>
      </c>
      <c r="Q26" s="165">
        <v>1</v>
      </c>
      <c r="R26" s="165"/>
      <c r="S26" s="165" t="s">
        <v>1484</v>
      </c>
      <c r="T26" s="330"/>
    </row>
    <row r="27" spans="1:20" s="258" customFormat="1" ht="25.5" x14ac:dyDescent="0.2">
      <c r="A27" s="165"/>
      <c r="B27" s="165" t="s">
        <v>1444</v>
      </c>
      <c r="C27" s="165" t="s">
        <v>1462</v>
      </c>
      <c r="D27" s="165"/>
      <c r="E27" s="165"/>
      <c r="F27" s="165" t="s">
        <v>1446</v>
      </c>
      <c r="G27" s="165" t="s">
        <v>1449</v>
      </c>
      <c r="H27" s="329">
        <v>43189</v>
      </c>
      <c r="I27" s="165"/>
      <c r="J27" s="165"/>
      <c r="K27" s="165"/>
      <c r="L27" s="165"/>
      <c r="M27" s="165"/>
      <c r="N27" s="165"/>
      <c r="O27" s="165">
        <v>1</v>
      </c>
      <c r="P27" s="344">
        <f t="shared" si="1"/>
        <v>1</v>
      </c>
      <c r="Q27" s="165">
        <v>1</v>
      </c>
      <c r="R27" s="165"/>
      <c r="S27" s="165" t="s">
        <v>1484</v>
      </c>
      <c r="T27" s="330"/>
    </row>
    <row r="28" spans="1:20" s="258" customFormat="1" x14ac:dyDescent="0.2">
      <c r="A28" s="165"/>
      <c r="B28" s="165" t="s">
        <v>1434</v>
      </c>
      <c r="C28" s="331" t="s">
        <v>1463</v>
      </c>
      <c r="D28" s="165"/>
      <c r="E28" s="165"/>
      <c r="F28" s="165" t="s">
        <v>1446</v>
      </c>
      <c r="G28" s="165" t="s">
        <v>1449</v>
      </c>
      <c r="H28" s="329">
        <v>43189</v>
      </c>
      <c r="I28" s="165"/>
      <c r="J28" s="165"/>
      <c r="K28" s="165"/>
      <c r="L28" s="165"/>
      <c r="M28" s="165"/>
      <c r="N28" s="165"/>
      <c r="O28" s="165">
        <v>1</v>
      </c>
      <c r="P28" s="344">
        <f t="shared" si="1"/>
        <v>1</v>
      </c>
      <c r="Q28" s="165">
        <v>1</v>
      </c>
      <c r="R28" s="165"/>
      <c r="S28" s="165" t="s">
        <v>1484</v>
      </c>
      <c r="T28" s="330"/>
    </row>
    <row r="29" spans="1:20" s="258" customFormat="1" x14ac:dyDescent="0.2">
      <c r="A29" s="165"/>
      <c r="B29" s="165" t="s">
        <v>1422</v>
      </c>
      <c r="C29" s="331" t="s">
        <v>1464</v>
      </c>
      <c r="D29" s="165"/>
      <c r="E29" s="165"/>
      <c r="F29" s="165" t="s">
        <v>1446</v>
      </c>
      <c r="G29" s="165" t="s">
        <v>1449</v>
      </c>
      <c r="H29" s="329">
        <v>43210</v>
      </c>
      <c r="I29" s="165"/>
      <c r="J29" s="165"/>
      <c r="K29" s="165"/>
      <c r="L29" s="165"/>
      <c r="M29" s="165"/>
      <c r="N29" s="165"/>
      <c r="O29" s="165">
        <v>1</v>
      </c>
      <c r="P29" s="344">
        <f t="shared" si="1"/>
        <v>1</v>
      </c>
      <c r="Q29" s="165">
        <v>1</v>
      </c>
      <c r="R29" s="165"/>
      <c r="S29" s="165" t="s">
        <v>1484</v>
      </c>
      <c r="T29" s="330"/>
    </row>
    <row r="30" spans="1:20" s="258" customFormat="1" x14ac:dyDescent="0.2">
      <c r="A30" s="165"/>
      <c r="B30" s="165" t="s">
        <v>1512</v>
      </c>
      <c r="C30" s="331" t="s">
        <v>1465</v>
      </c>
      <c r="D30" s="165"/>
      <c r="E30" s="165"/>
      <c r="F30" s="165" t="s">
        <v>1446</v>
      </c>
      <c r="G30" s="165" t="s">
        <v>1449</v>
      </c>
      <c r="H30" s="329">
        <v>43382</v>
      </c>
      <c r="I30" s="165"/>
      <c r="J30" s="165"/>
      <c r="K30" s="165"/>
      <c r="L30" s="165"/>
      <c r="M30" s="165"/>
      <c r="N30" s="165"/>
      <c r="O30" s="165">
        <v>1</v>
      </c>
      <c r="P30" s="344">
        <f t="shared" si="1"/>
        <v>1</v>
      </c>
      <c r="Q30" s="165">
        <v>1</v>
      </c>
      <c r="R30" s="165"/>
      <c r="S30" s="165" t="s">
        <v>1484</v>
      </c>
      <c r="T30" s="330"/>
    </row>
    <row r="31" spans="1:20" s="258" customFormat="1" x14ac:dyDescent="0.2">
      <c r="A31" s="165"/>
      <c r="B31" s="165" t="s">
        <v>1424</v>
      </c>
      <c r="C31" s="331" t="s">
        <v>1466</v>
      </c>
      <c r="D31" s="165"/>
      <c r="E31" s="165"/>
      <c r="F31" s="165" t="s">
        <v>1446</v>
      </c>
      <c r="G31" s="165" t="s">
        <v>1449</v>
      </c>
      <c r="H31" s="329">
        <v>43249</v>
      </c>
      <c r="I31" s="165"/>
      <c r="J31" s="165"/>
      <c r="K31" s="165"/>
      <c r="L31" s="165"/>
      <c r="M31" s="165"/>
      <c r="N31" s="165"/>
      <c r="O31" s="165">
        <v>1</v>
      </c>
      <c r="P31" s="344">
        <f t="shared" si="1"/>
        <v>1</v>
      </c>
      <c r="Q31" s="165">
        <v>1</v>
      </c>
      <c r="R31" s="165"/>
      <c r="S31" s="165" t="s">
        <v>1484</v>
      </c>
      <c r="T31" s="330"/>
    </row>
    <row r="32" spans="1:20" s="258" customFormat="1" x14ac:dyDescent="0.2">
      <c r="A32" s="165"/>
      <c r="B32" s="165" t="s">
        <v>1425</v>
      </c>
      <c r="C32" s="331" t="s">
        <v>1467</v>
      </c>
      <c r="D32" s="165"/>
      <c r="E32" s="165"/>
      <c r="F32" s="165" t="s">
        <v>1446</v>
      </c>
      <c r="G32" s="165" t="s">
        <v>1449</v>
      </c>
      <c r="H32" s="329">
        <v>43288</v>
      </c>
      <c r="I32" s="165"/>
      <c r="J32" s="165"/>
      <c r="K32" s="165"/>
      <c r="L32" s="165"/>
      <c r="M32" s="165"/>
      <c r="N32" s="165"/>
      <c r="O32" s="165">
        <v>1</v>
      </c>
      <c r="P32" s="344">
        <f t="shared" si="1"/>
        <v>1</v>
      </c>
      <c r="Q32" s="165">
        <v>1</v>
      </c>
      <c r="R32" s="165"/>
      <c r="S32" s="165" t="s">
        <v>1484</v>
      </c>
      <c r="T32" s="330"/>
    </row>
    <row r="33" spans="1:20" s="258" customFormat="1" x14ac:dyDescent="0.2">
      <c r="A33" s="165"/>
      <c r="B33" s="165" t="s">
        <v>1487</v>
      </c>
      <c r="C33" s="331" t="s">
        <v>1468</v>
      </c>
      <c r="D33" s="165"/>
      <c r="E33" s="165"/>
      <c r="F33" s="165" t="s">
        <v>1446</v>
      </c>
      <c r="G33" s="165" t="s">
        <v>1449</v>
      </c>
      <c r="H33" s="329">
        <v>43316</v>
      </c>
      <c r="I33" s="165"/>
      <c r="J33" s="165"/>
      <c r="K33" s="165"/>
      <c r="L33" s="165"/>
      <c r="M33" s="165"/>
      <c r="N33" s="165"/>
      <c r="O33" s="165">
        <v>1</v>
      </c>
      <c r="P33" s="344">
        <f t="shared" si="1"/>
        <v>1</v>
      </c>
      <c r="Q33" s="165">
        <v>1</v>
      </c>
      <c r="R33" s="165"/>
      <c r="S33" s="165" t="s">
        <v>1484</v>
      </c>
      <c r="T33" s="330"/>
    </row>
    <row r="34" spans="1:20" s="258" customFormat="1" x14ac:dyDescent="0.2">
      <c r="A34" s="165"/>
      <c r="B34" s="331" t="s">
        <v>1427</v>
      </c>
      <c r="C34" s="331" t="s">
        <v>1469</v>
      </c>
      <c r="D34" s="165"/>
      <c r="E34" s="165"/>
      <c r="F34" s="165" t="s">
        <v>1446</v>
      </c>
      <c r="G34" s="165" t="s">
        <v>1449</v>
      </c>
      <c r="H34" s="329">
        <v>43271</v>
      </c>
      <c r="I34" s="165"/>
      <c r="J34" s="165"/>
      <c r="K34" s="165"/>
      <c r="L34" s="165"/>
      <c r="M34" s="165"/>
      <c r="N34" s="165"/>
      <c r="O34" s="165">
        <v>1</v>
      </c>
      <c r="P34" s="344">
        <f t="shared" si="1"/>
        <v>1</v>
      </c>
      <c r="Q34" s="165">
        <v>1</v>
      </c>
      <c r="R34" s="165"/>
      <c r="S34" s="165" t="s">
        <v>1484</v>
      </c>
      <c r="T34" s="330"/>
    </row>
    <row r="35" spans="1:20" s="258" customFormat="1" x14ac:dyDescent="0.2">
      <c r="A35" s="165"/>
      <c r="B35" s="331" t="s">
        <v>1489</v>
      </c>
      <c r="C35" s="331" t="s">
        <v>1470</v>
      </c>
      <c r="D35" s="165"/>
      <c r="E35" s="165"/>
      <c r="F35" s="165" t="s">
        <v>1446</v>
      </c>
      <c r="G35" s="165" t="s">
        <v>1449</v>
      </c>
      <c r="H35" s="329">
        <v>43341</v>
      </c>
      <c r="I35" s="165"/>
      <c r="J35" s="165"/>
      <c r="K35" s="165"/>
      <c r="L35" s="165"/>
      <c r="M35" s="165"/>
      <c r="N35" s="165"/>
      <c r="O35" s="165">
        <v>1</v>
      </c>
      <c r="P35" s="344">
        <f t="shared" si="1"/>
        <v>1</v>
      </c>
      <c r="Q35" s="165">
        <v>1</v>
      </c>
      <c r="R35" s="165"/>
      <c r="S35" s="165" t="s">
        <v>1484</v>
      </c>
      <c r="T35" s="330"/>
    </row>
    <row r="36" spans="1:20" s="258" customFormat="1" x14ac:dyDescent="0.2">
      <c r="A36" s="165"/>
      <c r="B36" s="331" t="s">
        <v>1490</v>
      </c>
      <c r="C36" s="331" t="s">
        <v>1471</v>
      </c>
      <c r="D36" s="165"/>
      <c r="E36" s="165"/>
      <c r="F36" s="165" t="s">
        <v>1446</v>
      </c>
      <c r="G36" s="165" t="s">
        <v>1449</v>
      </c>
      <c r="H36" s="329">
        <v>43434</v>
      </c>
      <c r="I36" s="165"/>
      <c r="J36" s="165"/>
      <c r="K36" s="165"/>
      <c r="L36" s="165"/>
      <c r="M36" s="165"/>
      <c r="N36" s="165"/>
      <c r="O36" s="165">
        <v>1</v>
      </c>
      <c r="P36" s="344">
        <f t="shared" si="1"/>
        <v>1</v>
      </c>
      <c r="Q36" s="165">
        <v>1</v>
      </c>
      <c r="R36" s="165"/>
      <c r="S36" s="165" t="s">
        <v>1484</v>
      </c>
      <c r="T36" s="330"/>
    </row>
    <row r="37" spans="1:20" s="259" customFormat="1" x14ac:dyDescent="0.2">
      <c r="A37" s="331"/>
      <c r="B37" s="331" t="s">
        <v>1491</v>
      </c>
      <c r="C37" s="331" t="s">
        <v>1488</v>
      </c>
      <c r="D37" s="331"/>
      <c r="E37" s="331"/>
      <c r="F37" s="331" t="s">
        <v>1446</v>
      </c>
      <c r="G37" s="165" t="s">
        <v>1449</v>
      </c>
      <c r="H37" s="329">
        <v>43362</v>
      </c>
      <c r="I37" s="331"/>
      <c r="J37" s="331"/>
      <c r="K37" s="331"/>
      <c r="L37" s="331"/>
      <c r="M37" s="331"/>
      <c r="N37" s="331"/>
      <c r="O37" s="331">
        <v>1</v>
      </c>
      <c r="P37" s="344">
        <f t="shared" si="1"/>
        <v>1</v>
      </c>
      <c r="Q37" s="165">
        <v>1</v>
      </c>
      <c r="R37" s="165"/>
      <c r="S37" s="165" t="s">
        <v>1484</v>
      </c>
      <c r="T37" s="332"/>
    </row>
    <row r="38" spans="1:20" s="259" customFormat="1" x14ac:dyDescent="0.2">
      <c r="A38" s="331"/>
      <c r="B38" s="331" t="s">
        <v>1492</v>
      </c>
      <c r="C38" s="331" t="s">
        <v>1472</v>
      </c>
      <c r="D38" s="331"/>
      <c r="E38" s="331"/>
      <c r="F38" s="331" t="s">
        <v>1446</v>
      </c>
      <c r="G38" s="165" t="s">
        <v>1449</v>
      </c>
      <c r="H38" s="329">
        <v>43179</v>
      </c>
      <c r="I38" s="331"/>
      <c r="J38" s="331"/>
      <c r="K38" s="331"/>
      <c r="L38" s="331"/>
      <c r="M38" s="331"/>
      <c r="N38" s="331"/>
      <c r="O38" s="331">
        <v>1</v>
      </c>
      <c r="P38" s="344">
        <f t="shared" si="1"/>
        <v>1</v>
      </c>
      <c r="Q38" s="165">
        <v>1</v>
      </c>
      <c r="R38" s="165"/>
      <c r="S38" s="165" t="s">
        <v>1484</v>
      </c>
      <c r="T38" s="332"/>
    </row>
    <row r="39" spans="1:20" s="259" customFormat="1" x14ac:dyDescent="0.2">
      <c r="A39" s="331"/>
      <c r="B39" s="331" t="s">
        <v>1493</v>
      </c>
      <c r="C39" s="331" t="s">
        <v>1473</v>
      </c>
      <c r="D39" s="331"/>
      <c r="E39" s="331"/>
      <c r="F39" s="331" t="s">
        <v>1446</v>
      </c>
      <c r="G39" s="165" t="s">
        <v>1449</v>
      </c>
      <c r="H39" s="329">
        <v>43405</v>
      </c>
      <c r="I39" s="331"/>
      <c r="J39" s="331"/>
      <c r="K39" s="331"/>
      <c r="L39" s="331"/>
      <c r="M39" s="331"/>
      <c r="N39" s="331"/>
      <c r="O39" s="331">
        <v>1</v>
      </c>
      <c r="P39" s="344">
        <f t="shared" si="1"/>
        <v>1</v>
      </c>
      <c r="Q39" s="165">
        <v>1</v>
      </c>
      <c r="R39" s="165"/>
      <c r="S39" s="165" t="s">
        <v>1484</v>
      </c>
      <c r="T39" s="332"/>
    </row>
    <row r="40" spans="1:20" s="259" customFormat="1" x14ac:dyDescent="0.2">
      <c r="A40" s="331"/>
      <c r="B40" s="331" t="s">
        <v>1494</v>
      </c>
      <c r="C40" s="331" t="s">
        <v>1474</v>
      </c>
      <c r="D40" s="331"/>
      <c r="E40" s="331"/>
      <c r="F40" s="331" t="s">
        <v>1446</v>
      </c>
      <c r="G40" s="165" t="s">
        <v>1449</v>
      </c>
      <c r="H40" s="329">
        <v>43418</v>
      </c>
      <c r="I40" s="331"/>
      <c r="J40" s="331"/>
      <c r="K40" s="331"/>
      <c r="L40" s="331"/>
      <c r="M40" s="331"/>
      <c r="N40" s="331"/>
      <c r="O40" s="331">
        <v>1</v>
      </c>
      <c r="P40" s="344">
        <f t="shared" si="1"/>
        <v>1</v>
      </c>
      <c r="Q40" s="165">
        <v>1</v>
      </c>
      <c r="R40" s="165">
        <f t="shared" ref="R40:R89" si="2">P40-Q40</f>
        <v>0</v>
      </c>
      <c r="S40" s="165" t="s">
        <v>1484</v>
      </c>
      <c r="T40" s="332"/>
    </row>
    <row r="41" spans="1:20" s="259" customFormat="1" x14ac:dyDescent="0.2">
      <c r="A41" s="331"/>
      <c r="B41" s="331" t="s">
        <v>1500</v>
      </c>
      <c r="C41" s="331" t="s">
        <v>1495</v>
      </c>
      <c r="D41" s="331"/>
      <c r="E41" s="331"/>
      <c r="F41" s="331" t="s">
        <v>1446</v>
      </c>
      <c r="G41" s="165" t="s">
        <v>1449</v>
      </c>
      <c r="H41" s="329">
        <v>43344</v>
      </c>
      <c r="I41" s="331"/>
      <c r="J41" s="331"/>
      <c r="K41" s="331"/>
      <c r="L41" s="331"/>
      <c r="M41" s="331"/>
      <c r="N41" s="331"/>
      <c r="O41" s="331">
        <v>1</v>
      </c>
      <c r="P41" s="344">
        <f t="shared" si="1"/>
        <v>1</v>
      </c>
      <c r="Q41" s="165">
        <v>1</v>
      </c>
      <c r="R41" s="165">
        <f t="shared" si="2"/>
        <v>0</v>
      </c>
      <c r="S41" s="165" t="s">
        <v>1484</v>
      </c>
      <c r="T41" s="332"/>
    </row>
    <row r="42" spans="1:20" s="259" customFormat="1" x14ac:dyDescent="0.2">
      <c r="A42" s="331"/>
      <c r="B42" s="331" t="s">
        <v>1501</v>
      </c>
      <c r="C42" s="331" t="s">
        <v>1496</v>
      </c>
      <c r="D42" s="331"/>
      <c r="E42" s="331"/>
      <c r="F42" s="331" t="s">
        <v>1446</v>
      </c>
      <c r="G42" s="165" t="s">
        <v>1449</v>
      </c>
      <c r="H42" s="329">
        <v>43344</v>
      </c>
      <c r="I42" s="331"/>
      <c r="J42" s="331"/>
      <c r="K42" s="331"/>
      <c r="L42" s="331"/>
      <c r="M42" s="331"/>
      <c r="N42" s="331"/>
      <c r="O42" s="331">
        <v>1</v>
      </c>
      <c r="P42" s="344">
        <f t="shared" si="1"/>
        <v>1</v>
      </c>
      <c r="Q42" s="165">
        <v>1</v>
      </c>
      <c r="R42" s="165">
        <f t="shared" si="2"/>
        <v>0</v>
      </c>
      <c r="S42" s="165" t="s">
        <v>1484</v>
      </c>
      <c r="T42" s="332"/>
    </row>
    <row r="43" spans="1:20" s="259" customFormat="1" x14ac:dyDescent="0.2">
      <c r="A43" s="331"/>
      <c r="B43" s="331" t="s">
        <v>1502</v>
      </c>
      <c r="C43" s="331" t="s">
        <v>1497</v>
      </c>
      <c r="D43" s="331"/>
      <c r="E43" s="331"/>
      <c r="F43" s="331" t="s">
        <v>1446</v>
      </c>
      <c r="G43" s="165" t="s">
        <v>1449</v>
      </c>
      <c r="H43" s="329">
        <v>43344</v>
      </c>
      <c r="I43" s="331"/>
      <c r="J43" s="331"/>
      <c r="K43" s="331"/>
      <c r="L43" s="331"/>
      <c r="M43" s="331"/>
      <c r="N43" s="331"/>
      <c r="O43" s="331">
        <v>1</v>
      </c>
      <c r="P43" s="344">
        <f t="shared" si="1"/>
        <v>1</v>
      </c>
      <c r="Q43" s="165">
        <v>1</v>
      </c>
      <c r="R43" s="165">
        <f t="shared" si="2"/>
        <v>0</v>
      </c>
      <c r="S43" s="165" t="s">
        <v>1484</v>
      </c>
      <c r="T43" s="332"/>
    </row>
    <row r="44" spans="1:20" s="259" customFormat="1" x14ac:dyDescent="0.2">
      <c r="A44" s="331"/>
      <c r="B44" s="331" t="s">
        <v>1503</v>
      </c>
      <c r="C44" s="331" t="s">
        <v>1498</v>
      </c>
      <c r="D44" s="331"/>
      <c r="E44" s="331"/>
      <c r="F44" s="331" t="s">
        <v>1446</v>
      </c>
      <c r="G44" s="165" t="s">
        <v>1449</v>
      </c>
      <c r="H44" s="329">
        <v>43344</v>
      </c>
      <c r="I44" s="331"/>
      <c r="J44" s="331"/>
      <c r="K44" s="331"/>
      <c r="L44" s="331"/>
      <c r="M44" s="331"/>
      <c r="N44" s="331"/>
      <c r="O44" s="331">
        <v>1</v>
      </c>
      <c r="P44" s="344">
        <f t="shared" si="1"/>
        <v>1</v>
      </c>
      <c r="Q44" s="165">
        <v>1</v>
      </c>
      <c r="R44" s="165">
        <f t="shared" si="2"/>
        <v>0</v>
      </c>
      <c r="S44" s="165" t="s">
        <v>1484</v>
      </c>
      <c r="T44" s="332"/>
    </row>
    <row r="45" spans="1:20" s="259" customFormat="1" x14ac:dyDescent="0.2">
      <c r="A45" s="331"/>
      <c r="B45" s="331" t="s">
        <v>1504</v>
      </c>
      <c r="C45" s="331" t="s">
        <v>1499</v>
      </c>
      <c r="D45" s="331"/>
      <c r="E45" s="331"/>
      <c r="F45" s="331" t="s">
        <v>1446</v>
      </c>
      <c r="G45" s="165" t="s">
        <v>1449</v>
      </c>
      <c r="H45" s="329">
        <v>43344</v>
      </c>
      <c r="I45" s="331"/>
      <c r="J45" s="331"/>
      <c r="K45" s="331"/>
      <c r="L45" s="331"/>
      <c r="M45" s="331"/>
      <c r="N45" s="331"/>
      <c r="O45" s="331">
        <v>1</v>
      </c>
      <c r="P45" s="344">
        <f t="shared" si="1"/>
        <v>1</v>
      </c>
      <c r="Q45" s="165">
        <v>1</v>
      </c>
      <c r="R45" s="165">
        <f t="shared" si="2"/>
        <v>0</v>
      </c>
      <c r="S45" s="165" t="s">
        <v>1484</v>
      </c>
      <c r="T45" s="332"/>
    </row>
    <row r="46" spans="1:20" s="259" customFormat="1" x14ac:dyDescent="0.2">
      <c r="A46" s="331"/>
      <c r="B46" s="331" t="s">
        <v>1505</v>
      </c>
      <c r="C46" s="331" t="s">
        <v>1475</v>
      </c>
      <c r="D46" s="331"/>
      <c r="E46" s="331"/>
      <c r="F46" s="331" t="s">
        <v>1446</v>
      </c>
      <c r="G46" s="165" t="s">
        <v>1449</v>
      </c>
      <c r="H46" s="329">
        <v>43445</v>
      </c>
      <c r="I46" s="331"/>
      <c r="J46" s="331"/>
      <c r="K46" s="331"/>
      <c r="L46" s="331"/>
      <c r="M46" s="331"/>
      <c r="N46" s="331"/>
      <c r="O46" s="331">
        <v>1</v>
      </c>
      <c r="P46" s="344">
        <f t="shared" si="1"/>
        <v>1</v>
      </c>
      <c r="Q46" s="165">
        <v>1</v>
      </c>
      <c r="R46" s="165">
        <f t="shared" si="2"/>
        <v>0</v>
      </c>
      <c r="S46" s="165" t="s">
        <v>1484</v>
      </c>
      <c r="T46" s="332"/>
    </row>
    <row r="47" spans="1:20" s="259" customFormat="1" x14ac:dyDescent="0.2">
      <c r="A47" s="331"/>
      <c r="B47" s="331" t="s">
        <v>1506</v>
      </c>
      <c r="C47" s="331" t="s">
        <v>1476</v>
      </c>
      <c r="D47" s="331"/>
      <c r="E47" s="331"/>
      <c r="F47" s="331" t="s">
        <v>1446</v>
      </c>
      <c r="G47" s="165" t="s">
        <v>1449</v>
      </c>
      <c r="H47" s="329">
        <v>43445</v>
      </c>
      <c r="I47" s="331"/>
      <c r="J47" s="331"/>
      <c r="K47" s="331"/>
      <c r="L47" s="331"/>
      <c r="M47" s="331"/>
      <c r="N47" s="331"/>
      <c r="O47" s="331">
        <v>1</v>
      </c>
      <c r="P47" s="344">
        <f t="shared" si="1"/>
        <v>1</v>
      </c>
      <c r="Q47" s="165">
        <v>1</v>
      </c>
      <c r="R47" s="165">
        <f t="shared" si="2"/>
        <v>0</v>
      </c>
      <c r="S47" s="165" t="s">
        <v>1484</v>
      </c>
      <c r="T47" s="332"/>
    </row>
    <row r="48" spans="1:20" s="259" customFormat="1" x14ac:dyDescent="0.2">
      <c r="A48" s="331"/>
      <c r="B48" s="331" t="s">
        <v>1507</v>
      </c>
      <c r="C48" s="331" t="s">
        <v>1477</v>
      </c>
      <c r="D48" s="331"/>
      <c r="E48" s="331"/>
      <c r="F48" s="331" t="s">
        <v>1446</v>
      </c>
      <c r="G48" s="165" t="s">
        <v>1449</v>
      </c>
      <c r="H48" s="329">
        <v>43445</v>
      </c>
      <c r="I48" s="331"/>
      <c r="J48" s="331"/>
      <c r="K48" s="331"/>
      <c r="L48" s="331"/>
      <c r="M48" s="331"/>
      <c r="N48" s="331"/>
      <c r="O48" s="331">
        <v>1</v>
      </c>
      <c r="P48" s="344">
        <f t="shared" si="1"/>
        <v>1</v>
      </c>
      <c r="Q48" s="165">
        <v>1</v>
      </c>
      <c r="R48" s="165">
        <f t="shared" si="2"/>
        <v>0</v>
      </c>
      <c r="S48" s="165" t="s">
        <v>1484</v>
      </c>
      <c r="T48" s="332"/>
    </row>
    <row r="49" spans="1:20" s="259" customFormat="1" x14ac:dyDescent="0.2">
      <c r="A49" s="331"/>
      <c r="B49" s="331" t="s">
        <v>1508</v>
      </c>
      <c r="C49" s="331" t="s">
        <v>1478</v>
      </c>
      <c r="D49" s="331"/>
      <c r="E49" s="331"/>
      <c r="F49" s="331" t="s">
        <v>1446</v>
      </c>
      <c r="G49" s="165" t="s">
        <v>1449</v>
      </c>
      <c r="H49" s="329">
        <v>43454</v>
      </c>
      <c r="I49" s="331"/>
      <c r="J49" s="331"/>
      <c r="K49" s="331"/>
      <c r="L49" s="331"/>
      <c r="M49" s="331"/>
      <c r="N49" s="331"/>
      <c r="O49" s="331">
        <v>1</v>
      </c>
      <c r="P49" s="344">
        <f t="shared" si="1"/>
        <v>1</v>
      </c>
      <c r="Q49" s="165">
        <v>1</v>
      </c>
      <c r="R49" s="165">
        <f t="shared" si="2"/>
        <v>0</v>
      </c>
      <c r="S49" s="165" t="s">
        <v>1484</v>
      </c>
      <c r="T49" s="332"/>
    </row>
    <row r="50" spans="1:20" s="259" customFormat="1" x14ac:dyDescent="0.2">
      <c r="A50" s="331"/>
      <c r="B50" s="331" t="s">
        <v>1509</v>
      </c>
      <c r="C50" s="331" t="s">
        <v>1479</v>
      </c>
      <c r="D50" s="331"/>
      <c r="E50" s="331"/>
      <c r="F50" s="331" t="s">
        <v>1446</v>
      </c>
      <c r="G50" s="165" t="s">
        <v>1449</v>
      </c>
      <c r="H50" s="329">
        <v>43454</v>
      </c>
      <c r="I50" s="331"/>
      <c r="J50" s="331"/>
      <c r="K50" s="331"/>
      <c r="L50" s="331"/>
      <c r="M50" s="331"/>
      <c r="N50" s="331"/>
      <c r="O50" s="331">
        <v>1</v>
      </c>
      <c r="P50" s="344">
        <f t="shared" si="1"/>
        <v>1</v>
      </c>
      <c r="Q50" s="165">
        <v>1</v>
      </c>
      <c r="R50" s="165">
        <f t="shared" si="2"/>
        <v>0</v>
      </c>
      <c r="S50" s="165" t="s">
        <v>1484</v>
      </c>
      <c r="T50" s="332"/>
    </row>
    <row r="51" spans="1:20" s="259" customFormat="1" x14ac:dyDescent="0.2">
      <c r="A51" s="331"/>
      <c r="B51" s="331" t="s">
        <v>1510</v>
      </c>
      <c r="C51" s="331" t="s">
        <v>1480</v>
      </c>
      <c r="D51" s="331"/>
      <c r="E51" s="331"/>
      <c r="F51" s="331" t="s">
        <v>1446</v>
      </c>
      <c r="G51" s="165" t="s">
        <v>1449</v>
      </c>
      <c r="H51" s="329">
        <v>43454</v>
      </c>
      <c r="I51" s="331"/>
      <c r="J51" s="331"/>
      <c r="K51" s="331"/>
      <c r="L51" s="331"/>
      <c r="M51" s="331"/>
      <c r="N51" s="331"/>
      <c r="O51" s="331">
        <v>1</v>
      </c>
      <c r="P51" s="344">
        <f t="shared" si="1"/>
        <v>1</v>
      </c>
      <c r="Q51" s="165">
        <v>1</v>
      </c>
      <c r="R51" s="165">
        <f t="shared" si="2"/>
        <v>0</v>
      </c>
      <c r="S51" s="165" t="s">
        <v>1484</v>
      </c>
      <c r="T51" s="332"/>
    </row>
    <row r="52" spans="1:20" s="259" customFormat="1" x14ac:dyDescent="0.2">
      <c r="A52" s="331"/>
      <c r="B52" s="331" t="s">
        <v>1511</v>
      </c>
      <c r="C52" s="331" t="s">
        <v>1481</v>
      </c>
      <c r="D52" s="331"/>
      <c r="E52" s="331"/>
      <c r="F52" s="331" t="s">
        <v>1446</v>
      </c>
      <c r="G52" s="165" t="s">
        <v>1449</v>
      </c>
      <c r="H52" s="329">
        <v>43454</v>
      </c>
      <c r="I52" s="331"/>
      <c r="J52" s="331"/>
      <c r="K52" s="331"/>
      <c r="L52" s="331"/>
      <c r="M52" s="331"/>
      <c r="N52" s="331"/>
      <c r="O52" s="331">
        <v>1</v>
      </c>
      <c r="P52" s="344">
        <f t="shared" si="1"/>
        <v>1</v>
      </c>
      <c r="Q52" s="165">
        <v>1</v>
      </c>
      <c r="R52" s="165">
        <f t="shared" si="2"/>
        <v>0</v>
      </c>
      <c r="S52" s="165" t="s">
        <v>1484</v>
      </c>
      <c r="T52" s="332"/>
    </row>
    <row r="53" spans="1:20" s="259" customFormat="1" x14ac:dyDescent="0.2">
      <c r="A53" s="331"/>
      <c r="B53" s="331" t="s">
        <v>1514</v>
      </c>
      <c r="C53" s="331" t="s">
        <v>1513</v>
      </c>
      <c r="D53" s="331"/>
      <c r="E53" s="331"/>
      <c r="F53" s="331" t="s">
        <v>1446</v>
      </c>
      <c r="G53" s="331" t="s">
        <v>1449</v>
      </c>
      <c r="H53" s="362">
        <v>43200</v>
      </c>
      <c r="I53" s="331"/>
      <c r="J53" s="331"/>
      <c r="K53" s="331"/>
      <c r="L53" s="331"/>
      <c r="M53" s="331"/>
      <c r="N53" s="331"/>
      <c r="O53" s="331">
        <v>1</v>
      </c>
      <c r="P53" s="344">
        <f t="shared" si="1"/>
        <v>1</v>
      </c>
      <c r="Q53" s="165">
        <v>1</v>
      </c>
      <c r="R53" s="165">
        <f t="shared" si="2"/>
        <v>0</v>
      </c>
      <c r="S53" s="165" t="s">
        <v>1484</v>
      </c>
      <c r="T53" s="332"/>
    </row>
    <row r="54" spans="1:20" s="259" customFormat="1" x14ac:dyDescent="0.2">
      <c r="A54" s="331"/>
      <c r="B54" s="331" t="s">
        <v>1418</v>
      </c>
      <c r="C54" s="331" t="s">
        <v>1515</v>
      </c>
      <c r="D54" s="331"/>
      <c r="E54" s="331"/>
      <c r="F54" s="331" t="s">
        <v>1446</v>
      </c>
      <c r="G54" s="331" t="s">
        <v>1449</v>
      </c>
      <c r="H54" s="329">
        <v>43144</v>
      </c>
      <c r="I54" s="331"/>
      <c r="J54" s="331"/>
      <c r="K54" s="331"/>
      <c r="L54" s="331"/>
      <c r="M54" s="331"/>
      <c r="N54" s="331"/>
      <c r="O54" s="331">
        <v>1</v>
      </c>
      <c r="P54" s="344">
        <f t="shared" si="1"/>
        <v>1</v>
      </c>
      <c r="Q54" s="165">
        <v>1</v>
      </c>
      <c r="R54" s="165">
        <f t="shared" si="2"/>
        <v>0</v>
      </c>
      <c r="S54" s="165" t="s">
        <v>1484</v>
      </c>
      <c r="T54" s="332"/>
    </row>
    <row r="55" spans="1:20" s="259" customFormat="1" x14ac:dyDescent="0.2">
      <c r="A55" s="331"/>
      <c r="B55" s="331" t="s">
        <v>1411</v>
      </c>
      <c r="C55" s="331" t="s">
        <v>1516</v>
      </c>
      <c r="D55" s="331"/>
      <c r="E55" s="331"/>
      <c r="F55" s="331" t="s">
        <v>1446</v>
      </c>
      <c r="G55" s="331" t="s">
        <v>1449</v>
      </c>
      <c r="H55" s="329">
        <v>43144</v>
      </c>
      <c r="I55" s="331"/>
      <c r="J55" s="331"/>
      <c r="K55" s="331"/>
      <c r="L55" s="331"/>
      <c r="M55" s="331"/>
      <c r="N55" s="331"/>
      <c r="O55" s="331">
        <v>1</v>
      </c>
      <c r="P55" s="344">
        <f t="shared" si="1"/>
        <v>1</v>
      </c>
      <c r="Q55" s="165">
        <v>1</v>
      </c>
      <c r="R55" s="165">
        <f t="shared" si="2"/>
        <v>0</v>
      </c>
      <c r="S55" s="165" t="s">
        <v>1484</v>
      </c>
      <c r="T55" s="332"/>
    </row>
    <row r="56" spans="1:20" s="259" customFormat="1" x14ac:dyDescent="0.2">
      <c r="A56" s="331"/>
      <c r="B56" s="331" t="s">
        <v>1404</v>
      </c>
      <c r="C56" s="331" t="s">
        <v>1517</v>
      </c>
      <c r="D56" s="331"/>
      <c r="E56" s="331"/>
      <c r="F56" s="331" t="s">
        <v>1446</v>
      </c>
      <c r="G56" s="331" t="s">
        <v>1449</v>
      </c>
      <c r="H56" s="329">
        <v>43144</v>
      </c>
      <c r="I56" s="331"/>
      <c r="J56" s="331"/>
      <c r="K56" s="331"/>
      <c r="L56" s="331"/>
      <c r="M56" s="331"/>
      <c r="N56" s="331"/>
      <c r="O56" s="331">
        <v>1</v>
      </c>
      <c r="P56" s="344">
        <f t="shared" si="1"/>
        <v>1</v>
      </c>
      <c r="Q56" s="165">
        <v>1</v>
      </c>
      <c r="R56" s="165">
        <f t="shared" si="2"/>
        <v>0</v>
      </c>
      <c r="S56" s="165" t="s">
        <v>1484</v>
      </c>
      <c r="T56" s="332"/>
    </row>
    <row r="57" spans="1:20" s="259" customFormat="1" x14ac:dyDescent="0.2">
      <c r="A57" s="331"/>
      <c r="B57" s="331" t="s">
        <v>1410</v>
      </c>
      <c r="C57" s="331" t="s">
        <v>1518</v>
      </c>
      <c r="D57" s="331"/>
      <c r="E57" s="331"/>
      <c r="F57" s="331" t="s">
        <v>1446</v>
      </c>
      <c r="G57" s="331" t="s">
        <v>1449</v>
      </c>
      <c r="H57" s="329">
        <v>43144</v>
      </c>
      <c r="I57" s="331"/>
      <c r="J57" s="331"/>
      <c r="K57" s="331"/>
      <c r="L57" s="331"/>
      <c r="M57" s="331"/>
      <c r="N57" s="331"/>
      <c r="O57" s="331">
        <v>1</v>
      </c>
      <c r="P57" s="344">
        <f t="shared" si="1"/>
        <v>1</v>
      </c>
      <c r="Q57" s="165">
        <v>1</v>
      </c>
      <c r="R57" s="165">
        <f t="shared" si="2"/>
        <v>0</v>
      </c>
      <c r="S57" s="165" t="s">
        <v>1484</v>
      </c>
      <c r="T57" s="332"/>
    </row>
    <row r="58" spans="1:20" s="259" customFormat="1" x14ac:dyDescent="0.2">
      <c r="A58" s="331"/>
      <c r="B58" s="331" t="s">
        <v>1412</v>
      </c>
      <c r="C58" s="331" t="s">
        <v>1519</v>
      </c>
      <c r="D58" s="331"/>
      <c r="E58" s="331"/>
      <c r="F58" s="331" t="s">
        <v>1446</v>
      </c>
      <c r="G58" s="331" t="s">
        <v>1449</v>
      </c>
      <c r="H58" s="329">
        <v>43144</v>
      </c>
      <c r="I58" s="331"/>
      <c r="J58" s="331"/>
      <c r="K58" s="331"/>
      <c r="L58" s="331"/>
      <c r="M58" s="331"/>
      <c r="N58" s="331"/>
      <c r="O58" s="331">
        <v>1</v>
      </c>
      <c r="P58" s="344">
        <f t="shared" si="1"/>
        <v>1</v>
      </c>
      <c r="Q58" s="165">
        <v>1</v>
      </c>
      <c r="R58" s="165">
        <f t="shared" si="2"/>
        <v>0</v>
      </c>
      <c r="S58" s="165" t="s">
        <v>1484</v>
      </c>
      <c r="T58" s="332"/>
    </row>
    <row r="59" spans="1:20" s="259" customFormat="1" x14ac:dyDescent="0.2">
      <c r="A59" s="331"/>
      <c r="B59" s="331" t="s">
        <v>1417</v>
      </c>
      <c r="C59" s="331" t="s">
        <v>1520</v>
      </c>
      <c r="D59" s="331"/>
      <c r="E59" s="331"/>
      <c r="F59" s="331" t="s">
        <v>1446</v>
      </c>
      <c r="G59" s="331" t="s">
        <v>1449</v>
      </c>
      <c r="H59" s="329">
        <v>43144</v>
      </c>
      <c r="I59" s="331"/>
      <c r="J59" s="331"/>
      <c r="K59" s="331"/>
      <c r="L59" s="331"/>
      <c r="M59" s="331"/>
      <c r="N59" s="331"/>
      <c r="O59" s="331">
        <v>1</v>
      </c>
      <c r="P59" s="344">
        <f t="shared" si="1"/>
        <v>1</v>
      </c>
      <c r="Q59" s="165">
        <v>1</v>
      </c>
      <c r="R59" s="165">
        <f t="shared" si="2"/>
        <v>0</v>
      </c>
      <c r="S59" s="165" t="s">
        <v>1484</v>
      </c>
      <c r="T59" s="332"/>
    </row>
    <row r="60" spans="1:20" s="259" customFormat="1" x14ac:dyDescent="0.2">
      <c r="A60" s="331"/>
      <c r="B60" s="331" t="s">
        <v>1413</v>
      </c>
      <c r="C60" s="331" t="s">
        <v>1521</v>
      </c>
      <c r="D60" s="331"/>
      <c r="E60" s="331"/>
      <c r="F60" s="331" t="s">
        <v>1446</v>
      </c>
      <c r="G60" s="331" t="s">
        <v>1449</v>
      </c>
      <c r="H60" s="329">
        <v>43144</v>
      </c>
      <c r="I60" s="331"/>
      <c r="J60" s="331"/>
      <c r="K60" s="331"/>
      <c r="L60" s="331"/>
      <c r="M60" s="331"/>
      <c r="N60" s="331"/>
      <c r="O60" s="331">
        <v>1</v>
      </c>
      <c r="P60" s="344">
        <f t="shared" si="1"/>
        <v>1</v>
      </c>
      <c r="Q60" s="165">
        <v>1</v>
      </c>
      <c r="R60" s="165">
        <f t="shared" si="2"/>
        <v>0</v>
      </c>
      <c r="S60" s="165" t="s">
        <v>1484</v>
      </c>
      <c r="T60" s="332"/>
    </row>
    <row r="61" spans="1:20" s="259" customFormat="1" x14ac:dyDescent="0.2">
      <c r="A61" s="331"/>
      <c r="B61" s="331" t="s">
        <v>1415</v>
      </c>
      <c r="C61" s="331" t="s">
        <v>1522</v>
      </c>
      <c r="D61" s="331"/>
      <c r="E61" s="331"/>
      <c r="F61" s="331" t="s">
        <v>1446</v>
      </c>
      <c r="G61" s="331" t="s">
        <v>1449</v>
      </c>
      <c r="H61" s="329">
        <v>43144</v>
      </c>
      <c r="I61" s="331"/>
      <c r="J61" s="331"/>
      <c r="K61" s="331"/>
      <c r="L61" s="331"/>
      <c r="M61" s="331"/>
      <c r="N61" s="331"/>
      <c r="O61" s="331">
        <v>1</v>
      </c>
      <c r="P61" s="344">
        <f t="shared" si="1"/>
        <v>1</v>
      </c>
      <c r="Q61" s="165">
        <v>1</v>
      </c>
      <c r="R61" s="165">
        <f t="shared" si="2"/>
        <v>0</v>
      </c>
      <c r="S61" s="165" t="s">
        <v>1484</v>
      </c>
      <c r="T61" s="332"/>
    </row>
    <row r="62" spans="1:20" s="259" customFormat="1" x14ac:dyDescent="0.2">
      <c r="A62" s="331"/>
      <c r="B62" s="331" t="s">
        <v>1414</v>
      </c>
      <c r="C62" s="331" t="s">
        <v>1523</v>
      </c>
      <c r="D62" s="331"/>
      <c r="E62" s="331"/>
      <c r="F62" s="331" t="s">
        <v>1446</v>
      </c>
      <c r="G62" s="331" t="s">
        <v>1449</v>
      </c>
      <c r="H62" s="329">
        <v>43144</v>
      </c>
      <c r="I62" s="331"/>
      <c r="J62" s="331"/>
      <c r="K62" s="331"/>
      <c r="L62" s="331"/>
      <c r="M62" s="331"/>
      <c r="N62" s="331"/>
      <c r="O62" s="331">
        <v>1</v>
      </c>
      <c r="P62" s="344">
        <f t="shared" si="1"/>
        <v>1</v>
      </c>
      <c r="Q62" s="165">
        <v>1</v>
      </c>
      <c r="R62" s="165">
        <f t="shared" si="2"/>
        <v>0</v>
      </c>
      <c r="S62" s="165" t="s">
        <v>1484</v>
      </c>
      <c r="T62" s="332"/>
    </row>
    <row r="63" spans="1:20" s="259" customFormat="1" x14ac:dyDescent="0.2">
      <c r="A63" s="331"/>
      <c r="B63" s="276" t="s">
        <v>1419</v>
      </c>
      <c r="C63" s="276" t="s">
        <v>1524</v>
      </c>
      <c r="D63" s="331"/>
      <c r="E63" s="331"/>
      <c r="F63" s="331" t="s">
        <v>1446</v>
      </c>
      <c r="G63" s="331" t="s">
        <v>1449</v>
      </c>
      <c r="H63" s="329">
        <v>43144</v>
      </c>
      <c r="I63" s="331"/>
      <c r="J63" s="331"/>
      <c r="K63" s="331"/>
      <c r="L63" s="331"/>
      <c r="M63" s="331"/>
      <c r="N63" s="331"/>
      <c r="O63" s="331">
        <v>1</v>
      </c>
      <c r="P63" s="344">
        <f t="shared" si="1"/>
        <v>1</v>
      </c>
      <c r="Q63" s="165">
        <v>1</v>
      </c>
      <c r="R63" s="165">
        <f t="shared" si="2"/>
        <v>0</v>
      </c>
      <c r="S63" s="165" t="s">
        <v>1484</v>
      </c>
      <c r="T63" s="332"/>
    </row>
    <row r="64" spans="1:20" s="259" customFormat="1" x14ac:dyDescent="0.2">
      <c r="A64" s="331"/>
      <c r="B64" s="276" t="s">
        <v>1408</v>
      </c>
      <c r="C64" s="276" t="s">
        <v>1525</v>
      </c>
      <c r="D64" s="331"/>
      <c r="E64" s="331"/>
      <c r="F64" s="331" t="s">
        <v>1448</v>
      </c>
      <c r="G64" s="165" t="s">
        <v>1449</v>
      </c>
      <c r="H64" s="329">
        <v>43192</v>
      </c>
      <c r="I64" s="331"/>
      <c r="J64" s="331"/>
      <c r="K64" s="331"/>
      <c r="L64" s="331"/>
      <c r="M64" s="331"/>
      <c r="N64" s="331">
        <v>1</v>
      </c>
      <c r="O64" s="331">
        <v>1</v>
      </c>
      <c r="P64" s="344">
        <f t="shared" si="1"/>
        <v>2</v>
      </c>
      <c r="Q64" s="165">
        <v>2</v>
      </c>
      <c r="R64" s="165">
        <f t="shared" si="2"/>
        <v>0</v>
      </c>
      <c r="S64" s="165" t="s">
        <v>1484</v>
      </c>
      <c r="T64" s="332"/>
    </row>
    <row r="65" spans="1:20" s="259" customFormat="1" x14ac:dyDescent="0.2">
      <c r="A65" s="331"/>
      <c r="B65" s="165" t="s">
        <v>1396</v>
      </c>
      <c r="C65" s="165" t="s">
        <v>1385</v>
      </c>
      <c r="D65" s="165"/>
      <c r="E65" s="165"/>
      <c r="F65" s="165" t="s">
        <v>1447</v>
      </c>
      <c r="G65" s="165" t="s">
        <v>1449</v>
      </c>
      <c r="H65" s="341">
        <v>43102</v>
      </c>
      <c r="I65" s="276"/>
      <c r="J65" s="276"/>
      <c r="K65" s="276"/>
      <c r="L65" s="276"/>
      <c r="M65" s="276"/>
      <c r="N65" s="331">
        <v>1</v>
      </c>
      <c r="O65" s="331"/>
      <c r="P65" s="344">
        <f t="shared" si="1"/>
        <v>1</v>
      </c>
      <c r="Q65" s="165">
        <v>1</v>
      </c>
      <c r="R65" s="165">
        <f t="shared" si="2"/>
        <v>0</v>
      </c>
      <c r="S65" s="165" t="s">
        <v>1484</v>
      </c>
      <c r="T65" s="332"/>
    </row>
    <row r="66" spans="1:20" s="259" customFormat="1" x14ac:dyDescent="0.2">
      <c r="A66" s="331"/>
      <c r="B66" s="331" t="s">
        <v>1420</v>
      </c>
      <c r="C66" s="331" t="s">
        <v>1386</v>
      </c>
      <c r="D66" s="331"/>
      <c r="E66" s="331"/>
      <c r="F66" s="331" t="s">
        <v>1447</v>
      </c>
      <c r="G66" s="165" t="s">
        <v>1449</v>
      </c>
      <c r="H66" s="341">
        <v>43213</v>
      </c>
      <c r="I66" s="276"/>
      <c r="J66" s="276"/>
      <c r="K66" s="276"/>
      <c r="L66" s="276"/>
      <c r="M66" s="276"/>
      <c r="N66" s="276">
        <v>1</v>
      </c>
      <c r="O66" s="341"/>
      <c r="P66" s="344">
        <f t="shared" si="1"/>
        <v>1</v>
      </c>
      <c r="Q66" s="165">
        <v>1</v>
      </c>
      <c r="R66" s="165">
        <f t="shared" si="2"/>
        <v>0</v>
      </c>
      <c r="S66" s="165" t="s">
        <v>1484</v>
      </c>
      <c r="T66" s="332"/>
    </row>
    <row r="67" spans="1:20" s="259" customFormat="1" x14ac:dyDescent="0.2">
      <c r="A67" s="331"/>
      <c r="B67" s="331"/>
      <c r="C67" s="331"/>
      <c r="D67" s="331"/>
      <c r="E67" s="331"/>
      <c r="F67" s="331"/>
      <c r="G67" s="165"/>
      <c r="H67" s="341"/>
      <c r="I67" s="276"/>
      <c r="J67" s="276"/>
      <c r="K67" s="276"/>
      <c r="L67" s="276"/>
      <c r="M67" s="276"/>
      <c r="N67" s="276"/>
      <c r="O67" s="341"/>
      <c r="P67" s="344">
        <f t="shared" si="1"/>
        <v>0</v>
      </c>
      <c r="Q67" s="331"/>
      <c r="R67" s="165">
        <f t="shared" si="2"/>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2"/>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2"/>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2"/>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2"/>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2"/>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2"/>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2"/>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2"/>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2"/>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3">SUM(I77:O77)</f>
        <v>0</v>
      </c>
      <c r="Q77" s="331"/>
      <c r="R77" s="165">
        <f t="shared" si="2"/>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3"/>
        <v>0</v>
      </c>
      <c r="Q78" s="331"/>
      <c r="R78" s="165">
        <f t="shared" si="2"/>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3"/>
        <v>0</v>
      </c>
      <c r="Q79" s="331"/>
      <c r="R79" s="165">
        <f t="shared" si="2"/>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3"/>
        <v>0</v>
      </c>
      <c r="Q80" s="331"/>
      <c r="R80" s="165">
        <f t="shared" si="2"/>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3"/>
        <v>0</v>
      </c>
      <c r="Q81" s="331"/>
      <c r="R81" s="165">
        <f t="shared" si="2"/>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3"/>
        <v>0</v>
      </c>
      <c r="Q82" s="331"/>
      <c r="R82" s="165">
        <f t="shared" si="2"/>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3"/>
        <v>0</v>
      </c>
      <c r="Q83" s="331"/>
      <c r="R83" s="165">
        <f t="shared" si="2"/>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3"/>
        <v>0</v>
      </c>
      <c r="Q84" s="331"/>
      <c r="R84" s="165">
        <f t="shared" si="2"/>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3"/>
        <v>0</v>
      </c>
      <c r="Q85" s="331"/>
      <c r="R85" s="165">
        <f t="shared" si="2"/>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3"/>
        <v>0</v>
      </c>
      <c r="Q86" s="331"/>
      <c r="R86" s="165">
        <f t="shared" si="2"/>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3"/>
        <v>0</v>
      </c>
      <c r="Q87" s="331"/>
      <c r="R87" s="165">
        <f t="shared" si="2"/>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3"/>
        <v>0</v>
      </c>
      <c r="Q88" s="331"/>
      <c r="R88" s="165">
        <f t="shared" si="2"/>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3"/>
        <v>0</v>
      </c>
      <c r="Q89" s="331"/>
      <c r="R89" s="165">
        <f t="shared" si="2"/>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3"/>
        <v>0</v>
      </c>
      <c r="Q90" s="331"/>
      <c r="R90" s="165">
        <f t="shared" ref="R90:R153" si="4">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3"/>
        <v>0</v>
      </c>
      <c r="Q91" s="331"/>
      <c r="R91" s="165">
        <f t="shared" si="4"/>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3"/>
        <v>0</v>
      </c>
      <c r="Q92" s="331"/>
      <c r="R92" s="165">
        <f t="shared" si="4"/>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3"/>
        <v>0</v>
      </c>
      <c r="Q93" s="331"/>
      <c r="R93" s="165">
        <f t="shared" si="4"/>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3"/>
        <v>0</v>
      </c>
      <c r="Q94" s="331"/>
      <c r="R94" s="165">
        <f t="shared" si="4"/>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3"/>
        <v>0</v>
      </c>
      <c r="Q95" s="331"/>
      <c r="R95" s="165">
        <f t="shared" si="4"/>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3"/>
        <v>0</v>
      </c>
      <c r="Q96" s="331"/>
      <c r="R96" s="165">
        <f t="shared" si="4"/>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3"/>
        <v>0</v>
      </c>
      <c r="Q97" s="331"/>
      <c r="R97" s="165">
        <f t="shared" si="4"/>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3"/>
        <v>0</v>
      </c>
      <c r="Q98" s="331"/>
      <c r="R98" s="165">
        <f t="shared" si="4"/>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3"/>
        <v>0</v>
      </c>
      <c r="Q99" s="331"/>
      <c r="R99" s="165">
        <f t="shared" si="4"/>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3"/>
        <v>0</v>
      </c>
      <c r="Q100" s="331"/>
      <c r="R100" s="165">
        <f t="shared" si="4"/>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3"/>
        <v>0</v>
      </c>
      <c r="Q101" s="331"/>
      <c r="R101" s="165">
        <f t="shared" si="4"/>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3"/>
        <v>0</v>
      </c>
      <c r="Q102" s="331"/>
      <c r="R102" s="165">
        <f t="shared" si="4"/>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3"/>
        <v>0</v>
      </c>
      <c r="Q103" s="331"/>
      <c r="R103" s="165">
        <f t="shared" si="4"/>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3"/>
        <v>0</v>
      </c>
      <c r="Q104" s="331"/>
      <c r="R104" s="165">
        <f t="shared" si="4"/>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3"/>
        <v>0</v>
      </c>
      <c r="Q105" s="331"/>
      <c r="R105" s="165">
        <f t="shared" si="4"/>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3"/>
        <v>0</v>
      </c>
      <c r="Q106" s="331"/>
      <c r="R106" s="165">
        <f t="shared" si="4"/>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3"/>
        <v>0</v>
      </c>
      <c r="Q107" s="331"/>
      <c r="R107" s="165">
        <f t="shared" si="4"/>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3"/>
        <v>0</v>
      </c>
      <c r="Q108" s="331"/>
      <c r="R108" s="165">
        <f t="shared" si="4"/>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3"/>
        <v>0</v>
      </c>
      <c r="Q109" s="331"/>
      <c r="R109" s="165">
        <f t="shared" si="4"/>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3"/>
        <v>0</v>
      </c>
      <c r="Q110" s="331"/>
      <c r="R110" s="165">
        <f t="shared" si="4"/>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3"/>
        <v>0</v>
      </c>
      <c r="Q111" s="331"/>
      <c r="R111" s="165">
        <f t="shared" si="4"/>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3"/>
        <v>0</v>
      </c>
      <c r="Q112" s="331"/>
      <c r="R112" s="165">
        <f t="shared" si="4"/>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3"/>
        <v>0</v>
      </c>
      <c r="Q113" s="331"/>
      <c r="R113" s="165">
        <f t="shared" si="4"/>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3"/>
        <v>0</v>
      </c>
      <c r="Q114" s="331"/>
      <c r="R114" s="165">
        <f t="shared" si="4"/>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3"/>
        <v>0</v>
      </c>
      <c r="Q115" s="331"/>
      <c r="R115" s="165">
        <f t="shared" si="4"/>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3"/>
        <v>0</v>
      </c>
      <c r="Q116" s="331"/>
      <c r="R116" s="165">
        <f t="shared" si="4"/>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3"/>
        <v>0</v>
      </c>
      <c r="Q117" s="331"/>
      <c r="R117" s="165">
        <f t="shared" si="4"/>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3"/>
        <v>0</v>
      </c>
      <c r="Q118" s="331"/>
      <c r="R118" s="165">
        <f t="shared" si="4"/>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3"/>
        <v>0</v>
      </c>
      <c r="Q119" s="331"/>
      <c r="R119" s="165">
        <f t="shared" si="4"/>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3"/>
        <v>0</v>
      </c>
      <c r="Q120" s="331"/>
      <c r="R120" s="165">
        <f t="shared" si="4"/>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3"/>
        <v>0</v>
      </c>
      <c r="Q121" s="331"/>
      <c r="R121" s="165">
        <f t="shared" si="4"/>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3"/>
        <v>0</v>
      </c>
      <c r="Q122" s="331"/>
      <c r="R122" s="165">
        <f t="shared" si="4"/>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3"/>
        <v>0</v>
      </c>
      <c r="Q123" s="331"/>
      <c r="R123" s="165">
        <f t="shared" si="4"/>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3"/>
        <v>0</v>
      </c>
      <c r="Q124" s="331"/>
      <c r="R124" s="165">
        <f t="shared" si="4"/>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3"/>
        <v>0</v>
      </c>
      <c r="Q125" s="331"/>
      <c r="R125" s="165">
        <f t="shared" si="4"/>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3"/>
        <v>0</v>
      </c>
      <c r="Q126" s="331"/>
      <c r="R126" s="165">
        <f t="shared" si="4"/>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3"/>
        <v>0</v>
      </c>
      <c r="Q127" s="331"/>
      <c r="R127" s="165">
        <f t="shared" si="4"/>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3"/>
        <v>0</v>
      </c>
      <c r="Q128" s="331"/>
      <c r="R128" s="165">
        <f t="shared" si="4"/>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3"/>
        <v>0</v>
      </c>
      <c r="Q129" s="331"/>
      <c r="R129" s="165">
        <f t="shared" si="4"/>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3"/>
        <v>0</v>
      </c>
      <c r="Q130" s="331"/>
      <c r="R130" s="165">
        <f t="shared" si="4"/>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3"/>
        <v>0</v>
      </c>
      <c r="Q131" s="331"/>
      <c r="R131" s="165">
        <f t="shared" si="4"/>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3"/>
        <v>0</v>
      </c>
      <c r="Q132" s="331"/>
      <c r="R132" s="165">
        <f t="shared" si="4"/>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3"/>
        <v>0</v>
      </c>
      <c r="Q133" s="331"/>
      <c r="R133" s="165">
        <f t="shared" si="4"/>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3"/>
        <v>0</v>
      </c>
      <c r="Q134" s="331"/>
      <c r="R134" s="165">
        <f t="shared" si="4"/>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3"/>
        <v>0</v>
      </c>
      <c r="Q135" s="331"/>
      <c r="R135" s="165">
        <f t="shared" si="4"/>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3"/>
        <v>0</v>
      </c>
      <c r="Q136" s="331"/>
      <c r="R136" s="165">
        <f t="shared" si="4"/>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3"/>
        <v>0</v>
      </c>
      <c r="Q137" s="331"/>
      <c r="R137" s="165">
        <f t="shared" si="4"/>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3"/>
        <v>0</v>
      </c>
      <c r="Q138" s="331"/>
      <c r="R138" s="165">
        <f t="shared" si="4"/>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3"/>
        <v>0</v>
      </c>
      <c r="Q139" s="331"/>
      <c r="R139" s="165">
        <f t="shared" si="4"/>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3"/>
        <v>0</v>
      </c>
      <c r="Q140" s="331"/>
      <c r="R140" s="165">
        <f t="shared" si="4"/>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5">SUM(I141:O141)</f>
        <v>0</v>
      </c>
      <c r="Q141" s="331"/>
      <c r="R141" s="165">
        <f t="shared" si="4"/>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5"/>
        <v>0</v>
      </c>
      <c r="Q142" s="331"/>
      <c r="R142" s="165">
        <f t="shared" si="4"/>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5"/>
        <v>0</v>
      </c>
      <c r="Q143" s="331"/>
      <c r="R143" s="165">
        <f t="shared" si="4"/>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5"/>
        <v>0</v>
      </c>
      <c r="Q144" s="331"/>
      <c r="R144" s="165">
        <f t="shared" si="4"/>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5"/>
        <v>0</v>
      </c>
      <c r="Q145" s="331"/>
      <c r="R145" s="165">
        <f t="shared" si="4"/>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5"/>
        <v>0</v>
      </c>
      <c r="Q146" s="331"/>
      <c r="R146" s="165">
        <f t="shared" si="4"/>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5"/>
        <v>0</v>
      </c>
      <c r="Q147" s="331"/>
      <c r="R147" s="165">
        <f t="shared" si="4"/>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5"/>
        <v>0</v>
      </c>
      <c r="Q148" s="331"/>
      <c r="R148" s="165">
        <f t="shared" si="4"/>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5"/>
        <v>0</v>
      </c>
      <c r="Q149" s="331"/>
      <c r="R149" s="165">
        <f t="shared" si="4"/>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5"/>
        <v>0</v>
      </c>
      <c r="Q150" s="331"/>
      <c r="R150" s="165">
        <f t="shared" si="4"/>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5"/>
        <v>0</v>
      </c>
      <c r="Q151" s="331"/>
      <c r="R151" s="165">
        <f t="shared" si="4"/>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5"/>
        <v>0</v>
      </c>
      <c r="Q152" s="331"/>
      <c r="R152" s="165">
        <f t="shared" si="4"/>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5"/>
        <v>0</v>
      </c>
      <c r="Q153" s="331"/>
      <c r="R153" s="165">
        <f t="shared" si="4"/>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5"/>
        <v>0</v>
      </c>
      <c r="Q154" s="331"/>
      <c r="R154" s="165">
        <f t="shared" ref="R154:R217" si="6">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5"/>
        <v>0</v>
      </c>
      <c r="Q155" s="331"/>
      <c r="R155" s="165">
        <f t="shared" si="6"/>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5"/>
        <v>0</v>
      </c>
      <c r="Q156" s="331"/>
      <c r="R156" s="165">
        <f t="shared" si="6"/>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5"/>
        <v>0</v>
      </c>
      <c r="Q157" s="331"/>
      <c r="R157" s="165">
        <f t="shared" si="6"/>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5"/>
        <v>0</v>
      </c>
      <c r="Q158" s="331"/>
      <c r="R158" s="165">
        <f t="shared" si="6"/>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5"/>
        <v>0</v>
      </c>
      <c r="Q159" s="331"/>
      <c r="R159" s="165">
        <f t="shared" si="6"/>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5"/>
        <v>0</v>
      </c>
      <c r="Q160" s="331"/>
      <c r="R160" s="165">
        <f t="shared" si="6"/>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5"/>
        <v>0</v>
      </c>
      <c r="Q161" s="331"/>
      <c r="R161" s="165">
        <f t="shared" si="6"/>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5"/>
        <v>0</v>
      </c>
      <c r="Q162" s="331"/>
      <c r="R162" s="165">
        <f t="shared" si="6"/>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5"/>
        <v>0</v>
      </c>
      <c r="Q163" s="331"/>
      <c r="R163" s="165">
        <f t="shared" si="6"/>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5"/>
        <v>0</v>
      </c>
      <c r="Q164" s="331"/>
      <c r="R164" s="165">
        <f t="shared" si="6"/>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5"/>
        <v>0</v>
      </c>
      <c r="Q165" s="331"/>
      <c r="R165" s="165">
        <f t="shared" si="6"/>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5"/>
        <v>0</v>
      </c>
      <c r="Q166" s="331"/>
      <c r="R166" s="165">
        <f t="shared" si="6"/>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5"/>
        <v>0</v>
      </c>
      <c r="Q167" s="331"/>
      <c r="R167" s="165">
        <f t="shared" si="6"/>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5"/>
        <v>0</v>
      </c>
      <c r="Q168" s="331"/>
      <c r="R168" s="165">
        <f t="shared" si="6"/>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5"/>
        <v>0</v>
      </c>
      <c r="Q169" s="331"/>
      <c r="R169" s="165">
        <f t="shared" si="6"/>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5"/>
        <v>0</v>
      </c>
      <c r="Q170" s="331"/>
      <c r="R170" s="165">
        <f t="shared" si="6"/>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5"/>
        <v>0</v>
      </c>
      <c r="Q171" s="331"/>
      <c r="R171" s="165">
        <f t="shared" si="6"/>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5"/>
        <v>0</v>
      </c>
      <c r="Q172" s="331"/>
      <c r="R172" s="165">
        <f t="shared" si="6"/>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5"/>
        <v>0</v>
      </c>
      <c r="Q173" s="331"/>
      <c r="R173" s="165">
        <f t="shared" si="6"/>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5"/>
        <v>0</v>
      </c>
      <c r="Q174" s="331"/>
      <c r="R174" s="165">
        <f t="shared" si="6"/>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5"/>
        <v>0</v>
      </c>
      <c r="Q175" s="331"/>
      <c r="R175" s="165">
        <f t="shared" si="6"/>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5"/>
        <v>0</v>
      </c>
      <c r="Q176" s="331"/>
      <c r="R176" s="165">
        <f t="shared" si="6"/>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5"/>
        <v>0</v>
      </c>
      <c r="Q177" s="331"/>
      <c r="R177" s="165">
        <f t="shared" si="6"/>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5"/>
        <v>0</v>
      </c>
      <c r="Q178" s="331"/>
      <c r="R178" s="165">
        <f t="shared" si="6"/>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5"/>
        <v>0</v>
      </c>
      <c r="Q179" s="331"/>
      <c r="R179" s="165">
        <f t="shared" si="6"/>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5"/>
        <v>0</v>
      </c>
      <c r="Q180" s="331"/>
      <c r="R180" s="165">
        <f t="shared" si="6"/>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5"/>
        <v>0</v>
      </c>
      <c r="Q181" s="331"/>
      <c r="R181" s="165">
        <f t="shared" si="6"/>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5"/>
        <v>0</v>
      </c>
      <c r="Q182" s="331"/>
      <c r="R182" s="165">
        <f t="shared" si="6"/>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5"/>
        <v>0</v>
      </c>
      <c r="Q183" s="331"/>
      <c r="R183" s="165">
        <f t="shared" si="6"/>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5"/>
        <v>0</v>
      </c>
      <c r="Q184" s="331"/>
      <c r="R184" s="165">
        <f t="shared" si="6"/>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5"/>
        <v>0</v>
      </c>
      <c r="Q185" s="331"/>
      <c r="R185" s="165">
        <f t="shared" si="6"/>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5"/>
        <v>0</v>
      </c>
      <c r="Q186" s="331"/>
      <c r="R186" s="165">
        <f t="shared" si="6"/>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5"/>
        <v>0</v>
      </c>
      <c r="Q187" s="331"/>
      <c r="R187" s="165">
        <f t="shared" si="6"/>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5"/>
        <v>0</v>
      </c>
      <c r="Q188" s="331"/>
      <c r="R188" s="165">
        <f t="shared" si="6"/>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5"/>
        <v>0</v>
      </c>
      <c r="Q189" s="331"/>
      <c r="R189" s="165">
        <f t="shared" si="6"/>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5"/>
        <v>0</v>
      </c>
      <c r="Q190" s="331"/>
      <c r="R190" s="165">
        <f t="shared" si="6"/>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5"/>
        <v>0</v>
      </c>
      <c r="Q191" s="331"/>
      <c r="R191" s="165">
        <f t="shared" si="6"/>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5"/>
        <v>0</v>
      </c>
      <c r="Q192" s="331"/>
      <c r="R192" s="165">
        <f t="shared" si="6"/>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5"/>
        <v>0</v>
      </c>
      <c r="Q193" s="331"/>
      <c r="R193" s="165">
        <f t="shared" si="6"/>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5"/>
        <v>0</v>
      </c>
      <c r="Q194" s="331"/>
      <c r="R194" s="165">
        <f t="shared" si="6"/>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5"/>
        <v>0</v>
      </c>
      <c r="Q195" s="331"/>
      <c r="R195" s="165">
        <f t="shared" si="6"/>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5"/>
        <v>0</v>
      </c>
      <c r="Q196" s="331"/>
      <c r="R196" s="165">
        <f t="shared" si="6"/>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5"/>
        <v>0</v>
      </c>
      <c r="Q197" s="331"/>
      <c r="R197" s="165">
        <f t="shared" si="6"/>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5"/>
        <v>0</v>
      </c>
      <c r="Q198" s="331"/>
      <c r="R198" s="165">
        <f t="shared" si="6"/>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5"/>
        <v>0</v>
      </c>
      <c r="Q199" s="331"/>
      <c r="R199" s="165">
        <f t="shared" si="6"/>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5"/>
        <v>0</v>
      </c>
      <c r="Q200" s="331"/>
      <c r="R200" s="165">
        <f t="shared" si="6"/>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5"/>
        <v>0</v>
      </c>
      <c r="Q201" s="331"/>
      <c r="R201" s="165">
        <f t="shared" si="6"/>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5"/>
        <v>0</v>
      </c>
      <c r="Q202" s="331"/>
      <c r="R202" s="165">
        <f t="shared" si="6"/>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5"/>
        <v>0</v>
      </c>
      <c r="Q203" s="331"/>
      <c r="R203" s="165">
        <f t="shared" si="6"/>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5"/>
        <v>0</v>
      </c>
      <c r="Q204" s="331"/>
      <c r="R204" s="165">
        <f t="shared" si="6"/>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7">SUM(I205:O205)</f>
        <v>0</v>
      </c>
      <c r="Q205" s="331"/>
      <c r="R205" s="165">
        <f t="shared" si="6"/>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7"/>
        <v>0</v>
      </c>
      <c r="Q206" s="331"/>
      <c r="R206" s="165">
        <f t="shared" si="6"/>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7"/>
        <v>0</v>
      </c>
      <c r="Q207" s="331"/>
      <c r="R207" s="165">
        <f t="shared" si="6"/>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7"/>
        <v>0</v>
      </c>
      <c r="Q208" s="331"/>
      <c r="R208" s="165">
        <f t="shared" si="6"/>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7"/>
        <v>0</v>
      </c>
      <c r="Q209" s="331"/>
      <c r="R209" s="165">
        <f t="shared" si="6"/>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7"/>
        <v>0</v>
      </c>
      <c r="Q210" s="331"/>
      <c r="R210" s="165">
        <f t="shared" si="6"/>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7"/>
        <v>0</v>
      </c>
      <c r="Q211" s="331"/>
      <c r="R211" s="165">
        <f t="shared" si="6"/>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7"/>
        <v>0</v>
      </c>
      <c r="Q212" s="331"/>
      <c r="R212" s="165">
        <f t="shared" si="6"/>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7"/>
        <v>0</v>
      </c>
      <c r="Q213" s="331"/>
      <c r="R213" s="165">
        <f t="shared" si="6"/>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7"/>
        <v>0</v>
      </c>
      <c r="Q214" s="331"/>
      <c r="R214" s="165">
        <f t="shared" si="6"/>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7"/>
        <v>0</v>
      </c>
      <c r="Q215" s="331"/>
      <c r="R215" s="165">
        <f t="shared" si="6"/>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7"/>
        <v>0</v>
      </c>
      <c r="Q216" s="331"/>
      <c r="R216" s="165">
        <f t="shared" si="6"/>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7"/>
        <v>0</v>
      </c>
      <c r="Q217" s="331"/>
      <c r="R217" s="165">
        <f t="shared" si="6"/>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7"/>
        <v>0</v>
      </c>
      <c r="Q218" s="331"/>
      <c r="R218" s="165">
        <f t="shared" ref="R218:R281" si="8">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7"/>
        <v>0</v>
      </c>
      <c r="Q219" s="331"/>
      <c r="R219" s="165">
        <f t="shared" si="8"/>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7"/>
        <v>0</v>
      </c>
      <c r="Q220" s="331"/>
      <c r="R220" s="165">
        <f t="shared" si="8"/>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7"/>
        <v>0</v>
      </c>
      <c r="Q221" s="331"/>
      <c r="R221" s="165">
        <f t="shared" si="8"/>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7"/>
        <v>0</v>
      </c>
      <c r="Q222" s="331"/>
      <c r="R222" s="165">
        <f t="shared" si="8"/>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7"/>
        <v>0</v>
      </c>
      <c r="Q223" s="331"/>
      <c r="R223" s="165">
        <f t="shared" si="8"/>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7"/>
        <v>0</v>
      </c>
      <c r="Q224" s="331"/>
      <c r="R224" s="165">
        <f t="shared" si="8"/>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7"/>
        <v>0</v>
      </c>
      <c r="Q225" s="331"/>
      <c r="R225" s="165">
        <f t="shared" si="8"/>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7"/>
        <v>0</v>
      </c>
      <c r="Q226" s="331"/>
      <c r="R226" s="165">
        <f t="shared" si="8"/>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7"/>
        <v>0</v>
      </c>
      <c r="Q227" s="331"/>
      <c r="R227" s="165">
        <f t="shared" si="8"/>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7"/>
        <v>0</v>
      </c>
      <c r="Q228" s="331"/>
      <c r="R228" s="165">
        <f t="shared" si="8"/>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7"/>
        <v>0</v>
      </c>
      <c r="Q229" s="331"/>
      <c r="R229" s="165">
        <f t="shared" si="8"/>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7"/>
        <v>0</v>
      </c>
      <c r="Q230" s="331"/>
      <c r="R230" s="165">
        <f t="shared" si="8"/>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7"/>
        <v>0</v>
      </c>
      <c r="Q231" s="331"/>
      <c r="R231" s="165">
        <f t="shared" si="8"/>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7"/>
        <v>0</v>
      </c>
      <c r="Q232" s="331"/>
      <c r="R232" s="165">
        <f t="shared" si="8"/>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7"/>
        <v>0</v>
      </c>
      <c r="Q233" s="331"/>
      <c r="R233" s="165">
        <f t="shared" si="8"/>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7"/>
        <v>0</v>
      </c>
      <c r="Q234" s="331"/>
      <c r="R234" s="165">
        <f t="shared" si="8"/>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7"/>
        <v>0</v>
      </c>
      <c r="Q235" s="331"/>
      <c r="R235" s="165">
        <f t="shared" si="8"/>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7"/>
        <v>0</v>
      </c>
      <c r="Q236" s="331"/>
      <c r="R236" s="165">
        <f t="shared" si="8"/>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7"/>
        <v>0</v>
      </c>
      <c r="Q237" s="331"/>
      <c r="R237" s="165">
        <f t="shared" si="8"/>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7"/>
        <v>0</v>
      </c>
      <c r="Q238" s="331"/>
      <c r="R238" s="165">
        <f t="shared" si="8"/>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7"/>
        <v>0</v>
      </c>
      <c r="Q239" s="331"/>
      <c r="R239" s="165">
        <f t="shared" si="8"/>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7"/>
        <v>0</v>
      </c>
      <c r="Q240" s="331"/>
      <c r="R240" s="165">
        <f t="shared" si="8"/>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7"/>
        <v>0</v>
      </c>
      <c r="Q241" s="331"/>
      <c r="R241" s="165">
        <f t="shared" si="8"/>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7"/>
        <v>0</v>
      </c>
      <c r="Q242" s="331"/>
      <c r="R242" s="165">
        <f t="shared" si="8"/>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7"/>
        <v>0</v>
      </c>
      <c r="Q243" s="331"/>
      <c r="R243" s="165">
        <f t="shared" si="8"/>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7"/>
        <v>0</v>
      </c>
      <c r="Q244" s="331"/>
      <c r="R244" s="165">
        <f t="shared" si="8"/>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7"/>
        <v>0</v>
      </c>
      <c r="Q245" s="331"/>
      <c r="R245" s="165">
        <f t="shared" si="8"/>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7"/>
        <v>0</v>
      </c>
      <c r="Q246" s="331"/>
      <c r="R246" s="165">
        <f t="shared" si="8"/>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7"/>
        <v>0</v>
      </c>
      <c r="Q247" s="331"/>
      <c r="R247" s="165">
        <f t="shared" si="8"/>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7"/>
        <v>0</v>
      </c>
      <c r="Q248" s="331"/>
      <c r="R248" s="165">
        <f t="shared" si="8"/>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7"/>
        <v>0</v>
      </c>
      <c r="Q249" s="331"/>
      <c r="R249" s="165">
        <f t="shared" si="8"/>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7"/>
        <v>0</v>
      </c>
      <c r="Q250" s="331"/>
      <c r="R250" s="165">
        <f t="shared" si="8"/>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7"/>
        <v>0</v>
      </c>
      <c r="Q251" s="331"/>
      <c r="R251" s="165">
        <f t="shared" si="8"/>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7"/>
        <v>0</v>
      </c>
      <c r="Q252" s="331"/>
      <c r="R252" s="165">
        <f t="shared" si="8"/>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7"/>
        <v>0</v>
      </c>
      <c r="Q253" s="331"/>
      <c r="R253" s="165">
        <f t="shared" si="8"/>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7"/>
        <v>0</v>
      </c>
      <c r="Q254" s="331"/>
      <c r="R254" s="165">
        <f t="shared" si="8"/>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7"/>
        <v>0</v>
      </c>
      <c r="Q255" s="331"/>
      <c r="R255" s="165">
        <f t="shared" si="8"/>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7"/>
        <v>0</v>
      </c>
      <c r="Q256" s="331"/>
      <c r="R256" s="165">
        <f t="shared" si="8"/>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7"/>
        <v>0</v>
      </c>
      <c r="Q257" s="331"/>
      <c r="R257" s="165">
        <f t="shared" si="8"/>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7"/>
        <v>0</v>
      </c>
      <c r="Q258" s="331"/>
      <c r="R258" s="165">
        <f t="shared" si="8"/>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7"/>
        <v>0</v>
      </c>
      <c r="Q259" s="331"/>
      <c r="R259" s="165">
        <f t="shared" si="8"/>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7"/>
        <v>0</v>
      </c>
      <c r="Q260" s="331"/>
      <c r="R260" s="165">
        <f t="shared" si="8"/>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7"/>
        <v>0</v>
      </c>
      <c r="Q261" s="331"/>
      <c r="R261" s="165">
        <f t="shared" si="8"/>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7"/>
        <v>0</v>
      </c>
      <c r="Q262" s="331"/>
      <c r="R262" s="165">
        <f t="shared" si="8"/>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7"/>
        <v>0</v>
      </c>
      <c r="Q263" s="331"/>
      <c r="R263" s="165">
        <f t="shared" si="8"/>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7"/>
        <v>0</v>
      </c>
      <c r="Q264" s="331"/>
      <c r="R264" s="165">
        <f t="shared" si="8"/>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7"/>
        <v>0</v>
      </c>
      <c r="Q265" s="331"/>
      <c r="R265" s="165">
        <f t="shared" si="8"/>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7"/>
        <v>0</v>
      </c>
      <c r="Q266" s="331"/>
      <c r="R266" s="165">
        <f t="shared" si="8"/>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7"/>
        <v>0</v>
      </c>
      <c r="Q267" s="331"/>
      <c r="R267" s="165">
        <f t="shared" si="8"/>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7"/>
        <v>0</v>
      </c>
      <c r="Q268" s="331"/>
      <c r="R268" s="165">
        <f t="shared" si="8"/>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9">SUM(I269:O269)</f>
        <v>0</v>
      </c>
      <c r="Q269" s="331"/>
      <c r="R269" s="165">
        <f t="shared" si="8"/>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9"/>
        <v>0</v>
      </c>
      <c r="Q270" s="331"/>
      <c r="R270" s="165">
        <f t="shared" si="8"/>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9"/>
        <v>0</v>
      </c>
      <c r="Q271" s="331"/>
      <c r="R271" s="165">
        <f t="shared" si="8"/>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9"/>
        <v>0</v>
      </c>
      <c r="Q272" s="331"/>
      <c r="R272" s="165">
        <f t="shared" si="8"/>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9"/>
        <v>0</v>
      </c>
      <c r="Q273" s="331"/>
      <c r="R273" s="165">
        <f t="shared" si="8"/>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9"/>
        <v>0</v>
      </c>
      <c r="Q274" s="331"/>
      <c r="R274" s="165">
        <f t="shared" si="8"/>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9"/>
        <v>0</v>
      </c>
      <c r="Q275" s="331"/>
      <c r="R275" s="165">
        <f t="shared" si="8"/>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9"/>
        <v>0</v>
      </c>
      <c r="Q276" s="331"/>
      <c r="R276" s="165">
        <f t="shared" si="8"/>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9"/>
        <v>0</v>
      </c>
      <c r="Q277" s="331"/>
      <c r="R277" s="165">
        <f t="shared" si="8"/>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9"/>
        <v>0</v>
      </c>
      <c r="Q278" s="331"/>
      <c r="R278" s="165">
        <f t="shared" si="8"/>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9"/>
        <v>0</v>
      </c>
      <c r="Q279" s="331"/>
      <c r="R279" s="165">
        <f t="shared" si="8"/>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9"/>
        <v>0</v>
      </c>
      <c r="Q280" s="331"/>
      <c r="R280" s="165">
        <f t="shared" si="8"/>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9"/>
        <v>0</v>
      </c>
      <c r="Q281" s="331"/>
      <c r="R281" s="165">
        <f t="shared" si="8"/>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9"/>
        <v>0</v>
      </c>
      <c r="Q282" s="331"/>
      <c r="R282" s="165">
        <f t="shared" ref="R282:R345" si="10">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9"/>
        <v>0</v>
      </c>
      <c r="Q283" s="331"/>
      <c r="R283" s="165">
        <f t="shared" si="10"/>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9"/>
        <v>0</v>
      </c>
      <c r="Q284" s="331"/>
      <c r="R284" s="165">
        <f t="shared" si="10"/>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9"/>
        <v>0</v>
      </c>
      <c r="Q285" s="331"/>
      <c r="R285" s="165">
        <f t="shared" si="10"/>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9"/>
        <v>0</v>
      </c>
      <c r="Q286" s="331"/>
      <c r="R286" s="165">
        <f t="shared" si="10"/>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9"/>
        <v>0</v>
      </c>
      <c r="Q287" s="331"/>
      <c r="R287" s="165">
        <f t="shared" si="10"/>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9"/>
        <v>0</v>
      </c>
      <c r="Q288" s="331"/>
      <c r="R288" s="165">
        <f t="shared" si="10"/>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9"/>
        <v>0</v>
      </c>
      <c r="Q289" s="331"/>
      <c r="R289" s="165">
        <f t="shared" si="10"/>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9"/>
        <v>0</v>
      </c>
      <c r="Q290" s="331"/>
      <c r="R290" s="165">
        <f t="shared" si="10"/>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9"/>
        <v>0</v>
      </c>
      <c r="Q291" s="331"/>
      <c r="R291" s="165">
        <f t="shared" si="10"/>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9"/>
        <v>0</v>
      </c>
      <c r="Q292" s="331"/>
      <c r="R292" s="165">
        <f t="shared" si="10"/>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9"/>
        <v>0</v>
      </c>
      <c r="Q293" s="331"/>
      <c r="R293" s="165">
        <f t="shared" si="10"/>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9"/>
        <v>0</v>
      </c>
      <c r="Q294" s="331"/>
      <c r="R294" s="165">
        <f t="shared" si="10"/>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9"/>
        <v>0</v>
      </c>
      <c r="Q295" s="331"/>
      <c r="R295" s="165">
        <f t="shared" si="10"/>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9"/>
        <v>0</v>
      </c>
      <c r="Q296" s="331"/>
      <c r="R296" s="165">
        <f t="shared" si="10"/>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9"/>
        <v>0</v>
      </c>
      <c r="Q297" s="331"/>
      <c r="R297" s="165">
        <f t="shared" si="10"/>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9"/>
        <v>0</v>
      </c>
      <c r="Q298" s="331"/>
      <c r="R298" s="165">
        <f t="shared" si="10"/>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9"/>
        <v>0</v>
      </c>
      <c r="Q299" s="331"/>
      <c r="R299" s="165">
        <f t="shared" si="10"/>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9"/>
        <v>0</v>
      </c>
      <c r="Q300" s="331"/>
      <c r="R300" s="165">
        <f t="shared" si="10"/>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9"/>
        <v>0</v>
      </c>
      <c r="Q301" s="331"/>
      <c r="R301" s="165">
        <f t="shared" si="10"/>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9"/>
        <v>0</v>
      </c>
      <c r="Q302" s="331"/>
      <c r="R302" s="165">
        <f t="shared" si="10"/>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9"/>
        <v>0</v>
      </c>
      <c r="Q303" s="331"/>
      <c r="R303" s="165">
        <f t="shared" si="10"/>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9"/>
        <v>0</v>
      </c>
      <c r="Q304" s="331"/>
      <c r="R304" s="165">
        <f t="shared" si="10"/>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9"/>
        <v>0</v>
      </c>
      <c r="Q305" s="331"/>
      <c r="R305" s="165">
        <f t="shared" si="10"/>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9"/>
        <v>0</v>
      </c>
      <c r="Q306" s="331"/>
      <c r="R306" s="165">
        <f t="shared" si="10"/>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9"/>
        <v>0</v>
      </c>
      <c r="Q307" s="331"/>
      <c r="R307" s="165">
        <f t="shared" si="10"/>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9"/>
        <v>0</v>
      </c>
      <c r="Q308" s="331"/>
      <c r="R308" s="165">
        <f t="shared" si="10"/>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9"/>
        <v>0</v>
      </c>
      <c r="Q309" s="331"/>
      <c r="R309" s="165">
        <f t="shared" si="10"/>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9"/>
        <v>0</v>
      </c>
      <c r="Q310" s="331"/>
      <c r="R310" s="165">
        <f t="shared" si="10"/>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9"/>
        <v>0</v>
      </c>
      <c r="Q311" s="331"/>
      <c r="R311" s="165">
        <f t="shared" si="10"/>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9"/>
        <v>0</v>
      </c>
      <c r="Q312" s="331"/>
      <c r="R312" s="165">
        <f t="shared" si="10"/>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9"/>
        <v>0</v>
      </c>
      <c r="Q313" s="331"/>
      <c r="R313" s="165">
        <f t="shared" si="10"/>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9"/>
        <v>0</v>
      </c>
      <c r="Q314" s="331"/>
      <c r="R314" s="165">
        <f t="shared" si="10"/>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9"/>
        <v>0</v>
      </c>
      <c r="Q315" s="331"/>
      <c r="R315" s="165">
        <f t="shared" si="10"/>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9"/>
        <v>0</v>
      </c>
      <c r="Q316" s="331"/>
      <c r="R316" s="165">
        <f t="shared" si="10"/>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9"/>
        <v>0</v>
      </c>
      <c r="Q317" s="331"/>
      <c r="R317" s="165">
        <f t="shared" si="10"/>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9"/>
        <v>0</v>
      </c>
      <c r="Q318" s="331"/>
      <c r="R318" s="165">
        <f t="shared" si="10"/>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9"/>
        <v>0</v>
      </c>
      <c r="Q319" s="331"/>
      <c r="R319" s="165">
        <f t="shared" si="10"/>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9"/>
        <v>0</v>
      </c>
      <c r="Q320" s="331"/>
      <c r="R320" s="165">
        <f t="shared" si="10"/>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9"/>
        <v>0</v>
      </c>
      <c r="Q321" s="331"/>
      <c r="R321" s="165">
        <f t="shared" si="10"/>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9"/>
        <v>0</v>
      </c>
      <c r="Q322" s="331"/>
      <c r="R322" s="165">
        <f t="shared" si="10"/>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9"/>
        <v>0</v>
      </c>
      <c r="Q323" s="331"/>
      <c r="R323" s="165">
        <f t="shared" si="10"/>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9"/>
        <v>0</v>
      </c>
      <c r="Q324" s="331"/>
      <c r="R324" s="165">
        <f t="shared" si="10"/>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9"/>
        <v>0</v>
      </c>
      <c r="Q325" s="331"/>
      <c r="R325" s="165">
        <f t="shared" si="10"/>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9"/>
        <v>0</v>
      </c>
      <c r="Q326" s="331"/>
      <c r="R326" s="165">
        <f t="shared" si="10"/>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9"/>
        <v>0</v>
      </c>
      <c r="Q327" s="331"/>
      <c r="R327" s="165">
        <f t="shared" si="10"/>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9"/>
        <v>0</v>
      </c>
      <c r="Q328" s="331"/>
      <c r="R328" s="165">
        <f t="shared" si="10"/>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9"/>
        <v>0</v>
      </c>
      <c r="Q329" s="331"/>
      <c r="R329" s="165">
        <f t="shared" si="10"/>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9"/>
        <v>0</v>
      </c>
      <c r="Q330" s="331"/>
      <c r="R330" s="165">
        <f t="shared" si="10"/>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9"/>
        <v>0</v>
      </c>
      <c r="Q331" s="331"/>
      <c r="R331" s="165">
        <f t="shared" si="10"/>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9"/>
        <v>0</v>
      </c>
      <c r="Q332" s="331"/>
      <c r="R332" s="165">
        <f t="shared" si="10"/>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1">SUM(I333:O333)</f>
        <v>0</v>
      </c>
      <c r="Q333" s="331"/>
      <c r="R333" s="165">
        <f t="shared" si="10"/>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1"/>
        <v>0</v>
      </c>
      <c r="Q334" s="331"/>
      <c r="R334" s="165">
        <f t="shared" si="10"/>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1"/>
        <v>0</v>
      </c>
      <c r="Q335" s="331"/>
      <c r="R335" s="165">
        <f t="shared" si="10"/>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1"/>
        <v>0</v>
      </c>
      <c r="Q336" s="331"/>
      <c r="R336" s="165">
        <f t="shared" si="10"/>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1"/>
        <v>0</v>
      </c>
      <c r="Q337" s="331"/>
      <c r="R337" s="165">
        <f t="shared" si="10"/>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1"/>
        <v>0</v>
      </c>
      <c r="Q338" s="331"/>
      <c r="R338" s="165">
        <f t="shared" si="10"/>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1"/>
        <v>0</v>
      </c>
      <c r="Q339" s="331"/>
      <c r="R339" s="165">
        <f t="shared" si="10"/>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1"/>
        <v>0</v>
      </c>
      <c r="Q340" s="331"/>
      <c r="R340" s="165">
        <f t="shared" si="10"/>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1"/>
        <v>0</v>
      </c>
      <c r="Q341" s="331"/>
      <c r="R341" s="165">
        <f t="shared" si="10"/>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1"/>
        <v>0</v>
      </c>
      <c r="Q342" s="331"/>
      <c r="R342" s="165">
        <f t="shared" si="10"/>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1"/>
        <v>0</v>
      </c>
      <c r="Q343" s="331"/>
      <c r="R343" s="165">
        <f t="shared" si="10"/>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1"/>
        <v>0</v>
      </c>
      <c r="Q344" s="331"/>
      <c r="R344" s="165">
        <f t="shared" si="10"/>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1"/>
        <v>0</v>
      </c>
      <c r="Q345" s="331"/>
      <c r="R345" s="165">
        <f t="shared" si="10"/>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1"/>
        <v>0</v>
      </c>
      <c r="Q346" s="331"/>
      <c r="R346" s="165">
        <f t="shared" ref="R346:R409" si="12">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1"/>
        <v>0</v>
      </c>
      <c r="Q347" s="331"/>
      <c r="R347" s="165">
        <f t="shared" si="12"/>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1"/>
        <v>0</v>
      </c>
      <c r="Q348" s="331"/>
      <c r="R348" s="165">
        <f t="shared" si="12"/>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1"/>
        <v>0</v>
      </c>
      <c r="Q349" s="331"/>
      <c r="R349" s="165">
        <f t="shared" si="12"/>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1"/>
        <v>0</v>
      </c>
      <c r="Q350" s="331"/>
      <c r="R350" s="165">
        <f t="shared" si="12"/>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1"/>
        <v>0</v>
      </c>
      <c r="Q351" s="331"/>
      <c r="R351" s="165">
        <f t="shared" si="12"/>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1"/>
        <v>0</v>
      </c>
      <c r="Q352" s="331"/>
      <c r="R352" s="165">
        <f t="shared" si="12"/>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1"/>
        <v>0</v>
      </c>
      <c r="Q353" s="331"/>
      <c r="R353" s="165">
        <f t="shared" si="12"/>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1"/>
        <v>0</v>
      </c>
      <c r="Q354" s="331"/>
      <c r="R354" s="165">
        <f t="shared" si="12"/>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1"/>
        <v>0</v>
      </c>
      <c r="Q355" s="331"/>
      <c r="R355" s="165">
        <f t="shared" si="12"/>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1"/>
        <v>0</v>
      </c>
      <c r="Q356" s="331"/>
      <c r="R356" s="165">
        <f t="shared" si="12"/>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1"/>
        <v>0</v>
      </c>
      <c r="Q357" s="331"/>
      <c r="R357" s="165">
        <f t="shared" si="12"/>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1"/>
        <v>0</v>
      </c>
      <c r="Q358" s="331"/>
      <c r="R358" s="165">
        <f t="shared" si="12"/>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1"/>
        <v>0</v>
      </c>
      <c r="Q359" s="331"/>
      <c r="R359" s="165">
        <f t="shared" si="12"/>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1"/>
        <v>0</v>
      </c>
      <c r="Q360" s="331"/>
      <c r="R360" s="165">
        <f t="shared" si="12"/>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1"/>
        <v>0</v>
      </c>
      <c r="Q361" s="331"/>
      <c r="R361" s="165">
        <f t="shared" si="12"/>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1"/>
        <v>0</v>
      </c>
      <c r="Q362" s="331"/>
      <c r="R362" s="165">
        <f t="shared" si="12"/>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1"/>
        <v>0</v>
      </c>
      <c r="Q363" s="331"/>
      <c r="R363" s="165">
        <f t="shared" si="12"/>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1"/>
        <v>0</v>
      </c>
      <c r="Q364" s="331"/>
      <c r="R364" s="165">
        <f t="shared" si="12"/>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1"/>
        <v>0</v>
      </c>
      <c r="Q365" s="331"/>
      <c r="R365" s="165">
        <f t="shared" si="12"/>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1"/>
        <v>0</v>
      </c>
      <c r="Q366" s="331"/>
      <c r="R366" s="165">
        <f t="shared" si="12"/>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1"/>
        <v>0</v>
      </c>
      <c r="Q367" s="331"/>
      <c r="R367" s="165">
        <f t="shared" si="12"/>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1"/>
        <v>0</v>
      </c>
      <c r="Q368" s="331"/>
      <c r="R368" s="165">
        <f t="shared" si="12"/>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1"/>
        <v>0</v>
      </c>
      <c r="Q369" s="331"/>
      <c r="R369" s="165">
        <f t="shared" si="12"/>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1"/>
        <v>0</v>
      </c>
      <c r="Q370" s="331"/>
      <c r="R370" s="165">
        <f t="shared" si="12"/>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1"/>
        <v>0</v>
      </c>
      <c r="Q371" s="331"/>
      <c r="R371" s="165">
        <f t="shared" si="12"/>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1"/>
        <v>0</v>
      </c>
      <c r="Q372" s="331"/>
      <c r="R372" s="165">
        <f t="shared" si="12"/>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1"/>
        <v>0</v>
      </c>
      <c r="Q373" s="331"/>
      <c r="R373" s="165">
        <f t="shared" si="12"/>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1"/>
        <v>0</v>
      </c>
      <c r="Q374" s="331"/>
      <c r="R374" s="165">
        <f t="shared" si="12"/>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1"/>
        <v>0</v>
      </c>
      <c r="Q375" s="331"/>
      <c r="R375" s="165">
        <f t="shared" si="12"/>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1"/>
        <v>0</v>
      </c>
      <c r="Q376" s="331"/>
      <c r="R376" s="165">
        <f t="shared" si="12"/>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1"/>
        <v>0</v>
      </c>
      <c r="Q377" s="331"/>
      <c r="R377" s="165">
        <f t="shared" si="12"/>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1"/>
        <v>0</v>
      </c>
      <c r="Q378" s="331"/>
      <c r="R378" s="165">
        <f t="shared" si="12"/>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1"/>
        <v>0</v>
      </c>
      <c r="Q379" s="331"/>
      <c r="R379" s="165">
        <f t="shared" si="12"/>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1"/>
        <v>0</v>
      </c>
      <c r="Q380" s="331"/>
      <c r="R380" s="165">
        <f t="shared" si="12"/>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1"/>
        <v>0</v>
      </c>
      <c r="Q381" s="331"/>
      <c r="R381" s="165">
        <f t="shared" si="12"/>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1"/>
        <v>0</v>
      </c>
      <c r="Q382" s="331"/>
      <c r="R382" s="165">
        <f t="shared" si="12"/>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1"/>
        <v>0</v>
      </c>
      <c r="Q383" s="331"/>
      <c r="R383" s="165">
        <f t="shared" si="12"/>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1"/>
        <v>0</v>
      </c>
      <c r="Q384" s="331"/>
      <c r="R384" s="165">
        <f t="shared" si="12"/>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1"/>
        <v>0</v>
      </c>
      <c r="Q385" s="331"/>
      <c r="R385" s="165">
        <f t="shared" si="12"/>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1"/>
        <v>0</v>
      </c>
      <c r="Q386" s="331"/>
      <c r="R386" s="165">
        <f t="shared" si="12"/>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1"/>
        <v>0</v>
      </c>
      <c r="Q387" s="331"/>
      <c r="R387" s="165">
        <f t="shared" si="12"/>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1"/>
        <v>0</v>
      </c>
      <c r="Q388" s="331"/>
      <c r="R388" s="165">
        <f t="shared" si="12"/>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1"/>
        <v>0</v>
      </c>
      <c r="Q389" s="331"/>
      <c r="R389" s="165">
        <f t="shared" si="12"/>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1"/>
        <v>0</v>
      </c>
      <c r="Q390" s="331"/>
      <c r="R390" s="165">
        <f t="shared" si="12"/>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1"/>
        <v>0</v>
      </c>
      <c r="Q391" s="331"/>
      <c r="R391" s="165">
        <f t="shared" si="12"/>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1"/>
        <v>0</v>
      </c>
      <c r="Q392" s="331"/>
      <c r="R392" s="165">
        <f t="shared" si="12"/>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1"/>
        <v>0</v>
      </c>
      <c r="Q393" s="331"/>
      <c r="R393" s="165">
        <f t="shared" si="12"/>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1"/>
        <v>0</v>
      </c>
      <c r="Q394" s="331"/>
      <c r="R394" s="165">
        <f t="shared" si="12"/>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1"/>
        <v>0</v>
      </c>
      <c r="Q395" s="331"/>
      <c r="R395" s="165">
        <f t="shared" si="12"/>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1"/>
        <v>0</v>
      </c>
      <c r="Q396" s="331"/>
      <c r="R396" s="165">
        <f t="shared" si="12"/>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3">SUM(I397:O397)</f>
        <v>0</v>
      </c>
      <c r="Q397" s="331"/>
      <c r="R397" s="165">
        <f t="shared" si="12"/>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3"/>
        <v>0</v>
      </c>
      <c r="Q398" s="331"/>
      <c r="R398" s="165">
        <f t="shared" si="12"/>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3"/>
        <v>0</v>
      </c>
      <c r="Q399" s="331"/>
      <c r="R399" s="165">
        <f t="shared" si="12"/>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3"/>
        <v>0</v>
      </c>
      <c r="Q400" s="331"/>
      <c r="R400" s="165">
        <f t="shared" si="12"/>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3"/>
        <v>0</v>
      </c>
      <c r="Q401" s="331"/>
      <c r="R401" s="165">
        <f t="shared" si="12"/>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3"/>
        <v>0</v>
      </c>
      <c r="Q402" s="331"/>
      <c r="R402" s="165">
        <f t="shared" si="12"/>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3"/>
        <v>0</v>
      </c>
      <c r="Q403" s="331"/>
      <c r="R403" s="165">
        <f t="shared" si="12"/>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3"/>
        <v>0</v>
      </c>
      <c r="Q404" s="331"/>
      <c r="R404" s="165">
        <f t="shared" si="12"/>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3"/>
        <v>0</v>
      </c>
      <c r="Q405" s="331"/>
      <c r="R405" s="165">
        <f t="shared" si="12"/>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3"/>
        <v>0</v>
      </c>
      <c r="Q406" s="331"/>
      <c r="R406" s="165">
        <f t="shared" si="12"/>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3"/>
        <v>0</v>
      </c>
      <c r="Q407" s="331"/>
      <c r="R407" s="165">
        <f t="shared" si="12"/>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3"/>
        <v>0</v>
      </c>
      <c r="Q408" s="331"/>
      <c r="R408" s="165">
        <f t="shared" si="12"/>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3"/>
        <v>0</v>
      </c>
      <c r="Q409" s="331"/>
      <c r="R409" s="165">
        <f t="shared" si="12"/>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3"/>
        <v>0</v>
      </c>
      <c r="Q410" s="331"/>
      <c r="R410" s="165">
        <f t="shared" ref="R410:R473" si="14">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3"/>
        <v>0</v>
      </c>
      <c r="Q411" s="331"/>
      <c r="R411" s="165">
        <f t="shared" si="14"/>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3"/>
        <v>0</v>
      </c>
      <c r="Q412" s="331"/>
      <c r="R412" s="165">
        <f t="shared" si="14"/>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3"/>
        <v>0</v>
      </c>
      <c r="Q413" s="331"/>
      <c r="R413" s="165">
        <f t="shared" si="14"/>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3"/>
        <v>0</v>
      </c>
      <c r="Q414" s="331"/>
      <c r="R414" s="165">
        <f t="shared" si="14"/>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3"/>
        <v>0</v>
      </c>
      <c r="Q415" s="331"/>
      <c r="R415" s="165">
        <f t="shared" si="14"/>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3"/>
        <v>0</v>
      </c>
      <c r="Q416" s="331"/>
      <c r="R416" s="165">
        <f t="shared" si="14"/>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3"/>
        <v>0</v>
      </c>
      <c r="Q417" s="331"/>
      <c r="R417" s="165">
        <f t="shared" si="14"/>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3"/>
        <v>0</v>
      </c>
      <c r="Q418" s="331"/>
      <c r="R418" s="165">
        <f t="shared" si="14"/>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3"/>
        <v>0</v>
      </c>
      <c r="Q419" s="331"/>
      <c r="R419" s="165">
        <f t="shared" si="14"/>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3"/>
        <v>0</v>
      </c>
      <c r="Q420" s="331"/>
      <c r="R420" s="165">
        <f t="shared" si="14"/>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3"/>
        <v>0</v>
      </c>
      <c r="Q421" s="331"/>
      <c r="R421" s="165">
        <f t="shared" si="14"/>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3"/>
        <v>0</v>
      </c>
      <c r="Q422" s="331"/>
      <c r="R422" s="165">
        <f t="shared" si="14"/>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3"/>
        <v>0</v>
      </c>
      <c r="Q423" s="331"/>
      <c r="R423" s="165">
        <f t="shared" si="14"/>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3"/>
        <v>0</v>
      </c>
      <c r="Q424" s="331"/>
      <c r="R424" s="165">
        <f t="shared" si="14"/>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3"/>
        <v>0</v>
      </c>
      <c r="Q425" s="331"/>
      <c r="R425" s="165">
        <f t="shared" si="14"/>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3"/>
        <v>0</v>
      </c>
      <c r="Q426" s="331"/>
      <c r="R426" s="165">
        <f t="shared" si="14"/>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3"/>
        <v>0</v>
      </c>
      <c r="Q427" s="331"/>
      <c r="R427" s="165">
        <f t="shared" si="14"/>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3"/>
        <v>0</v>
      </c>
      <c r="Q428" s="331"/>
      <c r="R428" s="165">
        <f t="shared" si="14"/>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3"/>
        <v>0</v>
      </c>
      <c r="Q429" s="331"/>
      <c r="R429" s="165">
        <f t="shared" si="14"/>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3"/>
        <v>0</v>
      </c>
      <c r="Q430" s="331"/>
      <c r="R430" s="165">
        <f t="shared" si="14"/>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3"/>
        <v>0</v>
      </c>
      <c r="Q431" s="331"/>
      <c r="R431" s="165">
        <f t="shared" si="14"/>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3"/>
        <v>0</v>
      </c>
      <c r="Q432" s="331"/>
      <c r="R432" s="165">
        <f t="shared" si="14"/>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3"/>
        <v>0</v>
      </c>
      <c r="Q433" s="331"/>
      <c r="R433" s="165">
        <f t="shared" si="14"/>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3"/>
        <v>0</v>
      </c>
      <c r="Q434" s="331"/>
      <c r="R434" s="165">
        <f t="shared" si="14"/>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3"/>
        <v>0</v>
      </c>
      <c r="Q435" s="331"/>
      <c r="R435" s="165">
        <f t="shared" si="14"/>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3"/>
        <v>0</v>
      </c>
      <c r="Q436" s="331"/>
      <c r="R436" s="165">
        <f t="shared" si="14"/>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3"/>
        <v>0</v>
      </c>
      <c r="Q437" s="331"/>
      <c r="R437" s="165">
        <f t="shared" si="14"/>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3"/>
        <v>0</v>
      </c>
      <c r="Q438" s="331"/>
      <c r="R438" s="165">
        <f t="shared" si="14"/>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3"/>
        <v>0</v>
      </c>
      <c r="Q439" s="331"/>
      <c r="R439" s="165">
        <f t="shared" si="14"/>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3"/>
        <v>0</v>
      </c>
      <c r="Q440" s="331"/>
      <c r="R440" s="165">
        <f t="shared" si="14"/>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3"/>
        <v>0</v>
      </c>
      <c r="Q441" s="331"/>
      <c r="R441" s="165">
        <f t="shared" si="14"/>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3"/>
        <v>0</v>
      </c>
      <c r="Q442" s="331"/>
      <c r="R442" s="165">
        <f t="shared" si="14"/>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3"/>
        <v>0</v>
      </c>
      <c r="Q443" s="331"/>
      <c r="R443" s="165">
        <f t="shared" si="14"/>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3"/>
        <v>0</v>
      </c>
      <c r="Q444" s="331"/>
      <c r="R444" s="165">
        <f t="shared" si="14"/>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3"/>
        <v>0</v>
      </c>
      <c r="Q445" s="331"/>
      <c r="R445" s="165">
        <f t="shared" si="14"/>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3"/>
        <v>0</v>
      </c>
      <c r="Q446" s="331"/>
      <c r="R446" s="165">
        <f t="shared" si="14"/>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3"/>
        <v>0</v>
      </c>
      <c r="Q447" s="331"/>
      <c r="R447" s="165">
        <f t="shared" si="14"/>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3"/>
        <v>0</v>
      </c>
      <c r="Q448" s="331"/>
      <c r="R448" s="165">
        <f t="shared" si="14"/>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3"/>
        <v>0</v>
      </c>
      <c r="Q449" s="331"/>
      <c r="R449" s="165">
        <f t="shared" si="14"/>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3"/>
        <v>0</v>
      </c>
      <c r="Q450" s="331"/>
      <c r="R450" s="165">
        <f t="shared" si="14"/>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3"/>
        <v>0</v>
      </c>
      <c r="Q451" s="331"/>
      <c r="R451" s="165">
        <f t="shared" si="14"/>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3"/>
        <v>0</v>
      </c>
      <c r="Q452" s="331"/>
      <c r="R452" s="165">
        <f t="shared" si="14"/>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3"/>
        <v>0</v>
      </c>
      <c r="Q453" s="331"/>
      <c r="R453" s="165">
        <f t="shared" si="14"/>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3"/>
        <v>0</v>
      </c>
      <c r="Q454" s="331"/>
      <c r="R454" s="165">
        <f t="shared" si="14"/>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3"/>
        <v>0</v>
      </c>
      <c r="Q455" s="331"/>
      <c r="R455" s="165">
        <f t="shared" si="14"/>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3"/>
        <v>0</v>
      </c>
      <c r="Q456" s="331"/>
      <c r="R456" s="165">
        <f t="shared" si="14"/>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3"/>
        <v>0</v>
      </c>
      <c r="Q457" s="331"/>
      <c r="R457" s="165">
        <f t="shared" si="14"/>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3"/>
        <v>0</v>
      </c>
      <c r="Q458" s="331"/>
      <c r="R458" s="165">
        <f t="shared" si="14"/>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3"/>
        <v>0</v>
      </c>
      <c r="Q459" s="331"/>
      <c r="R459" s="165">
        <f t="shared" si="14"/>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3"/>
        <v>0</v>
      </c>
      <c r="Q460" s="331"/>
      <c r="R460" s="165">
        <f t="shared" si="14"/>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5">SUM(I461:O461)</f>
        <v>0</v>
      </c>
      <c r="Q461" s="331"/>
      <c r="R461" s="165">
        <f t="shared" si="14"/>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5"/>
        <v>0</v>
      </c>
      <c r="Q462" s="331"/>
      <c r="R462" s="165">
        <f t="shared" si="14"/>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5"/>
        <v>0</v>
      </c>
      <c r="Q463" s="331"/>
      <c r="R463" s="165">
        <f t="shared" si="14"/>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5"/>
        <v>0</v>
      </c>
      <c r="Q464" s="331"/>
      <c r="R464" s="165">
        <f t="shared" si="14"/>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5"/>
        <v>0</v>
      </c>
      <c r="Q465" s="331"/>
      <c r="R465" s="165">
        <f t="shared" si="14"/>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5"/>
        <v>0</v>
      </c>
      <c r="Q466" s="331"/>
      <c r="R466" s="165">
        <f t="shared" si="14"/>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5"/>
        <v>0</v>
      </c>
      <c r="Q467" s="331"/>
      <c r="R467" s="165">
        <f t="shared" si="14"/>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5"/>
        <v>0</v>
      </c>
      <c r="Q468" s="331"/>
      <c r="R468" s="165">
        <f t="shared" si="14"/>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5"/>
        <v>0</v>
      </c>
      <c r="Q469" s="331"/>
      <c r="R469" s="165">
        <f t="shared" si="14"/>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5"/>
        <v>0</v>
      </c>
      <c r="Q470" s="331"/>
      <c r="R470" s="165">
        <f t="shared" si="14"/>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5"/>
        <v>0</v>
      </c>
      <c r="Q471" s="331"/>
      <c r="R471" s="165">
        <f t="shared" si="14"/>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5"/>
        <v>0</v>
      </c>
      <c r="Q472" s="331"/>
      <c r="R472" s="165">
        <f t="shared" si="14"/>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5"/>
        <v>0</v>
      </c>
      <c r="Q473" s="331"/>
      <c r="R473" s="165">
        <f t="shared" si="14"/>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5"/>
        <v>0</v>
      </c>
      <c r="Q474" s="331"/>
      <c r="R474" s="165">
        <f t="shared" ref="R474:R537" si="16">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5"/>
        <v>0</v>
      </c>
      <c r="Q475" s="331"/>
      <c r="R475" s="165">
        <f t="shared" si="16"/>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5"/>
        <v>0</v>
      </c>
      <c r="Q476" s="331"/>
      <c r="R476" s="165">
        <f t="shared" si="16"/>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5"/>
        <v>0</v>
      </c>
      <c r="Q477" s="331"/>
      <c r="R477" s="165">
        <f t="shared" si="16"/>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5"/>
        <v>0</v>
      </c>
      <c r="Q478" s="331"/>
      <c r="R478" s="165">
        <f t="shared" si="16"/>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5"/>
        <v>0</v>
      </c>
      <c r="Q479" s="331"/>
      <c r="R479" s="165">
        <f t="shared" si="16"/>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5"/>
        <v>0</v>
      </c>
      <c r="Q480" s="331"/>
      <c r="R480" s="165">
        <f t="shared" si="16"/>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5"/>
        <v>0</v>
      </c>
      <c r="Q481" s="331"/>
      <c r="R481" s="165">
        <f t="shared" si="16"/>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5"/>
        <v>0</v>
      </c>
      <c r="Q482" s="331"/>
      <c r="R482" s="165">
        <f t="shared" si="16"/>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5"/>
        <v>0</v>
      </c>
      <c r="Q483" s="331"/>
      <c r="R483" s="165">
        <f t="shared" si="16"/>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5"/>
        <v>0</v>
      </c>
      <c r="Q484" s="331"/>
      <c r="R484" s="165">
        <f t="shared" si="16"/>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5"/>
        <v>0</v>
      </c>
      <c r="Q485" s="331"/>
      <c r="R485" s="165">
        <f t="shared" si="16"/>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5"/>
        <v>0</v>
      </c>
      <c r="Q486" s="331"/>
      <c r="R486" s="165">
        <f t="shared" si="16"/>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5"/>
        <v>0</v>
      </c>
      <c r="Q487" s="331"/>
      <c r="R487" s="165">
        <f t="shared" si="16"/>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5"/>
        <v>0</v>
      </c>
      <c r="Q488" s="331"/>
      <c r="R488" s="165">
        <f t="shared" si="16"/>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5"/>
        <v>0</v>
      </c>
      <c r="Q489" s="331"/>
      <c r="R489" s="165">
        <f t="shared" si="16"/>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5"/>
        <v>0</v>
      </c>
      <c r="Q490" s="331"/>
      <c r="R490" s="165">
        <f t="shared" si="16"/>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5"/>
        <v>0</v>
      </c>
      <c r="Q491" s="331"/>
      <c r="R491" s="165">
        <f t="shared" si="16"/>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5"/>
        <v>0</v>
      </c>
      <c r="Q492" s="331"/>
      <c r="R492" s="165">
        <f t="shared" si="16"/>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5"/>
        <v>0</v>
      </c>
      <c r="Q493" s="331"/>
      <c r="R493" s="165">
        <f t="shared" si="16"/>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5"/>
        <v>0</v>
      </c>
      <c r="Q494" s="331"/>
      <c r="R494" s="165">
        <f t="shared" si="16"/>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5"/>
        <v>0</v>
      </c>
      <c r="Q495" s="331"/>
      <c r="R495" s="165">
        <f t="shared" si="16"/>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5"/>
        <v>0</v>
      </c>
      <c r="Q496" s="331"/>
      <c r="R496" s="165">
        <f t="shared" si="16"/>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5"/>
        <v>0</v>
      </c>
      <c r="Q497" s="331"/>
      <c r="R497" s="165">
        <f t="shared" si="16"/>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5"/>
        <v>0</v>
      </c>
      <c r="Q498" s="331"/>
      <c r="R498" s="165">
        <f t="shared" si="16"/>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5"/>
        <v>0</v>
      </c>
      <c r="Q499" s="331"/>
      <c r="R499" s="165">
        <f t="shared" si="16"/>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7">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7"/>
        <v>0</v>
      </c>
      <c r="Q501" s="289"/>
      <c r="R501" s="165">
        <f t="shared" si="16"/>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7"/>
        <v>0</v>
      </c>
      <c r="Q502" s="289"/>
      <c r="R502" s="165">
        <f t="shared" si="16"/>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7"/>
        <v>0</v>
      </c>
      <c r="Q503" s="289"/>
      <c r="R503" s="165">
        <f t="shared" si="16"/>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7"/>
        <v>0</v>
      </c>
      <c r="Q504" s="289"/>
      <c r="R504" s="165">
        <f t="shared" si="16"/>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7"/>
        <v>0</v>
      </c>
      <c r="Q505" s="289"/>
      <c r="R505" s="165">
        <f t="shared" si="16"/>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7"/>
        <v>0</v>
      </c>
      <c r="Q506" s="289"/>
      <c r="R506" s="165">
        <f t="shared" si="16"/>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7"/>
        <v>0</v>
      </c>
      <c r="Q507" s="289"/>
      <c r="R507" s="165">
        <f t="shared" si="16"/>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7"/>
        <v>0</v>
      </c>
      <c r="Q508" s="289"/>
      <c r="R508" s="165">
        <f t="shared" si="16"/>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7"/>
        <v>0</v>
      </c>
      <c r="Q509" s="289"/>
      <c r="R509" s="165">
        <f t="shared" si="16"/>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7"/>
        <v>0</v>
      </c>
      <c r="Q510" s="289"/>
      <c r="R510" s="165">
        <f t="shared" si="16"/>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7"/>
        <v>0</v>
      </c>
      <c r="Q511" s="289"/>
      <c r="R511" s="165">
        <f t="shared" si="16"/>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7"/>
        <v>0</v>
      </c>
      <c r="Q512" s="289"/>
      <c r="R512" s="165">
        <f t="shared" si="16"/>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7"/>
        <v>0</v>
      </c>
      <c r="Q513" s="289"/>
      <c r="R513" s="165">
        <f t="shared" si="16"/>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7"/>
        <v>0</v>
      </c>
      <c r="Q514" s="289"/>
      <c r="R514" s="165">
        <f t="shared" si="16"/>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7"/>
        <v>0</v>
      </c>
      <c r="Q515" s="289"/>
      <c r="R515" s="165">
        <f t="shared" si="16"/>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7"/>
        <v>0</v>
      </c>
      <c r="Q516" s="289"/>
      <c r="R516" s="165">
        <f t="shared" si="16"/>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7"/>
        <v>0</v>
      </c>
      <c r="Q517" s="289"/>
      <c r="R517" s="165">
        <f t="shared" si="16"/>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7"/>
        <v>0</v>
      </c>
      <c r="Q518" s="289"/>
      <c r="R518" s="165">
        <f t="shared" si="16"/>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7"/>
        <v>0</v>
      </c>
      <c r="Q519" s="289"/>
      <c r="R519" s="165">
        <f t="shared" si="16"/>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7"/>
        <v>0</v>
      </c>
      <c r="Q520" s="289"/>
      <c r="R520" s="165">
        <f t="shared" si="16"/>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7"/>
        <v>0</v>
      </c>
      <c r="Q521" s="289"/>
      <c r="R521" s="165">
        <f t="shared" si="16"/>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7"/>
        <v>0</v>
      </c>
      <c r="Q522" s="289"/>
      <c r="R522" s="165">
        <f t="shared" si="16"/>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7"/>
        <v>0</v>
      </c>
      <c r="Q523" s="289"/>
      <c r="R523" s="165">
        <f t="shared" si="16"/>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7"/>
        <v>0</v>
      </c>
      <c r="Q524" s="289"/>
      <c r="R524" s="165">
        <f t="shared" si="16"/>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7"/>
        <v>0</v>
      </c>
      <c r="Q525" s="289"/>
      <c r="R525" s="165">
        <f t="shared" si="16"/>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7"/>
        <v>0</v>
      </c>
      <c r="Q526" s="289"/>
      <c r="R526" s="165">
        <f t="shared" si="16"/>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7"/>
        <v>0</v>
      </c>
      <c r="Q527" s="289"/>
      <c r="R527" s="165">
        <f t="shared" si="16"/>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7"/>
        <v>0</v>
      </c>
      <c r="Q528" s="289"/>
      <c r="R528" s="165">
        <f t="shared" si="16"/>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7"/>
        <v>0</v>
      </c>
      <c r="Q529" s="289"/>
      <c r="R529" s="165">
        <f t="shared" si="16"/>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7"/>
        <v>0</v>
      </c>
      <c r="Q530" s="289"/>
      <c r="R530" s="165">
        <f t="shared" si="16"/>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7"/>
        <v>0</v>
      </c>
      <c r="Q531" s="289"/>
      <c r="R531" s="165">
        <f t="shared" si="16"/>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7"/>
        <v>0</v>
      </c>
      <c r="Q532" s="289"/>
      <c r="R532" s="165">
        <f t="shared" si="16"/>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7"/>
        <v>0</v>
      </c>
      <c r="Q533" s="289"/>
      <c r="R533" s="165">
        <f t="shared" si="16"/>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7"/>
        <v>0</v>
      </c>
      <c r="Q534" s="289"/>
      <c r="R534" s="165">
        <f t="shared" si="16"/>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7"/>
        <v>0</v>
      </c>
      <c r="Q535" s="289"/>
      <c r="R535" s="165">
        <f t="shared" si="16"/>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7"/>
        <v>0</v>
      </c>
      <c r="Q536" s="289"/>
      <c r="R536" s="165">
        <f t="shared" si="16"/>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7"/>
        <v>0</v>
      </c>
      <c r="Q537" s="289"/>
      <c r="R537" s="165">
        <f t="shared" si="16"/>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7"/>
        <v>0</v>
      </c>
      <c r="Q538" s="289"/>
      <c r="R538" s="165">
        <f t="shared" ref="R538:R601" si="18">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7"/>
        <v>0</v>
      </c>
      <c r="Q539" s="289"/>
      <c r="R539" s="165">
        <f t="shared" si="18"/>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7"/>
        <v>0</v>
      </c>
      <c r="Q540" s="289"/>
      <c r="R540" s="165">
        <f t="shared" si="18"/>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7"/>
        <v>0</v>
      </c>
      <c r="Q541" s="289"/>
      <c r="R541" s="165">
        <f t="shared" si="18"/>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7"/>
        <v>0</v>
      </c>
      <c r="Q542" s="289"/>
      <c r="R542" s="165">
        <f t="shared" si="18"/>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7"/>
        <v>0</v>
      </c>
      <c r="Q543" s="289"/>
      <c r="R543" s="165">
        <f t="shared" si="18"/>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7"/>
        <v>0</v>
      </c>
      <c r="Q544" s="289"/>
      <c r="R544" s="165">
        <f t="shared" si="18"/>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7"/>
        <v>0</v>
      </c>
      <c r="Q545" s="289"/>
      <c r="R545" s="165">
        <f t="shared" si="18"/>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7"/>
        <v>0</v>
      </c>
      <c r="Q546" s="289"/>
      <c r="R546" s="165">
        <f t="shared" si="18"/>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7"/>
        <v>0</v>
      </c>
      <c r="Q547" s="289"/>
      <c r="R547" s="165">
        <f t="shared" si="18"/>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7"/>
        <v>0</v>
      </c>
      <c r="Q548" s="289"/>
      <c r="R548" s="165">
        <f t="shared" si="18"/>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7"/>
        <v>0</v>
      </c>
      <c r="Q549" s="289"/>
      <c r="R549" s="165">
        <f t="shared" si="18"/>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7"/>
        <v>0</v>
      </c>
      <c r="Q550" s="289"/>
      <c r="R550" s="165">
        <f t="shared" si="18"/>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7"/>
        <v>0</v>
      </c>
      <c r="Q551" s="289"/>
      <c r="R551" s="165">
        <f t="shared" si="18"/>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7"/>
        <v>0</v>
      </c>
      <c r="Q552" s="289"/>
      <c r="R552" s="165">
        <f t="shared" si="18"/>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7"/>
        <v>0</v>
      </c>
      <c r="Q553" s="289"/>
      <c r="R553" s="165">
        <f t="shared" si="18"/>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7"/>
        <v>0</v>
      </c>
      <c r="Q554" s="289"/>
      <c r="R554" s="165">
        <f t="shared" si="18"/>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7"/>
        <v>0</v>
      </c>
      <c r="Q555" s="289"/>
      <c r="R555" s="165">
        <f t="shared" si="18"/>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7"/>
        <v>0</v>
      </c>
      <c r="Q556" s="289"/>
      <c r="R556" s="165">
        <f t="shared" si="18"/>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7"/>
        <v>0</v>
      </c>
      <c r="Q557" s="289"/>
      <c r="R557" s="165">
        <f t="shared" si="18"/>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7"/>
        <v>0</v>
      </c>
      <c r="Q558" s="289"/>
      <c r="R558" s="165">
        <f t="shared" si="18"/>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7"/>
        <v>0</v>
      </c>
      <c r="Q559" s="289"/>
      <c r="R559" s="165">
        <f t="shared" si="18"/>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7"/>
        <v>0</v>
      </c>
      <c r="Q560" s="289"/>
      <c r="R560" s="165">
        <f t="shared" si="18"/>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7"/>
        <v>0</v>
      </c>
      <c r="Q561" s="289"/>
      <c r="R561" s="165">
        <f t="shared" si="18"/>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7"/>
        <v>0</v>
      </c>
      <c r="Q562" s="289"/>
      <c r="R562" s="165">
        <f t="shared" si="18"/>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7"/>
        <v>0</v>
      </c>
      <c r="Q563" s="289"/>
      <c r="R563" s="165">
        <f t="shared" si="18"/>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19">SUM(I564:O564)</f>
        <v>0</v>
      </c>
      <c r="Q564" s="289"/>
      <c r="R564" s="165">
        <f t="shared" si="18"/>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19"/>
        <v>0</v>
      </c>
      <c r="Q565" s="289"/>
      <c r="R565" s="165">
        <f t="shared" si="18"/>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19"/>
        <v>0</v>
      </c>
      <c r="Q566" s="289"/>
      <c r="R566" s="165">
        <f t="shared" si="18"/>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19"/>
        <v>0</v>
      </c>
      <c r="Q567" s="289"/>
      <c r="R567" s="165">
        <f t="shared" si="18"/>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19"/>
        <v>0</v>
      </c>
      <c r="Q568" s="289"/>
      <c r="R568" s="165">
        <f t="shared" si="18"/>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19"/>
        <v>0</v>
      </c>
      <c r="Q569" s="289"/>
      <c r="R569" s="165">
        <f t="shared" si="18"/>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19"/>
        <v>0</v>
      </c>
      <c r="Q570" s="289"/>
      <c r="R570" s="165">
        <f t="shared" si="18"/>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19"/>
        <v>0</v>
      </c>
      <c r="Q571" s="289"/>
      <c r="R571" s="165">
        <f t="shared" si="18"/>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19"/>
        <v>0</v>
      </c>
      <c r="Q572" s="289"/>
      <c r="R572" s="165">
        <f t="shared" si="18"/>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19"/>
        <v>0</v>
      </c>
      <c r="Q573" s="289"/>
      <c r="R573" s="165">
        <f t="shared" si="18"/>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19"/>
        <v>0</v>
      </c>
      <c r="Q574" s="289"/>
      <c r="R574" s="165">
        <f t="shared" si="18"/>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19"/>
        <v>0</v>
      </c>
      <c r="Q575" s="289"/>
      <c r="R575" s="165">
        <f t="shared" si="18"/>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19"/>
        <v>0</v>
      </c>
      <c r="Q576" s="289"/>
      <c r="R576" s="165">
        <f t="shared" si="18"/>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19"/>
        <v>0</v>
      </c>
      <c r="Q577" s="289"/>
      <c r="R577" s="165">
        <f t="shared" si="18"/>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19"/>
        <v>0</v>
      </c>
      <c r="Q578" s="289"/>
      <c r="R578" s="165">
        <f t="shared" si="18"/>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19"/>
        <v>0</v>
      </c>
      <c r="Q579" s="289"/>
      <c r="R579" s="165">
        <f t="shared" si="18"/>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19"/>
        <v>0</v>
      </c>
      <c r="Q580" s="289"/>
      <c r="R580" s="165">
        <f t="shared" si="18"/>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19"/>
        <v>0</v>
      </c>
      <c r="Q581" s="289"/>
      <c r="R581" s="165">
        <f t="shared" si="18"/>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19"/>
        <v>0</v>
      </c>
      <c r="Q582" s="289"/>
      <c r="R582" s="165">
        <f t="shared" si="18"/>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19"/>
        <v>0</v>
      </c>
      <c r="Q583" s="289"/>
      <c r="R583" s="165">
        <f t="shared" si="18"/>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19"/>
        <v>0</v>
      </c>
      <c r="Q584" s="289"/>
      <c r="R584" s="165">
        <f t="shared" si="18"/>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19"/>
        <v>0</v>
      </c>
      <c r="Q585" s="289"/>
      <c r="R585" s="165">
        <f t="shared" si="18"/>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19"/>
        <v>0</v>
      </c>
      <c r="Q586" s="289"/>
      <c r="R586" s="165">
        <f t="shared" si="18"/>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19"/>
        <v>0</v>
      </c>
      <c r="Q587" s="289"/>
      <c r="R587" s="165">
        <f t="shared" si="18"/>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19"/>
        <v>0</v>
      </c>
      <c r="Q588" s="289"/>
      <c r="R588" s="165">
        <f t="shared" si="18"/>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19"/>
        <v>0</v>
      </c>
      <c r="Q589" s="289"/>
      <c r="R589" s="165">
        <f t="shared" si="18"/>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19"/>
        <v>0</v>
      </c>
      <c r="Q590" s="289"/>
      <c r="R590" s="165">
        <f t="shared" si="18"/>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19"/>
        <v>0</v>
      </c>
      <c r="Q591" s="289"/>
      <c r="R591" s="165">
        <f t="shared" si="18"/>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19"/>
        <v>0</v>
      </c>
      <c r="Q592" s="289"/>
      <c r="R592" s="165">
        <f t="shared" si="18"/>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19"/>
        <v>0</v>
      </c>
      <c r="Q593" s="289"/>
      <c r="R593" s="165">
        <f t="shared" si="18"/>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19"/>
        <v>0</v>
      </c>
      <c r="Q594" s="289"/>
      <c r="R594" s="165">
        <f t="shared" si="18"/>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19"/>
        <v>0</v>
      </c>
      <c r="Q595" s="289"/>
      <c r="R595" s="165">
        <f t="shared" si="18"/>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19"/>
        <v>0</v>
      </c>
      <c r="Q596" s="289"/>
      <c r="R596" s="165">
        <f t="shared" si="18"/>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19"/>
        <v>0</v>
      </c>
      <c r="Q597" s="289"/>
      <c r="R597" s="165">
        <f t="shared" si="18"/>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19"/>
        <v>0</v>
      </c>
      <c r="Q598" s="289"/>
      <c r="R598" s="165">
        <f t="shared" si="18"/>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19"/>
        <v>0</v>
      </c>
      <c r="Q599" s="289"/>
      <c r="R599" s="165">
        <f t="shared" si="18"/>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19"/>
        <v>0</v>
      </c>
      <c r="Q600" s="289"/>
      <c r="R600" s="165">
        <f t="shared" si="18"/>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19"/>
        <v>0</v>
      </c>
      <c r="Q601" s="289"/>
      <c r="R601" s="165">
        <f t="shared" si="18"/>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19"/>
        <v>0</v>
      </c>
      <c r="Q602" s="289"/>
      <c r="R602" s="165">
        <f t="shared" ref="R602:R665" si="20">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19"/>
        <v>0</v>
      </c>
      <c r="Q603" s="289"/>
      <c r="R603" s="165">
        <f t="shared" si="20"/>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19"/>
        <v>0</v>
      </c>
      <c r="Q604" s="289"/>
      <c r="R604" s="165">
        <f t="shared" si="20"/>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19"/>
        <v>0</v>
      </c>
      <c r="Q605" s="289"/>
      <c r="R605" s="165">
        <f t="shared" si="20"/>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19"/>
        <v>0</v>
      </c>
      <c r="Q606" s="289"/>
      <c r="R606" s="165">
        <f t="shared" si="20"/>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19"/>
        <v>0</v>
      </c>
      <c r="Q607" s="289"/>
      <c r="R607" s="165">
        <f t="shared" si="20"/>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19"/>
        <v>0</v>
      </c>
      <c r="Q608" s="289"/>
      <c r="R608" s="165">
        <f t="shared" si="20"/>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19"/>
        <v>0</v>
      </c>
      <c r="Q609" s="289"/>
      <c r="R609" s="165">
        <f t="shared" si="20"/>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19"/>
        <v>0</v>
      </c>
      <c r="Q610" s="289"/>
      <c r="R610" s="165">
        <f t="shared" si="20"/>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19"/>
        <v>0</v>
      </c>
      <c r="Q611" s="289"/>
      <c r="R611" s="165">
        <f t="shared" si="20"/>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19"/>
        <v>0</v>
      </c>
      <c r="Q612" s="289"/>
      <c r="R612" s="165">
        <f t="shared" si="20"/>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19"/>
        <v>0</v>
      </c>
      <c r="Q613" s="289"/>
      <c r="R613" s="165">
        <f t="shared" si="20"/>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19"/>
        <v>0</v>
      </c>
      <c r="Q614" s="289"/>
      <c r="R614" s="165">
        <f t="shared" si="20"/>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19"/>
        <v>0</v>
      </c>
      <c r="Q615" s="289"/>
      <c r="R615" s="165">
        <f t="shared" si="20"/>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19"/>
        <v>0</v>
      </c>
      <c r="Q616" s="289"/>
      <c r="R616" s="165">
        <f t="shared" si="20"/>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19"/>
        <v>0</v>
      </c>
      <c r="Q617" s="289"/>
      <c r="R617" s="165">
        <f t="shared" si="20"/>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19"/>
        <v>0</v>
      </c>
      <c r="Q618" s="289"/>
      <c r="R618" s="165">
        <f t="shared" si="20"/>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19"/>
        <v>0</v>
      </c>
      <c r="Q619" s="289"/>
      <c r="R619" s="165">
        <f t="shared" si="20"/>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19"/>
        <v>0</v>
      </c>
      <c r="Q620" s="289"/>
      <c r="R620" s="165">
        <f t="shared" si="20"/>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19"/>
        <v>0</v>
      </c>
      <c r="Q621" s="289"/>
      <c r="R621" s="165">
        <f t="shared" si="20"/>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19"/>
        <v>0</v>
      </c>
      <c r="Q622" s="289"/>
      <c r="R622" s="165">
        <f t="shared" si="20"/>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19"/>
        <v>0</v>
      </c>
      <c r="Q623" s="289"/>
      <c r="R623" s="165">
        <f t="shared" si="20"/>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19"/>
        <v>0</v>
      </c>
      <c r="Q624" s="289"/>
      <c r="R624" s="165">
        <f t="shared" si="20"/>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19"/>
        <v>0</v>
      </c>
      <c r="Q625" s="289"/>
      <c r="R625" s="165">
        <f t="shared" si="20"/>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19"/>
        <v>0</v>
      </c>
      <c r="Q626" s="289"/>
      <c r="R626" s="165">
        <f t="shared" si="20"/>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19"/>
        <v>0</v>
      </c>
      <c r="Q627" s="289"/>
      <c r="R627" s="165">
        <f t="shared" si="20"/>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1">SUM(I628:O628)</f>
        <v>0</v>
      </c>
      <c r="Q628" s="289"/>
      <c r="R628" s="165">
        <f t="shared" si="20"/>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1"/>
        <v>0</v>
      </c>
      <c r="Q629" s="289"/>
      <c r="R629" s="165">
        <f t="shared" si="20"/>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1"/>
        <v>0</v>
      </c>
      <c r="Q630" s="289"/>
      <c r="R630" s="165">
        <f t="shared" si="20"/>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1"/>
        <v>0</v>
      </c>
      <c r="Q631" s="289"/>
      <c r="R631" s="165">
        <f t="shared" si="20"/>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1"/>
        <v>0</v>
      </c>
      <c r="Q632" s="289"/>
      <c r="R632" s="165">
        <f t="shared" si="20"/>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1"/>
        <v>0</v>
      </c>
      <c r="Q633" s="289"/>
      <c r="R633" s="165">
        <f t="shared" si="20"/>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1"/>
        <v>0</v>
      </c>
      <c r="Q634" s="289"/>
      <c r="R634" s="165">
        <f t="shared" si="20"/>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1"/>
        <v>0</v>
      </c>
      <c r="Q635" s="289"/>
      <c r="R635" s="165">
        <f t="shared" si="20"/>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1"/>
        <v>0</v>
      </c>
      <c r="Q636" s="289"/>
      <c r="R636" s="165">
        <f t="shared" si="20"/>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1"/>
        <v>0</v>
      </c>
      <c r="Q637" s="289"/>
      <c r="R637" s="165">
        <f t="shared" si="20"/>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1"/>
        <v>0</v>
      </c>
      <c r="Q638" s="289"/>
      <c r="R638" s="165">
        <f t="shared" si="20"/>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1"/>
        <v>0</v>
      </c>
      <c r="Q639" s="289"/>
      <c r="R639" s="165">
        <f t="shared" si="20"/>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1"/>
        <v>0</v>
      </c>
      <c r="Q640" s="289"/>
      <c r="R640" s="165">
        <f t="shared" si="20"/>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1"/>
        <v>0</v>
      </c>
      <c r="Q641" s="289"/>
      <c r="R641" s="165">
        <f t="shared" si="20"/>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1"/>
        <v>0</v>
      </c>
      <c r="Q642" s="289"/>
      <c r="R642" s="165">
        <f t="shared" si="20"/>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1"/>
        <v>0</v>
      </c>
      <c r="Q643" s="289"/>
      <c r="R643" s="165">
        <f t="shared" si="20"/>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1"/>
        <v>0</v>
      </c>
      <c r="Q644" s="289"/>
      <c r="R644" s="165">
        <f t="shared" si="20"/>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1"/>
        <v>0</v>
      </c>
      <c r="Q645" s="289"/>
      <c r="R645" s="165">
        <f t="shared" si="20"/>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1"/>
        <v>0</v>
      </c>
      <c r="Q646" s="289"/>
      <c r="R646" s="165">
        <f t="shared" si="20"/>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1"/>
        <v>0</v>
      </c>
      <c r="Q647" s="289"/>
      <c r="R647" s="165">
        <f t="shared" si="20"/>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1"/>
        <v>0</v>
      </c>
      <c r="Q648" s="289"/>
      <c r="R648" s="165">
        <f t="shared" si="20"/>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1"/>
        <v>0</v>
      </c>
      <c r="Q649" s="289"/>
      <c r="R649" s="165">
        <f t="shared" si="20"/>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1"/>
        <v>0</v>
      </c>
      <c r="Q650" s="289"/>
      <c r="R650" s="165">
        <f t="shared" si="20"/>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1"/>
        <v>0</v>
      </c>
      <c r="Q651" s="289"/>
      <c r="R651" s="165">
        <f t="shared" si="20"/>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1"/>
        <v>0</v>
      </c>
      <c r="Q652" s="289"/>
      <c r="R652" s="165">
        <f t="shared" si="20"/>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1"/>
        <v>0</v>
      </c>
      <c r="Q653" s="289"/>
      <c r="R653" s="165">
        <f t="shared" si="20"/>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1"/>
        <v>0</v>
      </c>
      <c r="Q654" s="289"/>
      <c r="R654" s="165">
        <f t="shared" si="20"/>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1"/>
        <v>0</v>
      </c>
      <c r="Q655" s="289"/>
      <c r="R655" s="165">
        <f t="shared" si="20"/>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1"/>
        <v>0</v>
      </c>
      <c r="Q656" s="289"/>
      <c r="R656" s="165">
        <f t="shared" si="20"/>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1"/>
        <v>0</v>
      </c>
      <c r="Q657" s="289"/>
      <c r="R657" s="165">
        <f t="shared" si="20"/>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1"/>
        <v>0</v>
      </c>
      <c r="Q658" s="289"/>
      <c r="R658" s="165">
        <f t="shared" si="20"/>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1"/>
        <v>0</v>
      </c>
      <c r="Q659" s="289"/>
      <c r="R659" s="165">
        <f t="shared" si="20"/>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1"/>
        <v>0</v>
      </c>
      <c r="Q660" s="289"/>
      <c r="R660" s="165">
        <f t="shared" si="20"/>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1"/>
        <v>0</v>
      </c>
      <c r="Q661" s="289"/>
      <c r="R661" s="165">
        <f t="shared" si="20"/>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1"/>
        <v>0</v>
      </c>
      <c r="Q662" s="289"/>
      <c r="R662" s="165">
        <f t="shared" si="20"/>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1"/>
        <v>0</v>
      </c>
      <c r="Q663" s="289"/>
      <c r="R663" s="165">
        <f t="shared" si="20"/>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1"/>
        <v>0</v>
      </c>
      <c r="Q664" s="289"/>
      <c r="R664" s="165">
        <f t="shared" si="20"/>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1"/>
        <v>0</v>
      </c>
      <c r="Q665" s="289"/>
      <c r="R665" s="165">
        <f t="shared" si="20"/>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1"/>
        <v>0</v>
      </c>
      <c r="Q666" s="289"/>
      <c r="R666" s="165">
        <f t="shared" ref="R666:R729" si="22">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1"/>
        <v>0</v>
      </c>
      <c r="Q667" s="289"/>
      <c r="R667" s="165">
        <f t="shared" si="22"/>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1"/>
        <v>0</v>
      </c>
      <c r="Q668" s="289"/>
      <c r="R668" s="165">
        <f t="shared" si="22"/>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1"/>
        <v>0</v>
      </c>
      <c r="Q669" s="289"/>
      <c r="R669" s="165">
        <f t="shared" si="22"/>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1"/>
        <v>0</v>
      </c>
      <c r="Q670" s="289"/>
      <c r="R670" s="165">
        <f t="shared" si="22"/>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1"/>
        <v>0</v>
      </c>
      <c r="Q671" s="289"/>
      <c r="R671" s="165">
        <f t="shared" si="22"/>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1"/>
        <v>0</v>
      </c>
      <c r="Q672" s="289"/>
      <c r="R672" s="165">
        <f t="shared" si="22"/>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1"/>
        <v>0</v>
      </c>
      <c r="Q673" s="289"/>
      <c r="R673" s="165">
        <f t="shared" si="22"/>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1"/>
        <v>0</v>
      </c>
      <c r="Q674" s="289"/>
      <c r="R674" s="165">
        <f t="shared" si="22"/>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1"/>
        <v>0</v>
      </c>
      <c r="Q675" s="289"/>
      <c r="R675" s="165">
        <f t="shared" si="22"/>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1"/>
        <v>0</v>
      </c>
      <c r="Q676" s="289"/>
      <c r="R676" s="165">
        <f t="shared" si="22"/>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1"/>
        <v>0</v>
      </c>
      <c r="Q677" s="289"/>
      <c r="R677" s="165">
        <f t="shared" si="22"/>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1"/>
        <v>0</v>
      </c>
      <c r="Q678" s="289"/>
      <c r="R678" s="165">
        <f t="shared" si="22"/>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1"/>
        <v>0</v>
      </c>
      <c r="Q679" s="289"/>
      <c r="R679" s="165">
        <f t="shared" si="22"/>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1"/>
        <v>0</v>
      </c>
      <c r="Q680" s="289"/>
      <c r="R680" s="165">
        <f t="shared" si="22"/>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1"/>
        <v>0</v>
      </c>
      <c r="Q681" s="289"/>
      <c r="R681" s="165">
        <f t="shared" si="22"/>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1"/>
        <v>0</v>
      </c>
      <c r="Q682" s="289"/>
      <c r="R682" s="165">
        <f t="shared" si="22"/>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1"/>
        <v>0</v>
      </c>
      <c r="Q683" s="289"/>
      <c r="R683" s="165">
        <f t="shared" si="22"/>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1"/>
        <v>0</v>
      </c>
      <c r="Q684" s="289"/>
      <c r="R684" s="165">
        <f t="shared" si="22"/>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1"/>
        <v>0</v>
      </c>
      <c r="Q685" s="289"/>
      <c r="R685" s="165">
        <f t="shared" si="22"/>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1"/>
        <v>0</v>
      </c>
      <c r="Q686" s="289"/>
      <c r="R686" s="165">
        <f t="shared" si="22"/>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1"/>
        <v>0</v>
      </c>
      <c r="Q687" s="289"/>
      <c r="R687" s="165">
        <f t="shared" si="22"/>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1"/>
        <v>0</v>
      </c>
      <c r="Q688" s="289"/>
      <c r="R688" s="165">
        <f t="shared" si="22"/>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1"/>
        <v>0</v>
      </c>
      <c r="Q689" s="289"/>
      <c r="R689" s="165">
        <f t="shared" si="22"/>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1"/>
        <v>0</v>
      </c>
      <c r="Q690" s="289"/>
      <c r="R690" s="165">
        <f t="shared" si="22"/>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1"/>
        <v>0</v>
      </c>
      <c r="Q691" s="289"/>
      <c r="R691" s="165">
        <f t="shared" si="22"/>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3">SUM(I692:O692)</f>
        <v>0</v>
      </c>
      <c r="Q692" s="289"/>
      <c r="R692" s="165">
        <f t="shared" si="22"/>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3"/>
        <v>0</v>
      </c>
      <c r="Q693" s="289"/>
      <c r="R693" s="165">
        <f t="shared" si="22"/>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3"/>
        <v>0</v>
      </c>
      <c r="Q694" s="289"/>
      <c r="R694" s="165">
        <f t="shared" si="22"/>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3"/>
        <v>0</v>
      </c>
      <c r="Q695" s="289"/>
      <c r="R695" s="165">
        <f t="shared" si="22"/>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3"/>
        <v>0</v>
      </c>
      <c r="Q696" s="289"/>
      <c r="R696" s="165">
        <f t="shared" si="22"/>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3"/>
        <v>0</v>
      </c>
      <c r="Q697" s="289"/>
      <c r="R697" s="165">
        <f t="shared" si="22"/>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3"/>
        <v>0</v>
      </c>
      <c r="Q698" s="289"/>
      <c r="R698" s="165">
        <f t="shared" si="22"/>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3"/>
        <v>0</v>
      </c>
      <c r="Q699" s="289"/>
      <c r="R699" s="165">
        <f t="shared" si="22"/>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3"/>
        <v>0</v>
      </c>
      <c r="Q700" s="289"/>
      <c r="R700" s="165">
        <f t="shared" si="22"/>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3"/>
        <v>0</v>
      </c>
      <c r="Q701" s="289"/>
      <c r="R701" s="165">
        <f t="shared" si="22"/>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3"/>
        <v>0</v>
      </c>
      <c r="Q702" s="289"/>
      <c r="R702" s="165">
        <f t="shared" si="22"/>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3"/>
        <v>0</v>
      </c>
      <c r="Q703" s="289"/>
      <c r="R703" s="165">
        <f t="shared" si="22"/>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3"/>
        <v>0</v>
      </c>
      <c r="Q704" s="289"/>
      <c r="R704" s="165">
        <f t="shared" si="22"/>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3"/>
        <v>0</v>
      </c>
      <c r="Q705" s="289"/>
      <c r="R705" s="165">
        <f t="shared" si="22"/>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3"/>
        <v>0</v>
      </c>
      <c r="Q706" s="289"/>
      <c r="R706" s="165">
        <f t="shared" si="22"/>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3"/>
        <v>0</v>
      </c>
      <c r="Q707" s="289"/>
      <c r="R707" s="165">
        <f t="shared" si="22"/>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3"/>
        <v>0</v>
      </c>
      <c r="Q708" s="289"/>
      <c r="R708" s="165">
        <f t="shared" si="22"/>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3"/>
        <v>0</v>
      </c>
      <c r="Q709" s="289"/>
      <c r="R709" s="165">
        <f t="shared" si="22"/>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3"/>
        <v>0</v>
      </c>
      <c r="Q710" s="289"/>
      <c r="R710" s="165">
        <f t="shared" si="22"/>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3"/>
        <v>0</v>
      </c>
      <c r="Q711" s="289"/>
      <c r="R711" s="165">
        <f t="shared" si="22"/>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3"/>
        <v>0</v>
      </c>
      <c r="Q712" s="289"/>
      <c r="R712" s="165">
        <f t="shared" si="22"/>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3"/>
        <v>0</v>
      </c>
      <c r="Q713" s="289"/>
      <c r="R713" s="165">
        <f t="shared" si="22"/>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3"/>
        <v>0</v>
      </c>
      <c r="Q714" s="289"/>
      <c r="R714" s="165">
        <f t="shared" si="22"/>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3"/>
        <v>0</v>
      </c>
      <c r="Q715" s="289"/>
      <c r="R715" s="165">
        <f t="shared" si="22"/>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3"/>
        <v>0</v>
      </c>
      <c r="Q716" s="289"/>
      <c r="R716" s="165">
        <f t="shared" si="22"/>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3"/>
        <v>0</v>
      </c>
      <c r="Q717" s="289"/>
      <c r="R717" s="165">
        <f t="shared" si="22"/>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3"/>
        <v>0</v>
      </c>
      <c r="Q718" s="289"/>
      <c r="R718" s="165">
        <f t="shared" si="22"/>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3"/>
        <v>0</v>
      </c>
      <c r="Q719" s="289"/>
      <c r="R719" s="165">
        <f t="shared" si="22"/>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3"/>
        <v>0</v>
      </c>
      <c r="Q720" s="289"/>
      <c r="R720" s="165">
        <f t="shared" si="22"/>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3"/>
        <v>0</v>
      </c>
      <c r="Q721" s="289"/>
      <c r="R721" s="165">
        <f t="shared" si="22"/>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3"/>
        <v>0</v>
      </c>
      <c r="Q722" s="289"/>
      <c r="R722" s="165">
        <f t="shared" si="22"/>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3"/>
        <v>0</v>
      </c>
      <c r="Q723" s="289"/>
      <c r="R723" s="165">
        <f t="shared" si="22"/>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3"/>
        <v>0</v>
      </c>
      <c r="Q724" s="289"/>
      <c r="R724" s="165">
        <f t="shared" si="22"/>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3"/>
        <v>0</v>
      </c>
      <c r="Q725" s="289"/>
      <c r="R725" s="165">
        <f t="shared" si="22"/>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3"/>
        <v>0</v>
      </c>
      <c r="Q726" s="289"/>
      <c r="R726" s="165">
        <f t="shared" si="22"/>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3"/>
        <v>0</v>
      </c>
      <c r="Q727" s="289"/>
      <c r="R727" s="165">
        <f t="shared" si="22"/>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3"/>
        <v>0</v>
      </c>
      <c r="Q728" s="289"/>
      <c r="R728" s="165">
        <f t="shared" si="22"/>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3"/>
        <v>0</v>
      </c>
      <c r="Q729" s="289"/>
      <c r="R729" s="165">
        <f t="shared" si="22"/>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3"/>
        <v>0</v>
      </c>
      <c r="Q730" s="289"/>
      <c r="R730" s="165">
        <f t="shared" ref="R730:R793" si="24">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3"/>
        <v>0</v>
      </c>
      <c r="Q731" s="289"/>
      <c r="R731" s="165">
        <f t="shared" si="24"/>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3"/>
        <v>0</v>
      </c>
      <c r="Q732" s="289"/>
      <c r="R732" s="165">
        <f t="shared" si="24"/>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3"/>
        <v>0</v>
      </c>
      <c r="Q733" s="289"/>
      <c r="R733" s="165">
        <f t="shared" si="24"/>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3"/>
        <v>0</v>
      </c>
      <c r="Q734" s="289"/>
      <c r="R734" s="165">
        <f t="shared" si="24"/>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3"/>
        <v>0</v>
      </c>
      <c r="Q735" s="289"/>
      <c r="R735" s="165">
        <f t="shared" si="24"/>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3"/>
        <v>0</v>
      </c>
      <c r="Q736" s="289"/>
      <c r="R736" s="165">
        <f t="shared" si="24"/>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3"/>
        <v>0</v>
      </c>
      <c r="Q737" s="289"/>
      <c r="R737" s="165">
        <f t="shared" si="24"/>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3"/>
        <v>0</v>
      </c>
      <c r="Q738" s="289"/>
      <c r="R738" s="165">
        <f t="shared" si="24"/>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3"/>
        <v>0</v>
      </c>
      <c r="Q739" s="289"/>
      <c r="R739" s="165">
        <f t="shared" si="24"/>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3"/>
        <v>0</v>
      </c>
      <c r="Q740" s="289"/>
      <c r="R740" s="165">
        <f t="shared" si="24"/>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3"/>
        <v>0</v>
      </c>
      <c r="Q741" s="289"/>
      <c r="R741" s="165">
        <f t="shared" si="24"/>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3"/>
        <v>0</v>
      </c>
      <c r="Q742" s="289"/>
      <c r="R742" s="165">
        <f t="shared" si="24"/>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3"/>
        <v>0</v>
      </c>
      <c r="Q743" s="289"/>
      <c r="R743" s="165">
        <f t="shared" si="24"/>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3"/>
        <v>0</v>
      </c>
      <c r="Q744" s="289"/>
      <c r="R744" s="165">
        <f t="shared" si="24"/>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3"/>
        <v>0</v>
      </c>
      <c r="Q745" s="289"/>
      <c r="R745" s="165">
        <f t="shared" si="24"/>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3"/>
        <v>0</v>
      </c>
      <c r="Q746" s="289"/>
      <c r="R746" s="165">
        <f t="shared" si="24"/>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3"/>
        <v>0</v>
      </c>
      <c r="Q747" s="289"/>
      <c r="R747" s="165">
        <f t="shared" si="24"/>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3"/>
        <v>0</v>
      </c>
      <c r="Q748" s="289"/>
      <c r="R748" s="165">
        <f t="shared" si="24"/>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3"/>
        <v>0</v>
      </c>
      <c r="Q749" s="289"/>
      <c r="R749" s="165">
        <f t="shared" si="24"/>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3"/>
        <v>0</v>
      </c>
      <c r="Q750" s="289"/>
      <c r="R750" s="165">
        <f t="shared" si="24"/>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3"/>
        <v>0</v>
      </c>
      <c r="Q751" s="289"/>
      <c r="R751" s="165">
        <f t="shared" si="24"/>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3"/>
        <v>0</v>
      </c>
      <c r="Q752" s="289"/>
      <c r="R752" s="165">
        <f t="shared" si="24"/>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3"/>
        <v>0</v>
      </c>
      <c r="Q753" s="289"/>
      <c r="R753" s="165">
        <f t="shared" si="24"/>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3"/>
        <v>0</v>
      </c>
      <c r="Q754" s="289"/>
      <c r="R754" s="165">
        <f t="shared" si="24"/>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3"/>
        <v>0</v>
      </c>
      <c r="Q755" s="289"/>
      <c r="R755" s="165">
        <f t="shared" si="24"/>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5">SUM(I756:O756)</f>
        <v>0</v>
      </c>
      <c r="Q756" s="289"/>
      <c r="R756" s="165">
        <f t="shared" si="24"/>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5"/>
        <v>0</v>
      </c>
      <c r="Q757" s="289"/>
      <c r="R757" s="165">
        <f t="shared" si="24"/>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5"/>
        <v>0</v>
      </c>
      <c r="Q758" s="289"/>
      <c r="R758" s="165">
        <f t="shared" si="24"/>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5"/>
        <v>0</v>
      </c>
      <c r="Q759" s="289"/>
      <c r="R759" s="165">
        <f t="shared" si="24"/>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5"/>
        <v>0</v>
      </c>
      <c r="Q760" s="289"/>
      <c r="R760" s="165">
        <f t="shared" si="24"/>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5"/>
        <v>0</v>
      </c>
      <c r="Q761" s="289"/>
      <c r="R761" s="165">
        <f t="shared" si="24"/>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5"/>
        <v>0</v>
      </c>
      <c r="Q762" s="289"/>
      <c r="R762" s="165">
        <f t="shared" si="24"/>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5"/>
        <v>0</v>
      </c>
      <c r="Q763" s="289"/>
      <c r="R763" s="165">
        <f t="shared" si="24"/>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5"/>
        <v>0</v>
      </c>
      <c r="Q764" s="289"/>
      <c r="R764" s="165">
        <f t="shared" si="24"/>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5"/>
        <v>0</v>
      </c>
      <c r="Q765" s="289"/>
      <c r="R765" s="165">
        <f t="shared" si="24"/>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5"/>
        <v>0</v>
      </c>
      <c r="Q766" s="289"/>
      <c r="R766" s="165">
        <f t="shared" si="24"/>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5"/>
        <v>0</v>
      </c>
      <c r="Q767" s="289"/>
      <c r="R767" s="165">
        <f t="shared" si="24"/>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5"/>
        <v>0</v>
      </c>
      <c r="Q768" s="289"/>
      <c r="R768" s="165">
        <f t="shared" si="24"/>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5"/>
        <v>0</v>
      </c>
      <c r="Q769" s="289"/>
      <c r="R769" s="165">
        <f t="shared" si="24"/>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5"/>
        <v>0</v>
      </c>
      <c r="Q770" s="289"/>
      <c r="R770" s="165">
        <f t="shared" si="24"/>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5"/>
        <v>0</v>
      </c>
      <c r="Q771" s="289"/>
      <c r="R771" s="165">
        <f t="shared" si="24"/>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5"/>
        <v>0</v>
      </c>
      <c r="Q772" s="289"/>
      <c r="R772" s="165">
        <f t="shared" si="24"/>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5"/>
        <v>0</v>
      </c>
      <c r="Q773" s="289"/>
      <c r="R773" s="165">
        <f t="shared" si="24"/>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5"/>
        <v>0</v>
      </c>
      <c r="Q774" s="289"/>
      <c r="R774" s="165">
        <f t="shared" si="24"/>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5"/>
        <v>0</v>
      </c>
      <c r="Q775" s="289"/>
      <c r="R775" s="165">
        <f t="shared" si="24"/>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5"/>
        <v>0</v>
      </c>
      <c r="Q776" s="289"/>
      <c r="R776" s="165">
        <f t="shared" si="24"/>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5"/>
        <v>0</v>
      </c>
      <c r="Q777" s="289"/>
      <c r="R777" s="165">
        <f t="shared" si="24"/>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5"/>
        <v>0</v>
      </c>
      <c r="Q778" s="289"/>
      <c r="R778" s="165">
        <f t="shared" si="24"/>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5"/>
        <v>0</v>
      </c>
      <c r="Q779" s="289"/>
      <c r="R779" s="165">
        <f t="shared" si="24"/>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5"/>
        <v>0</v>
      </c>
      <c r="Q780" s="289"/>
      <c r="R780" s="165">
        <f t="shared" si="24"/>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5"/>
        <v>0</v>
      </c>
      <c r="Q781" s="289"/>
      <c r="R781" s="165">
        <f t="shared" si="24"/>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5"/>
        <v>0</v>
      </c>
      <c r="Q782" s="289"/>
      <c r="R782" s="165">
        <f t="shared" si="24"/>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5"/>
        <v>0</v>
      </c>
      <c r="Q783" s="289"/>
      <c r="R783" s="165">
        <f t="shared" si="24"/>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5"/>
        <v>0</v>
      </c>
      <c r="Q784" s="289"/>
      <c r="R784" s="165">
        <f t="shared" si="24"/>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5"/>
        <v>0</v>
      </c>
      <c r="Q785" s="289"/>
      <c r="R785" s="165">
        <f t="shared" si="24"/>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5"/>
        <v>0</v>
      </c>
      <c r="Q786" s="289"/>
      <c r="R786" s="165">
        <f t="shared" si="24"/>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5"/>
        <v>0</v>
      </c>
      <c r="Q787" s="289"/>
      <c r="R787" s="165">
        <f t="shared" si="24"/>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5"/>
        <v>0</v>
      </c>
      <c r="Q788" s="289"/>
      <c r="R788" s="165">
        <f t="shared" si="24"/>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5"/>
        <v>0</v>
      </c>
      <c r="Q789" s="289"/>
      <c r="R789" s="165">
        <f t="shared" si="24"/>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5"/>
        <v>0</v>
      </c>
      <c r="Q790" s="289"/>
      <c r="R790" s="165">
        <f t="shared" si="24"/>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5"/>
        <v>0</v>
      </c>
      <c r="Q791" s="289"/>
      <c r="R791" s="165">
        <f t="shared" si="24"/>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5"/>
        <v>0</v>
      </c>
      <c r="Q792" s="289"/>
      <c r="R792" s="165">
        <f t="shared" si="24"/>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5"/>
        <v>0</v>
      </c>
      <c r="Q793" s="289"/>
      <c r="R793" s="165">
        <f t="shared" si="24"/>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5"/>
        <v>0</v>
      </c>
      <c r="Q794" s="289"/>
      <c r="R794" s="165">
        <f t="shared" ref="R794:R857" si="26">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5"/>
        <v>0</v>
      </c>
      <c r="Q795" s="289"/>
      <c r="R795" s="165">
        <f t="shared" si="26"/>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5"/>
        <v>0</v>
      </c>
      <c r="Q796" s="289"/>
      <c r="R796" s="165">
        <f t="shared" si="26"/>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5"/>
        <v>0</v>
      </c>
      <c r="Q797" s="289"/>
      <c r="R797" s="165">
        <f t="shared" si="26"/>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5"/>
        <v>0</v>
      </c>
      <c r="Q798" s="289"/>
      <c r="R798" s="165">
        <f t="shared" si="26"/>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5"/>
        <v>0</v>
      </c>
      <c r="Q799" s="289"/>
      <c r="R799" s="165">
        <f t="shared" si="26"/>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5"/>
        <v>0</v>
      </c>
      <c r="Q800" s="289"/>
      <c r="R800" s="165">
        <f t="shared" si="26"/>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5"/>
        <v>0</v>
      </c>
      <c r="Q801" s="289"/>
      <c r="R801" s="165">
        <f t="shared" si="26"/>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5"/>
        <v>0</v>
      </c>
      <c r="Q802" s="289"/>
      <c r="R802" s="165">
        <f t="shared" si="26"/>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5"/>
        <v>0</v>
      </c>
      <c r="Q803" s="289"/>
      <c r="R803" s="165">
        <f t="shared" si="26"/>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5"/>
        <v>0</v>
      </c>
      <c r="Q804" s="289"/>
      <c r="R804" s="165">
        <f t="shared" si="26"/>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5"/>
        <v>0</v>
      </c>
      <c r="Q805" s="289"/>
      <c r="R805" s="165">
        <f t="shared" si="26"/>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5"/>
        <v>0</v>
      </c>
      <c r="Q806" s="289"/>
      <c r="R806" s="165">
        <f t="shared" si="26"/>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5"/>
        <v>0</v>
      </c>
      <c r="Q807" s="289"/>
      <c r="R807" s="165">
        <f t="shared" si="26"/>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5"/>
        <v>0</v>
      </c>
      <c r="Q808" s="289"/>
      <c r="R808" s="165">
        <f t="shared" si="26"/>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5"/>
        <v>0</v>
      </c>
      <c r="Q809" s="289"/>
      <c r="R809" s="165">
        <f t="shared" si="26"/>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5"/>
        <v>0</v>
      </c>
      <c r="Q810" s="289"/>
      <c r="R810" s="165">
        <f t="shared" si="26"/>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5"/>
        <v>0</v>
      </c>
      <c r="Q811" s="289"/>
      <c r="R811" s="165">
        <f t="shared" si="26"/>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5"/>
        <v>0</v>
      </c>
      <c r="Q812" s="289"/>
      <c r="R812" s="165">
        <f t="shared" si="26"/>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5"/>
        <v>0</v>
      </c>
      <c r="Q813" s="289"/>
      <c r="R813" s="165">
        <f t="shared" si="26"/>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5"/>
        <v>0</v>
      </c>
      <c r="Q814" s="289"/>
      <c r="R814" s="165">
        <f t="shared" si="26"/>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5"/>
        <v>0</v>
      </c>
      <c r="Q815" s="289"/>
      <c r="R815" s="165">
        <f t="shared" si="26"/>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5"/>
        <v>0</v>
      </c>
      <c r="Q816" s="289"/>
      <c r="R816" s="165">
        <f t="shared" si="26"/>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5"/>
        <v>0</v>
      </c>
      <c r="Q817" s="289"/>
      <c r="R817" s="165">
        <f t="shared" si="26"/>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5"/>
        <v>0</v>
      </c>
      <c r="Q818" s="289"/>
      <c r="R818" s="165">
        <f t="shared" si="26"/>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5"/>
        <v>0</v>
      </c>
      <c r="Q819" s="289"/>
      <c r="R819" s="165">
        <f t="shared" si="26"/>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7">SUM(I820:O820)</f>
        <v>0</v>
      </c>
      <c r="Q820" s="289"/>
      <c r="R820" s="165">
        <f t="shared" si="26"/>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7"/>
        <v>0</v>
      </c>
      <c r="Q821" s="289"/>
      <c r="R821" s="165">
        <f t="shared" si="26"/>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7"/>
        <v>0</v>
      </c>
      <c r="Q822" s="289"/>
      <c r="R822" s="165">
        <f t="shared" si="26"/>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7"/>
        <v>0</v>
      </c>
      <c r="Q823" s="289"/>
      <c r="R823" s="165">
        <f t="shared" si="26"/>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7"/>
        <v>0</v>
      </c>
      <c r="Q824" s="289"/>
      <c r="R824" s="165">
        <f t="shared" si="26"/>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7"/>
        <v>0</v>
      </c>
      <c r="Q825" s="289"/>
      <c r="R825" s="165">
        <f t="shared" si="26"/>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7"/>
        <v>0</v>
      </c>
      <c r="Q826" s="289"/>
      <c r="R826" s="165">
        <f t="shared" si="26"/>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7"/>
        <v>0</v>
      </c>
      <c r="Q827" s="289"/>
      <c r="R827" s="165">
        <f t="shared" si="26"/>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7"/>
        <v>0</v>
      </c>
      <c r="Q828" s="289"/>
      <c r="R828" s="165">
        <f t="shared" si="26"/>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7"/>
        <v>0</v>
      </c>
      <c r="Q829" s="289"/>
      <c r="R829" s="165">
        <f t="shared" si="26"/>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7"/>
        <v>0</v>
      </c>
      <c r="Q830" s="289"/>
      <c r="R830" s="165">
        <f t="shared" si="26"/>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7"/>
        <v>0</v>
      </c>
      <c r="Q831" s="289"/>
      <c r="R831" s="165">
        <f t="shared" si="26"/>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7"/>
        <v>0</v>
      </c>
      <c r="Q832" s="289"/>
      <c r="R832" s="165">
        <f t="shared" si="26"/>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7"/>
        <v>0</v>
      </c>
      <c r="Q833" s="289"/>
      <c r="R833" s="165">
        <f t="shared" si="26"/>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7"/>
        <v>0</v>
      </c>
      <c r="Q834" s="289"/>
      <c r="R834" s="165">
        <f t="shared" si="26"/>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7"/>
        <v>0</v>
      </c>
      <c r="Q835" s="289"/>
      <c r="R835" s="165">
        <f t="shared" si="26"/>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7"/>
        <v>0</v>
      </c>
      <c r="Q836" s="289"/>
      <c r="R836" s="165">
        <f t="shared" si="26"/>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7"/>
        <v>0</v>
      </c>
      <c r="Q837" s="289"/>
      <c r="R837" s="165">
        <f t="shared" si="26"/>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7"/>
        <v>0</v>
      </c>
      <c r="Q838" s="289"/>
      <c r="R838" s="165">
        <f t="shared" si="26"/>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7"/>
        <v>0</v>
      </c>
      <c r="Q839" s="289"/>
      <c r="R839" s="165">
        <f t="shared" si="26"/>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7"/>
        <v>0</v>
      </c>
      <c r="Q840" s="289"/>
      <c r="R840" s="165">
        <f t="shared" si="26"/>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7"/>
        <v>0</v>
      </c>
      <c r="Q841" s="289"/>
      <c r="R841" s="165">
        <f t="shared" si="26"/>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7"/>
        <v>0</v>
      </c>
      <c r="Q842" s="289"/>
      <c r="R842" s="165">
        <f t="shared" si="26"/>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7"/>
        <v>0</v>
      </c>
      <c r="Q843" s="289"/>
      <c r="R843" s="165">
        <f t="shared" si="26"/>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7"/>
        <v>0</v>
      </c>
      <c r="Q844" s="289"/>
      <c r="R844" s="165">
        <f t="shared" si="26"/>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7"/>
        <v>0</v>
      </c>
      <c r="Q845" s="289"/>
      <c r="R845" s="165">
        <f t="shared" si="26"/>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7"/>
        <v>0</v>
      </c>
      <c r="Q846" s="289"/>
      <c r="R846" s="165">
        <f t="shared" si="26"/>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7"/>
        <v>0</v>
      </c>
      <c r="Q847" s="289"/>
      <c r="R847" s="165">
        <f t="shared" si="26"/>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7"/>
        <v>0</v>
      </c>
      <c r="Q848" s="289"/>
      <c r="R848" s="165">
        <f t="shared" si="26"/>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7"/>
        <v>0</v>
      </c>
      <c r="Q849" s="289"/>
      <c r="R849" s="165">
        <f t="shared" si="26"/>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7"/>
        <v>0</v>
      </c>
      <c r="Q850" s="289"/>
      <c r="R850" s="165">
        <f t="shared" si="26"/>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7"/>
        <v>0</v>
      </c>
      <c r="Q851" s="289"/>
      <c r="R851" s="165">
        <f t="shared" si="26"/>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7"/>
        <v>0</v>
      </c>
      <c r="Q852" s="289"/>
      <c r="R852" s="165">
        <f t="shared" si="26"/>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7"/>
        <v>0</v>
      </c>
      <c r="Q853" s="289"/>
      <c r="R853" s="165">
        <f t="shared" si="26"/>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7"/>
        <v>0</v>
      </c>
      <c r="Q854" s="289"/>
      <c r="R854" s="165">
        <f t="shared" si="26"/>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7"/>
        <v>0</v>
      </c>
      <c r="Q855" s="289"/>
      <c r="R855" s="165">
        <f t="shared" si="26"/>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7"/>
        <v>0</v>
      </c>
      <c r="Q856" s="289"/>
      <c r="R856" s="165">
        <f t="shared" si="26"/>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7"/>
        <v>0</v>
      </c>
      <c r="Q857" s="289"/>
      <c r="R857" s="165">
        <f t="shared" si="26"/>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7"/>
        <v>0</v>
      </c>
      <c r="Q858" s="289"/>
      <c r="R858" s="165">
        <f t="shared" ref="R858:R921" si="28">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7"/>
        <v>0</v>
      </c>
      <c r="Q859" s="289"/>
      <c r="R859" s="165">
        <f t="shared" si="28"/>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7"/>
        <v>0</v>
      </c>
      <c r="Q860" s="289"/>
      <c r="R860" s="165">
        <f t="shared" si="28"/>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7"/>
        <v>0</v>
      </c>
      <c r="Q861" s="289"/>
      <c r="R861" s="165">
        <f t="shared" si="28"/>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7"/>
        <v>0</v>
      </c>
      <c r="Q862" s="289"/>
      <c r="R862" s="165">
        <f t="shared" si="28"/>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7"/>
        <v>0</v>
      </c>
      <c r="Q863" s="289"/>
      <c r="R863" s="165">
        <f t="shared" si="28"/>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7"/>
        <v>0</v>
      </c>
      <c r="Q864" s="289"/>
      <c r="R864" s="165">
        <f t="shared" si="28"/>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7"/>
        <v>0</v>
      </c>
      <c r="Q865" s="289"/>
      <c r="R865" s="165">
        <f t="shared" si="28"/>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7"/>
        <v>0</v>
      </c>
      <c r="Q866" s="289"/>
      <c r="R866" s="165">
        <f t="shared" si="28"/>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7"/>
        <v>0</v>
      </c>
      <c r="Q867" s="289"/>
      <c r="R867" s="165">
        <f t="shared" si="28"/>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7"/>
        <v>0</v>
      </c>
      <c r="Q868" s="289"/>
      <c r="R868" s="165">
        <f t="shared" si="28"/>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7"/>
        <v>0</v>
      </c>
      <c r="Q869" s="289"/>
      <c r="R869" s="165">
        <f t="shared" si="28"/>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7"/>
        <v>0</v>
      </c>
      <c r="Q870" s="289"/>
      <c r="R870" s="165">
        <f t="shared" si="28"/>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7"/>
        <v>0</v>
      </c>
      <c r="Q871" s="289"/>
      <c r="R871" s="165">
        <f t="shared" si="28"/>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7"/>
        <v>0</v>
      </c>
      <c r="Q872" s="289"/>
      <c r="R872" s="165">
        <f t="shared" si="28"/>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7"/>
        <v>0</v>
      </c>
      <c r="Q873" s="289"/>
      <c r="R873" s="165">
        <f t="shared" si="28"/>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7"/>
        <v>0</v>
      </c>
      <c r="Q874" s="289"/>
      <c r="R874" s="165">
        <f t="shared" si="28"/>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7"/>
        <v>0</v>
      </c>
      <c r="Q875" s="289"/>
      <c r="R875" s="165">
        <f t="shared" si="28"/>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7"/>
        <v>0</v>
      </c>
      <c r="Q876" s="289"/>
      <c r="R876" s="165">
        <f t="shared" si="28"/>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7"/>
        <v>0</v>
      </c>
      <c r="Q877" s="289"/>
      <c r="R877" s="165">
        <f t="shared" si="28"/>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7"/>
        <v>0</v>
      </c>
      <c r="Q878" s="289"/>
      <c r="R878" s="165">
        <f t="shared" si="28"/>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7"/>
        <v>0</v>
      </c>
      <c r="Q879" s="289"/>
      <c r="R879" s="165">
        <f t="shared" si="28"/>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7"/>
        <v>0</v>
      </c>
      <c r="Q880" s="289"/>
      <c r="R880" s="165">
        <f t="shared" si="28"/>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7"/>
        <v>0</v>
      </c>
      <c r="Q881" s="289"/>
      <c r="R881" s="165">
        <f t="shared" si="28"/>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7"/>
        <v>0</v>
      </c>
      <c r="Q882" s="289"/>
      <c r="R882" s="165">
        <f t="shared" si="28"/>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7"/>
        <v>0</v>
      </c>
      <c r="Q883" s="289"/>
      <c r="R883" s="165">
        <f t="shared" si="28"/>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29">SUM(I884:O884)</f>
        <v>0</v>
      </c>
      <c r="Q884" s="289"/>
      <c r="R884" s="165">
        <f t="shared" si="28"/>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29"/>
        <v>0</v>
      </c>
      <c r="Q885" s="289"/>
      <c r="R885" s="165">
        <f t="shared" si="28"/>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29"/>
        <v>0</v>
      </c>
      <c r="Q886" s="289"/>
      <c r="R886" s="165">
        <f t="shared" si="28"/>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29"/>
        <v>0</v>
      </c>
      <c r="Q887" s="289"/>
      <c r="R887" s="165">
        <f t="shared" si="28"/>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29"/>
        <v>0</v>
      </c>
      <c r="Q888" s="289"/>
      <c r="R888" s="165">
        <f t="shared" si="28"/>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29"/>
        <v>0</v>
      </c>
      <c r="Q889" s="289"/>
      <c r="R889" s="165">
        <f t="shared" si="28"/>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29"/>
        <v>0</v>
      </c>
      <c r="Q890" s="289"/>
      <c r="R890" s="165">
        <f t="shared" si="28"/>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29"/>
        <v>0</v>
      </c>
      <c r="Q891" s="289"/>
      <c r="R891" s="165">
        <f t="shared" si="28"/>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29"/>
        <v>0</v>
      </c>
      <c r="Q892" s="289"/>
      <c r="R892" s="165">
        <f t="shared" si="28"/>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29"/>
        <v>0</v>
      </c>
      <c r="Q893" s="289"/>
      <c r="R893" s="165">
        <f t="shared" si="28"/>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29"/>
        <v>0</v>
      </c>
      <c r="Q894" s="289"/>
      <c r="R894" s="165">
        <f t="shared" si="28"/>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29"/>
        <v>0</v>
      </c>
      <c r="Q895" s="289"/>
      <c r="R895" s="165">
        <f t="shared" si="28"/>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29"/>
        <v>0</v>
      </c>
      <c r="Q896" s="289"/>
      <c r="R896" s="165">
        <f t="shared" si="28"/>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29"/>
        <v>0</v>
      </c>
      <c r="Q897" s="289"/>
      <c r="R897" s="165">
        <f t="shared" si="28"/>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29"/>
        <v>0</v>
      </c>
      <c r="Q898" s="289"/>
      <c r="R898" s="165">
        <f t="shared" si="28"/>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29"/>
        <v>0</v>
      </c>
      <c r="Q899" s="289"/>
      <c r="R899" s="165">
        <f t="shared" si="28"/>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29"/>
        <v>0</v>
      </c>
      <c r="Q900" s="289"/>
      <c r="R900" s="165">
        <f t="shared" si="28"/>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29"/>
        <v>0</v>
      </c>
      <c r="Q901" s="289"/>
      <c r="R901" s="165">
        <f t="shared" si="28"/>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29"/>
        <v>0</v>
      </c>
      <c r="Q902" s="289"/>
      <c r="R902" s="165">
        <f t="shared" si="28"/>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29"/>
        <v>0</v>
      </c>
      <c r="Q903" s="289"/>
      <c r="R903" s="165">
        <f t="shared" si="28"/>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29"/>
        <v>0</v>
      </c>
      <c r="Q904" s="289"/>
      <c r="R904" s="165">
        <f t="shared" si="28"/>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29"/>
        <v>0</v>
      </c>
      <c r="Q905" s="289"/>
      <c r="R905" s="165">
        <f t="shared" si="28"/>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29"/>
        <v>0</v>
      </c>
      <c r="Q906" s="289"/>
      <c r="R906" s="165">
        <f t="shared" si="28"/>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29"/>
        <v>0</v>
      </c>
      <c r="Q907" s="289"/>
      <c r="R907" s="165">
        <f t="shared" si="28"/>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29"/>
        <v>0</v>
      </c>
      <c r="Q908" s="289"/>
      <c r="R908" s="165">
        <f t="shared" si="28"/>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29"/>
        <v>0</v>
      </c>
      <c r="Q909" s="289"/>
      <c r="R909" s="165">
        <f t="shared" si="28"/>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29"/>
        <v>0</v>
      </c>
      <c r="Q910" s="289"/>
      <c r="R910" s="165">
        <f t="shared" si="28"/>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29"/>
        <v>0</v>
      </c>
      <c r="Q911" s="289"/>
      <c r="R911" s="165">
        <f t="shared" si="28"/>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29"/>
        <v>0</v>
      </c>
      <c r="Q912" s="289"/>
      <c r="R912" s="165">
        <f t="shared" si="28"/>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29"/>
        <v>0</v>
      </c>
      <c r="Q913" s="289"/>
      <c r="R913" s="165">
        <f t="shared" si="28"/>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29"/>
        <v>0</v>
      </c>
      <c r="Q914" s="289"/>
      <c r="R914" s="165">
        <f t="shared" si="28"/>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29"/>
        <v>0</v>
      </c>
      <c r="Q915" s="289"/>
      <c r="R915" s="165">
        <f t="shared" si="28"/>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29"/>
        <v>0</v>
      </c>
      <c r="Q916" s="289"/>
      <c r="R916" s="165">
        <f t="shared" si="28"/>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29"/>
        <v>0</v>
      </c>
      <c r="Q917" s="289"/>
      <c r="R917" s="165">
        <f t="shared" si="28"/>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29"/>
        <v>0</v>
      </c>
      <c r="Q918" s="289"/>
      <c r="R918" s="165">
        <f t="shared" si="28"/>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29"/>
        <v>0</v>
      </c>
      <c r="Q919" s="289"/>
      <c r="R919" s="165">
        <f t="shared" si="28"/>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29"/>
        <v>0</v>
      </c>
      <c r="Q920" s="289"/>
      <c r="R920" s="165">
        <f t="shared" si="28"/>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29"/>
        <v>0</v>
      </c>
      <c r="Q921" s="289"/>
      <c r="R921" s="165">
        <f t="shared" si="28"/>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29"/>
        <v>0</v>
      </c>
      <c r="Q922" s="289"/>
      <c r="R922" s="165">
        <f t="shared" ref="R922:R985" si="30">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29"/>
        <v>0</v>
      </c>
      <c r="Q923" s="289"/>
      <c r="R923" s="165">
        <f t="shared" si="30"/>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29"/>
        <v>0</v>
      </c>
      <c r="Q924" s="289"/>
      <c r="R924" s="165">
        <f t="shared" si="30"/>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29"/>
        <v>0</v>
      </c>
      <c r="Q925" s="289"/>
      <c r="R925" s="165">
        <f t="shared" si="30"/>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29"/>
        <v>0</v>
      </c>
      <c r="Q926" s="289"/>
      <c r="R926" s="165">
        <f t="shared" si="30"/>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29"/>
        <v>0</v>
      </c>
      <c r="Q927" s="289"/>
      <c r="R927" s="165">
        <f t="shared" si="30"/>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29"/>
        <v>0</v>
      </c>
      <c r="Q928" s="289"/>
      <c r="R928" s="165">
        <f t="shared" si="30"/>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29"/>
        <v>0</v>
      </c>
      <c r="Q929" s="289"/>
      <c r="R929" s="165">
        <f t="shared" si="30"/>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29"/>
        <v>0</v>
      </c>
      <c r="Q930" s="289"/>
      <c r="R930" s="165">
        <f t="shared" si="30"/>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29"/>
        <v>0</v>
      </c>
      <c r="Q931" s="289"/>
      <c r="R931" s="165">
        <f t="shared" si="30"/>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29"/>
        <v>0</v>
      </c>
      <c r="Q932" s="289"/>
      <c r="R932" s="165">
        <f t="shared" si="30"/>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29"/>
        <v>0</v>
      </c>
      <c r="Q933" s="289"/>
      <c r="R933" s="165">
        <f t="shared" si="30"/>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29"/>
        <v>0</v>
      </c>
      <c r="Q934" s="289"/>
      <c r="R934" s="165">
        <f t="shared" si="30"/>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29"/>
        <v>0</v>
      </c>
      <c r="Q935" s="289"/>
      <c r="R935" s="165">
        <f t="shared" si="30"/>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29"/>
        <v>0</v>
      </c>
      <c r="Q936" s="289"/>
      <c r="R936" s="165">
        <f t="shared" si="30"/>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29"/>
        <v>0</v>
      </c>
      <c r="Q937" s="289"/>
      <c r="R937" s="165">
        <f t="shared" si="30"/>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29"/>
        <v>0</v>
      </c>
      <c r="Q938" s="289"/>
      <c r="R938" s="165">
        <f t="shared" si="30"/>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29"/>
        <v>0</v>
      </c>
      <c r="Q939" s="289"/>
      <c r="R939" s="165">
        <f t="shared" si="30"/>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29"/>
        <v>0</v>
      </c>
      <c r="Q940" s="289"/>
      <c r="R940" s="165">
        <f t="shared" si="30"/>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29"/>
        <v>0</v>
      </c>
      <c r="Q941" s="289"/>
      <c r="R941" s="165">
        <f t="shared" si="30"/>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29"/>
        <v>0</v>
      </c>
      <c r="Q942" s="289"/>
      <c r="R942" s="165">
        <f t="shared" si="30"/>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29"/>
        <v>0</v>
      </c>
      <c r="Q943" s="289"/>
      <c r="R943" s="165">
        <f t="shared" si="30"/>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29"/>
        <v>0</v>
      </c>
      <c r="Q944" s="289"/>
      <c r="R944" s="165">
        <f t="shared" si="30"/>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29"/>
        <v>0</v>
      </c>
      <c r="Q945" s="289"/>
      <c r="R945" s="165">
        <f t="shared" si="30"/>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29"/>
        <v>0</v>
      </c>
      <c r="Q946" s="289"/>
      <c r="R946" s="165">
        <f t="shared" si="30"/>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29"/>
        <v>0</v>
      </c>
      <c r="Q947" s="289"/>
      <c r="R947" s="165">
        <f t="shared" si="30"/>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1">SUM(I948:O948)</f>
        <v>0</v>
      </c>
      <c r="Q948" s="289"/>
      <c r="R948" s="165">
        <f t="shared" si="30"/>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1"/>
        <v>0</v>
      </c>
      <c r="Q949" s="289"/>
      <c r="R949" s="165">
        <f t="shared" si="30"/>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1"/>
        <v>0</v>
      </c>
      <c r="Q950" s="289"/>
      <c r="R950" s="165">
        <f t="shared" si="30"/>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1"/>
        <v>0</v>
      </c>
      <c r="Q951" s="289"/>
      <c r="R951" s="165">
        <f t="shared" si="30"/>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1"/>
        <v>0</v>
      </c>
      <c r="Q952" s="289"/>
      <c r="R952" s="165">
        <f t="shared" si="30"/>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1"/>
        <v>0</v>
      </c>
      <c r="Q953" s="289"/>
      <c r="R953" s="165">
        <f t="shared" si="30"/>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1"/>
        <v>0</v>
      </c>
      <c r="Q954" s="289"/>
      <c r="R954" s="165">
        <f t="shared" si="30"/>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1"/>
        <v>0</v>
      </c>
      <c r="Q955" s="289"/>
      <c r="R955" s="165">
        <f t="shared" si="30"/>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1"/>
        <v>0</v>
      </c>
      <c r="Q956" s="289"/>
      <c r="R956" s="165">
        <f t="shared" si="30"/>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1"/>
        <v>0</v>
      </c>
      <c r="Q957" s="289"/>
      <c r="R957" s="165">
        <f t="shared" si="30"/>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1"/>
        <v>0</v>
      </c>
      <c r="Q958" s="289"/>
      <c r="R958" s="165">
        <f t="shared" si="30"/>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1"/>
        <v>0</v>
      </c>
      <c r="Q959" s="289"/>
      <c r="R959" s="165">
        <f t="shared" si="30"/>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1"/>
        <v>0</v>
      </c>
      <c r="Q960" s="289"/>
      <c r="R960" s="165">
        <f t="shared" si="30"/>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1"/>
        <v>0</v>
      </c>
      <c r="Q961" s="289"/>
      <c r="R961" s="165">
        <f t="shared" si="30"/>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1"/>
        <v>0</v>
      </c>
      <c r="Q962" s="289"/>
      <c r="R962" s="165">
        <f t="shared" si="30"/>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1"/>
        <v>0</v>
      </c>
      <c r="Q963" s="289"/>
      <c r="R963" s="165">
        <f t="shared" si="30"/>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1"/>
        <v>0</v>
      </c>
      <c r="Q964" s="289"/>
      <c r="R964" s="165">
        <f t="shared" si="30"/>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1"/>
        <v>0</v>
      </c>
      <c r="Q965" s="289"/>
      <c r="R965" s="165">
        <f t="shared" si="30"/>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1"/>
        <v>0</v>
      </c>
      <c r="Q966" s="289"/>
      <c r="R966" s="165">
        <f t="shared" si="30"/>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1"/>
        <v>0</v>
      </c>
      <c r="Q967" s="289"/>
      <c r="R967" s="165">
        <f t="shared" si="30"/>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1"/>
        <v>0</v>
      </c>
      <c r="Q968" s="289"/>
      <c r="R968" s="165">
        <f t="shared" si="30"/>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1"/>
        <v>0</v>
      </c>
      <c r="Q969" s="289"/>
      <c r="R969" s="165">
        <f t="shared" si="30"/>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1"/>
        <v>0</v>
      </c>
      <c r="Q970" s="289"/>
      <c r="R970" s="165">
        <f t="shared" si="30"/>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1"/>
        <v>0</v>
      </c>
      <c r="Q971" s="289"/>
      <c r="R971" s="165">
        <f t="shared" si="30"/>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1"/>
        <v>0</v>
      </c>
      <c r="Q972" s="289"/>
      <c r="R972" s="165">
        <f t="shared" si="30"/>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1"/>
        <v>0</v>
      </c>
      <c r="Q973" s="289"/>
      <c r="R973" s="165">
        <f t="shared" si="30"/>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1"/>
        <v>0</v>
      </c>
      <c r="Q974" s="289"/>
      <c r="R974" s="165">
        <f t="shared" si="30"/>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1"/>
        <v>0</v>
      </c>
      <c r="Q975" s="289"/>
      <c r="R975" s="165">
        <f t="shared" si="30"/>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1"/>
        <v>0</v>
      </c>
      <c r="Q976" s="289"/>
      <c r="R976" s="165">
        <f t="shared" si="30"/>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1"/>
        <v>0</v>
      </c>
      <c r="Q977" s="289"/>
      <c r="R977" s="165">
        <f t="shared" si="30"/>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1"/>
        <v>0</v>
      </c>
      <c r="Q978" s="289"/>
      <c r="R978" s="165">
        <f t="shared" si="30"/>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1"/>
        <v>0</v>
      </c>
      <c r="Q979" s="289"/>
      <c r="R979" s="165">
        <f t="shared" si="30"/>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1"/>
        <v>0</v>
      </c>
      <c r="Q980" s="289"/>
      <c r="R980" s="165">
        <f t="shared" si="30"/>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1"/>
        <v>0</v>
      </c>
      <c r="Q981" s="289"/>
      <c r="R981" s="165">
        <f t="shared" si="30"/>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1"/>
        <v>0</v>
      </c>
      <c r="Q982" s="289"/>
      <c r="R982" s="165">
        <f t="shared" si="30"/>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1"/>
        <v>0</v>
      </c>
      <c r="Q983" s="289"/>
      <c r="R983" s="165">
        <f t="shared" si="30"/>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1"/>
        <v>0</v>
      </c>
      <c r="Q984" s="289"/>
      <c r="R984" s="165">
        <f t="shared" si="30"/>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1"/>
        <v>0</v>
      </c>
      <c r="Q985" s="289"/>
      <c r="R985" s="165">
        <f t="shared" si="30"/>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1"/>
        <v>0</v>
      </c>
      <c r="Q986" s="289"/>
      <c r="R986" s="165">
        <f t="shared" ref="R986:R1000" si="32">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1"/>
        <v>0</v>
      </c>
      <c r="Q987" s="289"/>
      <c r="R987" s="165">
        <f t="shared" si="32"/>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1"/>
        <v>0</v>
      </c>
      <c r="Q988" s="289"/>
      <c r="R988" s="165">
        <f t="shared" si="32"/>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1"/>
        <v>0</v>
      </c>
      <c r="Q989" s="289"/>
      <c r="R989" s="165">
        <f t="shared" si="32"/>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1"/>
        <v>0</v>
      </c>
      <c r="Q990" s="289"/>
      <c r="R990" s="165">
        <f t="shared" si="32"/>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1"/>
        <v>0</v>
      </c>
      <c r="Q991" s="289"/>
      <c r="R991" s="165">
        <f t="shared" si="32"/>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1"/>
        <v>0</v>
      </c>
      <c r="Q992" s="289"/>
      <c r="R992" s="165">
        <f t="shared" si="32"/>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1"/>
        <v>0</v>
      </c>
      <c r="Q993" s="289"/>
      <c r="R993" s="165">
        <f t="shared" si="32"/>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1"/>
        <v>0</v>
      </c>
      <c r="Q994" s="289"/>
      <c r="R994" s="165">
        <f t="shared" si="32"/>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1"/>
        <v>0</v>
      </c>
      <c r="Q995" s="289"/>
      <c r="R995" s="165">
        <f t="shared" si="32"/>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1"/>
        <v>0</v>
      </c>
      <c r="Q996" s="289"/>
      <c r="R996" s="165">
        <f t="shared" si="32"/>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1"/>
        <v>0</v>
      </c>
      <c r="Q997" s="289"/>
      <c r="R997" s="165">
        <f t="shared" si="32"/>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1"/>
        <v>0</v>
      </c>
      <c r="Q998" s="289"/>
      <c r="R998" s="165">
        <f t="shared" si="32"/>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1"/>
        <v>0</v>
      </c>
      <c r="Q999" s="289"/>
      <c r="R999" s="165">
        <f t="shared" si="32"/>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1"/>
        <v>0</v>
      </c>
      <c r="Q1000" s="289"/>
      <c r="R1000" s="165">
        <f t="shared" si="32"/>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QPjpDRXESEOZtQPHpwt19zJI7vSWlZYuO8ICLso0R/4vZihjfqPtF7gd3cLDwOSSsPcRrOsRw6rUyf/9CNVbmQ==" saltValue="P1VErkZMgaVv5o9jQE3lc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2">
    <dataValidation type="list" allowBlank="1" showInputMessage="1" showErrorMessage="1" sqref="G1:G3 G57:G1048576 G13:G48 G49:G52">
      <formula1>"R,O"</formula1>
    </dataValidation>
    <dataValidation type="list" allowBlank="1" showInputMessage="1" showErrorMessage="1" sqref="F1:F3 F57:F1048576 F13:F48 F49:F52">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S3 S13:S52 S55:S1048576">
      <formula1>"No,Yes-But no action taken,Yes-Approved,Yes-Denied"</formula1>
    </dataValidation>
    <dataValidation type="custom" errorStyle="information" allowBlank="1" showInputMessage="1" showErrorMessage="1" error="Please enter the number of proposed units in section five." sqref="P13">
      <formula1>C13 &lt;&gt; ""</formula1>
    </dataValidation>
    <dataValidation type="date" allowBlank="1" showInputMessage="1" showErrorMessage="1" error="Please enter a date" sqref="H13:H14 H57:H1048576 H16:H48 H49:H52">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 type="custom" errorStyle="information" allowBlank="1" showInputMessage="1" showErrorMessage="1" error="Please enter the number of proposed units in section five." sqref="P20:P1000">
      <formula1>#REF! &lt;&gt; ""</formula1>
    </dataValidation>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E64" activePane="bottomRight" state="frozen"/>
      <selection pane="topRight" activeCell="E1" sqref="E1"/>
      <selection pane="bottomLeft" activeCell="A13" sqref="A13"/>
      <selection pane="bottomRight" activeCell="M23" sqref="M23"/>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9"/>
      <c r="Q1" s="202"/>
      <c r="R1" s="202"/>
      <c r="S1" s="202"/>
      <c r="T1" s="202"/>
      <c r="U1" s="202"/>
      <c r="V1" s="202"/>
      <c r="W1" s="202"/>
      <c r="X1" s="202"/>
      <c r="Y1" s="369"/>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70"/>
      <c r="Q2" s="203"/>
      <c r="R2" s="203"/>
      <c r="S2" s="203"/>
      <c r="T2" s="203"/>
      <c r="U2" s="203"/>
      <c r="V2" s="203"/>
      <c r="W2" s="203"/>
      <c r="X2" s="203"/>
      <c r="Y2" s="370"/>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8"/>
      <c r="Q3" s="198"/>
      <c r="R3" s="198"/>
      <c r="S3" s="198"/>
      <c r="T3" s="198"/>
      <c r="U3" s="198"/>
      <c r="V3" s="198"/>
      <c r="W3" s="198"/>
      <c r="X3" s="198"/>
      <c r="Y3" s="368"/>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Orinda</v>
      </c>
      <c r="C4" s="317"/>
      <c r="D4" s="78"/>
      <c r="E4" s="78"/>
      <c r="F4" s="78"/>
      <c r="G4" s="78"/>
      <c r="H4" s="78"/>
      <c r="I4" s="78"/>
      <c r="J4" s="78"/>
      <c r="L4" s="427" t="s">
        <v>1374</v>
      </c>
      <c r="M4" s="428"/>
      <c r="N4" s="428"/>
      <c r="O4" s="429"/>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7"/>
      <c r="Q7" s="219"/>
      <c r="R7" s="219"/>
      <c r="S7" s="219"/>
      <c r="T7" s="219"/>
      <c r="U7" s="219"/>
      <c r="V7" s="219"/>
      <c r="W7" s="219"/>
      <c r="X7" s="219"/>
      <c r="Y7" s="367"/>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16" t="s">
        <v>43</v>
      </c>
      <c r="B9" s="419"/>
      <c r="C9" s="419"/>
      <c r="D9" s="419"/>
      <c r="E9" s="420"/>
      <c r="F9" s="416" t="s">
        <v>112</v>
      </c>
      <c r="G9" s="420"/>
      <c r="H9" s="416" t="s">
        <v>1295</v>
      </c>
      <c r="I9" s="419"/>
      <c r="J9" s="419"/>
      <c r="K9" s="419"/>
      <c r="L9" s="419"/>
      <c r="M9" s="419"/>
      <c r="N9" s="419"/>
      <c r="O9" s="420"/>
      <c r="P9" s="266"/>
      <c r="Q9" s="416" t="s">
        <v>68</v>
      </c>
      <c r="R9" s="419"/>
      <c r="S9" s="419"/>
      <c r="T9" s="419"/>
      <c r="U9" s="419"/>
      <c r="V9" s="419"/>
      <c r="W9" s="420"/>
      <c r="X9" s="266"/>
      <c r="Y9" s="266"/>
      <c r="Z9" s="416" t="s">
        <v>69</v>
      </c>
      <c r="AA9" s="419"/>
      <c r="AB9" s="419"/>
      <c r="AC9" s="419"/>
      <c r="AD9" s="419"/>
      <c r="AE9" s="419"/>
      <c r="AF9" s="419"/>
      <c r="AG9" s="419"/>
      <c r="AH9" s="420"/>
      <c r="AI9" s="267"/>
      <c r="AJ9" s="224" t="s">
        <v>113</v>
      </c>
      <c r="AK9" s="224" t="s">
        <v>114</v>
      </c>
      <c r="AL9" s="416" t="s">
        <v>6</v>
      </c>
      <c r="AM9" s="420"/>
      <c r="AN9" s="224" t="s">
        <v>7</v>
      </c>
      <c r="AO9" s="224" t="s">
        <v>115</v>
      </c>
      <c r="AP9" s="416" t="s">
        <v>118</v>
      </c>
      <c r="AQ9" s="419"/>
      <c r="AR9" s="420"/>
      <c r="AS9" s="85" t="s">
        <v>58</v>
      </c>
      <c r="AT9" s="82"/>
    </row>
    <row r="10" spans="1:46" s="10" customFormat="1" ht="15.6" customHeight="1" x14ac:dyDescent="0.25">
      <c r="A10" s="435">
        <v>1</v>
      </c>
      <c r="B10" s="436"/>
      <c r="C10" s="436"/>
      <c r="D10" s="436"/>
      <c r="E10" s="437"/>
      <c r="F10" s="216">
        <v>2</v>
      </c>
      <c r="G10" s="216">
        <v>3</v>
      </c>
      <c r="H10" s="217">
        <v>4</v>
      </c>
      <c r="I10" s="268"/>
      <c r="J10" s="268"/>
      <c r="K10" s="268"/>
      <c r="L10" s="268"/>
      <c r="M10" s="268"/>
      <c r="N10" s="269"/>
      <c r="O10" s="216">
        <v>5</v>
      </c>
      <c r="P10" s="366">
        <v>6</v>
      </c>
      <c r="Q10" s="217">
        <v>7</v>
      </c>
      <c r="R10" s="218"/>
      <c r="S10" s="218"/>
      <c r="T10" s="218"/>
      <c r="U10" s="218"/>
      <c r="V10" s="218"/>
      <c r="W10" s="111"/>
      <c r="X10" s="216">
        <v>8</v>
      </c>
      <c r="Y10" s="366">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0</v>
      </c>
      <c r="J12" s="349">
        <f t="shared" si="0"/>
        <v>0</v>
      </c>
      <c r="K12" s="349">
        <f t="shared" si="0"/>
        <v>0</v>
      </c>
      <c r="L12" s="349">
        <f t="shared" si="0"/>
        <v>0</v>
      </c>
      <c r="M12" s="349">
        <f t="shared" si="0"/>
        <v>7</v>
      </c>
      <c r="N12" s="349">
        <f t="shared" si="0"/>
        <v>40</v>
      </c>
      <c r="O12" s="349"/>
      <c r="P12" s="349">
        <f t="shared" si="0"/>
        <v>47</v>
      </c>
      <c r="Q12" s="349">
        <f t="shared" si="0"/>
        <v>0</v>
      </c>
      <c r="R12" s="349">
        <f t="shared" si="0"/>
        <v>0</v>
      </c>
      <c r="S12" s="349">
        <f t="shared" si="0"/>
        <v>0</v>
      </c>
      <c r="T12" s="349">
        <f t="shared" si="0"/>
        <v>0</v>
      </c>
      <c r="U12" s="349">
        <f t="shared" si="0"/>
        <v>0</v>
      </c>
      <c r="V12" s="349">
        <f t="shared" si="0"/>
        <v>4</v>
      </c>
      <c r="W12" s="349">
        <f t="shared" si="0"/>
        <v>51</v>
      </c>
      <c r="X12" s="349"/>
      <c r="Y12" s="351">
        <f t="shared" si="0"/>
        <v>55</v>
      </c>
      <c r="Z12" s="349">
        <f t="shared" si="0"/>
        <v>0</v>
      </c>
      <c r="AA12" s="349">
        <f t="shared" si="0"/>
        <v>0</v>
      </c>
      <c r="AB12" s="349">
        <f t="shared" si="0"/>
        <v>0</v>
      </c>
      <c r="AC12" s="349">
        <f t="shared" si="0"/>
        <v>0</v>
      </c>
      <c r="AD12" s="349">
        <f t="shared" si="0"/>
        <v>0</v>
      </c>
      <c r="AE12" s="349">
        <f t="shared" si="0"/>
        <v>4</v>
      </c>
      <c r="AF12" s="349">
        <f t="shared" si="0"/>
        <v>36</v>
      </c>
      <c r="AG12" s="349"/>
      <c r="AH12" s="351">
        <f t="shared" si="0"/>
        <v>40</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25.5" x14ac:dyDescent="0.2">
      <c r="A13" s="271"/>
      <c r="B13" s="165" t="s">
        <v>1483</v>
      </c>
      <c r="C13" s="165" t="s">
        <v>1450</v>
      </c>
      <c r="D13" s="277"/>
      <c r="E13" s="277"/>
      <c r="F13" s="331" t="s">
        <v>1447</v>
      </c>
      <c r="G13" s="165" t="s">
        <v>1449</v>
      </c>
      <c r="H13" s="271"/>
      <c r="I13" s="271"/>
      <c r="J13" s="271"/>
      <c r="K13" s="271"/>
      <c r="L13" s="271"/>
      <c r="M13" s="271">
        <v>1</v>
      </c>
      <c r="N13" s="271"/>
      <c r="O13" s="329">
        <v>43314</v>
      </c>
      <c r="P13" s="345">
        <f t="shared" ref="P13:P76" si="1">SUM(H13:N13)</f>
        <v>1</v>
      </c>
      <c r="Q13" s="165"/>
      <c r="R13" s="165"/>
      <c r="S13" s="165"/>
      <c r="T13" s="165"/>
      <c r="U13" s="165"/>
      <c r="V13" s="11"/>
      <c r="W13" s="11"/>
      <c r="X13" s="273"/>
      <c r="Y13" s="346">
        <f t="shared" ref="Y13:Y76" si="2">SUM(Q13:W13)</f>
        <v>0</v>
      </c>
      <c r="Z13" s="165"/>
      <c r="AA13" s="165"/>
      <c r="AB13" s="165"/>
      <c r="AC13" s="165"/>
      <c r="AD13" s="165"/>
      <c r="AE13" s="165"/>
      <c r="AF13" s="165"/>
      <c r="AG13" s="273"/>
      <c r="AH13" s="346">
        <f>SUM(Z13:AF13)</f>
        <v>0</v>
      </c>
      <c r="AI13" s="274"/>
      <c r="AJ13" s="11" t="s">
        <v>1527</v>
      </c>
      <c r="AK13" s="11"/>
      <c r="AL13" s="11"/>
      <c r="AM13" s="11"/>
      <c r="AN13" s="11"/>
      <c r="AO13" s="11"/>
      <c r="AP13" s="11"/>
      <c r="AQ13" s="11"/>
      <c r="AR13" s="11"/>
      <c r="AS13" s="275"/>
      <c r="AT13" s="226"/>
    </row>
    <row r="14" spans="1:46" s="2" customFormat="1" ht="12.75" x14ac:dyDescent="0.2">
      <c r="A14" s="271"/>
      <c r="B14" s="165" t="s">
        <v>1485</v>
      </c>
      <c r="C14" s="165" t="s">
        <v>1451</v>
      </c>
      <c r="D14" s="277"/>
      <c r="E14" s="277"/>
      <c r="F14" s="331" t="s">
        <v>1447</v>
      </c>
      <c r="G14" s="165" t="s">
        <v>1449</v>
      </c>
      <c r="H14" s="271"/>
      <c r="I14" s="271"/>
      <c r="J14" s="271"/>
      <c r="K14" s="271"/>
      <c r="L14" s="271"/>
      <c r="M14" s="271">
        <v>1</v>
      </c>
      <c r="N14" s="271"/>
      <c r="O14" s="329">
        <v>43347</v>
      </c>
      <c r="P14" s="345">
        <f t="shared" si="1"/>
        <v>1</v>
      </c>
      <c r="Q14" s="165"/>
      <c r="R14" s="165"/>
      <c r="S14" s="165"/>
      <c r="T14" s="165"/>
      <c r="U14" s="165"/>
      <c r="V14" s="11"/>
      <c r="W14" s="11"/>
      <c r="X14" s="273"/>
      <c r="Y14" s="346">
        <f t="shared" si="2"/>
        <v>0</v>
      </c>
      <c r="Z14" s="165"/>
      <c r="AA14" s="165"/>
      <c r="AB14" s="165"/>
      <c r="AC14" s="165"/>
      <c r="AD14" s="165"/>
      <c r="AE14" s="165"/>
      <c r="AF14" s="165"/>
      <c r="AG14" s="273"/>
      <c r="AH14" s="346">
        <f>SUM(Z14:AF14)</f>
        <v>0</v>
      </c>
      <c r="AI14" s="274"/>
      <c r="AJ14" s="11" t="s">
        <v>1527</v>
      </c>
      <c r="AK14" s="11"/>
      <c r="AL14" s="11"/>
      <c r="AM14" s="11"/>
      <c r="AN14" s="11"/>
      <c r="AO14" s="11"/>
      <c r="AP14" s="11"/>
      <c r="AQ14" s="11"/>
      <c r="AR14" s="11"/>
      <c r="AS14" s="275"/>
      <c r="AT14" s="226"/>
    </row>
    <row r="15" spans="1:46" s="2" customFormat="1" ht="12.75" x14ac:dyDescent="0.2">
      <c r="A15" s="271"/>
      <c r="B15" s="165" t="s">
        <v>1486</v>
      </c>
      <c r="C15" s="165" t="s">
        <v>1482</v>
      </c>
      <c r="D15" s="277"/>
      <c r="E15" s="277"/>
      <c r="F15" s="331" t="s">
        <v>1447</v>
      </c>
      <c r="G15" s="165" t="s">
        <v>1449</v>
      </c>
      <c r="H15" s="271"/>
      <c r="I15" s="271"/>
      <c r="J15" s="271"/>
      <c r="K15" s="276"/>
      <c r="L15" s="271"/>
      <c r="M15" s="271">
        <v>1</v>
      </c>
      <c r="N15" s="271"/>
      <c r="O15" s="361">
        <v>43445</v>
      </c>
      <c r="P15" s="345">
        <f t="shared" si="1"/>
        <v>1</v>
      </c>
      <c r="Q15" s="11"/>
      <c r="R15" s="11"/>
      <c r="S15" s="11"/>
      <c r="T15" s="277"/>
      <c r="U15" s="11"/>
      <c r="V15" s="11"/>
      <c r="W15" s="11"/>
      <c r="X15" s="273"/>
      <c r="Y15" s="346">
        <f t="shared" si="2"/>
        <v>0</v>
      </c>
      <c r="Z15" s="165"/>
      <c r="AA15" s="165"/>
      <c r="AB15" s="165"/>
      <c r="AC15" s="165"/>
      <c r="AD15" s="165"/>
      <c r="AE15" s="165"/>
      <c r="AF15" s="165"/>
      <c r="AG15" s="273"/>
      <c r="AH15" s="346">
        <f t="shared" ref="AH15:AH31" si="3">SUM(Z15:AF15)</f>
        <v>0</v>
      </c>
      <c r="AI15" s="274"/>
      <c r="AJ15" s="11" t="s">
        <v>1527</v>
      </c>
      <c r="AK15" s="11"/>
      <c r="AL15" s="11"/>
      <c r="AM15" s="11"/>
      <c r="AN15" s="11"/>
      <c r="AO15" s="11"/>
      <c r="AP15" s="11"/>
      <c r="AQ15" s="11"/>
      <c r="AR15" s="11"/>
      <c r="AS15" s="275"/>
      <c r="AT15" s="226"/>
    </row>
    <row r="16" spans="1:46" s="2" customFormat="1" ht="12.75" x14ac:dyDescent="0.2">
      <c r="A16" s="271"/>
      <c r="B16" s="165" t="s">
        <v>1407</v>
      </c>
      <c r="C16" s="165" t="s">
        <v>1452</v>
      </c>
      <c r="D16" s="165"/>
      <c r="E16" s="165"/>
      <c r="F16" s="165" t="s">
        <v>1446</v>
      </c>
      <c r="G16" s="165" t="s">
        <v>1449</v>
      </c>
      <c r="H16" s="329"/>
      <c r="I16" s="271"/>
      <c r="J16" s="271"/>
      <c r="K16" s="271"/>
      <c r="L16" s="271"/>
      <c r="M16" s="271"/>
      <c r="N16" s="271">
        <v>1</v>
      </c>
      <c r="O16" s="272">
        <v>43172</v>
      </c>
      <c r="P16" s="345">
        <f t="shared" si="1"/>
        <v>1</v>
      </c>
      <c r="Q16" s="11"/>
      <c r="R16" s="11"/>
      <c r="S16" s="11"/>
      <c r="T16" s="11"/>
      <c r="U16" s="11"/>
      <c r="V16" s="11"/>
      <c r="W16" s="277">
        <v>1</v>
      </c>
      <c r="X16" s="273">
        <v>43300</v>
      </c>
      <c r="Y16" s="346">
        <f t="shared" si="2"/>
        <v>1</v>
      </c>
      <c r="Z16" s="165"/>
      <c r="AA16" s="165"/>
      <c r="AB16" s="165"/>
      <c r="AC16" s="165"/>
      <c r="AD16" s="165"/>
      <c r="AE16" s="165"/>
      <c r="AF16" s="165"/>
      <c r="AG16" s="273"/>
      <c r="AH16" s="346">
        <f t="shared" si="3"/>
        <v>0</v>
      </c>
      <c r="AI16" s="274"/>
      <c r="AJ16" s="11" t="s">
        <v>1527</v>
      </c>
      <c r="AK16" s="11"/>
      <c r="AL16" s="11"/>
      <c r="AM16" s="11"/>
      <c r="AN16" s="11"/>
      <c r="AO16" s="11"/>
      <c r="AP16" s="11"/>
      <c r="AQ16" s="11"/>
      <c r="AR16" s="11"/>
      <c r="AS16" s="275"/>
      <c r="AT16" s="226"/>
    </row>
    <row r="17" spans="1:46" s="2" customFormat="1" ht="12.75" x14ac:dyDescent="0.2">
      <c r="A17" s="271"/>
      <c r="B17" s="165" t="s">
        <v>1421</v>
      </c>
      <c r="C17" s="165" t="s">
        <v>1453</v>
      </c>
      <c r="D17" s="165"/>
      <c r="E17" s="165"/>
      <c r="F17" s="165" t="s">
        <v>1446</v>
      </c>
      <c r="G17" s="165" t="s">
        <v>1449</v>
      </c>
      <c r="H17" s="329"/>
      <c r="I17" s="271"/>
      <c r="J17" s="271"/>
      <c r="K17" s="271"/>
      <c r="L17" s="271"/>
      <c r="M17" s="271"/>
      <c r="N17" s="271">
        <v>1</v>
      </c>
      <c r="O17" s="272">
        <v>43216</v>
      </c>
      <c r="P17" s="345">
        <f t="shared" si="1"/>
        <v>1</v>
      </c>
      <c r="Q17" s="11"/>
      <c r="R17" s="11"/>
      <c r="S17" s="11"/>
      <c r="T17" s="11"/>
      <c r="U17" s="11"/>
      <c r="V17" s="11"/>
      <c r="W17" s="277">
        <v>1</v>
      </c>
      <c r="X17" s="273">
        <v>43356</v>
      </c>
      <c r="Y17" s="346">
        <f t="shared" si="2"/>
        <v>1</v>
      </c>
      <c r="Z17" s="165"/>
      <c r="AA17" s="165"/>
      <c r="AB17" s="165"/>
      <c r="AC17" s="165"/>
      <c r="AD17" s="165"/>
      <c r="AE17" s="165"/>
      <c r="AF17" s="165"/>
      <c r="AG17" s="273"/>
      <c r="AH17" s="346">
        <f t="shared" si="3"/>
        <v>0</v>
      </c>
      <c r="AI17" s="274"/>
      <c r="AJ17" s="11" t="s">
        <v>1527</v>
      </c>
      <c r="AK17" s="11"/>
      <c r="AL17" s="11"/>
      <c r="AM17" s="11"/>
      <c r="AN17" s="11"/>
      <c r="AO17" s="11"/>
      <c r="AP17" s="11"/>
      <c r="AQ17" s="11"/>
      <c r="AR17" s="11"/>
      <c r="AS17" s="275"/>
      <c r="AT17" s="226"/>
    </row>
    <row r="18" spans="1:46" s="2" customFormat="1" ht="12.75" x14ac:dyDescent="0.2">
      <c r="A18" s="271"/>
      <c r="B18" s="165" t="s">
        <v>1406</v>
      </c>
      <c r="C18" s="165" t="s">
        <v>1454</v>
      </c>
      <c r="D18" s="165"/>
      <c r="E18" s="165"/>
      <c r="F18" s="165" t="s">
        <v>1446</v>
      </c>
      <c r="G18" s="165" t="s">
        <v>1449</v>
      </c>
      <c r="H18" s="329"/>
      <c r="I18" s="271"/>
      <c r="J18" s="271"/>
      <c r="K18" s="271"/>
      <c r="L18" s="271"/>
      <c r="M18" s="271"/>
      <c r="N18" s="271">
        <v>1</v>
      </c>
      <c r="O18" s="272">
        <v>43172</v>
      </c>
      <c r="P18" s="345">
        <f t="shared" si="1"/>
        <v>1</v>
      </c>
      <c r="Q18" s="11"/>
      <c r="R18" s="11"/>
      <c r="S18" s="11"/>
      <c r="T18" s="11"/>
      <c r="U18" s="11"/>
      <c r="V18" s="11"/>
      <c r="W18" s="277">
        <v>1</v>
      </c>
      <c r="X18" s="273">
        <v>43294</v>
      </c>
      <c r="Y18" s="346">
        <f t="shared" si="2"/>
        <v>1</v>
      </c>
      <c r="Z18" s="165"/>
      <c r="AA18" s="165"/>
      <c r="AB18" s="165"/>
      <c r="AC18" s="165"/>
      <c r="AD18" s="165"/>
      <c r="AE18" s="165"/>
      <c r="AF18" s="165"/>
      <c r="AG18" s="273"/>
      <c r="AH18" s="346">
        <f t="shared" si="3"/>
        <v>0</v>
      </c>
      <c r="AI18" s="274"/>
      <c r="AJ18" s="11" t="s">
        <v>1527</v>
      </c>
      <c r="AK18" s="11"/>
      <c r="AL18" s="11"/>
      <c r="AM18" s="11"/>
      <c r="AN18" s="11"/>
      <c r="AO18" s="11"/>
      <c r="AP18" s="11"/>
      <c r="AQ18" s="11"/>
      <c r="AR18" s="11"/>
      <c r="AS18" s="275"/>
      <c r="AT18" s="226"/>
    </row>
    <row r="19" spans="1:46" s="2" customFormat="1" ht="12.75" x14ac:dyDescent="0.2">
      <c r="A19" s="271"/>
      <c r="B19" s="165" t="s">
        <v>1436</v>
      </c>
      <c r="C19" s="165" t="s">
        <v>1455</v>
      </c>
      <c r="D19" s="165"/>
      <c r="E19" s="165"/>
      <c r="F19" s="165" t="s">
        <v>1446</v>
      </c>
      <c r="G19" s="165" t="s">
        <v>1449</v>
      </c>
      <c r="H19" s="329"/>
      <c r="I19" s="271"/>
      <c r="J19" s="271"/>
      <c r="K19" s="271"/>
      <c r="L19" s="271"/>
      <c r="M19" s="271"/>
      <c r="N19" s="271">
        <v>1</v>
      </c>
      <c r="O19" s="272">
        <v>43210</v>
      </c>
      <c r="P19" s="345">
        <f t="shared" si="1"/>
        <v>1</v>
      </c>
      <c r="Q19" s="11"/>
      <c r="R19" s="11"/>
      <c r="S19" s="11"/>
      <c r="T19" s="11"/>
      <c r="U19" s="11"/>
      <c r="V19" s="11"/>
      <c r="W19" s="277">
        <v>1</v>
      </c>
      <c r="X19" s="273">
        <v>43355</v>
      </c>
      <c r="Y19" s="346">
        <f t="shared" si="2"/>
        <v>1</v>
      </c>
      <c r="Z19" s="165"/>
      <c r="AA19" s="165"/>
      <c r="AB19" s="165"/>
      <c r="AC19" s="165"/>
      <c r="AD19" s="165"/>
      <c r="AE19" s="165"/>
      <c r="AF19" s="165"/>
      <c r="AG19" s="273"/>
      <c r="AH19" s="346">
        <f t="shared" si="3"/>
        <v>0</v>
      </c>
      <c r="AI19" s="274"/>
      <c r="AJ19" s="11" t="s">
        <v>1527</v>
      </c>
      <c r="AK19" s="11"/>
      <c r="AL19" s="11"/>
      <c r="AM19" s="11"/>
      <c r="AN19" s="11"/>
      <c r="AO19" s="11"/>
      <c r="AP19" s="11"/>
      <c r="AQ19" s="11"/>
      <c r="AR19" s="11"/>
      <c r="AS19" s="275"/>
      <c r="AT19" s="226"/>
    </row>
    <row r="20" spans="1:46" s="2" customFormat="1" ht="12.75" x14ac:dyDescent="0.2">
      <c r="A20" s="271"/>
      <c r="B20" s="165" t="s">
        <v>1435</v>
      </c>
      <c r="C20" s="165" t="s">
        <v>1456</v>
      </c>
      <c r="D20" s="165"/>
      <c r="E20" s="165"/>
      <c r="F20" s="165" t="s">
        <v>1446</v>
      </c>
      <c r="G20" s="165" t="s">
        <v>1449</v>
      </c>
      <c r="H20" s="329"/>
      <c r="I20" s="271"/>
      <c r="J20" s="271"/>
      <c r="K20" s="271"/>
      <c r="L20" s="271"/>
      <c r="M20" s="271"/>
      <c r="N20" s="271">
        <v>1</v>
      </c>
      <c r="O20" s="272">
        <v>43210</v>
      </c>
      <c r="P20" s="345">
        <f t="shared" si="1"/>
        <v>1</v>
      </c>
      <c r="Q20" s="11"/>
      <c r="R20" s="11"/>
      <c r="S20" s="11"/>
      <c r="T20" s="11"/>
      <c r="U20" s="11"/>
      <c r="V20" s="11"/>
      <c r="W20" s="277">
        <v>1</v>
      </c>
      <c r="X20" s="273">
        <v>43355</v>
      </c>
      <c r="Y20" s="346">
        <f t="shared" si="2"/>
        <v>1</v>
      </c>
      <c r="Z20" s="165"/>
      <c r="AA20" s="165"/>
      <c r="AB20" s="165"/>
      <c r="AC20" s="165"/>
      <c r="AD20" s="165"/>
      <c r="AE20" s="165"/>
      <c r="AF20" s="165"/>
      <c r="AG20" s="273"/>
      <c r="AH20" s="346">
        <f t="shared" si="3"/>
        <v>0</v>
      </c>
      <c r="AI20" s="274"/>
      <c r="AJ20" s="11" t="s">
        <v>1527</v>
      </c>
      <c r="AK20" s="11"/>
      <c r="AL20" s="11"/>
      <c r="AM20" s="11"/>
      <c r="AN20" s="11"/>
      <c r="AO20" s="11"/>
      <c r="AP20" s="11"/>
      <c r="AQ20" s="11"/>
      <c r="AR20" s="11"/>
      <c r="AS20" s="275"/>
      <c r="AT20" s="226"/>
    </row>
    <row r="21" spans="1:46" s="2" customFormat="1" ht="12.75" x14ac:dyDescent="0.2">
      <c r="A21" s="271"/>
      <c r="B21" s="165" t="s">
        <v>1433</v>
      </c>
      <c r="C21" s="165" t="s">
        <v>1457</v>
      </c>
      <c r="D21" s="165"/>
      <c r="E21" s="165"/>
      <c r="F21" s="165" t="s">
        <v>1446</v>
      </c>
      <c r="G21" s="165" t="s">
        <v>1449</v>
      </c>
      <c r="H21" s="329"/>
      <c r="I21" s="271"/>
      <c r="J21" s="271"/>
      <c r="K21" s="271"/>
      <c r="L21" s="271"/>
      <c r="M21" s="271"/>
      <c r="N21" s="271">
        <v>1</v>
      </c>
      <c r="O21" s="272">
        <v>43210</v>
      </c>
      <c r="P21" s="345">
        <f t="shared" si="1"/>
        <v>1</v>
      </c>
      <c r="Q21" s="11"/>
      <c r="R21" s="11"/>
      <c r="S21" s="11"/>
      <c r="T21" s="11"/>
      <c r="U21" s="11"/>
      <c r="V21" s="11"/>
      <c r="W21" s="277">
        <v>1</v>
      </c>
      <c r="X21" s="273">
        <v>43355</v>
      </c>
      <c r="Y21" s="346">
        <f t="shared" si="2"/>
        <v>1</v>
      </c>
      <c r="Z21" s="165"/>
      <c r="AA21" s="165"/>
      <c r="AB21" s="165"/>
      <c r="AC21" s="165"/>
      <c r="AD21" s="165"/>
      <c r="AE21" s="165"/>
      <c r="AF21" s="165"/>
      <c r="AG21" s="273"/>
      <c r="AH21" s="346">
        <f t="shared" si="3"/>
        <v>0</v>
      </c>
      <c r="AI21" s="274"/>
      <c r="AJ21" s="11" t="s">
        <v>1527</v>
      </c>
      <c r="AK21" s="11"/>
      <c r="AL21" s="11"/>
      <c r="AM21" s="11"/>
      <c r="AN21" s="11"/>
      <c r="AO21" s="11"/>
      <c r="AP21" s="11"/>
      <c r="AQ21" s="11"/>
      <c r="AR21" s="11"/>
      <c r="AS21" s="275"/>
      <c r="AT21" s="226"/>
    </row>
    <row r="22" spans="1:46" s="2" customFormat="1" ht="12.75" x14ac:dyDescent="0.2">
      <c r="A22" s="271"/>
      <c r="B22" s="165" t="s">
        <v>1440</v>
      </c>
      <c r="C22" s="165" t="s">
        <v>1526</v>
      </c>
      <c r="D22" s="165"/>
      <c r="E22" s="165"/>
      <c r="F22" s="165" t="s">
        <v>1446</v>
      </c>
      <c r="G22" s="165" t="s">
        <v>1449</v>
      </c>
      <c r="H22" s="329"/>
      <c r="I22" s="271"/>
      <c r="J22" s="271"/>
      <c r="K22" s="271"/>
      <c r="L22" s="271"/>
      <c r="M22" s="271"/>
      <c r="N22" s="271">
        <v>1</v>
      </c>
      <c r="O22" s="272">
        <v>43210</v>
      </c>
      <c r="P22" s="345">
        <f t="shared" si="1"/>
        <v>1</v>
      </c>
      <c r="Q22" s="11"/>
      <c r="R22" s="11"/>
      <c r="S22" s="11"/>
      <c r="T22" s="11"/>
      <c r="U22" s="11"/>
      <c r="V22" s="11"/>
      <c r="W22" s="277">
        <v>1</v>
      </c>
      <c r="X22" s="273">
        <v>43355</v>
      </c>
      <c r="Y22" s="346">
        <f t="shared" si="2"/>
        <v>1</v>
      </c>
      <c r="Z22" s="165"/>
      <c r="AA22" s="165"/>
      <c r="AB22" s="165"/>
      <c r="AC22" s="165"/>
      <c r="AD22" s="165"/>
      <c r="AE22" s="165"/>
      <c r="AF22" s="165"/>
      <c r="AG22" s="273"/>
      <c r="AH22" s="346">
        <f t="shared" si="3"/>
        <v>0</v>
      </c>
      <c r="AI22" s="274"/>
      <c r="AJ22" s="11" t="s">
        <v>1527</v>
      </c>
      <c r="AK22" s="11"/>
      <c r="AL22" s="11"/>
      <c r="AM22" s="11"/>
      <c r="AN22" s="11"/>
      <c r="AO22" s="11"/>
      <c r="AP22" s="11"/>
      <c r="AQ22" s="11"/>
      <c r="AR22" s="11"/>
      <c r="AS22" s="275"/>
      <c r="AT22" s="226"/>
    </row>
    <row r="23" spans="1:46" s="2" customFormat="1" ht="12.75" x14ac:dyDescent="0.2">
      <c r="A23" s="271"/>
      <c r="B23" s="165" t="s">
        <v>1439</v>
      </c>
      <c r="C23" s="165" t="s">
        <v>1459</v>
      </c>
      <c r="D23" s="165"/>
      <c r="E23" s="165"/>
      <c r="F23" s="165" t="s">
        <v>1446</v>
      </c>
      <c r="G23" s="165" t="s">
        <v>1449</v>
      </c>
      <c r="H23" s="329"/>
      <c r="I23" s="271"/>
      <c r="J23" s="271"/>
      <c r="K23" s="271"/>
      <c r="L23" s="271"/>
      <c r="M23" s="271"/>
      <c r="N23" s="271">
        <v>1</v>
      </c>
      <c r="O23" s="272">
        <v>43222</v>
      </c>
      <c r="P23" s="345">
        <f t="shared" si="1"/>
        <v>1</v>
      </c>
      <c r="Q23" s="11"/>
      <c r="R23" s="11"/>
      <c r="S23" s="11"/>
      <c r="T23" s="11"/>
      <c r="U23" s="11"/>
      <c r="V23" s="11"/>
      <c r="W23" s="277">
        <v>1</v>
      </c>
      <c r="X23" s="273">
        <v>43355</v>
      </c>
      <c r="Y23" s="346">
        <f t="shared" si="2"/>
        <v>1</v>
      </c>
      <c r="Z23" s="165"/>
      <c r="AA23" s="165"/>
      <c r="AB23" s="165"/>
      <c r="AC23" s="165"/>
      <c r="AD23" s="165"/>
      <c r="AE23" s="165"/>
      <c r="AF23" s="165"/>
      <c r="AG23" s="273"/>
      <c r="AH23" s="346">
        <f t="shared" si="3"/>
        <v>0</v>
      </c>
      <c r="AI23" s="274"/>
      <c r="AJ23" s="11" t="s">
        <v>1527</v>
      </c>
      <c r="AK23" s="11"/>
      <c r="AL23" s="11"/>
      <c r="AM23" s="11"/>
      <c r="AN23" s="11"/>
      <c r="AO23" s="11"/>
      <c r="AP23" s="11"/>
      <c r="AQ23" s="11"/>
      <c r="AR23" s="11"/>
      <c r="AS23" s="275"/>
      <c r="AT23" s="226"/>
    </row>
    <row r="24" spans="1:46" s="2" customFormat="1" ht="12.75" x14ac:dyDescent="0.2">
      <c r="A24" s="271"/>
      <c r="B24" s="165" t="s">
        <v>1438</v>
      </c>
      <c r="C24" s="165" t="s">
        <v>1460</v>
      </c>
      <c r="D24" s="165"/>
      <c r="E24" s="165"/>
      <c r="F24" s="165" t="s">
        <v>1446</v>
      </c>
      <c r="G24" s="165" t="s">
        <v>1449</v>
      </c>
      <c r="H24" s="329"/>
      <c r="I24" s="271"/>
      <c r="J24" s="271"/>
      <c r="K24" s="271"/>
      <c r="L24" s="271"/>
      <c r="M24" s="271"/>
      <c r="N24" s="271">
        <v>1</v>
      </c>
      <c r="O24" s="272">
        <v>43210</v>
      </c>
      <c r="P24" s="345">
        <f t="shared" si="1"/>
        <v>1</v>
      </c>
      <c r="Q24" s="11"/>
      <c r="R24" s="11"/>
      <c r="S24" s="11"/>
      <c r="T24" s="11"/>
      <c r="U24" s="11"/>
      <c r="V24" s="11"/>
      <c r="W24" s="277">
        <v>1</v>
      </c>
      <c r="X24" s="273">
        <v>43355</v>
      </c>
      <c r="Y24" s="346">
        <f t="shared" si="2"/>
        <v>1</v>
      </c>
      <c r="Z24" s="165"/>
      <c r="AA24" s="165"/>
      <c r="AB24" s="165"/>
      <c r="AC24" s="165"/>
      <c r="AD24" s="165"/>
      <c r="AE24" s="165"/>
      <c r="AF24" s="165"/>
      <c r="AG24" s="273"/>
      <c r="AH24" s="346">
        <f t="shared" si="3"/>
        <v>0</v>
      </c>
      <c r="AI24" s="274"/>
      <c r="AJ24" s="11" t="s">
        <v>1527</v>
      </c>
      <c r="AK24" s="11"/>
      <c r="AL24" s="11"/>
      <c r="AM24" s="11"/>
      <c r="AN24" s="11"/>
      <c r="AO24" s="11"/>
      <c r="AP24" s="11"/>
      <c r="AQ24" s="11"/>
      <c r="AR24" s="11"/>
      <c r="AS24" s="275"/>
      <c r="AT24" s="226"/>
    </row>
    <row r="25" spans="1:46" s="2" customFormat="1" ht="12.75" x14ac:dyDescent="0.2">
      <c r="A25" s="271"/>
      <c r="B25" s="165" t="s">
        <v>1443</v>
      </c>
      <c r="C25" s="165" t="s">
        <v>1461</v>
      </c>
      <c r="D25" s="165"/>
      <c r="E25" s="165"/>
      <c r="F25" s="165" t="s">
        <v>1446</v>
      </c>
      <c r="G25" s="165" t="s">
        <v>1449</v>
      </c>
      <c r="H25" s="329"/>
      <c r="I25" s="271"/>
      <c r="J25" s="271"/>
      <c r="K25" s="271"/>
      <c r="L25" s="271"/>
      <c r="M25" s="271"/>
      <c r="N25" s="271">
        <v>1</v>
      </c>
      <c r="O25" s="272">
        <v>43210</v>
      </c>
      <c r="P25" s="345">
        <f t="shared" si="1"/>
        <v>1</v>
      </c>
      <c r="Q25" s="11"/>
      <c r="R25" s="11"/>
      <c r="S25" s="11"/>
      <c r="T25" s="11"/>
      <c r="U25" s="11"/>
      <c r="V25" s="11"/>
      <c r="W25" s="277">
        <v>1</v>
      </c>
      <c r="X25" s="273">
        <v>43355</v>
      </c>
      <c r="Y25" s="346">
        <f t="shared" si="2"/>
        <v>1</v>
      </c>
      <c r="Z25" s="165"/>
      <c r="AA25" s="165"/>
      <c r="AB25" s="165"/>
      <c r="AC25" s="165"/>
      <c r="AD25" s="165"/>
      <c r="AE25" s="165"/>
      <c r="AF25" s="165"/>
      <c r="AG25" s="273"/>
      <c r="AH25" s="346">
        <f t="shared" si="3"/>
        <v>0</v>
      </c>
      <c r="AI25" s="274"/>
      <c r="AJ25" s="11" t="s">
        <v>1527</v>
      </c>
      <c r="AK25" s="11"/>
      <c r="AL25" s="11"/>
      <c r="AM25" s="11"/>
      <c r="AN25" s="11"/>
      <c r="AO25" s="11"/>
      <c r="AP25" s="11"/>
      <c r="AQ25" s="11"/>
      <c r="AR25" s="11"/>
      <c r="AS25" s="275"/>
      <c r="AT25" s="226"/>
    </row>
    <row r="26" spans="1:46" s="2" customFormat="1" ht="12.75" x14ac:dyDescent="0.2">
      <c r="A26" s="271"/>
      <c r="B26" s="165" t="s">
        <v>1444</v>
      </c>
      <c r="C26" s="165" t="s">
        <v>1462</v>
      </c>
      <c r="D26" s="165"/>
      <c r="E26" s="165"/>
      <c r="F26" s="165" t="s">
        <v>1446</v>
      </c>
      <c r="G26" s="165" t="s">
        <v>1449</v>
      </c>
      <c r="H26" s="329"/>
      <c r="I26" s="271"/>
      <c r="J26" s="271"/>
      <c r="K26" s="271"/>
      <c r="L26" s="271"/>
      <c r="M26" s="271"/>
      <c r="N26" s="271">
        <v>1</v>
      </c>
      <c r="O26" s="272">
        <v>43210</v>
      </c>
      <c r="P26" s="345">
        <f t="shared" si="1"/>
        <v>1</v>
      </c>
      <c r="Q26" s="11"/>
      <c r="R26" s="11"/>
      <c r="S26" s="11"/>
      <c r="T26" s="11"/>
      <c r="U26" s="11"/>
      <c r="V26" s="11"/>
      <c r="W26" s="277">
        <v>1</v>
      </c>
      <c r="X26" s="273">
        <v>43355</v>
      </c>
      <c r="Y26" s="346">
        <f t="shared" si="2"/>
        <v>1</v>
      </c>
      <c r="Z26" s="165"/>
      <c r="AA26" s="165"/>
      <c r="AB26" s="165"/>
      <c r="AC26" s="165"/>
      <c r="AD26" s="165"/>
      <c r="AE26" s="165"/>
      <c r="AF26" s="165"/>
      <c r="AG26" s="273"/>
      <c r="AH26" s="346">
        <f t="shared" si="3"/>
        <v>0</v>
      </c>
      <c r="AI26" s="274"/>
      <c r="AJ26" s="11" t="s">
        <v>1527</v>
      </c>
      <c r="AK26" s="11"/>
      <c r="AL26" s="11"/>
      <c r="AM26" s="11"/>
      <c r="AN26" s="11"/>
      <c r="AO26" s="11"/>
      <c r="AP26" s="11"/>
      <c r="AQ26" s="11"/>
      <c r="AR26" s="11"/>
      <c r="AS26" s="275"/>
      <c r="AT26" s="226"/>
    </row>
    <row r="27" spans="1:46" s="2" customFormat="1" ht="12.75" x14ac:dyDescent="0.2">
      <c r="A27" s="271"/>
      <c r="B27" s="165" t="s">
        <v>1434</v>
      </c>
      <c r="C27" s="331" t="s">
        <v>1463</v>
      </c>
      <c r="D27" s="165"/>
      <c r="E27" s="165"/>
      <c r="F27" s="165" t="s">
        <v>1446</v>
      </c>
      <c r="G27" s="165" t="s">
        <v>1449</v>
      </c>
      <c r="H27" s="329"/>
      <c r="I27" s="271"/>
      <c r="J27" s="271"/>
      <c r="K27" s="271"/>
      <c r="L27" s="271"/>
      <c r="M27" s="271"/>
      <c r="N27" s="271">
        <v>1</v>
      </c>
      <c r="O27" s="272">
        <v>43210</v>
      </c>
      <c r="P27" s="345">
        <f t="shared" si="1"/>
        <v>1</v>
      </c>
      <c r="Q27" s="11"/>
      <c r="R27" s="11"/>
      <c r="S27" s="11"/>
      <c r="T27" s="11"/>
      <c r="U27" s="11"/>
      <c r="V27" s="11"/>
      <c r="W27" s="277">
        <v>1</v>
      </c>
      <c r="X27" s="273">
        <v>43355</v>
      </c>
      <c r="Y27" s="346">
        <f t="shared" si="2"/>
        <v>1</v>
      </c>
      <c r="Z27" s="165"/>
      <c r="AA27" s="165"/>
      <c r="AB27" s="165"/>
      <c r="AC27" s="165"/>
      <c r="AD27" s="165"/>
      <c r="AE27" s="165"/>
      <c r="AF27" s="165"/>
      <c r="AG27" s="273"/>
      <c r="AH27" s="346">
        <f t="shared" si="3"/>
        <v>0</v>
      </c>
      <c r="AI27" s="274"/>
      <c r="AJ27" s="11" t="s">
        <v>1527</v>
      </c>
      <c r="AK27" s="11"/>
      <c r="AL27" s="11"/>
      <c r="AM27" s="11"/>
      <c r="AN27" s="11"/>
      <c r="AO27" s="11"/>
      <c r="AP27" s="11"/>
      <c r="AQ27" s="11"/>
      <c r="AR27" s="11"/>
      <c r="AS27" s="275"/>
      <c r="AT27" s="226"/>
    </row>
    <row r="28" spans="1:46" s="2" customFormat="1" ht="12.75" x14ac:dyDescent="0.2">
      <c r="A28" s="271"/>
      <c r="B28" s="165" t="s">
        <v>1422</v>
      </c>
      <c r="C28" s="331" t="s">
        <v>1464</v>
      </c>
      <c r="D28" s="165"/>
      <c r="E28" s="165"/>
      <c r="F28" s="165" t="s">
        <v>1446</v>
      </c>
      <c r="G28" s="165" t="s">
        <v>1449</v>
      </c>
      <c r="H28" s="329"/>
      <c r="I28" s="271"/>
      <c r="J28" s="271"/>
      <c r="K28" s="271"/>
      <c r="L28" s="271"/>
      <c r="M28" s="271"/>
      <c r="N28" s="271">
        <v>1</v>
      </c>
      <c r="O28" s="272">
        <v>43223</v>
      </c>
      <c r="P28" s="345">
        <f t="shared" si="1"/>
        <v>1</v>
      </c>
      <c r="Q28" s="11"/>
      <c r="R28" s="11"/>
      <c r="S28" s="11"/>
      <c r="T28" s="11"/>
      <c r="U28" s="11"/>
      <c r="V28" s="11"/>
      <c r="W28" s="277">
        <v>1</v>
      </c>
      <c r="X28" s="273">
        <v>43284</v>
      </c>
      <c r="Y28" s="346">
        <f t="shared" si="2"/>
        <v>1</v>
      </c>
      <c r="Z28" s="165"/>
      <c r="AA28" s="165"/>
      <c r="AB28" s="165"/>
      <c r="AC28" s="165"/>
      <c r="AD28" s="165"/>
      <c r="AE28" s="165"/>
      <c r="AF28" s="165"/>
      <c r="AG28" s="273"/>
      <c r="AH28" s="346">
        <f t="shared" si="3"/>
        <v>0</v>
      </c>
      <c r="AI28" s="274"/>
      <c r="AJ28" s="11" t="s">
        <v>1527</v>
      </c>
      <c r="AK28" s="11"/>
      <c r="AL28" s="11"/>
      <c r="AM28" s="11"/>
      <c r="AN28" s="11"/>
      <c r="AO28" s="11"/>
      <c r="AP28" s="11"/>
      <c r="AQ28" s="11"/>
      <c r="AR28" s="11"/>
      <c r="AS28" s="275"/>
      <c r="AT28" s="226"/>
    </row>
    <row r="29" spans="1:46" s="2" customFormat="1" ht="12.75" x14ac:dyDescent="0.2">
      <c r="A29" s="271"/>
      <c r="B29" s="165" t="s">
        <v>1424</v>
      </c>
      <c r="C29" s="331" t="s">
        <v>1466</v>
      </c>
      <c r="D29" s="165"/>
      <c r="E29" s="165"/>
      <c r="F29" s="165" t="s">
        <v>1446</v>
      </c>
      <c r="G29" s="165" t="s">
        <v>1449</v>
      </c>
      <c r="H29" s="329"/>
      <c r="I29" s="271"/>
      <c r="J29" s="271"/>
      <c r="K29" s="271"/>
      <c r="L29" s="271"/>
      <c r="M29" s="271"/>
      <c r="N29" s="271">
        <v>1</v>
      </c>
      <c r="O29" s="272">
        <v>43266</v>
      </c>
      <c r="P29" s="345">
        <f t="shared" si="1"/>
        <v>1</v>
      </c>
      <c r="Q29" s="11"/>
      <c r="R29" s="11"/>
      <c r="S29" s="11"/>
      <c r="T29" s="11"/>
      <c r="U29" s="11"/>
      <c r="V29" s="11"/>
      <c r="W29" s="277">
        <v>1</v>
      </c>
      <c r="X29" s="273">
        <v>43347</v>
      </c>
      <c r="Y29" s="346">
        <f t="shared" si="2"/>
        <v>1</v>
      </c>
      <c r="Z29" s="165"/>
      <c r="AA29" s="165"/>
      <c r="AB29" s="165"/>
      <c r="AC29" s="165"/>
      <c r="AD29" s="165"/>
      <c r="AE29" s="165"/>
      <c r="AF29" s="165"/>
      <c r="AG29" s="273"/>
      <c r="AH29" s="346">
        <f t="shared" si="3"/>
        <v>0</v>
      </c>
      <c r="AI29" s="274"/>
      <c r="AJ29" s="11" t="s">
        <v>1527</v>
      </c>
      <c r="AK29" s="11"/>
      <c r="AL29" s="11"/>
      <c r="AM29" s="11"/>
      <c r="AN29" s="11"/>
      <c r="AO29" s="11"/>
      <c r="AP29" s="11"/>
      <c r="AQ29" s="11"/>
      <c r="AR29" s="11"/>
      <c r="AS29" s="275"/>
      <c r="AT29" s="226"/>
    </row>
    <row r="30" spans="1:46" s="2" customFormat="1" ht="12.75" x14ac:dyDescent="0.2">
      <c r="A30" s="271"/>
      <c r="B30" s="165" t="s">
        <v>1425</v>
      </c>
      <c r="C30" s="331" t="s">
        <v>1467</v>
      </c>
      <c r="D30" s="165"/>
      <c r="E30" s="165"/>
      <c r="F30" s="165" t="s">
        <v>1446</v>
      </c>
      <c r="G30" s="165" t="s">
        <v>1449</v>
      </c>
      <c r="H30" s="329"/>
      <c r="I30" s="271"/>
      <c r="J30" s="271"/>
      <c r="K30" s="271"/>
      <c r="L30" s="271"/>
      <c r="M30" s="271"/>
      <c r="N30" s="271">
        <v>1</v>
      </c>
      <c r="O30" s="272">
        <v>43298</v>
      </c>
      <c r="P30" s="345">
        <f t="shared" si="1"/>
        <v>1</v>
      </c>
      <c r="Q30" s="11"/>
      <c r="R30" s="11"/>
      <c r="S30" s="11"/>
      <c r="T30" s="11"/>
      <c r="U30" s="11"/>
      <c r="V30" s="11"/>
      <c r="W30" s="277">
        <v>1</v>
      </c>
      <c r="X30" s="273">
        <v>43441</v>
      </c>
      <c r="Y30" s="346">
        <f t="shared" si="2"/>
        <v>1</v>
      </c>
      <c r="Z30" s="165"/>
      <c r="AA30" s="165"/>
      <c r="AB30" s="165"/>
      <c r="AC30" s="165"/>
      <c r="AD30" s="165"/>
      <c r="AE30" s="165"/>
      <c r="AF30" s="165"/>
      <c r="AG30" s="273"/>
      <c r="AH30" s="346">
        <f t="shared" si="3"/>
        <v>0</v>
      </c>
      <c r="AI30" s="274"/>
      <c r="AJ30" s="11" t="s">
        <v>1527</v>
      </c>
      <c r="AK30" s="11"/>
      <c r="AL30" s="11"/>
      <c r="AM30" s="11"/>
      <c r="AN30" s="11"/>
      <c r="AO30" s="11"/>
      <c r="AP30" s="11"/>
      <c r="AQ30" s="11"/>
      <c r="AR30" s="11"/>
      <c r="AS30" s="275"/>
      <c r="AT30" s="226"/>
    </row>
    <row r="31" spans="1:46" s="2" customFormat="1" ht="12.75" x14ac:dyDescent="0.2">
      <c r="A31" s="271"/>
      <c r="B31" s="165" t="s">
        <v>1487</v>
      </c>
      <c r="C31" s="331" t="s">
        <v>1468</v>
      </c>
      <c r="D31" s="165"/>
      <c r="E31" s="165"/>
      <c r="F31" s="165" t="s">
        <v>1446</v>
      </c>
      <c r="G31" s="165" t="s">
        <v>1449</v>
      </c>
      <c r="H31" s="329"/>
      <c r="I31" s="271"/>
      <c r="J31" s="271"/>
      <c r="K31" s="271"/>
      <c r="L31" s="271"/>
      <c r="M31" s="271"/>
      <c r="N31" s="271">
        <v>1</v>
      </c>
      <c r="O31" s="272">
        <v>43390</v>
      </c>
      <c r="P31" s="345">
        <f t="shared" si="1"/>
        <v>1</v>
      </c>
      <c r="Q31" s="11"/>
      <c r="R31" s="11"/>
      <c r="S31" s="11"/>
      <c r="T31" s="11"/>
      <c r="U31" s="11"/>
      <c r="V31" s="11"/>
      <c r="W31" s="277"/>
      <c r="X31" s="273"/>
      <c r="Y31" s="346">
        <f t="shared" si="2"/>
        <v>0</v>
      </c>
      <c r="Z31" s="165"/>
      <c r="AA31" s="165"/>
      <c r="AB31" s="165"/>
      <c r="AC31" s="165"/>
      <c r="AD31" s="165"/>
      <c r="AE31" s="165"/>
      <c r="AF31" s="165"/>
      <c r="AG31" s="273"/>
      <c r="AH31" s="346">
        <f t="shared" si="3"/>
        <v>0</v>
      </c>
      <c r="AI31" s="274"/>
      <c r="AJ31" s="11" t="s">
        <v>1527</v>
      </c>
      <c r="AK31" s="11"/>
      <c r="AL31" s="11"/>
      <c r="AM31" s="11"/>
      <c r="AN31" s="11"/>
      <c r="AO31" s="11"/>
      <c r="AP31" s="11"/>
      <c r="AQ31" s="11"/>
      <c r="AR31" s="11"/>
      <c r="AS31" s="275"/>
      <c r="AT31" s="226"/>
    </row>
    <row r="32" spans="1:46" s="2" customFormat="1" ht="12.75" x14ac:dyDescent="0.2">
      <c r="A32" s="271"/>
      <c r="B32" s="331" t="s">
        <v>1427</v>
      </c>
      <c r="C32" s="331" t="s">
        <v>1469</v>
      </c>
      <c r="D32" s="165"/>
      <c r="E32" s="165"/>
      <c r="F32" s="165" t="s">
        <v>1446</v>
      </c>
      <c r="G32" s="165" t="s">
        <v>1449</v>
      </c>
      <c r="H32" s="329"/>
      <c r="I32" s="271"/>
      <c r="J32" s="271"/>
      <c r="K32" s="271"/>
      <c r="L32" s="271"/>
      <c r="M32" s="271"/>
      <c r="N32" s="271">
        <v>1</v>
      </c>
      <c r="O32" s="272">
        <v>43284</v>
      </c>
      <c r="P32" s="345">
        <f t="shared" si="1"/>
        <v>1</v>
      </c>
      <c r="Q32" s="11"/>
      <c r="R32" s="11"/>
      <c r="S32" s="11"/>
      <c r="T32" s="11"/>
      <c r="U32" s="11"/>
      <c r="V32" s="11"/>
      <c r="W32" s="277">
        <v>1</v>
      </c>
      <c r="X32" s="273">
        <v>43410</v>
      </c>
      <c r="Y32" s="346">
        <f t="shared" si="2"/>
        <v>1</v>
      </c>
      <c r="Z32" s="165"/>
      <c r="AA32" s="165"/>
      <c r="AB32" s="165"/>
      <c r="AC32" s="165"/>
      <c r="AD32" s="165"/>
      <c r="AE32" s="165"/>
      <c r="AF32" s="165"/>
      <c r="AG32" s="273"/>
      <c r="AH32" s="346">
        <f t="shared" ref="AH32:AH96" si="4">SUM(Z32:AF32)</f>
        <v>0</v>
      </c>
      <c r="AI32" s="274"/>
      <c r="AJ32" s="11" t="s">
        <v>1527</v>
      </c>
      <c r="AK32" s="11"/>
      <c r="AL32" s="11"/>
      <c r="AM32" s="11"/>
      <c r="AN32" s="11"/>
      <c r="AO32" s="11"/>
      <c r="AP32" s="11"/>
      <c r="AQ32" s="11"/>
      <c r="AR32" s="11"/>
      <c r="AS32" s="275"/>
      <c r="AT32" s="226"/>
    </row>
    <row r="33" spans="1:132" s="277" customFormat="1" ht="12.75" x14ac:dyDescent="0.2">
      <c r="A33" s="271"/>
      <c r="B33" s="331" t="s">
        <v>1489</v>
      </c>
      <c r="C33" s="331" t="s">
        <v>1470</v>
      </c>
      <c r="D33" s="165"/>
      <c r="E33" s="165"/>
      <c r="F33" s="165" t="s">
        <v>1446</v>
      </c>
      <c r="G33" s="165" t="s">
        <v>1449</v>
      </c>
      <c r="H33" s="329"/>
      <c r="I33" s="271"/>
      <c r="J33" s="271"/>
      <c r="K33" s="271"/>
      <c r="L33" s="271"/>
      <c r="M33" s="271"/>
      <c r="N33" s="271">
        <v>1</v>
      </c>
      <c r="O33" s="363">
        <v>43357</v>
      </c>
      <c r="P33" s="345">
        <f t="shared" si="1"/>
        <v>1</v>
      </c>
      <c r="Q33" s="11"/>
      <c r="R33" s="11"/>
      <c r="S33" s="11"/>
      <c r="T33" s="11"/>
      <c r="U33" s="11"/>
      <c r="V33" s="11"/>
      <c r="W33" s="11"/>
      <c r="X33" s="273"/>
      <c r="Y33" s="346">
        <f t="shared" si="2"/>
        <v>0</v>
      </c>
      <c r="Z33" s="165"/>
      <c r="AA33" s="165"/>
      <c r="AB33" s="165"/>
      <c r="AC33" s="165"/>
      <c r="AD33" s="165"/>
      <c r="AE33" s="165"/>
      <c r="AF33" s="165"/>
      <c r="AG33" s="273"/>
      <c r="AH33" s="346">
        <f t="shared" si="4"/>
        <v>0</v>
      </c>
      <c r="AI33" s="274"/>
      <c r="AJ33" s="11" t="s">
        <v>1527</v>
      </c>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271"/>
      <c r="B34" s="331" t="s">
        <v>1490</v>
      </c>
      <c r="C34" s="331" t="s">
        <v>1471</v>
      </c>
      <c r="D34" s="165"/>
      <c r="E34" s="165"/>
      <c r="F34" s="165" t="s">
        <v>1446</v>
      </c>
      <c r="G34" s="165" t="s">
        <v>1449</v>
      </c>
      <c r="H34" s="329"/>
      <c r="I34" s="334"/>
      <c r="J34" s="334"/>
      <c r="K34" s="334"/>
      <c r="L34" s="334"/>
      <c r="M34" s="334"/>
      <c r="N34" s="271">
        <v>1</v>
      </c>
      <c r="O34" s="272">
        <v>43438</v>
      </c>
      <c r="P34" s="345">
        <f t="shared" si="1"/>
        <v>1</v>
      </c>
      <c r="Q34" s="333"/>
      <c r="R34" s="333"/>
      <c r="S34" s="333"/>
      <c r="T34" s="333"/>
      <c r="U34" s="333"/>
      <c r="V34" s="333"/>
      <c r="W34" s="333"/>
      <c r="X34" s="273"/>
      <c r="Y34" s="346">
        <f t="shared" si="2"/>
        <v>0</v>
      </c>
      <c r="Z34" s="335"/>
      <c r="AA34" s="335"/>
      <c r="AB34" s="335"/>
      <c r="AC34" s="335"/>
      <c r="AD34" s="335"/>
      <c r="AE34" s="335"/>
      <c r="AF34" s="335"/>
      <c r="AG34" s="333"/>
      <c r="AH34" s="346">
        <f t="shared" si="4"/>
        <v>0</v>
      </c>
      <c r="AI34" s="335"/>
      <c r="AJ34" s="11" t="s">
        <v>1527</v>
      </c>
      <c r="AK34" s="333"/>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1"/>
      <c r="B35" s="331" t="s">
        <v>1491</v>
      </c>
      <c r="C35" s="331" t="s">
        <v>1488</v>
      </c>
      <c r="D35" s="331"/>
      <c r="E35" s="331"/>
      <c r="F35" s="331" t="s">
        <v>1446</v>
      </c>
      <c r="G35" s="165" t="s">
        <v>1449</v>
      </c>
      <c r="H35" s="329"/>
      <c r="I35" s="276"/>
      <c r="J35" s="276"/>
      <c r="K35" s="276"/>
      <c r="L35" s="276"/>
      <c r="M35" s="276"/>
      <c r="N35" s="271">
        <v>1</v>
      </c>
      <c r="O35" s="341">
        <v>43377</v>
      </c>
      <c r="P35" s="345">
        <f t="shared" si="1"/>
        <v>1</v>
      </c>
      <c r="Q35" s="277"/>
      <c r="R35" s="277"/>
      <c r="S35" s="277"/>
      <c r="T35" s="277"/>
      <c r="U35" s="277"/>
      <c r="V35" s="277"/>
      <c r="W35" s="277"/>
      <c r="X35" s="273"/>
      <c r="Y35" s="346">
        <f t="shared" si="2"/>
        <v>0</v>
      </c>
      <c r="Z35" s="165"/>
      <c r="AA35" s="165"/>
      <c r="AB35" s="165"/>
      <c r="AC35" s="165"/>
      <c r="AD35" s="165"/>
      <c r="AE35" s="165"/>
      <c r="AF35" s="165"/>
      <c r="AG35" s="277"/>
      <c r="AH35" s="346">
        <f t="shared" si="4"/>
        <v>0</v>
      </c>
      <c r="AI35" s="165"/>
      <c r="AJ35" s="11" t="s">
        <v>1527</v>
      </c>
      <c r="AK35" s="277"/>
      <c r="AL35" s="11"/>
      <c r="AM35" s="11"/>
      <c r="AN35" s="277"/>
      <c r="AO35" s="277"/>
      <c r="AP35" s="277"/>
      <c r="AQ35" s="277"/>
      <c r="AR35" s="338"/>
      <c r="AS35" s="275"/>
      <c r="AT35" s="305"/>
    </row>
    <row r="36" spans="1:132" s="88" customFormat="1" ht="12.75" x14ac:dyDescent="0.2">
      <c r="A36" s="271"/>
      <c r="B36" s="331" t="s">
        <v>1493</v>
      </c>
      <c r="C36" s="331" t="s">
        <v>1473</v>
      </c>
      <c r="D36" s="331"/>
      <c r="E36" s="331"/>
      <c r="F36" s="331" t="s">
        <v>1446</v>
      </c>
      <c r="G36" s="165" t="s">
        <v>1449</v>
      </c>
      <c r="H36" s="329"/>
      <c r="I36" s="276"/>
      <c r="J36" s="276"/>
      <c r="K36" s="276"/>
      <c r="L36" s="276"/>
      <c r="M36" s="276"/>
      <c r="N36" s="271">
        <v>1</v>
      </c>
      <c r="O36" s="341">
        <v>43424</v>
      </c>
      <c r="P36" s="345">
        <f t="shared" si="1"/>
        <v>1</v>
      </c>
      <c r="Q36" s="277"/>
      <c r="R36" s="277"/>
      <c r="S36" s="277"/>
      <c r="T36" s="277"/>
      <c r="U36" s="277"/>
      <c r="V36" s="277"/>
      <c r="W36" s="277"/>
      <c r="X36" s="273"/>
      <c r="Y36" s="346">
        <f t="shared" si="2"/>
        <v>0</v>
      </c>
      <c r="Z36" s="165"/>
      <c r="AA36" s="165"/>
      <c r="AB36" s="165"/>
      <c r="AC36" s="165"/>
      <c r="AD36" s="165"/>
      <c r="AE36" s="165"/>
      <c r="AF36" s="165"/>
      <c r="AG36" s="277"/>
      <c r="AH36" s="346">
        <f t="shared" si="4"/>
        <v>0</v>
      </c>
      <c r="AI36" s="165"/>
      <c r="AJ36" s="11" t="s">
        <v>1527</v>
      </c>
      <c r="AK36" s="277"/>
      <c r="AL36" s="11"/>
      <c r="AM36" s="11"/>
      <c r="AN36" s="277"/>
      <c r="AO36" s="277"/>
      <c r="AP36" s="277"/>
      <c r="AQ36" s="277"/>
      <c r="AR36" s="338"/>
      <c r="AS36" s="275"/>
      <c r="AT36" s="305"/>
    </row>
    <row r="37" spans="1:132" s="88" customFormat="1" ht="12.75" x14ac:dyDescent="0.2">
      <c r="A37" s="271"/>
      <c r="B37" s="331" t="s">
        <v>1494</v>
      </c>
      <c r="C37" s="331" t="s">
        <v>1474</v>
      </c>
      <c r="D37" s="331"/>
      <c r="E37" s="331"/>
      <c r="F37" s="331" t="s">
        <v>1446</v>
      </c>
      <c r="G37" s="165" t="s">
        <v>1449</v>
      </c>
      <c r="H37" s="329"/>
      <c r="I37" s="276"/>
      <c r="J37" s="276"/>
      <c r="K37" s="276"/>
      <c r="L37" s="276"/>
      <c r="M37" s="276"/>
      <c r="N37" s="271">
        <v>1</v>
      </c>
      <c r="O37" s="341">
        <v>43440</v>
      </c>
      <c r="P37" s="345">
        <f t="shared" si="1"/>
        <v>1</v>
      </c>
      <c r="Q37" s="277"/>
      <c r="R37" s="277"/>
      <c r="S37" s="277"/>
      <c r="T37" s="277"/>
      <c r="U37" s="277"/>
      <c r="V37" s="277"/>
      <c r="W37" s="277"/>
      <c r="X37" s="273"/>
      <c r="Y37" s="346">
        <f t="shared" si="2"/>
        <v>0</v>
      </c>
      <c r="Z37" s="165"/>
      <c r="AA37" s="165"/>
      <c r="AB37" s="165"/>
      <c r="AC37" s="165"/>
      <c r="AD37" s="165"/>
      <c r="AE37" s="165"/>
      <c r="AF37" s="165"/>
      <c r="AG37" s="277"/>
      <c r="AH37" s="346">
        <f t="shared" si="4"/>
        <v>0</v>
      </c>
      <c r="AI37" s="165"/>
      <c r="AJ37" s="11" t="s">
        <v>1527</v>
      </c>
      <c r="AK37" s="277"/>
      <c r="AL37" s="11"/>
      <c r="AM37" s="11"/>
      <c r="AN37" s="277"/>
      <c r="AO37" s="277"/>
      <c r="AP37" s="277"/>
      <c r="AQ37" s="277"/>
      <c r="AR37" s="338"/>
      <c r="AS37" s="275"/>
      <c r="AT37" s="305"/>
    </row>
    <row r="38" spans="1:132" s="88" customFormat="1" ht="12.75" x14ac:dyDescent="0.2">
      <c r="A38" s="271"/>
      <c r="B38" s="331" t="s">
        <v>1500</v>
      </c>
      <c r="C38" s="331" t="s">
        <v>1495</v>
      </c>
      <c r="D38" s="331"/>
      <c r="E38" s="331"/>
      <c r="F38" s="331" t="s">
        <v>1446</v>
      </c>
      <c r="G38" s="165" t="s">
        <v>1449</v>
      </c>
      <c r="H38" s="329"/>
      <c r="I38" s="276"/>
      <c r="J38" s="276"/>
      <c r="K38" s="276"/>
      <c r="L38" s="276"/>
      <c r="M38" s="276"/>
      <c r="N38" s="271">
        <v>1</v>
      </c>
      <c r="O38" s="341">
        <v>43354</v>
      </c>
      <c r="P38" s="345">
        <f t="shared" si="1"/>
        <v>1</v>
      </c>
      <c r="Q38" s="277"/>
      <c r="R38" s="277"/>
      <c r="S38" s="277"/>
      <c r="T38" s="277"/>
      <c r="U38" s="277"/>
      <c r="V38" s="277"/>
      <c r="W38" s="277"/>
      <c r="X38" s="273"/>
      <c r="Y38" s="346">
        <f t="shared" si="2"/>
        <v>0</v>
      </c>
      <c r="Z38" s="165"/>
      <c r="AA38" s="165"/>
      <c r="AB38" s="165"/>
      <c r="AC38" s="165"/>
      <c r="AD38" s="165"/>
      <c r="AE38" s="165"/>
      <c r="AF38" s="165"/>
      <c r="AG38" s="277"/>
      <c r="AH38" s="346">
        <f t="shared" si="4"/>
        <v>0</v>
      </c>
      <c r="AI38" s="165"/>
      <c r="AJ38" s="11" t="s">
        <v>1527</v>
      </c>
      <c r="AK38" s="277"/>
      <c r="AL38" s="11"/>
      <c r="AM38" s="11"/>
      <c r="AN38" s="277"/>
      <c r="AO38" s="277"/>
      <c r="AP38" s="277"/>
      <c r="AQ38" s="277"/>
      <c r="AR38" s="338"/>
      <c r="AS38" s="275"/>
      <c r="AT38" s="305"/>
    </row>
    <row r="39" spans="1:132" s="88" customFormat="1" ht="12.75" x14ac:dyDescent="0.2">
      <c r="A39" s="271"/>
      <c r="B39" s="331" t="s">
        <v>1501</v>
      </c>
      <c r="C39" s="331" t="s">
        <v>1496</v>
      </c>
      <c r="D39" s="331"/>
      <c r="E39" s="331"/>
      <c r="F39" s="331" t="s">
        <v>1446</v>
      </c>
      <c r="G39" s="165" t="s">
        <v>1449</v>
      </c>
      <c r="H39" s="329"/>
      <c r="I39" s="276"/>
      <c r="J39" s="276"/>
      <c r="K39" s="276"/>
      <c r="L39" s="276"/>
      <c r="M39" s="276"/>
      <c r="N39" s="271">
        <v>1</v>
      </c>
      <c r="O39" s="341">
        <v>43354</v>
      </c>
      <c r="P39" s="345">
        <f t="shared" si="1"/>
        <v>1</v>
      </c>
      <c r="Q39" s="277"/>
      <c r="R39" s="277"/>
      <c r="S39" s="277"/>
      <c r="T39" s="277"/>
      <c r="U39" s="277"/>
      <c r="V39" s="277"/>
      <c r="W39" s="277"/>
      <c r="X39" s="273"/>
      <c r="Y39" s="346">
        <f t="shared" si="2"/>
        <v>0</v>
      </c>
      <c r="Z39" s="165"/>
      <c r="AA39" s="165"/>
      <c r="AB39" s="165"/>
      <c r="AC39" s="165"/>
      <c r="AD39" s="165"/>
      <c r="AE39" s="165"/>
      <c r="AF39" s="165"/>
      <c r="AG39" s="277"/>
      <c r="AH39" s="346">
        <f t="shared" si="4"/>
        <v>0</v>
      </c>
      <c r="AI39" s="165"/>
      <c r="AJ39" s="11" t="s">
        <v>1527</v>
      </c>
      <c r="AK39" s="277"/>
      <c r="AL39" s="11"/>
      <c r="AM39" s="11"/>
      <c r="AN39" s="277"/>
      <c r="AO39" s="277"/>
      <c r="AP39" s="277"/>
      <c r="AQ39" s="277"/>
      <c r="AR39" s="338"/>
      <c r="AS39" s="275"/>
      <c r="AT39" s="305"/>
    </row>
    <row r="40" spans="1:132" s="88" customFormat="1" ht="12.75" x14ac:dyDescent="0.2">
      <c r="A40" s="271"/>
      <c r="B40" s="331" t="s">
        <v>1502</v>
      </c>
      <c r="C40" s="331" t="s">
        <v>1497</v>
      </c>
      <c r="D40" s="331"/>
      <c r="E40" s="331"/>
      <c r="F40" s="331" t="s">
        <v>1446</v>
      </c>
      <c r="G40" s="165" t="s">
        <v>1449</v>
      </c>
      <c r="H40" s="329"/>
      <c r="I40" s="276"/>
      <c r="J40" s="276"/>
      <c r="K40" s="276"/>
      <c r="L40" s="276"/>
      <c r="M40" s="276"/>
      <c r="N40" s="271">
        <v>1</v>
      </c>
      <c r="O40" s="341">
        <v>43354</v>
      </c>
      <c r="P40" s="345">
        <f t="shared" si="1"/>
        <v>1</v>
      </c>
      <c r="Q40" s="277"/>
      <c r="R40" s="277"/>
      <c r="S40" s="277"/>
      <c r="T40" s="277"/>
      <c r="U40" s="277"/>
      <c r="V40" s="277"/>
      <c r="W40" s="277"/>
      <c r="X40" s="273"/>
      <c r="Y40" s="346">
        <f t="shared" si="2"/>
        <v>0</v>
      </c>
      <c r="Z40" s="165"/>
      <c r="AA40" s="165"/>
      <c r="AB40" s="165"/>
      <c r="AC40" s="165"/>
      <c r="AD40" s="165"/>
      <c r="AE40" s="165"/>
      <c r="AF40" s="165"/>
      <c r="AG40" s="277"/>
      <c r="AH40" s="346">
        <f t="shared" si="4"/>
        <v>0</v>
      </c>
      <c r="AI40" s="165"/>
      <c r="AJ40" s="11" t="s">
        <v>1527</v>
      </c>
      <c r="AK40" s="277"/>
      <c r="AL40" s="11"/>
      <c r="AM40" s="11"/>
      <c r="AN40" s="277"/>
      <c r="AO40" s="277"/>
      <c r="AP40" s="277"/>
      <c r="AQ40" s="277"/>
      <c r="AR40" s="338"/>
      <c r="AS40" s="275"/>
      <c r="AT40" s="305"/>
    </row>
    <row r="41" spans="1:132" s="88" customFormat="1" ht="12.75" x14ac:dyDescent="0.2">
      <c r="A41" s="271"/>
      <c r="B41" s="331" t="s">
        <v>1503</v>
      </c>
      <c r="C41" s="331" t="s">
        <v>1498</v>
      </c>
      <c r="D41" s="331"/>
      <c r="E41" s="331"/>
      <c r="F41" s="331" t="s">
        <v>1446</v>
      </c>
      <c r="G41" s="165" t="s">
        <v>1449</v>
      </c>
      <c r="H41" s="329"/>
      <c r="I41" s="276"/>
      <c r="J41" s="276"/>
      <c r="K41" s="276"/>
      <c r="L41" s="276"/>
      <c r="M41" s="276"/>
      <c r="N41" s="271">
        <v>1</v>
      </c>
      <c r="O41" s="341">
        <v>43354</v>
      </c>
      <c r="P41" s="345">
        <f t="shared" si="1"/>
        <v>1</v>
      </c>
      <c r="Q41" s="277"/>
      <c r="R41" s="277"/>
      <c r="S41" s="277"/>
      <c r="T41" s="277"/>
      <c r="U41" s="277"/>
      <c r="V41" s="277"/>
      <c r="W41" s="277"/>
      <c r="X41" s="273"/>
      <c r="Y41" s="346">
        <f t="shared" si="2"/>
        <v>0</v>
      </c>
      <c r="Z41" s="165"/>
      <c r="AA41" s="165"/>
      <c r="AB41" s="165"/>
      <c r="AC41" s="165"/>
      <c r="AD41" s="165"/>
      <c r="AE41" s="165"/>
      <c r="AF41" s="165"/>
      <c r="AG41" s="277"/>
      <c r="AH41" s="346">
        <f t="shared" si="4"/>
        <v>0</v>
      </c>
      <c r="AI41" s="165"/>
      <c r="AJ41" s="11" t="s">
        <v>1527</v>
      </c>
      <c r="AK41" s="277"/>
      <c r="AL41" s="11"/>
      <c r="AM41" s="11"/>
      <c r="AN41" s="277"/>
      <c r="AO41" s="277"/>
      <c r="AP41" s="277"/>
      <c r="AQ41" s="277"/>
      <c r="AR41" s="338"/>
      <c r="AS41" s="275"/>
      <c r="AT41" s="305"/>
    </row>
    <row r="42" spans="1:132" s="88" customFormat="1" ht="12.75" x14ac:dyDescent="0.2">
      <c r="A42" s="271"/>
      <c r="B42" s="331" t="s">
        <v>1504</v>
      </c>
      <c r="C42" s="331" t="s">
        <v>1499</v>
      </c>
      <c r="D42" s="331"/>
      <c r="E42" s="331"/>
      <c r="F42" s="331" t="s">
        <v>1446</v>
      </c>
      <c r="G42" s="165" t="s">
        <v>1449</v>
      </c>
      <c r="H42" s="329"/>
      <c r="I42" s="276"/>
      <c r="J42" s="276"/>
      <c r="K42" s="276"/>
      <c r="L42" s="276"/>
      <c r="M42" s="276"/>
      <c r="N42" s="276">
        <v>1</v>
      </c>
      <c r="O42" s="341">
        <v>43354</v>
      </c>
      <c r="P42" s="345">
        <f t="shared" si="1"/>
        <v>1</v>
      </c>
      <c r="Q42" s="277"/>
      <c r="R42" s="277"/>
      <c r="S42" s="277"/>
      <c r="T42" s="277"/>
      <c r="U42" s="277"/>
      <c r="V42" s="277"/>
      <c r="W42" s="277"/>
      <c r="X42" s="273"/>
      <c r="Y42" s="346">
        <f t="shared" si="2"/>
        <v>0</v>
      </c>
      <c r="Z42" s="165"/>
      <c r="AA42" s="165"/>
      <c r="AB42" s="165"/>
      <c r="AC42" s="165"/>
      <c r="AD42" s="165"/>
      <c r="AE42" s="165"/>
      <c r="AF42" s="165"/>
      <c r="AG42" s="277"/>
      <c r="AH42" s="346">
        <f t="shared" si="4"/>
        <v>0</v>
      </c>
      <c r="AI42" s="165"/>
      <c r="AJ42" s="11" t="s">
        <v>1527</v>
      </c>
      <c r="AK42" s="277"/>
      <c r="AL42" s="11"/>
      <c r="AM42" s="11"/>
      <c r="AN42" s="277"/>
      <c r="AO42" s="277"/>
      <c r="AP42" s="277"/>
      <c r="AQ42" s="277"/>
      <c r="AR42" s="338"/>
      <c r="AS42" s="275"/>
      <c r="AT42" s="305"/>
    </row>
    <row r="43" spans="1:132" s="88" customFormat="1" ht="12.75" x14ac:dyDescent="0.2">
      <c r="A43" s="271"/>
      <c r="B43" s="331" t="s">
        <v>1514</v>
      </c>
      <c r="C43" s="331" t="s">
        <v>1513</v>
      </c>
      <c r="D43" s="331"/>
      <c r="E43" s="331"/>
      <c r="F43" s="331" t="s">
        <v>1446</v>
      </c>
      <c r="G43" s="331" t="s">
        <v>1449</v>
      </c>
      <c r="H43" s="329"/>
      <c r="I43" s="276"/>
      <c r="J43" s="276"/>
      <c r="K43" s="276"/>
      <c r="L43" s="276"/>
      <c r="M43" s="276"/>
      <c r="N43" s="276">
        <v>1</v>
      </c>
      <c r="O43" s="341">
        <v>43242</v>
      </c>
      <c r="P43" s="345">
        <f t="shared" si="1"/>
        <v>1</v>
      </c>
      <c r="Q43" s="277"/>
      <c r="R43" s="277"/>
      <c r="S43" s="277"/>
      <c r="T43" s="277"/>
      <c r="U43" s="277"/>
      <c r="V43" s="277"/>
      <c r="W43" s="11"/>
      <c r="X43" s="273"/>
      <c r="Y43" s="346">
        <f t="shared" si="2"/>
        <v>0</v>
      </c>
      <c r="Z43" s="165"/>
      <c r="AA43" s="165"/>
      <c r="AB43" s="165"/>
      <c r="AC43" s="165"/>
      <c r="AD43" s="165"/>
      <c r="AE43" s="165"/>
      <c r="AF43" s="165"/>
      <c r="AG43" s="277"/>
      <c r="AH43" s="346">
        <f t="shared" si="4"/>
        <v>0</v>
      </c>
      <c r="AI43" s="165"/>
      <c r="AJ43" s="11" t="s">
        <v>1527</v>
      </c>
      <c r="AK43" s="277"/>
      <c r="AL43" s="11"/>
      <c r="AM43" s="11"/>
      <c r="AN43" s="277"/>
      <c r="AO43" s="277"/>
      <c r="AP43" s="277"/>
      <c r="AQ43" s="277"/>
      <c r="AR43" s="338"/>
      <c r="AS43" s="275"/>
      <c r="AT43" s="305"/>
    </row>
    <row r="44" spans="1:132" s="88" customFormat="1" ht="12.75" x14ac:dyDescent="0.2">
      <c r="A44" s="271"/>
      <c r="B44" s="331" t="s">
        <v>1418</v>
      </c>
      <c r="C44" s="331" t="s">
        <v>1515</v>
      </c>
      <c r="D44" s="331"/>
      <c r="E44" s="331"/>
      <c r="F44" s="331" t="s">
        <v>1446</v>
      </c>
      <c r="G44" s="331" t="s">
        <v>1449</v>
      </c>
      <c r="H44" s="329"/>
      <c r="I44" s="276"/>
      <c r="J44" s="276"/>
      <c r="K44" s="276"/>
      <c r="L44" s="276"/>
      <c r="M44" s="276"/>
      <c r="N44" s="276">
        <v>1</v>
      </c>
      <c r="O44" s="365">
        <v>43164</v>
      </c>
      <c r="P44" s="345">
        <f t="shared" si="1"/>
        <v>1</v>
      </c>
      <c r="Q44" s="277"/>
      <c r="R44" s="277"/>
      <c r="S44" s="277"/>
      <c r="T44" s="277"/>
      <c r="U44" s="277"/>
      <c r="V44" s="277"/>
      <c r="W44" s="277">
        <v>1</v>
      </c>
      <c r="X44" s="273">
        <v>43237</v>
      </c>
      <c r="Y44" s="346">
        <f t="shared" si="2"/>
        <v>1</v>
      </c>
      <c r="Z44" s="165"/>
      <c r="AA44" s="165"/>
      <c r="AB44" s="165"/>
      <c r="AC44" s="165"/>
      <c r="AD44" s="165"/>
      <c r="AE44" s="165"/>
      <c r="AF44" s="165"/>
      <c r="AG44" s="277"/>
      <c r="AH44" s="346">
        <f t="shared" si="4"/>
        <v>0</v>
      </c>
      <c r="AI44" s="165"/>
      <c r="AJ44" s="11" t="s">
        <v>1527</v>
      </c>
      <c r="AK44" s="277"/>
      <c r="AL44" s="11"/>
      <c r="AM44" s="11"/>
      <c r="AN44" s="277"/>
      <c r="AO44" s="277"/>
      <c r="AP44" s="277"/>
      <c r="AQ44" s="277"/>
      <c r="AR44" s="338"/>
      <c r="AS44" s="275"/>
      <c r="AT44" s="305"/>
    </row>
    <row r="45" spans="1:132" s="88" customFormat="1" ht="12.75" x14ac:dyDescent="0.2">
      <c r="A45" s="271"/>
      <c r="B45" s="331" t="s">
        <v>1411</v>
      </c>
      <c r="C45" s="331" t="s">
        <v>1516</v>
      </c>
      <c r="D45" s="331"/>
      <c r="E45" s="331"/>
      <c r="F45" s="331" t="s">
        <v>1446</v>
      </c>
      <c r="G45" s="331" t="s">
        <v>1449</v>
      </c>
      <c r="H45" s="329"/>
      <c r="I45" s="276"/>
      <c r="J45" s="276"/>
      <c r="K45" s="276"/>
      <c r="L45" s="276"/>
      <c r="M45" s="276"/>
      <c r="N45" s="276">
        <v>1</v>
      </c>
      <c r="O45" s="341">
        <v>43164</v>
      </c>
      <c r="P45" s="345">
        <f t="shared" si="1"/>
        <v>1</v>
      </c>
      <c r="Q45" s="277"/>
      <c r="R45" s="277"/>
      <c r="S45" s="277"/>
      <c r="T45" s="277"/>
      <c r="U45" s="277"/>
      <c r="V45" s="277"/>
      <c r="W45" s="277">
        <v>1</v>
      </c>
      <c r="X45" s="273">
        <v>43237</v>
      </c>
      <c r="Y45" s="346">
        <f t="shared" si="2"/>
        <v>1</v>
      </c>
      <c r="Z45" s="165"/>
      <c r="AA45" s="165"/>
      <c r="AB45" s="165"/>
      <c r="AC45" s="165"/>
      <c r="AD45" s="165"/>
      <c r="AE45" s="165"/>
      <c r="AF45" s="165"/>
      <c r="AG45" s="277"/>
      <c r="AH45" s="346">
        <f t="shared" si="4"/>
        <v>0</v>
      </c>
      <c r="AI45" s="165"/>
      <c r="AJ45" s="11" t="s">
        <v>1527</v>
      </c>
      <c r="AK45" s="277"/>
      <c r="AL45" s="11"/>
      <c r="AM45" s="11"/>
      <c r="AN45" s="277"/>
      <c r="AO45" s="277"/>
      <c r="AP45" s="277"/>
      <c r="AQ45" s="277"/>
      <c r="AR45" s="338"/>
      <c r="AS45" s="275"/>
      <c r="AT45" s="305"/>
    </row>
    <row r="46" spans="1:132" s="88" customFormat="1" ht="12.75" x14ac:dyDescent="0.2">
      <c r="A46" s="271"/>
      <c r="B46" s="331" t="s">
        <v>1404</v>
      </c>
      <c r="C46" s="331" t="s">
        <v>1517</v>
      </c>
      <c r="D46" s="331"/>
      <c r="E46" s="331"/>
      <c r="F46" s="331" t="s">
        <v>1446</v>
      </c>
      <c r="G46" s="331" t="s">
        <v>1449</v>
      </c>
      <c r="H46" s="329"/>
      <c r="I46" s="276"/>
      <c r="J46" s="276"/>
      <c r="K46" s="276"/>
      <c r="L46" s="276"/>
      <c r="M46" s="276"/>
      <c r="N46" s="276">
        <v>1</v>
      </c>
      <c r="O46" s="341">
        <v>43164</v>
      </c>
      <c r="P46" s="345">
        <f t="shared" si="1"/>
        <v>1</v>
      </c>
      <c r="Q46" s="277"/>
      <c r="R46" s="277"/>
      <c r="S46" s="277"/>
      <c r="T46" s="277"/>
      <c r="U46" s="277"/>
      <c r="V46" s="277"/>
      <c r="W46" s="277">
        <v>1</v>
      </c>
      <c r="X46" s="273">
        <v>43237</v>
      </c>
      <c r="Y46" s="346">
        <f t="shared" si="2"/>
        <v>1</v>
      </c>
      <c r="Z46" s="165"/>
      <c r="AA46" s="165"/>
      <c r="AB46" s="165"/>
      <c r="AC46" s="165"/>
      <c r="AD46" s="165"/>
      <c r="AE46" s="165"/>
      <c r="AF46" s="165"/>
      <c r="AG46" s="277"/>
      <c r="AH46" s="346">
        <f t="shared" si="4"/>
        <v>0</v>
      </c>
      <c r="AI46" s="165"/>
      <c r="AJ46" s="11" t="s">
        <v>1527</v>
      </c>
      <c r="AK46" s="277"/>
      <c r="AL46" s="11"/>
      <c r="AM46" s="11"/>
      <c r="AN46" s="277"/>
      <c r="AO46" s="277"/>
      <c r="AP46" s="277"/>
      <c r="AQ46" s="277"/>
      <c r="AR46" s="338"/>
      <c r="AS46" s="275"/>
      <c r="AT46" s="305"/>
    </row>
    <row r="47" spans="1:132" s="88" customFormat="1" ht="12.75" x14ac:dyDescent="0.2">
      <c r="A47" s="271"/>
      <c r="B47" s="331" t="s">
        <v>1410</v>
      </c>
      <c r="C47" s="331" t="s">
        <v>1518</v>
      </c>
      <c r="D47" s="331"/>
      <c r="E47" s="331"/>
      <c r="F47" s="331" t="s">
        <v>1446</v>
      </c>
      <c r="G47" s="331" t="s">
        <v>1449</v>
      </c>
      <c r="H47" s="329"/>
      <c r="I47" s="276"/>
      <c r="J47" s="276"/>
      <c r="K47" s="276"/>
      <c r="L47" s="276"/>
      <c r="M47" s="276"/>
      <c r="N47" s="276">
        <v>1</v>
      </c>
      <c r="O47" s="341">
        <v>43164</v>
      </c>
      <c r="P47" s="345">
        <f t="shared" si="1"/>
        <v>1</v>
      </c>
      <c r="Q47" s="277"/>
      <c r="R47" s="277"/>
      <c r="S47" s="277"/>
      <c r="T47" s="277"/>
      <c r="U47" s="277"/>
      <c r="V47" s="277"/>
      <c r="W47" s="277">
        <v>1</v>
      </c>
      <c r="X47" s="273">
        <v>43237</v>
      </c>
      <c r="Y47" s="346">
        <f t="shared" si="2"/>
        <v>1</v>
      </c>
      <c r="Z47" s="165"/>
      <c r="AA47" s="165"/>
      <c r="AB47" s="165"/>
      <c r="AC47" s="165"/>
      <c r="AD47" s="165"/>
      <c r="AE47" s="165"/>
      <c r="AF47" s="165"/>
      <c r="AG47" s="277"/>
      <c r="AH47" s="346">
        <f t="shared" si="4"/>
        <v>0</v>
      </c>
      <c r="AI47" s="165"/>
      <c r="AJ47" s="11" t="s">
        <v>1527</v>
      </c>
      <c r="AK47" s="277"/>
      <c r="AL47" s="11"/>
      <c r="AM47" s="11"/>
      <c r="AN47" s="277"/>
      <c r="AO47" s="277"/>
      <c r="AP47" s="277"/>
      <c r="AQ47" s="277"/>
      <c r="AR47" s="338"/>
      <c r="AS47" s="275"/>
      <c r="AT47" s="305"/>
    </row>
    <row r="48" spans="1:132" s="262" customFormat="1" x14ac:dyDescent="0.2">
      <c r="A48" s="271"/>
      <c r="B48" s="331" t="s">
        <v>1412</v>
      </c>
      <c r="C48" s="331" t="s">
        <v>1519</v>
      </c>
      <c r="D48" s="331"/>
      <c r="E48" s="331"/>
      <c r="F48" s="331" t="s">
        <v>1446</v>
      </c>
      <c r="G48" s="331" t="s">
        <v>1449</v>
      </c>
      <c r="H48" s="329"/>
      <c r="I48" s="276"/>
      <c r="J48" s="276"/>
      <c r="K48" s="276"/>
      <c r="L48" s="276"/>
      <c r="M48" s="276"/>
      <c r="N48" s="276">
        <v>1</v>
      </c>
      <c r="O48" s="341">
        <v>43164</v>
      </c>
      <c r="P48" s="345">
        <f t="shared" si="1"/>
        <v>1</v>
      </c>
      <c r="Q48" s="277"/>
      <c r="R48" s="277"/>
      <c r="S48" s="277"/>
      <c r="T48" s="277"/>
      <c r="U48" s="277"/>
      <c r="V48" s="277"/>
      <c r="W48" s="277">
        <v>1</v>
      </c>
      <c r="X48" s="273">
        <v>43237</v>
      </c>
      <c r="Y48" s="346">
        <f t="shared" si="2"/>
        <v>1</v>
      </c>
      <c r="Z48" s="165"/>
      <c r="AA48" s="165"/>
      <c r="AB48" s="165"/>
      <c r="AC48" s="165"/>
      <c r="AD48" s="165"/>
      <c r="AE48" s="165"/>
      <c r="AF48" s="165"/>
      <c r="AG48" s="277"/>
      <c r="AH48" s="346">
        <f t="shared" si="4"/>
        <v>0</v>
      </c>
      <c r="AI48" s="165"/>
      <c r="AJ48" s="11" t="s">
        <v>1527</v>
      </c>
      <c r="AK48" s="277"/>
      <c r="AL48" s="11"/>
      <c r="AM48" s="11"/>
      <c r="AN48" s="277"/>
      <c r="AO48" s="277"/>
      <c r="AP48" s="277"/>
      <c r="AQ48" s="277"/>
      <c r="AR48" s="338"/>
      <c r="AS48" s="275"/>
      <c r="AT48" s="306"/>
    </row>
    <row r="49" spans="1:46" s="262" customFormat="1" x14ac:dyDescent="0.2">
      <c r="A49" s="271"/>
      <c r="B49" s="331" t="s">
        <v>1417</v>
      </c>
      <c r="C49" s="331" t="s">
        <v>1520</v>
      </c>
      <c r="D49" s="331"/>
      <c r="E49" s="331"/>
      <c r="F49" s="331" t="s">
        <v>1446</v>
      </c>
      <c r="G49" s="331" t="s">
        <v>1449</v>
      </c>
      <c r="H49" s="329"/>
      <c r="I49" s="276"/>
      <c r="J49" s="276"/>
      <c r="K49" s="276"/>
      <c r="L49" s="276"/>
      <c r="M49" s="276"/>
      <c r="N49" s="276">
        <v>1</v>
      </c>
      <c r="O49" s="341">
        <v>43164</v>
      </c>
      <c r="P49" s="345">
        <f t="shared" si="1"/>
        <v>1</v>
      </c>
      <c r="Q49" s="277"/>
      <c r="R49" s="277"/>
      <c r="S49" s="277"/>
      <c r="T49" s="277"/>
      <c r="U49" s="277"/>
      <c r="V49" s="277"/>
      <c r="W49" s="277">
        <v>1</v>
      </c>
      <c r="X49" s="273">
        <v>43237</v>
      </c>
      <c r="Y49" s="346">
        <f t="shared" si="2"/>
        <v>1</v>
      </c>
      <c r="Z49" s="165"/>
      <c r="AA49" s="165"/>
      <c r="AB49" s="165"/>
      <c r="AC49" s="165"/>
      <c r="AD49" s="165"/>
      <c r="AE49" s="165"/>
      <c r="AF49" s="165"/>
      <c r="AG49" s="277"/>
      <c r="AH49" s="346">
        <f t="shared" si="4"/>
        <v>0</v>
      </c>
      <c r="AI49" s="165"/>
      <c r="AJ49" s="11" t="s">
        <v>1527</v>
      </c>
      <c r="AK49" s="277"/>
      <c r="AL49" s="11"/>
      <c r="AM49" s="11"/>
      <c r="AN49" s="277"/>
      <c r="AO49" s="277"/>
      <c r="AP49" s="277"/>
      <c r="AQ49" s="277"/>
      <c r="AR49" s="338"/>
      <c r="AS49" s="275"/>
      <c r="AT49" s="306"/>
    </row>
    <row r="50" spans="1:46" s="87" customFormat="1" ht="15.75" x14ac:dyDescent="0.25">
      <c r="A50" s="271"/>
      <c r="B50" s="331" t="s">
        <v>1413</v>
      </c>
      <c r="C50" s="331" t="s">
        <v>1521</v>
      </c>
      <c r="D50" s="331"/>
      <c r="E50" s="331"/>
      <c r="F50" s="331" t="s">
        <v>1446</v>
      </c>
      <c r="G50" s="331" t="s">
        <v>1449</v>
      </c>
      <c r="H50" s="329"/>
      <c r="I50" s="334"/>
      <c r="J50" s="334"/>
      <c r="K50" s="334"/>
      <c r="L50" s="334"/>
      <c r="M50" s="334"/>
      <c r="N50" s="276">
        <v>1</v>
      </c>
      <c r="O50" s="341">
        <v>43164</v>
      </c>
      <c r="P50" s="345">
        <f t="shared" si="1"/>
        <v>1</v>
      </c>
      <c r="Q50" s="333"/>
      <c r="R50" s="333"/>
      <c r="S50" s="333"/>
      <c r="T50" s="333"/>
      <c r="U50" s="333"/>
      <c r="V50" s="333"/>
      <c r="W50" s="277">
        <v>1</v>
      </c>
      <c r="X50" s="273">
        <v>43237</v>
      </c>
      <c r="Y50" s="346">
        <f t="shared" si="2"/>
        <v>1</v>
      </c>
      <c r="Z50" s="335"/>
      <c r="AA50" s="335"/>
      <c r="AB50" s="335"/>
      <c r="AC50" s="335"/>
      <c r="AD50" s="335"/>
      <c r="AE50" s="335"/>
      <c r="AF50" s="335"/>
      <c r="AG50" s="333"/>
      <c r="AH50" s="346">
        <f t="shared" si="4"/>
        <v>0</v>
      </c>
      <c r="AI50" s="335"/>
      <c r="AJ50" s="11" t="s">
        <v>1527</v>
      </c>
      <c r="AK50" s="333"/>
      <c r="AL50" s="11"/>
      <c r="AM50" s="11"/>
      <c r="AN50" s="333"/>
      <c r="AO50" s="333"/>
      <c r="AP50" s="333"/>
      <c r="AQ50" s="333"/>
      <c r="AR50" s="336"/>
      <c r="AS50" s="337"/>
      <c r="AT50" s="123"/>
    </row>
    <row r="51" spans="1:46" s="87" customFormat="1" ht="15.75" x14ac:dyDescent="0.25">
      <c r="A51" s="271"/>
      <c r="B51" s="331" t="s">
        <v>1415</v>
      </c>
      <c r="C51" s="331" t="s">
        <v>1522</v>
      </c>
      <c r="D51" s="331"/>
      <c r="E51" s="331"/>
      <c r="F51" s="331" t="s">
        <v>1446</v>
      </c>
      <c r="G51" s="331" t="s">
        <v>1449</v>
      </c>
      <c r="H51" s="329"/>
      <c r="I51" s="334"/>
      <c r="J51" s="334"/>
      <c r="K51" s="334"/>
      <c r="L51" s="334"/>
      <c r="M51" s="334"/>
      <c r="N51" s="276">
        <v>1</v>
      </c>
      <c r="O51" s="341">
        <v>43164</v>
      </c>
      <c r="P51" s="345">
        <f t="shared" si="1"/>
        <v>1</v>
      </c>
      <c r="Q51" s="333"/>
      <c r="R51" s="333"/>
      <c r="S51" s="333"/>
      <c r="T51" s="333"/>
      <c r="U51" s="333"/>
      <c r="V51" s="333"/>
      <c r="W51" s="277">
        <v>1</v>
      </c>
      <c r="X51" s="273">
        <v>43237</v>
      </c>
      <c r="Y51" s="346">
        <f t="shared" si="2"/>
        <v>1</v>
      </c>
      <c r="Z51" s="335"/>
      <c r="AA51" s="335"/>
      <c r="AB51" s="335"/>
      <c r="AC51" s="335"/>
      <c r="AD51" s="335"/>
      <c r="AE51" s="335"/>
      <c r="AF51" s="335"/>
      <c r="AG51" s="333"/>
      <c r="AH51" s="346">
        <f t="shared" si="4"/>
        <v>0</v>
      </c>
      <c r="AI51" s="335"/>
      <c r="AJ51" s="11" t="s">
        <v>1527</v>
      </c>
      <c r="AK51" s="333"/>
      <c r="AL51" s="11"/>
      <c r="AM51" s="11"/>
      <c r="AN51" s="333"/>
      <c r="AO51" s="333"/>
      <c r="AP51" s="333"/>
      <c r="AQ51" s="333"/>
      <c r="AR51" s="336"/>
      <c r="AS51" s="337"/>
      <c r="AT51" s="123"/>
    </row>
    <row r="52" spans="1:46" s="262" customFormat="1" x14ac:dyDescent="0.2">
      <c r="A52" s="271"/>
      <c r="B52" s="331" t="s">
        <v>1414</v>
      </c>
      <c r="C52" s="331" t="s">
        <v>1523</v>
      </c>
      <c r="D52" s="331"/>
      <c r="E52" s="331"/>
      <c r="F52" s="331" t="s">
        <v>1446</v>
      </c>
      <c r="G52" s="331" t="s">
        <v>1449</v>
      </c>
      <c r="H52" s="362"/>
      <c r="I52" s="276"/>
      <c r="J52" s="276"/>
      <c r="K52" s="276"/>
      <c r="L52" s="276"/>
      <c r="M52" s="276"/>
      <c r="N52" s="276">
        <v>1</v>
      </c>
      <c r="O52" s="341">
        <v>43164</v>
      </c>
      <c r="P52" s="345">
        <f t="shared" si="1"/>
        <v>1</v>
      </c>
      <c r="Q52" s="277"/>
      <c r="R52" s="277"/>
      <c r="S52" s="277"/>
      <c r="T52" s="277"/>
      <c r="U52" s="277"/>
      <c r="V52" s="277"/>
      <c r="W52" s="277">
        <v>1</v>
      </c>
      <c r="X52" s="273">
        <v>43237</v>
      </c>
      <c r="Y52" s="346">
        <f t="shared" si="2"/>
        <v>1</v>
      </c>
      <c r="Z52" s="165"/>
      <c r="AA52" s="165"/>
      <c r="AB52" s="165"/>
      <c r="AC52" s="165"/>
      <c r="AD52" s="165"/>
      <c r="AE52" s="165"/>
      <c r="AF52" s="165"/>
      <c r="AG52" s="277"/>
      <c r="AH52" s="346">
        <f t="shared" si="4"/>
        <v>0</v>
      </c>
      <c r="AI52" s="165"/>
      <c r="AJ52" s="11" t="s">
        <v>1527</v>
      </c>
      <c r="AK52" s="277"/>
      <c r="AL52" s="11"/>
      <c r="AM52" s="11"/>
      <c r="AN52" s="277"/>
      <c r="AO52" s="277"/>
      <c r="AP52" s="277"/>
      <c r="AQ52" s="277"/>
      <c r="AR52" s="338"/>
      <c r="AS52" s="275"/>
      <c r="AT52" s="306"/>
    </row>
    <row r="53" spans="1:46" s="89" customFormat="1" ht="12.75" x14ac:dyDescent="0.2">
      <c r="A53" s="271"/>
      <c r="B53" s="276" t="s">
        <v>1419</v>
      </c>
      <c r="C53" s="276" t="s">
        <v>1524</v>
      </c>
      <c r="D53" s="276"/>
      <c r="E53" s="276"/>
      <c r="F53" s="331" t="s">
        <v>1446</v>
      </c>
      <c r="G53" s="331" t="s">
        <v>1449</v>
      </c>
      <c r="H53" s="334"/>
      <c r="I53" s="334"/>
      <c r="J53" s="334"/>
      <c r="K53" s="334"/>
      <c r="L53" s="334"/>
      <c r="M53" s="334"/>
      <c r="N53" s="276">
        <v>1</v>
      </c>
      <c r="O53" s="341">
        <v>43164</v>
      </c>
      <c r="P53" s="345">
        <f t="shared" si="1"/>
        <v>1</v>
      </c>
      <c r="Q53" s="333"/>
      <c r="R53" s="333"/>
      <c r="S53" s="333"/>
      <c r="T53" s="333"/>
      <c r="U53" s="333"/>
      <c r="V53" s="333"/>
      <c r="W53" s="277">
        <v>1</v>
      </c>
      <c r="X53" s="273">
        <v>43237</v>
      </c>
      <c r="Y53" s="346">
        <f t="shared" si="2"/>
        <v>1</v>
      </c>
      <c r="Z53" s="335"/>
      <c r="AA53" s="335"/>
      <c r="AB53" s="335"/>
      <c r="AC53" s="335"/>
      <c r="AD53" s="335"/>
      <c r="AE53" s="335"/>
      <c r="AF53" s="335"/>
      <c r="AG53" s="333"/>
      <c r="AH53" s="346">
        <f t="shared" si="4"/>
        <v>0</v>
      </c>
      <c r="AI53" s="335"/>
      <c r="AJ53" s="11" t="s">
        <v>1527</v>
      </c>
      <c r="AK53" s="333"/>
      <c r="AL53" s="11"/>
      <c r="AM53" s="11"/>
      <c r="AN53" s="333"/>
      <c r="AO53" s="333"/>
      <c r="AP53" s="333"/>
      <c r="AQ53" s="333"/>
      <c r="AR53" s="336"/>
      <c r="AS53" s="337"/>
      <c r="AT53" s="307"/>
    </row>
    <row r="54" spans="1:46" s="89" customFormat="1" ht="12.75" x14ac:dyDescent="0.2">
      <c r="A54" s="271"/>
      <c r="B54" s="276" t="s">
        <v>1408</v>
      </c>
      <c r="C54" s="276" t="s">
        <v>1525</v>
      </c>
      <c r="D54" s="276"/>
      <c r="E54" s="276"/>
      <c r="F54" s="165" t="s">
        <v>1448</v>
      </c>
      <c r="G54" s="276" t="s">
        <v>1449</v>
      </c>
      <c r="H54" s="334"/>
      <c r="I54" s="334"/>
      <c r="J54" s="334"/>
      <c r="K54" s="334"/>
      <c r="L54" s="334"/>
      <c r="M54" s="276">
        <v>1</v>
      </c>
      <c r="N54" s="276">
        <v>1</v>
      </c>
      <c r="O54" s="341">
        <v>43209</v>
      </c>
      <c r="P54" s="345">
        <f t="shared" si="1"/>
        <v>2</v>
      </c>
      <c r="Q54" s="333"/>
      <c r="R54" s="333"/>
      <c r="S54" s="333"/>
      <c r="T54" s="333"/>
      <c r="U54" s="333"/>
      <c r="V54" s="277">
        <v>1</v>
      </c>
      <c r="W54" s="277">
        <v>1</v>
      </c>
      <c r="X54" s="273">
        <v>43306</v>
      </c>
      <c r="Y54" s="346">
        <f t="shared" si="2"/>
        <v>2</v>
      </c>
      <c r="Z54" s="335"/>
      <c r="AA54" s="335"/>
      <c r="AB54" s="335"/>
      <c r="AC54" s="335"/>
      <c r="AD54" s="335"/>
      <c r="AE54" s="335"/>
      <c r="AF54" s="335"/>
      <c r="AG54" s="333"/>
      <c r="AH54" s="346">
        <f t="shared" si="4"/>
        <v>0</v>
      </c>
      <c r="AI54" s="335"/>
      <c r="AJ54" s="11" t="s">
        <v>1527</v>
      </c>
      <c r="AK54" s="333"/>
      <c r="AL54" s="11"/>
      <c r="AM54" s="11"/>
      <c r="AN54" s="333"/>
      <c r="AO54" s="333"/>
      <c r="AP54" s="333"/>
      <c r="AQ54" s="333"/>
      <c r="AR54" s="336"/>
      <c r="AS54" s="337"/>
      <c r="AT54" s="307"/>
    </row>
    <row r="55" spans="1:46" s="262" customFormat="1" ht="25.5" x14ac:dyDescent="0.2">
      <c r="A55" s="271"/>
      <c r="B55" s="165" t="s">
        <v>1445</v>
      </c>
      <c r="C55" s="165" t="s">
        <v>1591</v>
      </c>
      <c r="D55" s="165"/>
      <c r="E55" s="165"/>
      <c r="F55" s="165" t="s">
        <v>1446</v>
      </c>
      <c r="G55" s="165" t="s">
        <v>1449</v>
      </c>
      <c r="H55" s="276"/>
      <c r="I55" s="276"/>
      <c r="J55" s="276"/>
      <c r="K55" s="276"/>
      <c r="L55" s="276"/>
      <c r="M55" s="276"/>
      <c r="N55" s="276"/>
      <c r="O55" s="81"/>
      <c r="P55" s="345">
        <f t="shared" si="1"/>
        <v>0</v>
      </c>
      <c r="Q55" s="277"/>
      <c r="R55" s="277"/>
      <c r="S55" s="277"/>
      <c r="T55" s="277"/>
      <c r="U55" s="277"/>
      <c r="V55" s="277"/>
      <c r="W55" s="277">
        <v>1</v>
      </c>
      <c r="X55" s="273">
        <v>43137</v>
      </c>
      <c r="Y55" s="346">
        <f t="shared" si="2"/>
        <v>1</v>
      </c>
      <c r="Z55" s="165"/>
      <c r="AA55" s="165"/>
      <c r="AB55" s="165"/>
      <c r="AC55" s="165"/>
      <c r="AD55" s="165"/>
      <c r="AE55" s="165"/>
      <c r="AF55" s="165"/>
      <c r="AG55" s="277"/>
      <c r="AH55" s="346">
        <f t="shared" si="4"/>
        <v>0</v>
      </c>
      <c r="AI55" s="165"/>
      <c r="AJ55" s="11" t="s">
        <v>1527</v>
      </c>
      <c r="AK55" s="277"/>
      <c r="AL55" s="11"/>
      <c r="AM55" s="11"/>
      <c r="AN55" s="277"/>
      <c r="AO55" s="277"/>
      <c r="AP55" s="277"/>
      <c r="AQ55" s="277"/>
      <c r="AR55" s="338"/>
      <c r="AS55" s="275"/>
      <c r="AT55" s="306"/>
    </row>
    <row r="56" spans="1:46" s="262" customFormat="1" x14ac:dyDescent="0.2">
      <c r="A56" s="271"/>
      <c r="B56" s="165" t="s">
        <v>1392</v>
      </c>
      <c r="C56" s="165" t="s">
        <v>1592</v>
      </c>
      <c r="D56" s="165"/>
      <c r="E56" s="165"/>
      <c r="F56" s="165" t="s">
        <v>1446</v>
      </c>
      <c r="G56" s="165" t="s">
        <v>1449</v>
      </c>
      <c r="H56" s="276"/>
      <c r="I56" s="276"/>
      <c r="J56" s="276"/>
      <c r="K56" s="276"/>
      <c r="L56" s="276"/>
      <c r="M56" s="276"/>
      <c r="N56" s="276"/>
      <c r="O56" s="276"/>
      <c r="P56" s="345">
        <f t="shared" si="1"/>
        <v>0</v>
      </c>
      <c r="Q56" s="277"/>
      <c r="R56" s="277"/>
      <c r="S56" s="277"/>
      <c r="T56" s="277"/>
      <c r="U56" s="277"/>
      <c r="V56" s="277"/>
      <c r="W56" s="277">
        <v>1</v>
      </c>
      <c r="X56" s="273">
        <v>43250</v>
      </c>
      <c r="Y56" s="346">
        <f t="shared" si="2"/>
        <v>1</v>
      </c>
      <c r="Z56" s="165"/>
      <c r="AA56" s="165"/>
      <c r="AB56" s="165"/>
      <c r="AC56" s="165"/>
      <c r="AD56" s="165"/>
      <c r="AE56" s="165"/>
      <c r="AF56" s="165"/>
      <c r="AG56" s="277"/>
      <c r="AH56" s="346">
        <f t="shared" si="4"/>
        <v>0</v>
      </c>
      <c r="AI56" s="165"/>
      <c r="AJ56" s="11" t="s">
        <v>1527</v>
      </c>
      <c r="AK56" s="277"/>
      <c r="AL56" s="11"/>
      <c r="AM56" s="11"/>
      <c r="AN56" s="277"/>
      <c r="AO56" s="277"/>
      <c r="AP56" s="277"/>
      <c r="AQ56" s="277"/>
      <c r="AR56" s="338"/>
      <c r="AS56" s="275"/>
      <c r="AT56" s="306"/>
    </row>
    <row r="57" spans="1:46" s="262" customFormat="1" x14ac:dyDescent="0.2">
      <c r="A57" s="271"/>
      <c r="B57" s="165" t="s">
        <v>1393</v>
      </c>
      <c r="C57" s="165" t="s">
        <v>1383</v>
      </c>
      <c r="D57" s="165"/>
      <c r="E57" s="165"/>
      <c r="F57" s="165" t="s">
        <v>1446</v>
      </c>
      <c r="G57" s="165" t="s">
        <v>1449</v>
      </c>
      <c r="H57" s="276"/>
      <c r="I57" s="276"/>
      <c r="J57" s="276"/>
      <c r="K57" s="276"/>
      <c r="L57" s="276"/>
      <c r="M57" s="276"/>
      <c r="N57" s="276"/>
      <c r="O57" s="276"/>
      <c r="P57" s="345">
        <f t="shared" si="1"/>
        <v>0</v>
      </c>
      <c r="Q57" s="277"/>
      <c r="R57" s="277"/>
      <c r="S57" s="277"/>
      <c r="T57" s="277"/>
      <c r="U57" s="277"/>
      <c r="V57" s="277"/>
      <c r="W57" s="277">
        <v>1</v>
      </c>
      <c r="X57" s="273">
        <v>43159</v>
      </c>
      <c r="Y57" s="346">
        <f t="shared" si="2"/>
        <v>1</v>
      </c>
      <c r="Z57" s="165"/>
      <c r="AA57" s="165"/>
      <c r="AB57" s="165"/>
      <c r="AC57" s="165"/>
      <c r="AD57" s="165"/>
      <c r="AE57" s="165"/>
      <c r="AF57" s="165"/>
      <c r="AG57" s="277"/>
      <c r="AH57" s="346">
        <f t="shared" si="4"/>
        <v>0</v>
      </c>
      <c r="AI57" s="165"/>
      <c r="AJ57" s="11" t="s">
        <v>1527</v>
      </c>
      <c r="AK57" s="277"/>
      <c r="AL57" s="11"/>
      <c r="AM57" s="11"/>
      <c r="AN57" s="277"/>
      <c r="AO57" s="277"/>
      <c r="AP57" s="277"/>
      <c r="AQ57" s="277"/>
      <c r="AR57" s="338"/>
      <c r="AS57" s="275"/>
      <c r="AT57" s="306"/>
    </row>
    <row r="58" spans="1:46" s="262" customFormat="1" x14ac:dyDescent="0.2">
      <c r="A58" s="271"/>
      <c r="B58" s="165" t="s">
        <v>1394</v>
      </c>
      <c r="C58" s="165" t="s">
        <v>1384</v>
      </c>
      <c r="D58" s="165"/>
      <c r="E58" s="165"/>
      <c r="F58" s="165" t="s">
        <v>1446</v>
      </c>
      <c r="G58" s="165" t="s">
        <v>1449</v>
      </c>
      <c r="H58" s="276"/>
      <c r="I58" s="276"/>
      <c r="J58" s="276"/>
      <c r="K58" s="276"/>
      <c r="L58" s="276"/>
      <c r="M58" s="276"/>
      <c r="N58" s="276"/>
      <c r="O58" s="276"/>
      <c r="P58" s="345">
        <f t="shared" si="1"/>
        <v>0</v>
      </c>
      <c r="Q58" s="277"/>
      <c r="R58" s="277"/>
      <c r="S58" s="277"/>
      <c r="T58" s="277"/>
      <c r="U58" s="277"/>
      <c r="V58" s="277"/>
      <c r="W58" s="277">
        <v>1</v>
      </c>
      <c r="X58" s="273">
        <v>43270</v>
      </c>
      <c r="Y58" s="346">
        <f t="shared" si="2"/>
        <v>1</v>
      </c>
      <c r="Z58" s="165"/>
      <c r="AA58" s="165"/>
      <c r="AB58" s="165"/>
      <c r="AC58" s="165"/>
      <c r="AD58" s="165"/>
      <c r="AE58" s="165"/>
      <c r="AF58" s="165"/>
      <c r="AG58" s="277"/>
      <c r="AH58" s="346">
        <f t="shared" si="4"/>
        <v>0</v>
      </c>
      <c r="AI58" s="165"/>
      <c r="AJ58" s="11" t="s">
        <v>1527</v>
      </c>
      <c r="AK58" s="277"/>
      <c r="AL58" s="11"/>
      <c r="AM58" s="11"/>
      <c r="AN58" s="277"/>
      <c r="AO58" s="277"/>
      <c r="AP58" s="277"/>
      <c r="AQ58" s="277"/>
      <c r="AR58" s="338"/>
      <c r="AS58" s="275"/>
      <c r="AT58" s="306"/>
    </row>
    <row r="59" spans="1:46" s="262" customFormat="1" x14ac:dyDescent="0.2">
      <c r="A59" s="271"/>
      <c r="B59" s="165" t="s">
        <v>1395</v>
      </c>
      <c r="C59" s="165" t="s">
        <v>1590</v>
      </c>
      <c r="D59" s="165"/>
      <c r="E59" s="165"/>
      <c r="F59" s="165" t="s">
        <v>1446</v>
      </c>
      <c r="G59" s="165" t="s">
        <v>1449</v>
      </c>
      <c r="H59" s="276"/>
      <c r="I59" s="276"/>
      <c r="J59" s="276"/>
      <c r="K59" s="276"/>
      <c r="L59" s="276"/>
      <c r="M59" s="276"/>
      <c r="N59" s="276"/>
      <c r="O59" s="276"/>
      <c r="P59" s="345">
        <f t="shared" si="1"/>
        <v>0</v>
      </c>
      <c r="Q59" s="277"/>
      <c r="R59" s="277"/>
      <c r="S59" s="277"/>
      <c r="T59" s="277"/>
      <c r="U59" s="277"/>
      <c r="V59" s="277"/>
      <c r="W59" s="277">
        <v>1</v>
      </c>
      <c r="X59" s="273">
        <v>43297</v>
      </c>
      <c r="Y59" s="346">
        <f t="shared" si="2"/>
        <v>1</v>
      </c>
      <c r="Z59" s="165"/>
      <c r="AA59" s="165"/>
      <c r="AB59" s="165"/>
      <c r="AC59" s="165"/>
      <c r="AD59" s="165"/>
      <c r="AE59" s="165"/>
      <c r="AF59" s="165"/>
      <c r="AG59" s="277"/>
      <c r="AH59" s="346">
        <f t="shared" si="4"/>
        <v>0</v>
      </c>
      <c r="AI59" s="165"/>
      <c r="AJ59" s="11" t="s">
        <v>1527</v>
      </c>
      <c r="AK59" s="277"/>
      <c r="AL59" s="11"/>
      <c r="AM59" s="11"/>
      <c r="AN59" s="277"/>
      <c r="AO59" s="277"/>
      <c r="AP59" s="277"/>
      <c r="AQ59" s="277"/>
      <c r="AR59" s="338"/>
      <c r="AS59" s="275"/>
      <c r="AT59" s="306"/>
    </row>
    <row r="60" spans="1:46" s="262" customFormat="1" x14ac:dyDescent="0.2">
      <c r="A60" s="271"/>
      <c r="B60" s="165" t="s">
        <v>1396</v>
      </c>
      <c r="C60" s="165" t="s">
        <v>1385</v>
      </c>
      <c r="D60" s="165"/>
      <c r="E60" s="165"/>
      <c r="F60" s="165" t="s">
        <v>1447</v>
      </c>
      <c r="G60" s="165" t="s">
        <v>1449</v>
      </c>
      <c r="H60" s="276"/>
      <c r="I60" s="276"/>
      <c r="J60" s="276"/>
      <c r="K60" s="276"/>
      <c r="L60" s="276"/>
      <c r="M60" s="276">
        <v>1</v>
      </c>
      <c r="N60" s="276"/>
      <c r="O60" s="341">
        <v>43102</v>
      </c>
      <c r="P60" s="345">
        <f t="shared" si="1"/>
        <v>1</v>
      </c>
      <c r="Q60" s="277"/>
      <c r="R60" s="277"/>
      <c r="S60" s="277"/>
      <c r="T60" s="277"/>
      <c r="U60" s="277"/>
      <c r="V60" s="277">
        <v>1</v>
      </c>
      <c r="W60" s="277"/>
      <c r="X60" s="273">
        <v>43144</v>
      </c>
      <c r="Y60" s="346">
        <f t="shared" si="2"/>
        <v>1</v>
      </c>
      <c r="Z60" s="165"/>
      <c r="AA60" s="165"/>
      <c r="AB60" s="165"/>
      <c r="AC60" s="165"/>
      <c r="AD60" s="165"/>
      <c r="AE60" s="165">
        <v>1</v>
      </c>
      <c r="AF60" s="165"/>
      <c r="AG60" s="363">
        <v>43312</v>
      </c>
      <c r="AH60" s="346">
        <f t="shared" si="4"/>
        <v>1</v>
      </c>
      <c r="AI60" s="165"/>
      <c r="AJ60" s="11" t="s">
        <v>1527</v>
      </c>
      <c r="AK60" s="277"/>
      <c r="AL60" s="11"/>
      <c r="AM60" s="11"/>
      <c r="AN60" s="277"/>
      <c r="AO60" s="277"/>
      <c r="AP60" s="277"/>
      <c r="AQ60" s="277"/>
      <c r="AR60" s="338"/>
      <c r="AS60" s="275"/>
      <c r="AT60" s="306"/>
    </row>
    <row r="61" spans="1:46" s="262" customFormat="1" x14ac:dyDescent="0.2">
      <c r="A61" s="271"/>
      <c r="B61" s="165" t="s">
        <v>1397</v>
      </c>
      <c r="C61" s="165" t="s">
        <v>1589</v>
      </c>
      <c r="D61" s="165"/>
      <c r="E61" s="165"/>
      <c r="F61" s="165" t="s">
        <v>1446</v>
      </c>
      <c r="G61" s="165" t="s">
        <v>1449</v>
      </c>
      <c r="H61" s="276"/>
      <c r="I61" s="276"/>
      <c r="J61" s="276"/>
      <c r="K61" s="276"/>
      <c r="L61" s="276"/>
      <c r="M61" s="276"/>
      <c r="N61" s="276"/>
      <c r="O61" s="276"/>
      <c r="P61" s="345">
        <f t="shared" si="1"/>
        <v>0</v>
      </c>
      <c r="Q61" s="277"/>
      <c r="R61" s="277"/>
      <c r="S61" s="277"/>
      <c r="T61" s="277"/>
      <c r="U61" s="277"/>
      <c r="V61" s="277"/>
      <c r="W61" s="277">
        <v>1</v>
      </c>
      <c r="X61" s="273">
        <v>43214</v>
      </c>
      <c r="Y61" s="346">
        <f t="shared" si="2"/>
        <v>1</v>
      </c>
      <c r="Z61" s="165"/>
      <c r="AA61" s="165"/>
      <c r="AB61" s="165"/>
      <c r="AC61" s="165"/>
      <c r="AD61" s="165"/>
      <c r="AE61" s="165"/>
      <c r="AF61" s="165"/>
      <c r="AG61" s="277"/>
      <c r="AH61" s="346">
        <f t="shared" si="4"/>
        <v>0</v>
      </c>
      <c r="AI61" s="165"/>
      <c r="AJ61" s="11" t="s">
        <v>1527</v>
      </c>
      <c r="AK61" s="277"/>
      <c r="AL61" s="11"/>
      <c r="AM61" s="11"/>
      <c r="AN61" s="277"/>
      <c r="AO61" s="277"/>
      <c r="AP61" s="277"/>
      <c r="AQ61" s="277"/>
      <c r="AR61" s="338"/>
      <c r="AS61" s="275"/>
      <c r="AT61" s="306"/>
    </row>
    <row r="62" spans="1:46" s="262" customFormat="1" x14ac:dyDescent="0.2">
      <c r="A62" s="271"/>
      <c r="B62" s="165" t="s">
        <v>1398</v>
      </c>
      <c r="C62" s="165" t="s">
        <v>1593</v>
      </c>
      <c r="D62" s="165"/>
      <c r="E62" s="165"/>
      <c r="F62" s="165" t="s">
        <v>1446</v>
      </c>
      <c r="G62" s="165" t="s">
        <v>1449</v>
      </c>
      <c r="H62" s="276"/>
      <c r="I62" s="276"/>
      <c r="J62" s="276"/>
      <c r="K62" s="276"/>
      <c r="L62" s="276"/>
      <c r="M62" s="276"/>
      <c r="N62" s="276"/>
      <c r="O62" s="276"/>
      <c r="P62" s="345">
        <f t="shared" si="1"/>
        <v>0</v>
      </c>
      <c r="Q62" s="277"/>
      <c r="R62" s="277"/>
      <c r="S62" s="277"/>
      <c r="T62" s="277"/>
      <c r="U62" s="277"/>
      <c r="V62" s="277"/>
      <c r="W62" s="277">
        <v>1</v>
      </c>
      <c r="X62" s="273">
        <v>43301</v>
      </c>
      <c r="Y62" s="346">
        <f t="shared" si="2"/>
        <v>1</v>
      </c>
      <c r="Z62" s="165"/>
      <c r="AA62" s="165"/>
      <c r="AB62" s="165"/>
      <c r="AC62" s="165"/>
      <c r="AD62" s="165"/>
      <c r="AE62" s="165"/>
      <c r="AF62" s="165"/>
      <c r="AG62" s="277"/>
      <c r="AH62" s="346">
        <f t="shared" si="4"/>
        <v>0</v>
      </c>
      <c r="AI62" s="165"/>
      <c r="AJ62" s="11" t="s">
        <v>1527</v>
      </c>
      <c r="AK62" s="277"/>
      <c r="AL62" s="11"/>
      <c r="AM62" s="11"/>
      <c r="AN62" s="277"/>
      <c r="AO62" s="277"/>
      <c r="AP62" s="277"/>
      <c r="AQ62" s="277"/>
      <c r="AR62" s="338"/>
      <c r="AS62" s="275"/>
      <c r="AT62" s="306"/>
    </row>
    <row r="63" spans="1:46" s="262" customFormat="1" x14ac:dyDescent="0.2">
      <c r="A63" s="271"/>
      <c r="B63" s="165" t="s">
        <v>1399</v>
      </c>
      <c r="C63" s="165" t="s">
        <v>1594</v>
      </c>
      <c r="D63" s="165"/>
      <c r="E63" s="165"/>
      <c r="F63" s="165" t="s">
        <v>1446</v>
      </c>
      <c r="G63" s="165" t="s">
        <v>1449</v>
      </c>
      <c r="H63" s="276"/>
      <c r="I63" s="276"/>
      <c r="J63" s="276"/>
      <c r="K63" s="276"/>
      <c r="L63" s="276"/>
      <c r="M63" s="276"/>
      <c r="N63" s="276"/>
      <c r="O63" s="276"/>
      <c r="P63" s="345">
        <f t="shared" si="1"/>
        <v>0</v>
      </c>
      <c r="Q63" s="277"/>
      <c r="R63" s="277"/>
      <c r="S63" s="277"/>
      <c r="T63" s="277"/>
      <c r="U63" s="277"/>
      <c r="V63" s="277"/>
      <c r="W63" s="277">
        <v>1</v>
      </c>
      <c r="X63" s="273">
        <v>43301</v>
      </c>
      <c r="Y63" s="346">
        <f t="shared" si="2"/>
        <v>1</v>
      </c>
      <c r="Z63" s="165"/>
      <c r="AA63" s="165"/>
      <c r="AB63" s="165"/>
      <c r="AC63" s="165"/>
      <c r="AD63" s="165"/>
      <c r="AE63" s="165"/>
      <c r="AF63" s="165"/>
      <c r="AG63" s="277"/>
      <c r="AH63" s="346">
        <f t="shared" si="4"/>
        <v>0</v>
      </c>
      <c r="AI63" s="165"/>
      <c r="AJ63" s="11" t="s">
        <v>1527</v>
      </c>
      <c r="AK63" s="277"/>
      <c r="AL63" s="11"/>
      <c r="AM63" s="11"/>
      <c r="AN63" s="277"/>
      <c r="AO63" s="277"/>
      <c r="AP63" s="277"/>
      <c r="AQ63" s="277"/>
      <c r="AR63" s="338"/>
      <c r="AS63" s="275"/>
      <c r="AT63" s="306"/>
    </row>
    <row r="64" spans="1:46" s="262" customFormat="1" x14ac:dyDescent="0.2">
      <c r="A64" s="271"/>
      <c r="B64" s="165" t="s">
        <v>1400</v>
      </c>
      <c r="C64" s="165" t="s">
        <v>1595</v>
      </c>
      <c r="D64" s="165"/>
      <c r="E64" s="165"/>
      <c r="F64" s="165" t="s">
        <v>1446</v>
      </c>
      <c r="G64" s="165" t="s">
        <v>1449</v>
      </c>
      <c r="H64" s="276"/>
      <c r="I64" s="276"/>
      <c r="J64" s="276"/>
      <c r="K64" s="276"/>
      <c r="L64" s="276"/>
      <c r="M64" s="276"/>
      <c r="N64" s="276"/>
      <c r="O64" s="276"/>
      <c r="P64" s="345">
        <f t="shared" si="1"/>
        <v>0</v>
      </c>
      <c r="Q64" s="277"/>
      <c r="R64" s="277"/>
      <c r="S64" s="277"/>
      <c r="T64" s="277"/>
      <c r="U64" s="277"/>
      <c r="V64" s="277"/>
      <c r="W64" s="277">
        <v>1</v>
      </c>
      <c r="X64" s="273">
        <v>43277</v>
      </c>
      <c r="Y64" s="346">
        <f t="shared" si="2"/>
        <v>1</v>
      </c>
      <c r="Z64" s="165"/>
      <c r="AA64" s="165"/>
      <c r="AB64" s="165"/>
      <c r="AC64" s="165"/>
      <c r="AD64" s="165"/>
      <c r="AE64" s="165"/>
      <c r="AF64" s="165"/>
      <c r="AG64" s="277"/>
      <c r="AH64" s="346">
        <f t="shared" si="4"/>
        <v>0</v>
      </c>
      <c r="AI64" s="165"/>
      <c r="AJ64" s="11" t="s">
        <v>1527</v>
      </c>
      <c r="AK64" s="277"/>
      <c r="AL64" s="11"/>
      <c r="AM64" s="11"/>
      <c r="AN64" s="277"/>
      <c r="AO64" s="277"/>
      <c r="AP64" s="277"/>
      <c r="AQ64" s="277"/>
      <c r="AR64" s="338"/>
      <c r="AS64" s="275"/>
      <c r="AT64" s="306"/>
    </row>
    <row r="65" spans="1:46" s="262" customFormat="1" x14ac:dyDescent="0.2">
      <c r="A65" s="271"/>
      <c r="B65" s="165" t="s">
        <v>1401</v>
      </c>
      <c r="C65" s="165" t="s">
        <v>1596</v>
      </c>
      <c r="D65" s="165"/>
      <c r="E65" s="165"/>
      <c r="F65" s="165" t="s">
        <v>1446</v>
      </c>
      <c r="G65" s="165" t="s">
        <v>1449</v>
      </c>
      <c r="H65" s="276"/>
      <c r="I65" s="276"/>
      <c r="J65" s="276"/>
      <c r="K65" s="276"/>
      <c r="L65" s="276"/>
      <c r="M65" s="276"/>
      <c r="N65" s="276"/>
      <c r="O65" s="276"/>
      <c r="P65" s="345">
        <f t="shared" si="1"/>
        <v>0</v>
      </c>
      <c r="Q65" s="277"/>
      <c r="R65" s="277"/>
      <c r="S65" s="277"/>
      <c r="T65" s="277"/>
      <c r="U65" s="277"/>
      <c r="V65" s="277"/>
      <c r="W65" s="277">
        <v>1</v>
      </c>
      <c r="X65" s="273">
        <v>43237</v>
      </c>
      <c r="Y65" s="346">
        <f t="shared" si="2"/>
        <v>1</v>
      </c>
      <c r="Z65" s="165"/>
      <c r="AA65" s="165"/>
      <c r="AB65" s="165"/>
      <c r="AC65" s="165"/>
      <c r="AD65" s="165"/>
      <c r="AE65" s="165"/>
      <c r="AF65" s="165"/>
      <c r="AG65" s="277"/>
      <c r="AH65" s="346">
        <f t="shared" si="4"/>
        <v>0</v>
      </c>
      <c r="AI65" s="165"/>
      <c r="AJ65" s="11" t="s">
        <v>1527</v>
      </c>
      <c r="AK65" s="277"/>
      <c r="AL65" s="11"/>
      <c r="AM65" s="11"/>
      <c r="AN65" s="277"/>
      <c r="AO65" s="277"/>
      <c r="AP65" s="277"/>
      <c r="AQ65" s="277"/>
      <c r="AR65" s="338"/>
      <c r="AS65" s="275"/>
      <c r="AT65" s="306"/>
    </row>
    <row r="66" spans="1:46" s="87" customFormat="1" ht="15.75" x14ac:dyDescent="0.25">
      <c r="A66" s="271"/>
      <c r="B66" s="165" t="s">
        <v>1402</v>
      </c>
      <c r="C66" s="165" t="s">
        <v>1597</v>
      </c>
      <c r="D66" s="165"/>
      <c r="E66" s="165"/>
      <c r="F66" s="165" t="s">
        <v>1446</v>
      </c>
      <c r="G66" s="165" t="s">
        <v>1449</v>
      </c>
      <c r="H66" s="334"/>
      <c r="I66" s="334"/>
      <c r="J66" s="334"/>
      <c r="K66" s="334"/>
      <c r="L66" s="334"/>
      <c r="M66" s="334"/>
      <c r="N66" s="276"/>
      <c r="O66" s="334"/>
      <c r="P66" s="345">
        <f t="shared" si="1"/>
        <v>0</v>
      </c>
      <c r="Q66" s="333"/>
      <c r="R66" s="333"/>
      <c r="S66" s="333"/>
      <c r="T66" s="333"/>
      <c r="U66" s="333"/>
      <c r="V66" s="333"/>
      <c r="W66" s="277">
        <v>1</v>
      </c>
      <c r="X66" s="273">
        <v>43301</v>
      </c>
      <c r="Y66" s="346">
        <f t="shared" si="2"/>
        <v>1</v>
      </c>
      <c r="Z66" s="335"/>
      <c r="AA66" s="335"/>
      <c r="AB66" s="335"/>
      <c r="AC66" s="335"/>
      <c r="AD66" s="335"/>
      <c r="AE66" s="335"/>
      <c r="AF66" s="335"/>
      <c r="AG66" s="333"/>
      <c r="AH66" s="346">
        <f t="shared" si="4"/>
        <v>0</v>
      </c>
      <c r="AI66" s="335"/>
      <c r="AJ66" s="11" t="s">
        <v>1527</v>
      </c>
      <c r="AK66" s="333"/>
      <c r="AL66" s="11"/>
      <c r="AM66" s="11"/>
      <c r="AN66" s="333"/>
      <c r="AO66" s="333"/>
      <c r="AP66" s="333"/>
      <c r="AQ66" s="333"/>
      <c r="AR66" s="336"/>
      <c r="AS66" s="337"/>
      <c r="AT66" s="123"/>
    </row>
    <row r="67" spans="1:46" s="87" customFormat="1" ht="15.75" x14ac:dyDescent="0.25">
      <c r="A67" s="331"/>
      <c r="B67" s="165" t="s">
        <v>1403</v>
      </c>
      <c r="C67" s="165" t="s">
        <v>1598</v>
      </c>
      <c r="D67" s="165"/>
      <c r="E67" s="165"/>
      <c r="F67" s="165" t="s">
        <v>1446</v>
      </c>
      <c r="G67" s="165" t="s">
        <v>1449</v>
      </c>
      <c r="H67" s="334"/>
      <c r="I67" s="334"/>
      <c r="J67" s="334"/>
      <c r="K67" s="334"/>
      <c r="L67" s="334"/>
      <c r="M67" s="334"/>
      <c r="N67" s="334"/>
      <c r="O67" s="334"/>
      <c r="P67" s="345">
        <f t="shared" si="1"/>
        <v>0</v>
      </c>
      <c r="Q67" s="333"/>
      <c r="R67" s="333"/>
      <c r="S67" s="333"/>
      <c r="T67" s="333"/>
      <c r="U67" s="333"/>
      <c r="V67" s="333"/>
      <c r="W67" s="277">
        <v>1</v>
      </c>
      <c r="X67" s="273">
        <v>43237</v>
      </c>
      <c r="Y67" s="346">
        <f t="shared" si="2"/>
        <v>1</v>
      </c>
      <c r="Z67" s="335"/>
      <c r="AA67" s="335"/>
      <c r="AB67" s="335"/>
      <c r="AC67" s="335"/>
      <c r="AD67" s="335"/>
      <c r="AE67" s="335"/>
      <c r="AF67" s="335"/>
      <c r="AG67" s="333"/>
      <c r="AH67" s="346">
        <f t="shared" si="4"/>
        <v>0</v>
      </c>
      <c r="AI67" s="335"/>
      <c r="AJ67" s="11" t="s">
        <v>1527</v>
      </c>
      <c r="AK67" s="333"/>
      <c r="AL67" s="11"/>
      <c r="AM67" s="11"/>
      <c r="AN67" s="333"/>
      <c r="AO67" s="333"/>
      <c r="AP67" s="333"/>
      <c r="AQ67" s="333"/>
      <c r="AR67" s="336"/>
      <c r="AS67" s="337"/>
      <c r="AT67" s="123"/>
    </row>
    <row r="68" spans="1:46" s="89" customFormat="1" ht="12.75" x14ac:dyDescent="0.2">
      <c r="A68" s="331"/>
      <c r="B68" s="165" t="s">
        <v>1405</v>
      </c>
      <c r="C68" s="165" t="s">
        <v>1599</v>
      </c>
      <c r="D68" s="165"/>
      <c r="E68" s="165"/>
      <c r="F68" s="165" t="s">
        <v>1446</v>
      </c>
      <c r="G68" s="165" t="s">
        <v>1449</v>
      </c>
      <c r="H68" s="334"/>
      <c r="I68" s="334"/>
      <c r="J68" s="334"/>
      <c r="K68" s="334"/>
      <c r="L68" s="334"/>
      <c r="M68" s="334"/>
      <c r="N68" s="334">
        <v>1</v>
      </c>
      <c r="O68" s="364">
        <v>43109</v>
      </c>
      <c r="P68" s="345">
        <f t="shared" si="1"/>
        <v>1</v>
      </c>
      <c r="Q68" s="333"/>
      <c r="R68" s="333"/>
      <c r="S68" s="333"/>
      <c r="T68" s="333"/>
      <c r="U68" s="333"/>
      <c r="V68" s="333"/>
      <c r="W68" s="277">
        <v>1</v>
      </c>
      <c r="X68" s="273">
        <v>43368</v>
      </c>
      <c r="Y68" s="346">
        <f t="shared" si="2"/>
        <v>1</v>
      </c>
      <c r="Z68" s="335"/>
      <c r="AA68" s="335"/>
      <c r="AB68" s="335"/>
      <c r="AC68" s="335"/>
      <c r="AD68" s="335"/>
      <c r="AE68" s="335"/>
      <c r="AF68" s="335"/>
      <c r="AG68" s="333"/>
      <c r="AH68" s="346">
        <f t="shared" si="4"/>
        <v>0</v>
      </c>
      <c r="AI68" s="335"/>
      <c r="AJ68" s="11" t="s">
        <v>1527</v>
      </c>
      <c r="AK68" s="333"/>
      <c r="AL68" s="11"/>
      <c r="AM68" s="11"/>
      <c r="AN68" s="333"/>
      <c r="AO68" s="333"/>
      <c r="AP68" s="333"/>
      <c r="AQ68" s="333"/>
      <c r="AR68" s="336"/>
      <c r="AS68" s="337"/>
      <c r="AT68" s="307"/>
    </row>
    <row r="69" spans="1:46" s="88" customFormat="1" ht="12.75" x14ac:dyDescent="0.2">
      <c r="A69" s="331"/>
      <c r="B69" s="165" t="s">
        <v>1409</v>
      </c>
      <c r="C69" s="165" t="s">
        <v>1600</v>
      </c>
      <c r="D69" s="165"/>
      <c r="E69" s="165"/>
      <c r="F69" s="165" t="s">
        <v>1446</v>
      </c>
      <c r="G69" s="165" t="s">
        <v>1449</v>
      </c>
      <c r="H69" s="276"/>
      <c r="I69" s="276"/>
      <c r="J69" s="276"/>
      <c r="K69" s="276"/>
      <c r="L69" s="276"/>
      <c r="M69" s="276"/>
      <c r="N69" s="276"/>
      <c r="O69" s="276"/>
      <c r="P69" s="345">
        <f t="shared" si="1"/>
        <v>0</v>
      </c>
      <c r="Q69" s="277"/>
      <c r="R69" s="277"/>
      <c r="S69" s="277"/>
      <c r="T69" s="277"/>
      <c r="U69" s="277"/>
      <c r="V69" s="277"/>
      <c r="W69" s="277">
        <v>1</v>
      </c>
      <c r="X69" s="273">
        <v>43237</v>
      </c>
      <c r="Y69" s="346">
        <f t="shared" si="2"/>
        <v>1</v>
      </c>
      <c r="Z69" s="165"/>
      <c r="AA69" s="165"/>
      <c r="AB69" s="165"/>
      <c r="AC69" s="165"/>
      <c r="AD69" s="165"/>
      <c r="AE69" s="165"/>
      <c r="AF69" s="165"/>
      <c r="AG69" s="277"/>
      <c r="AH69" s="346">
        <f t="shared" si="4"/>
        <v>0</v>
      </c>
      <c r="AI69" s="165"/>
      <c r="AJ69" s="11" t="s">
        <v>1527</v>
      </c>
      <c r="AK69" s="277"/>
      <c r="AL69" s="11"/>
      <c r="AM69" s="11"/>
      <c r="AN69" s="277"/>
      <c r="AO69" s="277"/>
      <c r="AP69" s="277"/>
      <c r="AQ69" s="277"/>
      <c r="AR69" s="338"/>
      <c r="AS69" s="275"/>
      <c r="AT69" s="305"/>
    </row>
    <row r="70" spans="1:46" s="88" customFormat="1" ht="12.75" x14ac:dyDescent="0.2">
      <c r="A70" s="331"/>
      <c r="B70" s="331" t="s">
        <v>1416</v>
      </c>
      <c r="C70" s="331" t="s">
        <v>1601</v>
      </c>
      <c r="D70" s="331"/>
      <c r="E70" s="331"/>
      <c r="F70" s="331" t="s">
        <v>1446</v>
      </c>
      <c r="G70" s="165" t="s">
        <v>1449</v>
      </c>
      <c r="H70" s="276"/>
      <c r="I70" s="276"/>
      <c r="J70" s="276"/>
      <c r="K70" s="276"/>
      <c r="L70" s="276"/>
      <c r="M70" s="276"/>
      <c r="N70" s="276"/>
      <c r="O70" s="276"/>
      <c r="P70" s="345">
        <f t="shared" si="1"/>
        <v>0</v>
      </c>
      <c r="Q70" s="277"/>
      <c r="R70" s="277"/>
      <c r="S70" s="277"/>
      <c r="T70" s="277"/>
      <c r="U70" s="277"/>
      <c r="V70" s="277"/>
      <c r="W70" s="277">
        <v>1</v>
      </c>
      <c r="X70" s="273">
        <v>43237</v>
      </c>
      <c r="Y70" s="346">
        <f t="shared" si="2"/>
        <v>1</v>
      </c>
      <c r="Z70" s="165"/>
      <c r="AA70" s="165"/>
      <c r="AB70" s="165"/>
      <c r="AC70" s="165"/>
      <c r="AD70" s="165"/>
      <c r="AE70" s="165"/>
      <c r="AF70" s="165"/>
      <c r="AG70" s="277"/>
      <c r="AH70" s="346">
        <f t="shared" si="4"/>
        <v>0</v>
      </c>
      <c r="AI70" s="165"/>
      <c r="AJ70" s="11" t="s">
        <v>1527</v>
      </c>
      <c r="AK70" s="277"/>
      <c r="AL70" s="11"/>
      <c r="AM70" s="11"/>
      <c r="AN70" s="277"/>
      <c r="AO70" s="277"/>
      <c r="AP70" s="277"/>
      <c r="AQ70" s="277"/>
      <c r="AR70" s="338"/>
      <c r="AS70" s="275"/>
      <c r="AT70" s="305"/>
    </row>
    <row r="71" spans="1:46" s="88" customFormat="1" ht="12.75" x14ac:dyDescent="0.2">
      <c r="A71" s="331"/>
      <c r="B71" s="331" t="s">
        <v>1420</v>
      </c>
      <c r="C71" s="331" t="s">
        <v>1602</v>
      </c>
      <c r="D71" s="331"/>
      <c r="E71" s="331"/>
      <c r="F71" s="331" t="s">
        <v>1447</v>
      </c>
      <c r="G71" s="165" t="s">
        <v>1449</v>
      </c>
      <c r="H71" s="276"/>
      <c r="I71" s="276"/>
      <c r="J71" s="276"/>
      <c r="K71" s="276"/>
      <c r="L71" s="276"/>
      <c r="M71" s="276">
        <v>1</v>
      </c>
      <c r="N71" s="276"/>
      <c r="O71" s="341">
        <v>43213</v>
      </c>
      <c r="P71" s="345">
        <f t="shared" si="1"/>
        <v>1</v>
      </c>
      <c r="Q71" s="277"/>
      <c r="R71" s="277"/>
      <c r="S71" s="277"/>
      <c r="T71" s="277"/>
      <c r="U71" s="277"/>
      <c r="V71" s="277">
        <v>1</v>
      </c>
      <c r="W71" s="277"/>
      <c r="X71" s="273">
        <v>43294</v>
      </c>
      <c r="Y71" s="346">
        <f t="shared" si="2"/>
        <v>1</v>
      </c>
      <c r="Z71" s="165"/>
      <c r="AA71" s="165"/>
      <c r="AB71" s="165"/>
      <c r="AC71" s="165"/>
      <c r="AD71" s="165"/>
      <c r="AE71" s="165"/>
      <c r="AF71" s="165"/>
      <c r="AG71" s="277"/>
      <c r="AH71" s="346">
        <f t="shared" si="4"/>
        <v>0</v>
      </c>
      <c r="AI71" s="165"/>
      <c r="AJ71" s="11" t="s">
        <v>1527</v>
      </c>
      <c r="AK71" s="277"/>
      <c r="AL71" s="11"/>
      <c r="AM71" s="11"/>
      <c r="AN71" s="277"/>
      <c r="AO71" s="277"/>
      <c r="AP71" s="277"/>
      <c r="AQ71" s="277"/>
      <c r="AR71" s="338"/>
      <c r="AS71" s="275"/>
      <c r="AT71" s="305"/>
    </row>
    <row r="72" spans="1:46" s="88" customFormat="1" ht="12.75" x14ac:dyDescent="0.2">
      <c r="A72" s="331"/>
      <c r="B72" s="331" t="s">
        <v>1423</v>
      </c>
      <c r="C72" s="331" t="s">
        <v>1387</v>
      </c>
      <c r="D72" s="331"/>
      <c r="E72" s="331"/>
      <c r="F72" s="331" t="s">
        <v>1447</v>
      </c>
      <c r="G72" s="165" t="s">
        <v>1449</v>
      </c>
      <c r="H72" s="276"/>
      <c r="I72" s="276"/>
      <c r="J72" s="276"/>
      <c r="K72" s="276"/>
      <c r="L72" s="276"/>
      <c r="M72" s="276">
        <v>1</v>
      </c>
      <c r="N72" s="276"/>
      <c r="O72" s="341">
        <v>43234</v>
      </c>
      <c r="P72" s="345">
        <f t="shared" si="1"/>
        <v>1</v>
      </c>
      <c r="Q72" s="277"/>
      <c r="R72" s="277"/>
      <c r="S72" s="277"/>
      <c r="T72" s="277"/>
      <c r="U72" s="277"/>
      <c r="V72" s="277">
        <v>1</v>
      </c>
      <c r="W72" s="277"/>
      <c r="X72" s="273">
        <v>43374</v>
      </c>
      <c r="Y72" s="346">
        <f t="shared" si="2"/>
        <v>1</v>
      </c>
      <c r="Z72" s="165"/>
      <c r="AA72" s="165"/>
      <c r="AB72" s="165"/>
      <c r="AC72" s="165"/>
      <c r="AD72" s="165"/>
      <c r="AE72" s="165"/>
      <c r="AF72" s="165"/>
      <c r="AG72" s="277"/>
      <c r="AH72" s="346">
        <f t="shared" si="4"/>
        <v>0</v>
      </c>
      <c r="AI72" s="165"/>
      <c r="AJ72" s="11" t="s">
        <v>1527</v>
      </c>
      <c r="AK72" s="277"/>
      <c r="AL72" s="11"/>
      <c r="AM72" s="11"/>
      <c r="AN72" s="277"/>
      <c r="AO72" s="277"/>
      <c r="AP72" s="277"/>
      <c r="AQ72" s="277"/>
      <c r="AR72" s="338"/>
      <c r="AS72" s="275"/>
      <c r="AT72" s="305"/>
    </row>
    <row r="73" spans="1:46" s="88" customFormat="1" ht="12.75" x14ac:dyDescent="0.2">
      <c r="A73" s="331"/>
      <c r="B73" s="331" t="s">
        <v>1426</v>
      </c>
      <c r="C73" s="331" t="s">
        <v>1603</v>
      </c>
      <c r="D73" s="331"/>
      <c r="E73" s="331"/>
      <c r="F73" s="331" t="s">
        <v>1446</v>
      </c>
      <c r="G73" s="165" t="s">
        <v>1449</v>
      </c>
      <c r="H73" s="276"/>
      <c r="I73" s="276"/>
      <c r="J73" s="276"/>
      <c r="K73" s="276"/>
      <c r="L73" s="276"/>
      <c r="M73" s="276"/>
      <c r="N73" s="276"/>
      <c r="O73" s="276"/>
      <c r="P73" s="345">
        <f t="shared" si="1"/>
        <v>0</v>
      </c>
      <c r="Q73" s="277"/>
      <c r="R73" s="277"/>
      <c r="S73" s="277"/>
      <c r="T73" s="277"/>
      <c r="U73" s="277"/>
      <c r="V73" s="277"/>
      <c r="W73" s="277">
        <v>1</v>
      </c>
      <c r="X73" s="273">
        <v>43410</v>
      </c>
      <c r="Y73" s="346">
        <f t="shared" si="2"/>
        <v>1</v>
      </c>
      <c r="Z73" s="165"/>
      <c r="AA73" s="165"/>
      <c r="AB73" s="165"/>
      <c r="AC73" s="165"/>
      <c r="AD73" s="165"/>
      <c r="AE73" s="165"/>
      <c r="AF73" s="165"/>
      <c r="AG73" s="277"/>
      <c r="AH73" s="346">
        <f t="shared" si="4"/>
        <v>0</v>
      </c>
      <c r="AI73" s="165"/>
      <c r="AJ73" s="11" t="s">
        <v>1527</v>
      </c>
      <c r="AK73" s="277"/>
      <c r="AL73" s="11"/>
      <c r="AM73" s="11"/>
      <c r="AN73" s="277"/>
      <c r="AO73" s="277"/>
      <c r="AP73" s="277"/>
      <c r="AQ73" s="277"/>
      <c r="AR73" s="338"/>
      <c r="AS73" s="275"/>
      <c r="AT73" s="305"/>
    </row>
    <row r="74" spans="1:46" s="88" customFormat="1" ht="12.75" x14ac:dyDescent="0.2">
      <c r="A74" s="331"/>
      <c r="B74" s="331" t="s">
        <v>1428</v>
      </c>
      <c r="C74" s="331" t="s">
        <v>1604</v>
      </c>
      <c r="D74" s="331"/>
      <c r="E74" s="331"/>
      <c r="F74" s="331" t="s">
        <v>1446</v>
      </c>
      <c r="G74" s="165" t="s">
        <v>1449</v>
      </c>
      <c r="H74" s="276"/>
      <c r="I74" s="276"/>
      <c r="J74" s="276"/>
      <c r="K74" s="276"/>
      <c r="L74" s="276"/>
      <c r="M74" s="276"/>
      <c r="N74" s="276"/>
      <c r="O74" s="276"/>
      <c r="P74" s="345">
        <f t="shared" si="1"/>
        <v>0</v>
      </c>
      <c r="Q74" s="277"/>
      <c r="R74" s="277"/>
      <c r="S74" s="277"/>
      <c r="T74" s="277"/>
      <c r="U74" s="277"/>
      <c r="V74" s="277"/>
      <c r="W74" s="277">
        <v>1</v>
      </c>
      <c r="X74" s="273">
        <v>43410</v>
      </c>
      <c r="Y74" s="346">
        <f t="shared" si="2"/>
        <v>1</v>
      </c>
      <c r="Z74" s="165"/>
      <c r="AA74" s="165"/>
      <c r="AB74" s="165"/>
      <c r="AC74" s="165"/>
      <c r="AD74" s="165"/>
      <c r="AE74" s="165"/>
      <c r="AF74" s="165"/>
      <c r="AG74" s="277"/>
      <c r="AH74" s="346">
        <f t="shared" si="4"/>
        <v>0</v>
      </c>
      <c r="AI74" s="165"/>
      <c r="AJ74" s="11" t="s">
        <v>1527</v>
      </c>
      <c r="AK74" s="277"/>
      <c r="AL74" s="11"/>
      <c r="AM74" s="11"/>
      <c r="AN74" s="277"/>
      <c r="AO74" s="277"/>
      <c r="AP74" s="277"/>
      <c r="AQ74" s="277"/>
      <c r="AR74" s="338"/>
      <c r="AS74" s="275"/>
      <c r="AT74" s="305"/>
    </row>
    <row r="75" spans="1:46" s="88" customFormat="1" ht="12.75" x14ac:dyDescent="0.2">
      <c r="A75" s="331"/>
      <c r="B75" s="331" t="s">
        <v>1429</v>
      </c>
      <c r="C75" s="331" t="s">
        <v>1605</v>
      </c>
      <c r="D75" s="331"/>
      <c r="E75" s="331"/>
      <c r="F75" s="331" t="s">
        <v>1446</v>
      </c>
      <c r="G75" s="165" t="s">
        <v>1449</v>
      </c>
      <c r="H75" s="276"/>
      <c r="I75" s="276"/>
      <c r="J75" s="276"/>
      <c r="K75" s="276"/>
      <c r="L75" s="276"/>
      <c r="M75" s="276"/>
      <c r="N75" s="276"/>
      <c r="O75" s="276"/>
      <c r="P75" s="345">
        <f t="shared" si="1"/>
        <v>0</v>
      </c>
      <c r="Q75" s="277"/>
      <c r="R75" s="277"/>
      <c r="S75" s="277"/>
      <c r="T75" s="277"/>
      <c r="U75" s="277"/>
      <c r="V75" s="277"/>
      <c r="W75" s="277">
        <v>1</v>
      </c>
      <c r="X75" s="273">
        <v>43410</v>
      </c>
      <c r="Y75" s="346">
        <f t="shared" si="2"/>
        <v>1</v>
      </c>
      <c r="Z75" s="165"/>
      <c r="AA75" s="165"/>
      <c r="AB75" s="165"/>
      <c r="AC75" s="165"/>
      <c r="AD75" s="165"/>
      <c r="AE75" s="165"/>
      <c r="AF75" s="165"/>
      <c r="AG75" s="277"/>
      <c r="AH75" s="346">
        <f t="shared" si="4"/>
        <v>0</v>
      </c>
      <c r="AI75" s="165"/>
      <c r="AJ75" s="11" t="s">
        <v>1527</v>
      </c>
      <c r="AK75" s="277"/>
      <c r="AL75" s="11"/>
      <c r="AM75" s="11"/>
      <c r="AN75" s="277"/>
      <c r="AO75" s="277"/>
      <c r="AP75" s="277"/>
      <c r="AQ75" s="277"/>
      <c r="AR75" s="338"/>
      <c r="AS75" s="275"/>
      <c r="AT75" s="305"/>
    </row>
    <row r="76" spans="1:46" s="88" customFormat="1" ht="12.75" x14ac:dyDescent="0.2">
      <c r="A76" s="331"/>
      <c r="B76" s="331" t="s">
        <v>1430</v>
      </c>
      <c r="C76" s="331" t="s">
        <v>1606</v>
      </c>
      <c r="D76" s="331"/>
      <c r="E76" s="331"/>
      <c r="F76" s="331" t="s">
        <v>1446</v>
      </c>
      <c r="G76" s="165" t="s">
        <v>1449</v>
      </c>
      <c r="H76" s="276"/>
      <c r="I76" s="276"/>
      <c r="J76" s="276"/>
      <c r="K76" s="276"/>
      <c r="L76" s="276"/>
      <c r="M76" s="276"/>
      <c r="N76" s="276"/>
      <c r="O76" s="276"/>
      <c r="P76" s="345">
        <f t="shared" si="1"/>
        <v>0</v>
      </c>
      <c r="Q76" s="277"/>
      <c r="R76" s="277"/>
      <c r="S76" s="277"/>
      <c r="T76" s="277"/>
      <c r="U76" s="277"/>
      <c r="V76" s="277"/>
      <c r="W76" s="277">
        <v>1</v>
      </c>
      <c r="X76" s="273">
        <v>43410</v>
      </c>
      <c r="Y76" s="346">
        <f t="shared" si="2"/>
        <v>1</v>
      </c>
      <c r="Z76" s="165"/>
      <c r="AA76" s="165"/>
      <c r="AB76" s="165"/>
      <c r="AC76" s="165"/>
      <c r="AD76" s="165"/>
      <c r="AE76" s="165"/>
      <c r="AF76" s="165"/>
      <c r="AG76" s="277"/>
      <c r="AH76" s="346">
        <f t="shared" si="4"/>
        <v>0</v>
      </c>
      <c r="AI76" s="165"/>
      <c r="AJ76" s="11" t="s">
        <v>1527</v>
      </c>
      <c r="AK76" s="277"/>
      <c r="AL76" s="11"/>
      <c r="AM76" s="11"/>
      <c r="AN76" s="277"/>
      <c r="AO76" s="277"/>
      <c r="AP76" s="277"/>
      <c r="AQ76" s="277"/>
      <c r="AR76" s="338"/>
      <c r="AS76" s="275"/>
      <c r="AT76" s="305"/>
    </row>
    <row r="77" spans="1:46" s="88" customFormat="1" ht="12.75" x14ac:dyDescent="0.2">
      <c r="A77" s="331"/>
      <c r="B77" s="331" t="s">
        <v>1431</v>
      </c>
      <c r="C77" s="331" t="s">
        <v>1607</v>
      </c>
      <c r="D77" s="331"/>
      <c r="E77" s="331"/>
      <c r="F77" s="331" t="s">
        <v>1446</v>
      </c>
      <c r="G77" s="165" t="s">
        <v>1449</v>
      </c>
      <c r="H77" s="276"/>
      <c r="I77" s="276"/>
      <c r="J77" s="276"/>
      <c r="K77" s="276"/>
      <c r="L77" s="276"/>
      <c r="M77" s="276"/>
      <c r="N77" s="276"/>
      <c r="O77" s="276"/>
      <c r="P77" s="345">
        <f t="shared" ref="P77:P140" si="5">SUM(H77:N77)</f>
        <v>0</v>
      </c>
      <c r="Q77" s="277"/>
      <c r="R77" s="277"/>
      <c r="S77" s="277"/>
      <c r="T77" s="277"/>
      <c r="U77" s="277"/>
      <c r="V77" s="277"/>
      <c r="W77" s="277">
        <v>1</v>
      </c>
      <c r="X77" s="273">
        <v>43410</v>
      </c>
      <c r="Y77" s="346">
        <f t="shared" ref="Y77:Y140" si="6">SUM(Q77:W77)</f>
        <v>1</v>
      </c>
      <c r="Z77" s="165"/>
      <c r="AA77" s="165"/>
      <c r="AB77" s="165"/>
      <c r="AC77" s="165"/>
      <c r="AD77" s="165"/>
      <c r="AE77" s="165"/>
      <c r="AF77" s="165"/>
      <c r="AG77" s="277"/>
      <c r="AH77" s="346">
        <f t="shared" si="4"/>
        <v>0</v>
      </c>
      <c r="AI77" s="165"/>
      <c r="AJ77" s="11" t="s">
        <v>1527</v>
      </c>
      <c r="AK77" s="277"/>
      <c r="AL77" s="11"/>
      <c r="AM77" s="11"/>
      <c r="AN77" s="277"/>
      <c r="AO77" s="277"/>
      <c r="AP77" s="277"/>
      <c r="AQ77" s="277"/>
      <c r="AR77" s="338"/>
      <c r="AS77" s="275"/>
      <c r="AT77" s="305"/>
    </row>
    <row r="78" spans="1:46" s="88" customFormat="1" ht="12.75" x14ac:dyDescent="0.2">
      <c r="A78" s="331"/>
      <c r="B78" s="331" t="s">
        <v>1432</v>
      </c>
      <c r="C78" s="331" t="s">
        <v>1608</v>
      </c>
      <c r="D78" s="331"/>
      <c r="E78" s="331"/>
      <c r="F78" s="331" t="s">
        <v>1446</v>
      </c>
      <c r="G78" s="165" t="s">
        <v>1449</v>
      </c>
      <c r="H78" s="276"/>
      <c r="I78" s="276"/>
      <c r="J78" s="276"/>
      <c r="K78" s="276"/>
      <c r="L78" s="276"/>
      <c r="M78" s="276"/>
      <c r="N78" s="276"/>
      <c r="O78" s="276"/>
      <c r="P78" s="345">
        <f t="shared" si="5"/>
        <v>0</v>
      </c>
      <c r="Q78" s="277"/>
      <c r="R78" s="277"/>
      <c r="S78" s="277"/>
      <c r="T78" s="277"/>
      <c r="U78" s="277"/>
      <c r="V78" s="277"/>
      <c r="W78" s="277">
        <v>1</v>
      </c>
      <c r="X78" s="273">
        <v>43410</v>
      </c>
      <c r="Y78" s="346">
        <f t="shared" si="6"/>
        <v>1</v>
      </c>
      <c r="Z78" s="165"/>
      <c r="AA78" s="165"/>
      <c r="AB78" s="165"/>
      <c r="AC78" s="165"/>
      <c r="AD78" s="165"/>
      <c r="AE78" s="165"/>
      <c r="AF78" s="165"/>
      <c r="AG78" s="277"/>
      <c r="AH78" s="346">
        <f t="shared" si="4"/>
        <v>0</v>
      </c>
      <c r="AI78" s="165"/>
      <c r="AJ78" s="11" t="s">
        <v>1527</v>
      </c>
      <c r="AK78" s="277"/>
      <c r="AL78" s="11"/>
      <c r="AM78" s="11"/>
      <c r="AN78" s="277"/>
      <c r="AO78" s="277"/>
      <c r="AP78" s="277"/>
      <c r="AQ78" s="277"/>
      <c r="AR78" s="338"/>
      <c r="AS78" s="275"/>
      <c r="AT78" s="305"/>
    </row>
    <row r="79" spans="1:46" s="88" customFormat="1" ht="12.75" x14ac:dyDescent="0.2">
      <c r="A79" s="331"/>
      <c r="B79" s="331" t="s">
        <v>1437</v>
      </c>
      <c r="C79" s="331" t="s">
        <v>1609</v>
      </c>
      <c r="D79" s="331"/>
      <c r="E79" s="331"/>
      <c r="F79" s="331" t="s">
        <v>1446</v>
      </c>
      <c r="G79" s="165" t="s">
        <v>1449</v>
      </c>
      <c r="H79" s="276"/>
      <c r="I79" s="276"/>
      <c r="J79" s="276"/>
      <c r="K79" s="276"/>
      <c r="L79" s="276"/>
      <c r="M79" s="276"/>
      <c r="N79" s="276"/>
      <c r="O79" s="276"/>
      <c r="P79" s="345">
        <f t="shared" si="5"/>
        <v>0</v>
      </c>
      <c r="Q79" s="277"/>
      <c r="R79" s="277"/>
      <c r="S79" s="277"/>
      <c r="T79" s="277"/>
      <c r="U79" s="277"/>
      <c r="V79" s="277"/>
      <c r="W79" s="277">
        <v>1</v>
      </c>
      <c r="X79" s="273">
        <v>43355</v>
      </c>
      <c r="Y79" s="346">
        <f t="shared" si="6"/>
        <v>1</v>
      </c>
      <c r="Z79" s="165"/>
      <c r="AA79" s="165"/>
      <c r="AB79" s="165"/>
      <c r="AC79" s="165"/>
      <c r="AD79" s="165"/>
      <c r="AE79" s="165"/>
      <c r="AF79" s="165"/>
      <c r="AG79" s="277"/>
      <c r="AH79" s="346">
        <f t="shared" si="4"/>
        <v>0</v>
      </c>
      <c r="AI79" s="165"/>
      <c r="AJ79" s="11" t="s">
        <v>1527</v>
      </c>
      <c r="AK79" s="277"/>
      <c r="AL79" s="11"/>
      <c r="AM79" s="11"/>
      <c r="AN79" s="277"/>
      <c r="AO79" s="277"/>
      <c r="AP79" s="277"/>
      <c r="AQ79" s="277"/>
      <c r="AR79" s="338"/>
      <c r="AS79" s="275"/>
      <c r="AT79" s="305"/>
    </row>
    <row r="80" spans="1:46" s="90" customFormat="1" ht="15.75" x14ac:dyDescent="0.2">
      <c r="A80" s="331"/>
      <c r="B80" s="331" t="s">
        <v>1441</v>
      </c>
      <c r="C80" s="331" t="s">
        <v>1610</v>
      </c>
      <c r="D80" s="331"/>
      <c r="E80" s="331"/>
      <c r="F80" s="331" t="s">
        <v>1446</v>
      </c>
      <c r="G80" s="165" t="s">
        <v>1449</v>
      </c>
      <c r="H80" s="340"/>
      <c r="I80" s="340"/>
      <c r="J80" s="340"/>
      <c r="K80" s="340"/>
      <c r="L80" s="340"/>
      <c r="M80" s="340"/>
      <c r="N80" s="340"/>
      <c r="O80" s="340"/>
      <c r="P80" s="345">
        <f t="shared" si="5"/>
        <v>0</v>
      </c>
      <c r="Q80" s="339"/>
      <c r="R80" s="339"/>
      <c r="S80" s="339"/>
      <c r="T80" s="339"/>
      <c r="U80" s="339"/>
      <c r="V80" s="339"/>
      <c r="W80" s="277">
        <v>1</v>
      </c>
      <c r="X80" s="273">
        <v>43355</v>
      </c>
      <c r="Y80" s="346">
        <f t="shared" si="6"/>
        <v>1</v>
      </c>
      <c r="Z80" s="335"/>
      <c r="AA80" s="335"/>
      <c r="AB80" s="335"/>
      <c r="AC80" s="335"/>
      <c r="AD80" s="335"/>
      <c r="AE80" s="335"/>
      <c r="AF80" s="335"/>
      <c r="AG80" s="339"/>
      <c r="AH80" s="346">
        <f t="shared" si="4"/>
        <v>0</v>
      </c>
      <c r="AI80" s="335"/>
      <c r="AJ80" s="11" t="s">
        <v>1527</v>
      </c>
      <c r="AK80" s="339"/>
      <c r="AL80" s="11"/>
      <c r="AM80" s="11"/>
      <c r="AN80" s="339"/>
      <c r="AO80" s="339"/>
      <c r="AP80" s="339"/>
      <c r="AQ80" s="339"/>
      <c r="AR80" s="117"/>
      <c r="AS80" s="337"/>
      <c r="AT80" s="308"/>
    </row>
    <row r="81" spans="1:46" s="90" customFormat="1" ht="15.75" x14ac:dyDescent="0.2">
      <c r="A81" s="331"/>
      <c r="B81" s="331" t="s">
        <v>1442</v>
      </c>
      <c r="C81" s="331" t="s">
        <v>1611</v>
      </c>
      <c r="D81" s="331"/>
      <c r="E81" s="331"/>
      <c r="F81" s="331" t="s">
        <v>1446</v>
      </c>
      <c r="G81" s="165" t="s">
        <v>1449</v>
      </c>
      <c r="H81" s="340"/>
      <c r="I81" s="340"/>
      <c r="J81" s="340"/>
      <c r="K81" s="340"/>
      <c r="L81" s="340"/>
      <c r="M81" s="340"/>
      <c r="N81" s="340"/>
      <c r="O81" s="340"/>
      <c r="P81" s="345">
        <f t="shared" si="5"/>
        <v>0</v>
      </c>
      <c r="Q81" s="339"/>
      <c r="R81" s="339"/>
      <c r="S81" s="339"/>
      <c r="T81" s="339"/>
      <c r="U81" s="339"/>
      <c r="V81" s="339"/>
      <c r="W81" s="277">
        <v>1</v>
      </c>
      <c r="X81" s="273">
        <v>43355</v>
      </c>
      <c r="Y81" s="346">
        <f t="shared" si="6"/>
        <v>1</v>
      </c>
      <c r="Z81" s="335"/>
      <c r="AA81" s="335"/>
      <c r="AB81" s="335"/>
      <c r="AC81" s="335"/>
      <c r="AD81" s="335"/>
      <c r="AE81" s="335"/>
      <c r="AF81" s="335"/>
      <c r="AG81" s="339"/>
      <c r="AH81" s="346">
        <f t="shared" si="4"/>
        <v>0</v>
      </c>
      <c r="AI81" s="335"/>
      <c r="AJ81" s="11" t="s">
        <v>1527</v>
      </c>
      <c r="AK81" s="339"/>
      <c r="AL81" s="11"/>
      <c r="AM81" s="11"/>
      <c r="AN81" s="339"/>
      <c r="AO81" s="339"/>
      <c r="AP81" s="339"/>
      <c r="AQ81" s="339"/>
      <c r="AR81" s="117"/>
      <c r="AS81" s="337"/>
      <c r="AT81" s="308"/>
    </row>
    <row r="82" spans="1:46" s="262" customFormat="1" x14ac:dyDescent="0.2">
      <c r="A82" s="331"/>
      <c r="B82" s="276" t="s">
        <v>1528</v>
      </c>
      <c r="C82" s="276" t="s">
        <v>1612</v>
      </c>
      <c r="D82" s="276"/>
      <c r="E82" s="276"/>
      <c r="F82" s="276" t="s">
        <v>1446</v>
      </c>
      <c r="G82" s="165" t="s">
        <v>1449</v>
      </c>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v>1</v>
      </c>
      <c r="AG82" s="363">
        <v>43123</v>
      </c>
      <c r="AH82" s="346">
        <f t="shared" si="4"/>
        <v>1</v>
      </c>
      <c r="AI82" s="165"/>
      <c r="AJ82" s="11" t="s">
        <v>1527</v>
      </c>
      <c r="AK82" s="277"/>
      <c r="AL82" s="11"/>
      <c r="AM82" s="11"/>
      <c r="AN82" s="277"/>
      <c r="AO82" s="277"/>
      <c r="AP82" s="277"/>
      <c r="AQ82" s="277"/>
      <c r="AR82" s="338"/>
      <c r="AS82" s="275"/>
      <c r="AT82" s="306"/>
    </row>
    <row r="83" spans="1:46" s="262" customFormat="1" x14ac:dyDescent="0.2">
      <c r="A83" s="331"/>
      <c r="B83" s="276" t="s">
        <v>1529</v>
      </c>
      <c r="C83" s="276" t="s">
        <v>1566</v>
      </c>
      <c r="D83" s="276"/>
      <c r="E83" s="276"/>
      <c r="F83" s="276" t="s">
        <v>1446</v>
      </c>
      <c r="G83" s="165" t="s">
        <v>1449</v>
      </c>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v>1</v>
      </c>
      <c r="AG83" s="363">
        <v>43125</v>
      </c>
      <c r="AH83" s="346">
        <f t="shared" si="4"/>
        <v>1</v>
      </c>
      <c r="AI83" s="165"/>
      <c r="AJ83" s="11" t="s">
        <v>1527</v>
      </c>
      <c r="AK83" s="277"/>
      <c r="AL83" s="11"/>
      <c r="AM83" s="11"/>
      <c r="AN83" s="277"/>
      <c r="AO83" s="277"/>
      <c r="AP83" s="277"/>
      <c r="AQ83" s="277"/>
      <c r="AR83" s="338"/>
      <c r="AS83" s="275"/>
      <c r="AT83" s="306"/>
    </row>
    <row r="84" spans="1:46" s="262" customFormat="1" x14ac:dyDescent="0.2">
      <c r="A84" s="331"/>
      <c r="B84" s="276" t="s">
        <v>1530</v>
      </c>
      <c r="C84" s="276" t="s">
        <v>1613</v>
      </c>
      <c r="D84" s="276"/>
      <c r="E84" s="276"/>
      <c r="F84" s="276" t="s">
        <v>1446</v>
      </c>
      <c r="G84" s="165" t="s">
        <v>1449</v>
      </c>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v>1</v>
      </c>
      <c r="AG84" s="363">
        <v>43133</v>
      </c>
      <c r="AH84" s="346">
        <f t="shared" si="4"/>
        <v>1</v>
      </c>
      <c r="AI84" s="165"/>
      <c r="AJ84" s="11" t="s">
        <v>1527</v>
      </c>
      <c r="AK84" s="277"/>
      <c r="AL84" s="11"/>
      <c r="AM84" s="11"/>
      <c r="AN84" s="277"/>
      <c r="AO84" s="277"/>
      <c r="AP84" s="277"/>
      <c r="AQ84" s="277"/>
      <c r="AR84" s="338"/>
      <c r="AS84" s="275"/>
      <c r="AT84" s="306"/>
    </row>
    <row r="85" spans="1:46" s="262" customFormat="1" x14ac:dyDescent="0.2">
      <c r="A85" s="331"/>
      <c r="B85" s="276" t="s">
        <v>1531</v>
      </c>
      <c r="C85" s="276" t="s">
        <v>1614</v>
      </c>
      <c r="D85" s="276"/>
      <c r="E85" s="276"/>
      <c r="F85" s="276" t="s">
        <v>1446</v>
      </c>
      <c r="G85" s="165" t="s">
        <v>1449</v>
      </c>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v>1</v>
      </c>
      <c r="AG85" s="363">
        <v>43140</v>
      </c>
      <c r="AH85" s="346">
        <f t="shared" si="4"/>
        <v>1</v>
      </c>
      <c r="AI85" s="165"/>
      <c r="AJ85" s="11" t="s">
        <v>1527</v>
      </c>
      <c r="AK85" s="277"/>
      <c r="AL85" s="11"/>
      <c r="AM85" s="11"/>
      <c r="AN85" s="277"/>
      <c r="AO85" s="277"/>
      <c r="AP85" s="277"/>
      <c r="AQ85" s="277"/>
      <c r="AR85" s="338"/>
      <c r="AS85" s="275"/>
      <c r="AT85" s="306"/>
    </row>
    <row r="86" spans="1:46" s="262" customFormat="1" x14ac:dyDescent="0.2">
      <c r="A86" s="331"/>
      <c r="B86" s="276" t="s">
        <v>1532</v>
      </c>
      <c r="C86" s="276" t="s">
        <v>1615</v>
      </c>
      <c r="D86" s="276"/>
      <c r="E86" s="276"/>
      <c r="F86" s="276" t="s">
        <v>1446</v>
      </c>
      <c r="G86" s="165" t="s">
        <v>1449</v>
      </c>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v>1</v>
      </c>
      <c r="AG86" s="363">
        <v>43146</v>
      </c>
      <c r="AH86" s="346">
        <f t="shared" si="4"/>
        <v>1</v>
      </c>
      <c r="AI86" s="165"/>
      <c r="AJ86" s="11" t="s">
        <v>1527</v>
      </c>
      <c r="AK86" s="277"/>
      <c r="AL86" s="11"/>
      <c r="AM86" s="11"/>
      <c r="AN86" s="277"/>
      <c r="AO86" s="277"/>
      <c r="AP86" s="277"/>
      <c r="AQ86" s="277"/>
      <c r="AR86" s="338"/>
      <c r="AS86" s="275"/>
      <c r="AT86" s="306"/>
    </row>
    <row r="87" spans="1:46" s="262" customFormat="1" x14ac:dyDescent="0.2">
      <c r="A87" s="331"/>
      <c r="B87" s="276" t="s">
        <v>1533</v>
      </c>
      <c r="C87" s="276" t="s">
        <v>1567</v>
      </c>
      <c r="D87" s="276"/>
      <c r="E87" s="276"/>
      <c r="F87" s="276" t="s">
        <v>1446</v>
      </c>
      <c r="G87" s="165" t="s">
        <v>1449</v>
      </c>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v>1</v>
      </c>
      <c r="AG87" s="363">
        <v>43154</v>
      </c>
      <c r="AH87" s="346">
        <f t="shared" si="4"/>
        <v>1</v>
      </c>
      <c r="AI87" s="165"/>
      <c r="AJ87" s="11" t="s">
        <v>1527</v>
      </c>
      <c r="AK87" s="277"/>
      <c r="AL87" s="11"/>
      <c r="AM87" s="11"/>
      <c r="AN87" s="277"/>
      <c r="AO87" s="277"/>
      <c r="AP87" s="277"/>
      <c r="AQ87" s="277"/>
      <c r="AR87" s="338"/>
      <c r="AS87" s="275"/>
      <c r="AT87" s="306"/>
    </row>
    <row r="88" spans="1:46" s="262" customFormat="1" x14ac:dyDescent="0.2">
      <c r="A88" s="331"/>
      <c r="B88" s="276" t="s">
        <v>1534</v>
      </c>
      <c r="C88" s="276" t="s">
        <v>1568</v>
      </c>
      <c r="D88" s="276"/>
      <c r="E88" s="276"/>
      <c r="F88" s="276" t="s">
        <v>1446</v>
      </c>
      <c r="G88" s="165" t="s">
        <v>1449</v>
      </c>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v>1</v>
      </c>
      <c r="AG88" s="363">
        <v>43186</v>
      </c>
      <c r="AH88" s="346">
        <f t="shared" si="4"/>
        <v>1</v>
      </c>
      <c r="AI88" s="165"/>
      <c r="AJ88" s="11" t="s">
        <v>1527</v>
      </c>
      <c r="AK88" s="277"/>
      <c r="AL88" s="11"/>
      <c r="AM88" s="11"/>
      <c r="AN88" s="277"/>
      <c r="AO88" s="277"/>
      <c r="AP88" s="277"/>
      <c r="AQ88" s="277"/>
      <c r="AR88" s="338"/>
      <c r="AS88" s="275"/>
      <c r="AT88" s="306"/>
    </row>
    <row r="89" spans="1:46" s="262" customFormat="1" x14ac:dyDescent="0.2">
      <c r="A89" s="331"/>
      <c r="B89" s="276" t="s">
        <v>1535</v>
      </c>
      <c r="C89" s="276" t="s">
        <v>1625</v>
      </c>
      <c r="D89" s="276"/>
      <c r="E89" s="276"/>
      <c r="F89" s="276" t="s">
        <v>1446</v>
      </c>
      <c r="G89" s="165" t="s">
        <v>1449</v>
      </c>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v>1</v>
      </c>
      <c r="AG89" s="363">
        <v>43193</v>
      </c>
      <c r="AH89" s="346">
        <f t="shared" si="4"/>
        <v>1</v>
      </c>
      <c r="AI89" s="165"/>
      <c r="AJ89" s="11" t="s">
        <v>1527</v>
      </c>
      <c r="AK89" s="277"/>
      <c r="AL89" s="11"/>
      <c r="AM89" s="11"/>
      <c r="AN89" s="277"/>
      <c r="AO89" s="277"/>
      <c r="AP89" s="277"/>
      <c r="AQ89" s="277"/>
      <c r="AR89" s="338"/>
      <c r="AS89" s="275"/>
      <c r="AT89" s="306"/>
    </row>
    <row r="90" spans="1:46" s="90" customFormat="1" ht="15.75" x14ac:dyDescent="0.2">
      <c r="A90" s="331"/>
      <c r="B90" s="276" t="s">
        <v>1536</v>
      </c>
      <c r="C90" s="276" t="s">
        <v>1569</v>
      </c>
      <c r="D90" s="276"/>
      <c r="E90" s="276"/>
      <c r="F90" s="276" t="s">
        <v>1446</v>
      </c>
      <c r="G90" s="165" t="s">
        <v>1449</v>
      </c>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165">
        <v>1</v>
      </c>
      <c r="AG90" s="363">
        <v>43234</v>
      </c>
      <c r="AH90" s="346">
        <f t="shared" si="4"/>
        <v>1</v>
      </c>
      <c r="AI90" s="335"/>
      <c r="AJ90" s="11" t="s">
        <v>1527</v>
      </c>
      <c r="AK90" s="339"/>
      <c r="AL90" s="11"/>
      <c r="AM90" s="11"/>
      <c r="AN90" s="339"/>
      <c r="AO90" s="339"/>
      <c r="AP90" s="339"/>
      <c r="AQ90" s="339"/>
      <c r="AR90" s="117"/>
      <c r="AS90" s="337"/>
      <c r="AT90" s="308"/>
    </row>
    <row r="91" spans="1:46" s="90" customFormat="1" ht="15.75" x14ac:dyDescent="0.2">
      <c r="A91" s="331"/>
      <c r="B91" s="276" t="s">
        <v>1537</v>
      </c>
      <c r="C91" s="276" t="s">
        <v>1570</v>
      </c>
      <c r="D91" s="276"/>
      <c r="E91" s="276"/>
      <c r="F91" s="276" t="s">
        <v>1446</v>
      </c>
      <c r="G91" s="165" t="s">
        <v>1449</v>
      </c>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165">
        <v>1</v>
      </c>
      <c r="AG91" s="363">
        <v>43236</v>
      </c>
      <c r="AH91" s="346">
        <f t="shared" si="4"/>
        <v>1</v>
      </c>
      <c r="AI91" s="335"/>
      <c r="AJ91" s="11" t="s">
        <v>1527</v>
      </c>
      <c r="AK91" s="339"/>
      <c r="AL91" s="11"/>
      <c r="AM91" s="11"/>
      <c r="AN91" s="339"/>
      <c r="AO91" s="339"/>
      <c r="AP91" s="339"/>
      <c r="AQ91" s="339"/>
      <c r="AR91" s="117"/>
      <c r="AS91" s="337"/>
      <c r="AT91" s="308"/>
    </row>
    <row r="92" spans="1:46" s="91" customFormat="1" ht="12.75" x14ac:dyDescent="0.2">
      <c r="A92" s="331"/>
      <c r="B92" s="276" t="s">
        <v>1538</v>
      </c>
      <c r="C92" s="276" t="s">
        <v>1571</v>
      </c>
      <c r="D92" s="276"/>
      <c r="E92" s="276"/>
      <c r="F92" s="276" t="s">
        <v>1446</v>
      </c>
      <c r="G92" s="165" t="s">
        <v>1449</v>
      </c>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165">
        <v>1</v>
      </c>
      <c r="AG92" s="363">
        <v>43238</v>
      </c>
      <c r="AH92" s="346">
        <f t="shared" si="4"/>
        <v>1</v>
      </c>
      <c r="AI92" s="335"/>
      <c r="AJ92" s="11" t="s">
        <v>1527</v>
      </c>
      <c r="AK92" s="117"/>
      <c r="AL92" s="11"/>
      <c r="AM92" s="11"/>
      <c r="AN92" s="117"/>
      <c r="AO92" s="117"/>
      <c r="AP92" s="117"/>
      <c r="AQ92" s="117"/>
      <c r="AR92" s="117"/>
      <c r="AS92" s="337"/>
      <c r="AT92" s="309"/>
    </row>
    <row r="93" spans="1:46" s="91" customFormat="1" ht="12.75" x14ac:dyDescent="0.2">
      <c r="A93" s="331"/>
      <c r="B93" s="276" t="s">
        <v>1539</v>
      </c>
      <c r="C93" s="276" t="s">
        <v>1572</v>
      </c>
      <c r="D93" s="276"/>
      <c r="E93" s="276"/>
      <c r="F93" s="276" t="s">
        <v>1446</v>
      </c>
      <c r="G93" s="165" t="s">
        <v>1449</v>
      </c>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165">
        <v>1</v>
      </c>
      <c r="AG93" s="363">
        <v>43249</v>
      </c>
      <c r="AH93" s="346">
        <f t="shared" si="4"/>
        <v>1</v>
      </c>
      <c r="AI93" s="335"/>
      <c r="AJ93" s="11" t="s">
        <v>1527</v>
      </c>
      <c r="AK93" s="117"/>
      <c r="AL93" s="11"/>
      <c r="AM93" s="11"/>
      <c r="AN93" s="117"/>
      <c r="AO93" s="117"/>
      <c r="AP93" s="117"/>
      <c r="AQ93" s="117"/>
      <c r="AR93" s="117"/>
      <c r="AS93" s="337"/>
      <c r="AT93" s="309"/>
    </row>
    <row r="94" spans="1:46" s="91" customFormat="1" ht="12.75" x14ac:dyDescent="0.2">
      <c r="A94" s="117"/>
      <c r="B94" s="276" t="s">
        <v>1540</v>
      </c>
      <c r="C94" s="276" t="s">
        <v>1573</v>
      </c>
      <c r="D94" s="276"/>
      <c r="E94" s="276"/>
      <c r="F94" s="276" t="s">
        <v>1446</v>
      </c>
      <c r="G94" s="165" t="s">
        <v>1449</v>
      </c>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165">
        <v>1</v>
      </c>
      <c r="AG94" s="363">
        <v>43252</v>
      </c>
      <c r="AH94" s="346">
        <f t="shared" si="4"/>
        <v>1</v>
      </c>
      <c r="AI94" s="335"/>
      <c r="AJ94" s="11" t="s">
        <v>1527</v>
      </c>
      <c r="AK94" s="117"/>
      <c r="AL94" s="11"/>
      <c r="AM94" s="11"/>
      <c r="AN94" s="117"/>
      <c r="AO94" s="117"/>
      <c r="AP94" s="117"/>
      <c r="AQ94" s="117"/>
      <c r="AR94" s="117"/>
      <c r="AS94" s="337"/>
      <c r="AT94" s="309"/>
    </row>
    <row r="95" spans="1:46" s="262" customFormat="1" x14ac:dyDescent="0.2">
      <c r="A95" s="277"/>
      <c r="B95" s="276" t="s">
        <v>1541</v>
      </c>
      <c r="C95" s="276" t="s">
        <v>1574</v>
      </c>
      <c r="D95" s="276"/>
      <c r="E95" s="276"/>
      <c r="F95" s="276" t="s">
        <v>1446</v>
      </c>
      <c r="G95" s="165" t="s">
        <v>1449</v>
      </c>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v>1</v>
      </c>
      <c r="AG95" s="363">
        <v>43256</v>
      </c>
      <c r="AH95" s="346">
        <f t="shared" si="4"/>
        <v>1</v>
      </c>
      <c r="AI95" s="165"/>
      <c r="AJ95" s="11" t="s">
        <v>1527</v>
      </c>
      <c r="AK95" s="277"/>
      <c r="AL95" s="11"/>
      <c r="AM95" s="11"/>
      <c r="AN95" s="277"/>
      <c r="AO95" s="277"/>
      <c r="AP95" s="277"/>
      <c r="AQ95" s="277"/>
      <c r="AR95" s="338"/>
      <c r="AS95" s="275"/>
      <c r="AT95" s="306"/>
    </row>
    <row r="96" spans="1:46" s="262" customFormat="1" x14ac:dyDescent="0.2">
      <c r="A96" s="277"/>
      <c r="B96" s="276" t="s">
        <v>1542</v>
      </c>
      <c r="C96" s="276" t="s">
        <v>1624</v>
      </c>
      <c r="D96" s="276"/>
      <c r="E96" s="276"/>
      <c r="F96" s="276" t="s">
        <v>1446</v>
      </c>
      <c r="G96" s="165" t="s">
        <v>1449</v>
      </c>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v>1</v>
      </c>
      <c r="AG96" s="363">
        <v>43263</v>
      </c>
      <c r="AH96" s="346">
        <f t="shared" si="4"/>
        <v>1</v>
      </c>
      <c r="AI96" s="165"/>
      <c r="AJ96" s="11" t="s">
        <v>1527</v>
      </c>
      <c r="AK96" s="277"/>
      <c r="AL96" s="11"/>
      <c r="AM96" s="11"/>
      <c r="AN96" s="277"/>
      <c r="AO96" s="277"/>
      <c r="AP96" s="277"/>
      <c r="AQ96" s="277"/>
      <c r="AR96" s="338"/>
      <c r="AS96" s="275"/>
      <c r="AT96" s="306"/>
    </row>
    <row r="97" spans="1:46" s="262" customFormat="1" ht="25.5" x14ac:dyDescent="0.2">
      <c r="A97" s="277"/>
      <c r="B97" s="276" t="s">
        <v>1543</v>
      </c>
      <c r="C97" s="276" t="s">
        <v>1575</v>
      </c>
      <c r="D97" s="276"/>
      <c r="E97" s="276"/>
      <c r="F97" s="276" t="s">
        <v>1446</v>
      </c>
      <c r="G97" s="165" t="s">
        <v>1449</v>
      </c>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v>1</v>
      </c>
      <c r="AG97" s="363">
        <v>43270</v>
      </c>
      <c r="AH97" s="346">
        <f t="shared" ref="AH97:AH160" si="7">SUM(Z97:AF97)</f>
        <v>1</v>
      </c>
      <c r="AI97" s="165"/>
      <c r="AJ97" s="11" t="s">
        <v>1527</v>
      </c>
      <c r="AK97" s="277"/>
      <c r="AL97" s="11"/>
      <c r="AM97" s="11"/>
      <c r="AN97" s="277"/>
      <c r="AO97" s="277"/>
      <c r="AP97" s="277"/>
      <c r="AQ97" s="277"/>
      <c r="AR97" s="338"/>
      <c r="AS97" s="275"/>
      <c r="AT97" s="306"/>
    </row>
    <row r="98" spans="1:46" s="262" customFormat="1" x14ac:dyDescent="0.2">
      <c r="A98" s="277"/>
      <c r="B98" s="276" t="s">
        <v>1544</v>
      </c>
      <c r="C98" s="276" t="s">
        <v>1616</v>
      </c>
      <c r="D98" s="276"/>
      <c r="E98" s="276"/>
      <c r="F98" s="276" t="s">
        <v>1446</v>
      </c>
      <c r="G98" s="165" t="s">
        <v>1449</v>
      </c>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v>1</v>
      </c>
      <c r="AG98" s="363">
        <v>43276</v>
      </c>
      <c r="AH98" s="346">
        <f t="shared" si="7"/>
        <v>1</v>
      </c>
      <c r="AI98" s="165"/>
      <c r="AJ98" s="11" t="s">
        <v>1527</v>
      </c>
      <c r="AK98" s="277"/>
      <c r="AL98" s="11"/>
      <c r="AM98" s="11"/>
      <c r="AN98" s="277"/>
      <c r="AO98" s="277"/>
      <c r="AP98" s="277"/>
      <c r="AQ98" s="277"/>
      <c r="AR98" s="338"/>
      <c r="AS98" s="275"/>
      <c r="AT98" s="306"/>
    </row>
    <row r="99" spans="1:46" s="262" customFormat="1" x14ac:dyDescent="0.2">
      <c r="A99" s="277"/>
      <c r="B99" s="276" t="s">
        <v>1545</v>
      </c>
      <c r="C99" s="276" t="s">
        <v>1576</v>
      </c>
      <c r="D99" s="276"/>
      <c r="E99" s="276"/>
      <c r="F99" s="276" t="s">
        <v>1446</v>
      </c>
      <c r="G99" s="165" t="s">
        <v>1449</v>
      </c>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v>1</v>
      </c>
      <c r="AG99" s="363">
        <v>43278</v>
      </c>
      <c r="AH99" s="346">
        <f t="shared" si="7"/>
        <v>1</v>
      </c>
      <c r="AI99" s="165"/>
      <c r="AJ99" s="11" t="s">
        <v>1527</v>
      </c>
      <c r="AK99" s="277"/>
      <c r="AL99" s="11"/>
      <c r="AM99" s="11"/>
      <c r="AN99" s="277"/>
      <c r="AO99" s="277"/>
      <c r="AP99" s="277"/>
      <c r="AQ99" s="277"/>
      <c r="AR99" s="338"/>
      <c r="AS99" s="275"/>
      <c r="AT99" s="306"/>
    </row>
    <row r="100" spans="1:46" s="262" customFormat="1" x14ac:dyDescent="0.2">
      <c r="A100" s="277"/>
      <c r="B100" s="276" t="s">
        <v>1546</v>
      </c>
      <c r="C100" s="276" t="s">
        <v>1577</v>
      </c>
      <c r="D100" s="276"/>
      <c r="E100" s="276"/>
      <c r="F100" s="276" t="s">
        <v>1446</v>
      </c>
      <c r="G100" s="165" t="s">
        <v>1449</v>
      </c>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v>1</v>
      </c>
      <c r="AG100" s="363">
        <v>43279</v>
      </c>
      <c r="AH100" s="346">
        <f t="shared" si="7"/>
        <v>1</v>
      </c>
      <c r="AI100" s="165"/>
      <c r="AJ100" s="11" t="s">
        <v>1527</v>
      </c>
      <c r="AK100" s="277"/>
      <c r="AL100" s="11"/>
      <c r="AM100" s="11"/>
      <c r="AN100" s="277"/>
      <c r="AO100" s="277"/>
      <c r="AP100" s="277"/>
      <c r="AQ100" s="277"/>
      <c r="AR100" s="338"/>
      <c r="AS100" s="275"/>
      <c r="AT100" s="306"/>
    </row>
    <row r="101" spans="1:46" s="262" customFormat="1" x14ac:dyDescent="0.2">
      <c r="A101" s="277"/>
      <c r="B101" s="276" t="s">
        <v>1547</v>
      </c>
      <c r="C101" s="276" t="s">
        <v>1617</v>
      </c>
      <c r="D101" s="276"/>
      <c r="E101" s="276"/>
      <c r="F101" s="276" t="s">
        <v>1446</v>
      </c>
      <c r="G101" s="165" t="s">
        <v>1449</v>
      </c>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v>1</v>
      </c>
      <c r="AG101" s="363">
        <v>43290</v>
      </c>
      <c r="AH101" s="346">
        <f t="shared" si="7"/>
        <v>1</v>
      </c>
      <c r="AI101" s="165"/>
      <c r="AJ101" s="11" t="s">
        <v>1527</v>
      </c>
      <c r="AK101" s="277"/>
      <c r="AL101" s="11"/>
      <c r="AM101" s="11"/>
      <c r="AN101" s="277"/>
      <c r="AO101" s="277"/>
      <c r="AP101" s="277"/>
      <c r="AQ101" s="277"/>
      <c r="AR101" s="338"/>
      <c r="AS101" s="275"/>
      <c r="AT101" s="306"/>
    </row>
    <row r="102" spans="1:46" s="262" customFormat="1" x14ac:dyDescent="0.2">
      <c r="A102" s="277"/>
      <c r="B102" s="276" t="s">
        <v>1548</v>
      </c>
      <c r="C102" s="276" t="s">
        <v>1578</v>
      </c>
      <c r="D102" s="276"/>
      <c r="E102" s="276"/>
      <c r="F102" s="276" t="s">
        <v>1446</v>
      </c>
      <c r="G102" s="165" t="s">
        <v>1449</v>
      </c>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v>1</v>
      </c>
      <c r="AG102" s="363">
        <v>43290</v>
      </c>
      <c r="AH102" s="346">
        <f t="shared" si="7"/>
        <v>1</v>
      </c>
      <c r="AI102" s="165"/>
      <c r="AJ102" s="11" t="s">
        <v>1527</v>
      </c>
      <c r="AK102" s="277"/>
      <c r="AL102" s="11"/>
      <c r="AM102" s="11"/>
      <c r="AN102" s="277"/>
      <c r="AO102" s="277"/>
      <c r="AP102" s="277"/>
      <c r="AQ102" s="277"/>
      <c r="AR102" s="338"/>
      <c r="AS102" s="275"/>
      <c r="AT102" s="306"/>
    </row>
    <row r="103" spans="1:46" s="262" customFormat="1" x14ac:dyDescent="0.2">
      <c r="A103" s="277"/>
      <c r="B103" s="276" t="s">
        <v>1549</v>
      </c>
      <c r="C103" s="276" t="s">
        <v>1579</v>
      </c>
      <c r="D103" s="276"/>
      <c r="E103" s="276"/>
      <c r="F103" s="276" t="s">
        <v>1446</v>
      </c>
      <c r="G103" s="165" t="s">
        <v>1449</v>
      </c>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v>1</v>
      </c>
      <c r="AG103" s="363">
        <v>43291</v>
      </c>
      <c r="AH103" s="346">
        <f t="shared" si="7"/>
        <v>1</v>
      </c>
      <c r="AI103" s="165"/>
      <c r="AJ103" s="11" t="s">
        <v>1527</v>
      </c>
      <c r="AK103" s="277"/>
      <c r="AL103" s="11"/>
      <c r="AM103" s="11"/>
      <c r="AN103" s="277"/>
      <c r="AO103" s="277"/>
      <c r="AP103" s="277"/>
      <c r="AQ103" s="277"/>
      <c r="AR103" s="338"/>
      <c r="AS103" s="275"/>
      <c r="AT103" s="306"/>
    </row>
    <row r="104" spans="1:46" s="262" customFormat="1" x14ac:dyDescent="0.2">
      <c r="A104" s="277"/>
      <c r="B104" s="276" t="s">
        <v>1550</v>
      </c>
      <c r="C104" s="276" t="s">
        <v>1618</v>
      </c>
      <c r="D104" s="276"/>
      <c r="E104" s="276"/>
      <c r="F104" s="276" t="s">
        <v>1446</v>
      </c>
      <c r="G104" s="165" t="s">
        <v>1449</v>
      </c>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v>1</v>
      </c>
      <c r="AG104" s="363">
        <v>43305</v>
      </c>
      <c r="AH104" s="346">
        <f t="shared" si="7"/>
        <v>1</v>
      </c>
      <c r="AI104" s="165"/>
      <c r="AJ104" s="11" t="s">
        <v>1527</v>
      </c>
      <c r="AK104" s="277"/>
      <c r="AL104" s="11"/>
      <c r="AM104" s="11"/>
      <c r="AN104" s="277"/>
      <c r="AO104" s="277"/>
      <c r="AP104" s="277"/>
      <c r="AQ104" s="277"/>
      <c r="AR104" s="338"/>
      <c r="AS104" s="275"/>
      <c r="AT104" s="306"/>
    </row>
    <row r="105" spans="1:46" s="90" customFormat="1" ht="15.75" x14ac:dyDescent="0.2">
      <c r="A105" s="339"/>
      <c r="B105" s="276" t="s">
        <v>1551</v>
      </c>
      <c r="C105" s="276" t="s">
        <v>1580</v>
      </c>
      <c r="D105" s="276"/>
      <c r="E105" s="276"/>
      <c r="F105" s="276" t="s">
        <v>1447</v>
      </c>
      <c r="G105" s="165" t="s">
        <v>1449</v>
      </c>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165">
        <v>1</v>
      </c>
      <c r="AF105" s="335"/>
      <c r="AG105" s="363">
        <v>43315</v>
      </c>
      <c r="AH105" s="346">
        <f t="shared" si="7"/>
        <v>1</v>
      </c>
      <c r="AI105" s="335"/>
      <c r="AJ105" s="11" t="s">
        <v>1527</v>
      </c>
      <c r="AK105" s="339"/>
      <c r="AL105" s="11"/>
      <c r="AM105" s="11"/>
      <c r="AN105" s="339"/>
      <c r="AO105" s="339"/>
      <c r="AP105" s="339"/>
      <c r="AQ105" s="339"/>
      <c r="AR105" s="117"/>
      <c r="AS105" s="337"/>
      <c r="AT105" s="308"/>
    </row>
    <row r="106" spans="1:46" s="90" customFormat="1" ht="15.75" x14ac:dyDescent="0.2">
      <c r="A106" s="339"/>
      <c r="B106" s="276" t="s">
        <v>1552</v>
      </c>
      <c r="C106" s="276" t="s">
        <v>1619</v>
      </c>
      <c r="D106" s="276"/>
      <c r="E106" s="276"/>
      <c r="F106" s="276" t="s">
        <v>1446</v>
      </c>
      <c r="G106" s="165" t="s">
        <v>1449</v>
      </c>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165">
        <v>1</v>
      </c>
      <c r="AG106" s="363">
        <v>43348</v>
      </c>
      <c r="AH106" s="346">
        <f t="shared" si="7"/>
        <v>1</v>
      </c>
      <c r="AI106" s="335"/>
      <c r="AJ106" s="11" t="s">
        <v>1527</v>
      </c>
      <c r="AK106" s="339"/>
      <c r="AL106" s="11"/>
      <c r="AM106" s="11"/>
      <c r="AN106" s="339"/>
      <c r="AO106" s="339"/>
      <c r="AP106" s="339"/>
      <c r="AQ106" s="339"/>
      <c r="AR106" s="117"/>
      <c r="AS106" s="337"/>
      <c r="AT106" s="308"/>
    </row>
    <row r="107" spans="1:46" s="262" customFormat="1" x14ac:dyDescent="0.2">
      <c r="A107" s="277"/>
      <c r="B107" s="276" t="s">
        <v>1553</v>
      </c>
      <c r="C107" s="276" t="s">
        <v>1581</v>
      </c>
      <c r="D107" s="276"/>
      <c r="E107" s="276"/>
      <c r="F107" s="276" t="s">
        <v>1446</v>
      </c>
      <c r="G107" s="165" t="s">
        <v>1449</v>
      </c>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v>1</v>
      </c>
      <c r="AG107" s="363">
        <v>43354</v>
      </c>
      <c r="AH107" s="346">
        <f t="shared" si="7"/>
        <v>1</v>
      </c>
      <c r="AI107" s="165"/>
      <c r="AJ107" s="11" t="s">
        <v>1527</v>
      </c>
      <c r="AK107" s="277"/>
      <c r="AL107" s="11"/>
      <c r="AM107" s="11"/>
      <c r="AN107" s="277"/>
      <c r="AO107" s="277"/>
      <c r="AP107" s="277"/>
      <c r="AQ107" s="277"/>
      <c r="AR107" s="338"/>
      <c r="AS107" s="275"/>
      <c r="AT107" s="306"/>
    </row>
    <row r="108" spans="1:46" s="88" customFormat="1" ht="12.75" x14ac:dyDescent="0.2">
      <c r="A108" s="277"/>
      <c r="B108" s="276" t="s">
        <v>1554</v>
      </c>
      <c r="C108" s="276" t="s">
        <v>1582</v>
      </c>
      <c r="D108" s="276"/>
      <c r="E108" s="276"/>
      <c r="F108" s="276" t="s">
        <v>1446</v>
      </c>
      <c r="G108" s="165" t="s">
        <v>1449</v>
      </c>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v>1</v>
      </c>
      <c r="AG108" s="363">
        <v>43354</v>
      </c>
      <c r="AH108" s="346">
        <f t="shared" si="7"/>
        <v>1</v>
      </c>
      <c r="AI108" s="165"/>
      <c r="AJ108" s="11" t="s">
        <v>1527</v>
      </c>
      <c r="AK108" s="277"/>
      <c r="AL108" s="11"/>
      <c r="AM108" s="11"/>
      <c r="AN108" s="277"/>
      <c r="AO108" s="277"/>
      <c r="AP108" s="277"/>
      <c r="AQ108" s="277"/>
      <c r="AR108" s="338"/>
      <c r="AS108" s="275"/>
      <c r="AT108" s="305"/>
    </row>
    <row r="109" spans="1:46" s="88" customFormat="1" ht="12.75" x14ac:dyDescent="0.2">
      <c r="A109" s="277"/>
      <c r="B109" s="276" t="s">
        <v>1555</v>
      </c>
      <c r="C109" s="276" t="s">
        <v>1583</v>
      </c>
      <c r="D109" s="276"/>
      <c r="E109" s="276"/>
      <c r="F109" s="276" t="s">
        <v>1446</v>
      </c>
      <c r="G109" s="165" t="s">
        <v>1449</v>
      </c>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v>1</v>
      </c>
      <c r="AG109" s="363">
        <v>43376</v>
      </c>
      <c r="AH109" s="346">
        <f t="shared" si="7"/>
        <v>1</v>
      </c>
      <c r="AI109" s="165"/>
      <c r="AJ109" s="11" t="s">
        <v>1527</v>
      </c>
      <c r="AK109" s="277"/>
      <c r="AL109" s="11"/>
      <c r="AM109" s="11"/>
      <c r="AN109" s="277"/>
      <c r="AO109" s="277"/>
      <c r="AP109" s="277"/>
      <c r="AQ109" s="277"/>
      <c r="AR109" s="338"/>
      <c r="AS109" s="275"/>
      <c r="AT109" s="305"/>
    </row>
    <row r="110" spans="1:46" s="88" customFormat="1" ht="12.75" x14ac:dyDescent="0.2">
      <c r="A110" s="277"/>
      <c r="B110" s="276" t="s">
        <v>1556</v>
      </c>
      <c r="C110" s="276" t="s">
        <v>1620</v>
      </c>
      <c r="D110" s="276"/>
      <c r="E110" s="276"/>
      <c r="F110" s="276" t="s">
        <v>1446</v>
      </c>
      <c r="G110" s="165" t="s">
        <v>1449</v>
      </c>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v>1</v>
      </c>
      <c r="AG110" s="363">
        <v>43385</v>
      </c>
      <c r="AH110" s="346">
        <f t="shared" si="7"/>
        <v>1</v>
      </c>
      <c r="AI110" s="165"/>
      <c r="AJ110" s="11" t="s">
        <v>1527</v>
      </c>
      <c r="AK110" s="277"/>
      <c r="AL110" s="11"/>
      <c r="AM110" s="11"/>
      <c r="AN110" s="277"/>
      <c r="AO110" s="277"/>
      <c r="AP110" s="277"/>
      <c r="AQ110" s="277"/>
      <c r="AR110" s="338"/>
      <c r="AS110" s="275"/>
      <c r="AT110" s="305"/>
    </row>
    <row r="111" spans="1:46" s="88" customFormat="1" ht="12.75" x14ac:dyDescent="0.2">
      <c r="A111" s="277"/>
      <c r="B111" s="276" t="s">
        <v>1557</v>
      </c>
      <c r="C111" s="276" t="s">
        <v>1623</v>
      </c>
      <c r="D111" s="276"/>
      <c r="E111" s="276"/>
      <c r="F111" s="276" t="s">
        <v>1446</v>
      </c>
      <c r="G111" s="165" t="s">
        <v>1449</v>
      </c>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v>1</v>
      </c>
      <c r="AG111" s="363">
        <v>43389</v>
      </c>
      <c r="AH111" s="346">
        <f t="shared" si="7"/>
        <v>1</v>
      </c>
      <c r="AI111" s="165"/>
      <c r="AJ111" s="11" t="s">
        <v>1527</v>
      </c>
      <c r="AK111" s="277"/>
      <c r="AL111" s="11"/>
      <c r="AM111" s="11"/>
      <c r="AN111" s="277"/>
      <c r="AO111" s="277"/>
      <c r="AP111" s="277"/>
      <c r="AQ111" s="277"/>
      <c r="AR111" s="338"/>
      <c r="AS111" s="275"/>
      <c r="AT111" s="305"/>
    </row>
    <row r="112" spans="1:46" s="88" customFormat="1" ht="12.75" x14ac:dyDescent="0.2">
      <c r="A112" s="277"/>
      <c r="B112" s="276" t="s">
        <v>1558</v>
      </c>
      <c r="C112" s="276" t="s">
        <v>1621</v>
      </c>
      <c r="D112" s="276"/>
      <c r="E112" s="276"/>
      <c r="F112" s="276" t="s">
        <v>1446</v>
      </c>
      <c r="G112" s="165" t="s">
        <v>1449</v>
      </c>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v>1</v>
      </c>
      <c r="AG112" s="363">
        <v>43392</v>
      </c>
      <c r="AH112" s="346">
        <f t="shared" si="7"/>
        <v>1</v>
      </c>
      <c r="AI112" s="165"/>
      <c r="AJ112" s="11" t="s">
        <v>1527</v>
      </c>
      <c r="AK112" s="277"/>
      <c r="AL112" s="11"/>
      <c r="AM112" s="11"/>
      <c r="AN112" s="277"/>
      <c r="AO112" s="277"/>
      <c r="AP112" s="277"/>
      <c r="AQ112" s="277"/>
      <c r="AR112" s="338"/>
      <c r="AS112" s="275"/>
      <c r="AT112" s="305"/>
    </row>
    <row r="113" spans="1:46" s="88" customFormat="1" ht="12.75" x14ac:dyDescent="0.2">
      <c r="A113" s="277"/>
      <c r="B113" s="276" t="s">
        <v>1559</v>
      </c>
      <c r="C113" s="276" t="s">
        <v>1584</v>
      </c>
      <c r="D113" s="276"/>
      <c r="E113" s="276"/>
      <c r="F113" s="276" t="s">
        <v>1446</v>
      </c>
      <c r="G113" s="165" t="s">
        <v>1449</v>
      </c>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v>1</v>
      </c>
      <c r="AG113" s="363">
        <v>43395</v>
      </c>
      <c r="AH113" s="346">
        <f t="shared" si="7"/>
        <v>1</v>
      </c>
      <c r="AI113" s="165"/>
      <c r="AJ113" s="11" t="s">
        <v>1527</v>
      </c>
      <c r="AK113" s="277"/>
      <c r="AL113" s="11"/>
      <c r="AM113" s="11"/>
      <c r="AN113" s="277"/>
      <c r="AO113" s="277"/>
      <c r="AP113" s="277"/>
      <c r="AQ113" s="277"/>
      <c r="AR113" s="338"/>
      <c r="AS113" s="275"/>
      <c r="AT113" s="305"/>
    </row>
    <row r="114" spans="1:46" s="88" customFormat="1" ht="12.75" x14ac:dyDescent="0.2">
      <c r="A114" s="277"/>
      <c r="B114" s="276" t="s">
        <v>1560</v>
      </c>
      <c r="C114" s="276" t="s">
        <v>1585</v>
      </c>
      <c r="D114" s="276"/>
      <c r="E114" s="276"/>
      <c r="F114" s="276" t="s">
        <v>1447</v>
      </c>
      <c r="G114" s="165" t="s">
        <v>1449</v>
      </c>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v>1</v>
      </c>
      <c r="AF114" s="165"/>
      <c r="AG114" s="363">
        <v>43411</v>
      </c>
      <c r="AH114" s="346">
        <f t="shared" si="7"/>
        <v>1</v>
      </c>
      <c r="AI114" s="165"/>
      <c r="AJ114" s="11" t="s">
        <v>1527</v>
      </c>
      <c r="AK114" s="277"/>
      <c r="AL114" s="11"/>
      <c r="AM114" s="11"/>
      <c r="AN114" s="277"/>
      <c r="AO114" s="277"/>
      <c r="AP114" s="277"/>
      <c r="AQ114" s="277"/>
      <c r="AR114" s="338"/>
      <c r="AS114" s="275"/>
      <c r="AT114" s="305"/>
    </row>
    <row r="115" spans="1:46" s="262" customFormat="1" x14ac:dyDescent="0.2">
      <c r="A115" s="277"/>
      <c r="B115" s="276" t="s">
        <v>1561</v>
      </c>
      <c r="C115" s="276" t="s">
        <v>1586</v>
      </c>
      <c r="D115" s="276"/>
      <c r="E115" s="276"/>
      <c r="F115" s="276" t="s">
        <v>1446</v>
      </c>
      <c r="G115" s="165" t="s">
        <v>1449</v>
      </c>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v>1</v>
      </c>
      <c r="AG115" s="363">
        <v>43418</v>
      </c>
      <c r="AH115" s="346">
        <f t="shared" si="7"/>
        <v>1</v>
      </c>
      <c r="AI115" s="165"/>
      <c r="AJ115" s="11" t="s">
        <v>1527</v>
      </c>
      <c r="AK115" s="277"/>
      <c r="AL115" s="11"/>
      <c r="AM115" s="11"/>
      <c r="AN115" s="277"/>
      <c r="AO115" s="277"/>
      <c r="AP115" s="277"/>
      <c r="AQ115" s="277"/>
      <c r="AR115" s="338"/>
      <c r="AS115" s="275"/>
      <c r="AT115" s="306"/>
    </row>
    <row r="116" spans="1:46" s="262" customFormat="1" x14ac:dyDescent="0.2">
      <c r="A116" s="277"/>
      <c r="B116" s="276" t="s">
        <v>1562</v>
      </c>
      <c r="C116" s="276" t="s">
        <v>1587</v>
      </c>
      <c r="D116" s="276"/>
      <c r="E116" s="276"/>
      <c r="F116" s="276" t="s">
        <v>1446</v>
      </c>
      <c r="G116" s="165" t="s">
        <v>1449</v>
      </c>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v>1</v>
      </c>
      <c r="AG116" s="363">
        <v>43419</v>
      </c>
      <c r="AH116" s="346">
        <f t="shared" si="7"/>
        <v>1</v>
      </c>
      <c r="AI116" s="165"/>
      <c r="AJ116" s="11" t="s">
        <v>1527</v>
      </c>
      <c r="AK116" s="277"/>
      <c r="AL116" s="11"/>
      <c r="AM116" s="11"/>
      <c r="AN116" s="277"/>
      <c r="AO116" s="277"/>
      <c r="AP116" s="277"/>
      <c r="AQ116" s="277"/>
      <c r="AR116" s="338"/>
      <c r="AS116" s="275"/>
      <c r="AT116" s="306"/>
    </row>
    <row r="117" spans="1:46" s="262" customFormat="1" x14ac:dyDescent="0.2">
      <c r="A117" s="277"/>
      <c r="B117" s="276" t="s">
        <v>1563</v>
      </c>
      <c r="C117" s="276" t="s">
        <v>1626</v>
      </c>
      <c r="D117" s="276"/>
      <c r="E117" s="276"/>
      <c r="F117" s="276" t="s">
        <v>1446</v>
      </c>
      <c r="G117" s="165" t="s">
        <v>1449</v>
      </c>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v>1</v>
      </c>
      <c r="AF117" s="165">
        <v>1</v>
      </c>
      <c r="AG117" s="363">
        <v>43439</v>
      </c>
      <c r="AH117" s="346">
        <f t="shared" si="7"/>
        <v>2</v>
      </c>
      <c r="AI117" s="165"/>
      <c r="AJ117" s="11" t="s">
        <v>1527</v>
      </c>
      <c r="AK117" s="277"/>
      <c r="AL117" s="11"/>
      <c r="AM117" s="11"/>
      <c r="AN117" s="277"/>
      <c r="AO117" s="277"/>
      <c r="AP117" s="277"/>
      <c r="AQ117" s="277"/>
      <c r="AR117" s="338"/>
      <c r="AS117" s="275"/>
      <c r="AT117" s="306"/>
    </row>
    <row r="118" spans="1:46" s="262" customFormat="1" x14ac:dyDescent="0.2">
      <c r="A118" s="277"/>
      <c r="B118" s="276" t="s">
        <v>1564</v>
      </c>
      <c r="C118" s="276" t="s">
        <v>1588</v>
      </c>
      <c r="D118" s="276"/>
      <c r="E118" s="276"/>
      <c r="F118" s="276" t="s">
        <v>1446</v>
      </c>
      <c r="G118" s="165" t="s">
        <v>1449</v>
      </c>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v>1</v>
      </c>
      <c r="AG118" s="363">
        <v>43448</v>
      </c>
      <c r="AH118" s="346">
        <f t="shared" si="7"/>
        <v>1</v>
      </c>
      <c r="AI118" s="165"/>
      <c r="AJ118" s="11" t="s">
        <v>1527</v>
      </c>
      <c r="AK118" s="277"/>
      <c r="AL118" s="11"/>
      <c r="AM118" s="11"/>
      <c r="AN118" s="277"/>
      <c r="AO118" s="277"/>
      <c r="AP118" s="277"/>
      <c r="AQ118" s="277"/>
      <c r="AR118" s="338"/>
      <c r="AS118" s="275"/>
      <c r="AT118" s="306"/>
    </row>
    <row r="119" spans="1:46" s="262" customFormat="1" x14ac:dyDescent="0.2">
      <c r="A119" s="277"/>
      <c r="B119" s="276" t="s">
        <v>1565</v>
      </c>
      <c r="C119" s="276" t="s">
        <v>1622</v>
      </c>
      <c r="D119" s="276"/>
      <c r="E119" s="276"/>
      <c r="F119" s="276" t="s">
        <v>1446</v>
      </c>
      <c r="G119" s="165" t="s">
        <v>1449</v>
      </c>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v>1</v>
      </c>
      <c r="AG119" s="363">
        <v>43462</v>
      </c>
      <c r="AH119" s="346">
        <f t="shared" si="7"/>
        <v>1</v>
      </c>
      <c r="AI119" s="165"/>
      <c r="AJ119" s="11" t="s">
        <v>1527</v>
      </c>
      <c r="AK119" s="277"/>
      <c r="AL119" s="11"/>
      <c r="AM119" s="11"/>
      <c r="AN119" s="277"/>
      <c r="AO119" s="277"/>
      <c r="AP119" s="277"/>
      <c r="AQ119" s="277"/>
      <c r="AR119" s="338"/>
      <c r="AS119" s="275"/>
      <c r="AT119" s="306"/>
    </row>
    <row r="120" spans="1:46" s="262" customFormat="1" x14ac:dyDescent="0.2">
      <c r="A120" s="277"/>
      <c r="B120" s="276"/>
      <c r="C120" s="276"/>
      <c r="D120" s="276"/>
      <c r="E120" s="276"/>
      <c r="F120" s="276"/>
      <c r="G120" s="276"/>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11"/>
      <c r="AK120" s="277"/>
      <c r="AL120" s="11"/>
      <c r="AM120" s="11"/>
      <c r="AN120" s="277"/>
      <c r="AO120" s="277"/>
      <c r="AP120" s="277"/>
      <c r="AQ120" s="277"/>
      <c r="AR120" s="338"/>
      <c r="AS120" s="275"/>
      <c r="AT120" s="306"/>
    </row>
    <row r="121" spans="1:46" s="262" customFormat="1" x14ac:dyDescent="0.2">
      <c r="A121" s="277"/>
      <c r="B121" s="276"/>
      <c r="C121" s="276"/>
      <c r="D121" s="276"/>
      <c r="E121" s="276"/>
      <c r="F121" s="276"/>
      <c r="G121" s="276"/>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6"/>
      <c r="C122" s="276"/>
      <c r="D122" s="276"/>
      <c r="E122" s="276"/>
      <c r="F122" s="276"/>
      <c r="G122" s="276"/>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6"/>
      <c r="C123" s="276"/>
      <c r="D123" s="276"/>
      <c r="E123" s="276"/>
      <c r="F123" s="276"/>
      <c r="G123" s="276"/>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6"/>
      <c r="C124" s="276"/>
      <c r="D124" s="276"/>
      <c r="E124" s="276"/>
      <c r="F124" s="276"/>
      <c r="G124" s="276"/>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6"/>
      <c r="C125" s="276"/>
      <c r="D125" s="276"/>
      <c r="E125" s="276"/>
      <c r="F125" s="276"/>
      <c r="G125" s="276"/>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6"/>
      <c r="C126" s="276"/>
      <c r="D126" s="276"/>
      <c r="E126" s="276"/>
      <c r="F126" s="276"/>
      <c r="G126" s="276"/>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6"/>
      <c r="C127" s="276"/>
      <c r="D127" s="276"/>
      <c r="E127" s="276"/>
      <c r="F127" s="276"/>
      <c r="G127" s="276"/>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6"/>
      <c r="C128" s="276"/>
      <c r="D128" s="276"/>
      <c r="E128" s="276"/>
      <c r="F128" s="276"/>
      <c r="G128" s="276"/>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6"/>
      <c r="C129" s="276"/>
      <c r="D129" s="276"/>
      <c r="E129" s="276"/>
      <c r="F129" s="276"/>
      <c r="G129" s="276"/>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6"/>
      <c r="C130" s="276"/>
      <c r="D130" s="276"/>
      <c r="E130" s="276"/>
      <c r="F130" s="276"/>
      <c r="G130" s="276"/>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6"/>
      <c r="C131" s="276"/>
      <c r="D131" s="276"/>
      <c r="E131" s="276"/>
      <c r="F131" s="276"/>
      <c r="G131" s="276"/>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6"/>
      <c r="C132" s="276"/>
      <c r="D132" s="276"/>
      <c r="E132" s="276"/>
      <c r="F132" s="276"/>
      <c r="G132" s="276"/>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6"/>
      <c r="C133" s="276"/>
      <c r="D133" s="276"/>
      <c r="E133" s="276"/>
      <c r="F133" s="276"/>
      <c r="G133" s="276"/>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6"/>
      <c r="C134" s="276"/>
      <c r="D134" s="276"/>
      <c r="E134" s="276"/>
      <c r="F134" s="276"/>
      <c r="G134" s="276"/>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6"/>
      <c r="C135" s="276"/>
      <c r="D135" s="276"/>
      <c r="E135" s="276"/>
      <c r="F135" s="276"/>
      <c r="G135" s="276"/>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6"/>
      <c r="C136" s="276"/>
      <c r="D136" s="276"/>
      <c r="E136" s="276"/>
      <c r="F136" s="276"/>
      <c r="G136" s="276"/>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6"/>
      <c r="C137" s="276"/>
      <c r="D137" s="276"/>
      <c r="E137" s="276"/>
      <c r="F137" s="276"/>
      <c r="G137" s="276"/>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6"/>
      <c r="C138" s="276"/>
      <c r="D138" s="276"/>
      <c r="E138" s="276"/>
      <c r="F138" s="276"/>
      <c r="G138" s="276"/>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6"/>
      <c r="C139" s="276"/>
      <c r="D139" s="276"/>
      <c r="E139" s="276"/>
      <c r="F139" s="276"/>
      <c r="G139" s="276"/>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6"/>
      <c r="C140" s="276"/>
      <c r="D140" s="276"/>
      <c r="E140" s="276"/>
      <c r="F140" s="276"/>
      <c r="G140" s="276"/>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6"/>
      <c r="C141" s="276"/>
      <c r="D141" s="276"/>
      <c r="E141" s="276"/>
      <c r="F141" s="276"/>
      <c r="G141" s="276"/>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6"/>
      <c r="C142" s="276"/>
      <c r="D142" s="276"/>
      <c r="E142" s="276"/>
      <c r="F142" s="276"/>
      <c r="G142" s="276"/>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tg+QoklFCnoauW16z9RyFJN9ZjSQq1o8vuwIsX5rO6YvMoOA+gWusG9a/1riMCk92/eRXwXOSzARwceb2kVI4Q==" saltValue="vYA7xwwQsWt2lYFwBXsghw==" spinCount="100000" sheet="1" objects="1" scenarios="1"/>
  <mergeCells count="9">
    <mergeCell ref="L4:O4"/>
    <mergeCell ref="AL9:AM9"/>
    <mergeCell ref="AP9:AR9"/>
    <mergeCell ref="A9:E9"/>
    <mergeCell ref="A10:E10"/>
    <mergeCell ref="F9:G9"/>
    <mergeCell ref="H9:O9"/>
    <mergeCell ref="Q9:W9"/>
    <mergeCell ref="Z9:AH9"/>
  </mergeCells>
  <dataValidations count="20">
    <dataValidation type="list" allowBlank="1" showInputMessage="1" showErrorMessage="1" sqref="AQ13:AQ1048576">
      <formula1>"Demolished,Destroyed"</formula1>
    </dataValidation>
    <dataValidation type="list" allowBlank="1" showInputMessage="1" showErrorMessage="1" sqref="F501:F1048576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5:O8 O10 O1:O3 O14:O32 O34:O43 O45:O54 O56:O1048576">
      <formula1>18264</formula1>
      <formula2>54789</formula2>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O13">
      <formula1>18264</formula1>
      <formula2>54789</formula2>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R for Rental or O for Ownership. Please guess if you do not know. " sqref="G13:G15 G125:G1048576 G83:G85 G87:G92 G94:G96 G98:G99 G101:G102 G104 G110:G113 G55:G81 G115:G117 G120:G121">
      <formula1>"R,O"</formula1>
    </dataValidation>
    <dataValidation type="list" allowBlank="1" showInputMessage="1" showErrorMessage="1" error="Please enter the SFA, SFD, 2 to 4, 5+, ADU, or MH" sqref="F13:F15 F125:F500 F83:F85 F87:F92 F94:F96 F98:F99 F101:F102 F104 F110:F113 F55:F81 F115:F117 F120:F121">
      <formula1>"SFA,SFD,2 to 4,5+,ADU,MH"</formula1>
    </dataValidation>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abSelected="1" zoomScale="90" zoomScaleNormal="90" zoomScaleSheetLayoutView="70" workbookViewId="0">
      <selection activeCell="A2" sqref="A2:N2"/>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8" t="s">
        <v>8</v>
      </c>
      <c r="B1" s="438"/>
      <c r="C1" s="438"/>
      <c r="D1" s="438"/>
      <c r="E1" s="438"/>
      <c r="F1" s="438"/>
      <c r="G1" s="438"/>
      <c r="H1" s="438"/>
      <c r="I1" s="438"/>
      <c r="J1" s="438"/>
      <c r="K1" s="438"/>
      <c r="L1" s="438"/>
      <c r="M1" s="438"/>
      <c r="N1" s="438"/>
      <c r="O1" s="74"/>
      <c r="P1" s="74"/>
      <c r="Q1" s="74"/>
      <c r="R1" s="74"/>
      <c r="S1" s="74"/>
      <c r="T1" s="74"/>
      <c r="U1" s="74"/>
    </row>
    <row r="2" spans="1:21" s="255" customFormat="1" ht="20.25" customHeight="1" x14ac:dyDescent="0.3">
      <c r="A2" s="439" t="s">
        <v>9</v>
      </c>
      <c r="B2" s="439"/>
      <c r="C2" s="439"/>
      <c r="D2" s="439"/>
      <c r="E2" s="439"/>
      <c r="F2" s="439"/>
      <c r="G2" s="439"/>
      <c r="H2" s="439"/>
      <c r="I2" s="439"/>
      <c r="J2" s="439"/>
      <c r="K2" s="439"/>
      <c r="L2" s="439"/>
      <c r="M2" s="439"/>
      <c r="N2" s="439"/>
      <c r="O2" s="75"/>
      <c r="P2" s="75"/>
      <c r="Q2" s="75"/>
      <c r="R2" s="75"/>
      <c r="S2" s="75"/>
      <c r="T2" s="75"/>
      <c r="U2" s="75"/>
    </row>
    <row r="3" spans="1:21" s="255" customFormat="1" ht="24" customHeight="1" thickBot="1" x14ac:dyDescent="0.25">
      <c r="A3" s="434" t="s">
        <v>1376</v>
      </c>
      <c r="B3" s="434"/>
      <c r="C3" s="434"/>
      <c r="D3" s="434"/>
      <c r="E3" s="434"/>
      <c r="F3" s="434"/>
      <c r="G3" s="434"/>
      <c r="H3" s="434"/>
      <c r="I3" s="434"/>
      <c r="J3" s="434"/>
      <c r="K3" s="434"/>
      <c r="L3" s="434"/>
      <c r="M3" s="434"/>
      <c r="N3" s="434"/>
      <c r="O3" s="76"/>
      <c r="P3" s="76"/>
      <c r="Q3" s="76"/>
      <c r="R3" s="76"/>
      <c r="S3" s="76"/>
      <c r="T3" s="76"/>
      <c r="U3" s="76"/>
    </row>
    <row r="4" spans="1:21" s="79" customFormat="1" ht="33.75" customHeight="1" x14ac:dyDescent="0.2">
      <c r="A4" s="319" t="s">
        <v>10</v>
      </c>
      <c r="B4" s="238" t="str">
        <f>'Start Here'!B4:D4</f>
        <v>Orinda</v>
      </c>
      <c r="C4" s="317"/>
      <c r="D4" s="78"/>
      <c r="E4" s="78"/>
      <c r="F4" s="78"/>
      <c r="G4" s="78"/>
      <c r="H4" s="78"/>
      <c r="I4" s="447" t="s">
        <v>1370</v>
      </c>
      <c r="J4" s="448"/>
      <c r="K4" s="448"/>
      <c r="L4" s="448"/>
      <c r="M4" s="449"/>
    </row>
    <row r="5" spans="1:21" s="79" customFormat="1" ht="22.5" customHeight="1" thickBot="1" x14ac:dyDescent="0.35">
      <c r="A5" s="319" t="s">
        <v>36</v>
      </c>
      <c r="B5" s="237">
        <f>'Start Here'!B5:C5</f>
        <v>2018</v>
      </c>
      <c r="C5" s="318" t="str">
        <f>'Table A'!C5</f>
        <v>(Jan. 1 - Dec. 31)</v>
      </c>
      <c r="D5" s="78"/>
      <c r="E5" s="106"/>
      <c r="F5" s="106"/>
      <c r="G5" s="106"/>
      <c r="H5" s="106"/>
      <c r="I5" s="450" t="s">
        <v>1290</v>
      </c>
      <c r="J5" s="451"/>
      <c r="K5" s="451"/>
      <c r="L5" s="451"/>
      <c r="M5" s="452"/>
    </row>
    <row r="7" spans="1:21" ht="18" x14ac:dyDescent="0.25">
      <c r="A7" s="443" t="s">
        <v>13</v>
      </c>
      <c r="B7" s="443"/>
      <c r="C7" s="443"/>
      <c r="D7" s="443"/>
      <c r="E7" s="443"/>
      <c r="F7" s="443"/>
      <c r="G7" s="443"/>
      <c r="H7" s="443"/>
      <c r="I7" s="443"/>
      <c r="J7" s="443"/>
      <c r="K7" s="443"/>
      <c r="L7" s="443"/>
      <c r="M7" s="443"/>
      <c r="N7" s="443"/>
    </row>
    <row r="8" spans="1:21" ht="18" x14ac:dyDescent="0.25">
      <c r="A8" s="443" t="s">
        <v>83</v>
      </c>
      <c r="B8" s="443"/>
      <c r="C8" s="443"/>
      <c r="D8" s="443"/>
      <c r="E8" s="443"/>
      <c r="F8" s="443"/>
      <c r="G8" s="443"/>
      <c r="H8" s="443"/>
      <c r="I8" s="443"/>
      <c r="J8" s="443"/>
      <c r="K8" s="443"/>
      <c r="L8" s="443"/>
      <c r="M8" s="443"/>
      <c r="N8" s="443"/>
    </row>
    <row r="9" spans="1:21" ht="18" x14ac:dyDescent="0.25">
      <c r="A9" s="443" t="s">
        <v>14</v>
      </c>
      <c r="B9" s="443"/>
      <c r="C9" s="443"/>
      <c r="D9" s="443"/>
      <c r="E9" s="443"/>
      <c r="F9" s="443"/>
      <c r="G9" s="443"/>
      <c r="H9" s="443"/>
      <c r="I9" s="443"/>
      <c r="J9" s="443"/>
      <c r="K9" s="443"/>
      <c r="L9" s="443"/>
      <c r="M9" s="443"/>
      <c r="N9" s="443"/>
    </row>
    <row r="10" spans="1:21" x14ac:dyDescent="0.2">
      <c r="A10" s="107"/>
      <c r="B10" s="107"/>
      <c r="C10" s="204">
        <v>1</v>
      </c>
      <c r="D10" s="442">
        <v>2</v>
      </c>
      <c r="E10" s="442"/>
      <c r="F10" s="442"/>
      <c r="G10" s="442"/>
      <c r="H10" s="442"/>
      <c r="I10" s="442"/>
      <c r="J10" s="442"/>
      <c r="K10" s="442"/>
      <c r="L10" s="442"/>
      <c r="M10" s="204">
        <v>3</v>
      </c>
      <c r="N10" s="204">
        <v>4</v>
      </c>
    </row>
    <row r="11" spans="1:21" ht="58.5" customHeight="1" x14ac:dyDescent="0.2">
      <c r="A11" s="456" t="s">
        <v>15</v>
      </c>
      <c r="B11" s="45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40" t="s">
        <v>16</v>
      </c>
      <c r="B12" s="201" t="s">
        <v>5</v>
      </c>
      <c r="C12" s="441">
        <f>VLOOKUP($B$4,'RHNA Allocations'!$C$2:$H$540,2,0)</f>
        <v>84</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6">
        <f>SUM(D12:L12)+SUM(D13:L13)</f>
        <v>0</v>
      </c>
      <c r="N12" s="444">
        <f>MAX(0,C12-M12)</f>
        <v>84</v>
      </c>
    </row>
    <row r="13" spans="1:21" x14ac:dyDescent="0.2">
      <c r="A13" s="440"/>
      <c r="B13" s="201" t="s">
        <v>20</v>
      </c>
      <c r="C13" s="44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5"/>
      <c r="N13" s="445"/>
    </row>
    <row r="14" spans="1:21" x14ac:dyDescent="0.2">
      <c r="A14" s="440" t="s">
        <v>17</v>
      </c>
      <c r="B14" s="201" t="s">
        <v>5</v>
      </c>
      <c r="C14" s="441">
        <f>VLOOKUP($B$4,'RHNA Allocations'!$C$2:$H$540,3,0)</f>
        <v>47</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6">
        <f>SUM(D14:L14)+SUM(D15:L15)</f>
        <v>0</v>
      </c>
      <c r="N14" s="444">
        <f>MAX(0,C14-M14)</f>
        <v>47</v>
      </c>
    </row>
    <row r="15" spans="1:21" x14ac:dyDescent="0.2">
      <c r="A15" s="440"/>
      <c r="B15" s="201" t="s">
        <v>20</v>
      </c>
      <c r="C15" s="44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5"/>
      <c r="N15" s="445"/>
    </row>
    <row r="16" spans="1:21" x14ac:dyDescent="0.2">
      <c r="A16" s="440" t="s">
        <v>18</v>
      </c>
      <c r="B16" s="201" t="s">
        <v>5</v>
      </c>
      <c r="C16" s="441">
        <f>VLOOKUP($B$4,'RHNA Allocations'!$C$2:$H$540,4,0)</f>
        <v>54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6">
        <f>SUM(D16:L16)+SUM(D17:L17)</f>
        <v>13</v>
      </c>
      <c r="N16" s="444">
        <f>MAX(0,C16-M16)</f>
        <v>41</v>
      </c>
    </row>
    <row r="17" spans="1:14" x14ac:dyDescent="0.2">
      <c r="A17" s="440"/>
      <c r="B17" s="201" t="s">
        <v>20</v>
      </c>
      <c r="C17" s="441"/>
      <c r="D17" s="11">
        <f>IF(D$11=$B$5,'Table A2'!$V$12,IF(D$11&lt;$B$5,(VLOOKUP(CONCATENATE($B$4," ",D$11),'RHNA past year values'!$D$2:$V$2433,13,0)),0))</f>
        <v>0</v>
      </c>
      <c r="E17" s="11">
        <f>IF(E$11=$B$5,'Table A2'!$V$12,IF(E$11&lt;$B$5,(VLOOKUP(CONCATENATE($B$4," ",E$11),'RHNA past year values'!$D$2:$V$2433,13,0)),0))</f>
        <v>2</v>
      </c>
      <c r="F17" s="11">
        <f>IF(F$11=$B$5,'Table A2'!$V$12,IF(F$11&lt;$B$5,(VLOOKUP(CONCATENATE($B$4," ",F$11),'RHNA past year values'!$D$2:$V$2433,13,0)),0))</f>
        <v>7</v>
      </c>
      <c r="G17" s="11">
        <f>IF(G$11=$B$5,'Table A2'!$V$12,IF(G$11&lt;$B$5,(VLOOKUP(CONCATENATE($B$4," ",G$11),'RHNA past year values'!$D$2:$V$2433,13,0)),0))</f>
        <v>4</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5"/>
      <c r="N17" s="445"/>
    </row>
    <row r="18" spans="1:14" ht="15" thickBot="1" x14ac:dyDescent="0.25">
      <c r="A18" s="189" t="s">
        <v>19</v>
      </c>
      <c r="B18" s="190"/>
      <c r="C18" s="191">
        <f>VLOOKUP($B$4,'RHNA Allocations'!$C$2:$H$540,5,0)</f>
        <v>42</v>
      </c>
      <c r="D18" s="12">
        <f>IF(D$11=$B$5,'Table A2'!$W$12,IF(D$11&lt;$B$5,(VLOOKUP(CONCATENATE($B$4," ",D$11),'RHNA past year values'!$D$2:$V$2433,16,0)),0))</f>
        <v>44</v>
      </c>
      <c r="E18" s="12">
        <f>IF(E$11=$B$5,'Table A2'!$W$12,IF(E$11&lt;$B$5,(VLOOKUP(CONCATENATE($B$4," ",E$11),'RHNA past year values'!$D$2:$V$2433,16,0)),0))</f>
        <v>53</v>
      </c>
      <c r="F18" s="12">
        <f>IF(F$11=$B$5,'Table A2'!$W$12,IF(F$11&lt;$B$5,(VLOOKUP(CONCATENATE($B$4," ",F$11),'RHNA past year values'!$D$2:$V$2433,16,0)),0))</f>
        <v>37</v>
      </c>
      <c r="G18" s="12">
        <f>IF(G$11=$B$5,'Table A2'!$W$12,IF(G$11&lt;$B$5,(VLOOKUP(CONCATENATE($B$4," ",G$11),'RHNA past year values'!$D$2:$V$2433,16,0)),0))</f>
        <v>51</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185</v>
      </c>
      <c r="N18" s="193">
        <f>MAX(0,C18-M18)</f>
        <v>0</v>
      </c>
    </row>
    <row r="19" spans="1:14" ht="15" thickTop="1" x14ac:dyDescent="0.2">
      <c r="A19" s="453" t="s">
        <v>79</v>
      </c>
      <c r="B19" s="454"/>
      <c r="C19" s="194">
        <f>SUM(C12:C18)</f>
        <v>227</v>
      </c>
      <c r="D19" s="195"/>
      <c r="E19" s="195"/>
      <c r="F19" s="195"/>
      <c r="G19" s="195"/>
      <c r="H19" s="195"/>
      <c r="I19" s="195"/>
      <c r="J19" s="195"/>
      <c r="K19" s="195"/>
      <c r="L19" s="195"/>
      <c r="M19" s="195"/>
      <c r="N19" s="196"/>
    </row>
    <row r="20" spans="1:14" x14ac:dyDescent="0.2">
      <c r="A20" s="455" t="s">
        <v>1375</v>
      </c>
      <c r="B20" s="455"/>
      <c r="C20" s="455"/>
      <c r="D20" s="197">
        <f t="shared" ref="D20:N20" si="0">SUM(D12:D18)</f>
        <v>44</v>
      </c>
      <c r="E20" s="197">
        <f t="shared" si="0"/>
        <v>55</v>
      </c>
      <c r="F20" s="197">
        <f t="shared" si="0"/>
        <v>44</v>
      </c>
      <c r="G20" s="197">
        <f t="shared" si="0"/>
        <v>55</v>
      </c>
      <c r="H20" s="197">
        <f t="shared" si="0"/>
        <v>0</v>
      </c>
      <c r="I20" s="197">
        <f t="shared" si="0"/>
        <v>0</v>
      </c>
      <c r="J20" s="197">
        <f t="shared" si="0"/>
        <v>0</v>
      </c>
      <c r="K20" s="197">
        <f t="shared" si="0"/>
        <v>0</v>
      </c>
      <c r="L20" s="197">
        <f t="shared" si="0"/>
        <v>0</v>
      </c>
      <c r="M20" s="197">
        <f t="shared" si="0"/>
        <v>198</v>
      </c>
      <c r="N20" s="197">
        <f t="shared" si="0"/>
        <v>172</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8" t="s">
        <v>8</v>
      </c>
      <c r="B1" s="438"/>
      <c r="C1" s="438"/>
      <c r="D1" s="438"/>
      <c r="E1" s="438"/>
      <c r="F1" s="438"/>
      <c r="G1" s="438"/>
      <c r="H1" s="438"/>
      <c r="I1" s="438"/>
      <c r="J1" s="438"/>
      <c r="K1" s="438"/>
      <c r="L1" s="438"/>
      <c r="M1" s="438"/>
      <c r="N1" s="438"/>
      <c r="O1" s="438"/>
      <c r="P1" s="438"/>
      <c r="Q1" s="438"/>
      <c r="R1" s="74"/>
      <c r="S1" s="74"/>
      <c r="T1" s="74"/>
      <c r="U1" s="74"/>
      <c r="V1" s="74"/>
      <c r="W1" s="74"/>
      <c r="X1" s="74"/>
      <c r="Y1" s="74"/>
    </row>
    <row r="2" spans="1:25" s="255" customFormat="1" ht="20.25" customHeight="1" x14ac:dyDescent="0.3">
      <c r="A2" s="439" t="s">
        <v>9</v>
      </c>
      <c r="B2" s="439"/>
      <c r="C2" s="439"/>
      <c r="D2" s="439"/>
      <c r="E2" s="439"/>
      <c r="F2" s="439"/>
      <c r="G2" s="439"/>
      <c r="H2" s="439"/>
      <c r="I2" s="439"/>
      <c r="J2" s="439"/>
      <c r="K2" s="439"/>
      <c r="L2" s="439"/>
      <c r="M2" s="439"/>
      <c r="N2" s="439"/>
      <c r="O2" s="439"/>
      <c r="P2" s="439"/>
      <c r="Q2" s="439"/>
      <c r="R2" s="75"/>
      <c r="S2" s="75"/>
      <c r="T2" s="75"/>
      <c r="U2" s="75"/>
      <c r="V2" s="75"/>
      <c r="W2" s="75"/>
      <c r="X2" s="75"/>
      <c r="Y2" s="75"/>
    </row>
    <row r="3" spans="1:25" s="255" customFormat="1" ht="15.75" customHeight="1" x14ac:dyDescent="0.2">
      <c r="A3" s="434" t="s">
        <v>1376</v>
      </c>
      <c r="B3" s="434"/>
      <c r="C3" s="434"/>
      <c r="D3" s="434"/>
      <c r="E3" s="434"/>
      <c r="F3" s="434"/>
      <c r="G3" s="434"/>
      <c r="H3" s="434"/>
      <c r="I3" s="434"/>
      <c r="J3" s="434"/>
      <c r="K3" s="434"/>
      <c r="L3" s="434"/>
      <c r="M3" s="434"/>
      <c r="N3" s="434"/>
      <c r="O3" s="434"/>
      <c r="P3" s="434"/>
      <c r="Q3" s="434"/>
      <c r="R3" s="76"/>
      <c r="S3" s="76"/>
      <c r="T3" s="76"/>
      <c r="U3" s="76"/>
      <c r="V3" s="76"/>
      <c r="W3" s="76"/>
      <c r="X3" s="76"/>
      <c r="Y3" s="76"/>
    </row>
    <row r="4" spans="1:25" s="79" customFormat="1" ht="25.5" customHeight="1" x14ac:dyDescent="0.2">
      <c r="A4" s="316" t="s">
        <v>10</v>
      </c>
      <c r="B4" s="238" t="str">
        <f>'Start Here'!B4:D4</f>
        <v>Orinda</v>
      </c>
      <c r="C4" s="317"/>
      <c r="D4" s="78"/>
      <c r="E4" s="78"/>
      <c r="I4" s="78"/>
      <c r="J4" s="78"/>
      <c r="K4" s="427" t="s">
        <v>1374</v>
      </c>
      <c r="L4" s="428"/>
      <c r="M4" s="428"/>
      <c r="N4" s="429"/>
    </row>
    <row r="5" spans="1:25" s="79" customFormat="1" ht="25.5" customHeight="1" x14ac:dyDescent="0.2">
      <c r="A5" s="316" t="s">
        <v>36</v>
      </c>
      <c r="B5" s="237">
        <f>'Start Here'!B5</f>
        <v>2018</v>
      </c>
      <c r="C5" s="318" t="str">
        <f>'Table A2'!C5</f>
        <v>(Jan. 1 - Dec. 31)</v>
      </c>
      <c r="D5" s="80"/>
      <c r="E5" s="80"/>
      <c r="I5" s="78"/>
      <c r="J5" s="78"/>
      <c r="K5" s="430" t="s">
        <v>106</v>
      </c>
      <c r="L5" s="431"/>
      <c r="M5" s="431"/>
      <c r="N5" s="432"/>
    </row>
    <row r="6" spans="1:25" s="79" customFormat="1" ht="20.25" customHeight="1" x14ac:dyDescent="0.35">
      <c r="A6" s="77"/>
      <c r="B6" s="281"/>
      <c r="C6" s="80"/>
      <c r="D6" s="80"/>
      <c r="E6" s="80"/>
      <c r="I6" s="94"/>
      <c r="J6" s="94"/>
      <c r="K6" s="94"/>
      <c r="L6" s="94"/>
      <c r="M6" s="94"/>
      <c r="N6" s="94"/>
    </row>
    <row r="8" spans="1:25" s="241" customFormat="1" ht="15.75" x14ac:dyDescent="0.25">
      <c r="A8" s="468" t="s">
        <v>21</v>
      </c>
      <c r="B8" s="468"/>
      <c r="C8" s="468"/>
      <c r="D8" s="468"/>
      <c r="E8" s="468"/>
      <c r="F8" s="468"/>
      <c r="G8" s="468"/>
      <c r="H8" s="468"/>
      <c r="I8" s="468"/>
      <c r="J8" s="468"/>
      <c r="K8" s="468"/>
      <c r="L8" s="468"/>
      <c r="M8" s="468"/>
      <c r="N8" s="468"/>
      <c r="O8" s="468"/>
      <c r="P8" s="468"/>
      <c r="Q8" s="468"/>
      <c r="R8" s="469"/>
    </row>
    <row r="9" spans="1:25" s="241" customFormat="1" ht="15.75" x14ac:dyDescent="0.25">
      <c r="A9" s="465" t="s">
        <v>49</v>
      </c>
      <c r="B9" s="466"/>
      <c r="C9" s="466"/>
      <c r="D9" s="466"/>
      <c r="E9" s="466"/>
      <c r="F9" s="466"/>
      <c r="G9" s="466"/>
      <c r="H9" s="466"/>
      <c r="I9" s="466"/>
      <c r="J9" s="466"/>
      <c r="K9" s="466"/>
      <c r="L9" s="466"/>
      <c r="M9" s="466"/>
      <c r="N9" s="466"/>
      <c r="O9" s="466"/>
      <c r="P9" s="466"/>
      <c r="Q9" s="466"/>
      <c r="R9" s="467"/>
    </row>
    <row r="10" spans="1:25" s="282" customFormat="1" ht="39.75" customHeight="1" x14ac:dyDescent="0.25">
      <c r="A10" s="411" t="s">
        <v>43</v>
      </c>
      <c r="B10" s="462"/>
      <c r="C10" s="462"/>
      <c r="D10" s="462"/>
      <c r="E10" s="199" t="s">
        <v>53</v>
      </c>
      <c r="F10" s="411" t="s">
        <v>50</v>
      </c>
      <c r="G10" s="462"/>
      <c r="H10" s="462"/>
      <c r="I10" s="462"/>
      <c r="J10" s="199" t="s">
        <v>116</v>
      </c>
      <c r="K10" s="411" t="s">
        <v>117</v>
      </c>
      <c r="L10" s="463"/>
      <c r="M10" s="463"/>
      <c r="N10" s="463"/>
      <c r="O10" s="463"/>
      <c r="P10" s="463"/>
      <c r="Q10" s="463"/>
      <c r="R10" s="463"/>
    </row>
    <row r="11" spans="1:25" s="97" customFormat="1" x14ac:dyDescent="0.2">
      <c r="A11" s="459">
        <v>1</v>
      </c>
      <c r="B11" s="464"/>
      <c r="C11" s="464"/>
      <c r="D11" s="461"/>
      <c r="E11" s="205">
        <v>2</v>
      </c>
      <c r="F11" s="459">
        <v>3</v>
      </c>
      <c r="G11" s="460"/>
      <c r="H11" s="460"/>
      <c r="I11" s="461"/>
      <c r="J11" s="92">
        <v>4</v>
      </c>
      <c r="K11" s="204">
        <v>5</v>
      </c>
      <c r="L11" s="204">
        <v>6</v>
      </c>
      <c r="M11" s="204">
        <v>7</v>
      </c>
      <c r="N11" s="442">
        <v>8</v>
      </c>
      <c r="O11" s="442"/>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57" t="s">
        <v>136</v>
      </c>
      <c r="B13" s="458"/>
      <c r="C13" s="458"/>
      <c r="D13" s="458"/>
      <c r="E13" s="458"/>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0" zoomScaleNormal="90" zoomScaleSheetLayoutView="90" workbookViewId="0">
      <pane ySplit="11" topLeftCell="A12" activePane="bottomLeft" state="frozen"/>
      <selection pane="bottomLeft" activeCell="D36" sqref="D36"/>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83" t="s">
        <v>8</v>
      </c>
      <c r="B1" s="484"/>
      <c r="C1" s="484"/>
      <c r="D1" s="484"/>
      <c r="E1" s="207"/>
      <c r="F1" s="207"/>
      <c r="G1" s="3"/>
      <c r="H1" s="3"/>
      <c r="I1" s="3"/>
      <c r="J1" s="3"/>
      <c r="K1" s="3"/>
      <c r="L1" s="3"/>
      <c r="M1" s="3"/>
      <c r="N1" s="3"/>
      <c r="O1" s="3"/>
      <c r="P1" s="3"/>
      <c r="Q1" s="3"/>
      <c r="R1" s="3"/>
      <c r="S1" s="3"/>
      <c r="T1" s="3"/>
      <c r="U1" s="3"/>
      <c r="V1" s="3"/>
    </row>
    <row r="2" spans="1:22" s="278" customFormat="1" ht="20.25" customHeight="1" x14ac:dyDescent="0.3">
      <c r="A2" s="485" t="s">
        <v>9</v>
      </c>
      <c r="B2" s="484"/>
      <c r="C2" s="484"/>
      <c r="D2" s="484"/>
      <c r="E2" s="208"/>
      <c r="F2" s="208"/>
      <c r="G2" s="4"/>
      <c r="H2" s="4"/>
      <c r="I2" s="4"/>
      <c r="J2" s="4"/>
      <c r="K2" s="4"/>
      <c r="L2" s="4"/>
      <c r="M2" s="4"/>
      <c r="N2" s="4"/>
      <c r="O2" s="4"/>
      <c r="P2" s="4"/>
      <c r="Q2" s="4"/>
      <c r="R2" s="4"/>
      <c r="S2" s="4"/>
      <c r="T2" s="4"/>
      <c r="U2" s="4"/>
      <c r="V2" s="4"/>
    </row>
    <row r="3" spans="1:22" s="278" customFormat="1" ht="15.75" customHeight="1" x14ac:dyDescent="0.2">
      <c r="A3" s="486" t="s">
        <v>1376</v>
      </c>
      <c r="B3" s="484"/>
      <c r="C3" s="484"/>
      <c r="D3" s="484"/>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Orinda</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82" t="s">
        <v>26</v>
      </c>
      <c r="B7" s="482"/>
      <c r="C7" s="482"/>
      <c r="D7" s="482"/>
    </row>
    <row r="8" spans="1:22" ht="15.75" x14ac:dyDescent="0.2">
      <c r="A8" s="482" t="s">
        <v>41</v>
      </c>
      <c r="B8" s="482"/>
      <c r="C8" s="482"/>
      <c r="D8" s="482"/>
    </row>
    <row r="9" spans="1:22" s="17" customFormat="1" ht="52.5" customHeight="1" x14ac:dyDescent="0.2">
      <c r="A9" s="479" t="s">
        <v>42</v>
      </c>
      <c r="B9" s="480"/>
      <c r="C9" s="480"/>
      <c r="D9" s="481"/>
    </row>
    <row r="10" spans="1:22" s="17" customFormat="1" ht="18.75" customHeight="1" x14ac:dyDescent="0.2">
      <c r="A10" s="212">
        <v>1</v>
      </c>
      <c r="B10" s="212">
        <v>2</v>
      </c>
      <c r="C10" s="212">
        <v>3</v>
      </c>
      <c r="D10" s="211">
        <v>4</v>
      </c>
    </row>
    <row r="11" spans="1:22" s="17" customFormat="1" ht="24.75" customHeight="1" thickBot="1" x14ac:dyDescent="0.25">
      <c r="A11" s="211" t="s">
        <v>27</v>
      </c>
      <c r="B11" s="211" t="s">
        <v>28</v>
      </c>
      <c r="C11" s="211" t="s">
        <v>38</v>
      </c>
      <c r="D11" s="211" t="s">
        <v>29</v>
      </c>
    </row>
    <row r="12" spans="1:22" s="292" customFormat="1" ht="256.5" thickTop="1" thickBot="1" x14ac:dyDescent="0.3">
      <c r="A12" s="371" t="s">
        <v>1627</v>
      </c>
      <c r="B12" s="275" t="s">
        <v>1628</v>
      </c>
      <c r="C12" s="373" t="s">
        <v>1630</v>
      </c>
      <c r="D12" s="371" t="s">
        <v>1629</v>
      </c>
    </row>
    <row r="13" spans="1:22" s="292" customFormat="1" ht="256.5" thickTop="1" thickBot="1" x14ac:dyDescent="0.3">
      <c r="A13" s="371" t="s">
        <v>1631</v>
      </c>
      <c r="B13" s="372" t="s">
        <v>1632</v>
      </c>
      <c r="C13" s="377">
        <v>42004</v>
      </c>
      <c r="D13" s="374" t="s">
        <v>1633</v>
      </c>
    </row>
    <row r="14" spans="1:22" s="292" customFormat="1" ht="409.6" thickTop="1" x14ac:dyDescent="0.25">
      <c r="A14" s="371" t="s">
        <v>1635</v>
      </c>
      <c r="B14" s="275"/>
      <c r="C14" s="375" t="s">
        <v>1636</v>
      </c>
      <c r="D14" s="376" t="s">
        <v>1707</v>
      </c>
    </row>
    <row r="15" spans="1:22" s="292" customFormat="1" ht="204" x14ac:dyDescent="0.25">
      <c r="A15" s="374" t="s">
        <v>1637</v>
      </c>
      <c r="B15" s="372" t="s">
        <v>1638</v>
      </c>
      <c r="C15" s="377" t="s">
        <v>1636</v>
      </c>
      <c r="D15" s="374" t="s">
        <v>1708</v>
      </c>
    </row>
    <row r="16" spans="1:22" s="292" customFormat="1" ht="204" x14ac:dyDescent="0.25">
      <c r="A16" s="374" t="s">
        <v>1634</v>
      </c>
      <c r="B16" s="275" t="s">
        <v>1706</v>
      </c>
      <c r="C16" s="375" t="s">
        <v>1636</v>
      </c>
      <c r="D16" s="328" t="s">
        <v>1709</v>
      </c>
    </row>
    <row r="17" spans="1:4" s="292" customFormat="1" ht="204" x14ac:dyDescent="0.25">
      <c r="A17" s="374" t="s">
        <v>1639</v>
      </c>
      <c r="B17" s="372" t="s">
        <v>1644</v>
      </c>
      <c r="C17" s="375" t="s">
        <v>1636</v>
      </c>
      <c r="D17" s="374" t="s">
        <v>1646</v>
      </c>
    </row>
    <row r="18" spans="1:4" s="292" customFormat="1" ht="204" x14ac:dyDescent="0.25">
      <c r="A18" s="374" t="s">
        <v>1640</v>
      </c>
      <c r="B18" s="372" t="s">
        <v>1644</v>
      </c>
      <c r="C18" s="377" t="s">
        <v>1636</v>
      </c>
      <c r="D18" s="374" t="s">
        <v>1645</v>
      </c>
    </row>
    <row r="19" spans="1:4" s="292" customFormat="1" ht="178.5" x14ac:dyDescent="0.25">
      <c r="A19" s="374" t="s">
        <v>1641</v>
      </c>
      <c r="B19" s="372" t="s">
        <v>1642</v>
      </c>
      <c r="C19" s="377" t="s">
        <v>1636</v>
      </c>
      <c r="D19" s="374" t="s">
        <v>1643</v>
      </c>
    </row>
    <row r="20" spans="1:4" s="292" customFormat="1" ht="140.25" x14ac:dyDescent="0.25">
      <c r="A20" s="374" t="s">
        <v>1647</v>
      </c>
      <c r="B20" s="372" t="s">
        <v>1648</v>
      </c>
      <c r="C20" s="375" t="s">
        <v>1649</v>
      </c>
      <c r="D20" s="374" t="s">
        <v>1650</v>
      </c>
    </row>
    <row r="21" spans="1:4" s="292" customFormat="1" ht="306" x14ac:dyDescent="0.25">
      <c r="A21" s="372" t="s">
        <v>1651</v>
      </c>
      <c r="B21" s="372" t="s">
        <v>1652</v>
      </c>
      <c r="C21" s="378" t="s">
        <v>1653</v>
      </c>
      <c r="D21" s="372" t="s">
        <v>1710</v>
      </c>
    </row>
    <row r="22" spans="1:4" s="292" customFormat="1" ht="114.75" x14ac:dyDescent="0.25">
      <c r="A22" s="374" t="s">
        <v>1654</v>
      </c>
      <c r="B22" s="372" t="s">
        <v>1655</v>
      </c>
      <c r="C22" s="377" t="s">
        <v>1636</v>
      </c>
      <c r="D22" s="374" t="s">
        <v>1656</v>
      </c>
    </row>
    <row r="23" spans="1:4" s="292" customFormat="1" ht="102" x14ac:dyDescent="0.25">
      <c r="A23" s="374" t="s">
        <v>1657</v>
      </c>
      <c r="B23" s="372" t="s">
        <v>1658</v>
      </c>
      <c r="C23" s="377" t="s">
        <v>1636</v>
      </c>
      <c r="D23" s="374" t="s">
        <v>1659</v>
      </c>
    </row>
    <row r="24" spans="1:4" s="292" customFormat="1" ht="127.5" x14ac:dyDescent="0.25">
      <c r="A24" s="374" t="s">
        <v>1660</v>
      </c>
      <c r="B24" s="372" t="s">
        <v>1658</v>
      </c>
      <c r="C24" s="379">
        <v>2015</v>
      </c>
      <c r="D24" s="374" t="s">
        <v>1711</v>
      </c>
    </row>
    <row r="25" spans="1:4" s="292" customFormat="1" ht="89.25" x14ac:dyDescent="0.25">
      <c r="A25" s="374" t="s">
        <v>1661</v>
      </c>
      <c r="B25" s="372" t="s">
        <v>1662</v>
      </c>
      <c r="C25" s="377" t="s">
        <v>1636</v>
      </c>
      <c r="D25" s="374" t="s">
        <v>1663</v>
      </c>
    </row>
    <row r="26" spans="1:4" s="292" customFormat="1" ht="102" x14ac:dyDescent="0.25">
      <c r="A26" s="374" t="s">
        <v>1664</v>
      </c>
      <c r="B26" s="372" t="s">
        <v>1662</v>
      </c>
      <c r="C26" s="377" t="s">
        <v>1636</v>
      </c>
      <c r="D26" s="374" t="s">
        <v>1665</v>
      </c>
    </row>
    <row r="27" spans="1:4" s="292" customFormat="1" ht="63.75" x14ac:dyDescent="0.25">
      <c r="A27" s="374" t="s">
        <v>1666</v>
      </c>
      <c r="B27" s="372" t="s">
        <v>1667</v>
      </c>
      <c r="C27" s="375" t="s">
        <v>1668</v>
      </c>
      <c r="D27" s="374" t="s">
        <v>1669</v>
      </c>
    </row>
    <row r="28" spans="1:4" s="292" customFormat="1" ht="267.75" x14ac:dyDescent="0.25">
      <c r="A28" s="374" t="s">
        <v>1670</v>
      </c>
      <c r="B28" s="372" t="s">
        <v>1671</v>
      </c>
      <c r="C28" s="375" t="s">
        <v>1649</v>
      </c>
      <c r="D28" s="374" t="s">
        <v>1672</v>
      </c>
    </row>
    <row r="29" spans="1:4" s="292" customFormat="1" ht="140.25" x14ac:dyDescent="0.25">
      <c r="A29" s="374" t="s">
        <v>1673</v>
      </c>
      <c r="B29" s="372" t="s">
        <v>1674</v>
      </c>
      <c r="C29" s="379">
        <v>2016</v>
      </c>
      <c r="D29" s="374" t="s">
        <v>1675</v>
      </c>
    </row>
    <row r="30" spans="1:4" s="292" customFormat="1" ht="409.5" x14ac:dyDescent="0.25">
      <c r="A30" s="374" t="s">
        <v>1676</v>
      </c>
      <c r="B30" s="372" t="s">
        <v>1677</v>
      </c>
      <c r="C30" s="377" t="s">
        <v>1636</v>
      </c>
      <c r="D30" s="374" t="s">
        <v>1678</v>
      </c>
    </row>
    <row r="31" spans="1:4" s="292" customFormat="1" ht="409.5" x14ac:dyDescent="0.25">
      <c r="A31" s="374" t="s">
        <v>1679</v>
      </c>
      <c r="B31" s="372" t="s">
        <v>1680</v>
      </c>
      <c r="C31" s="377" t="s">
        <v>1681</v>
      </c>
      <c r="D31" s="374" t="s">
        <v>1682</v>
      </c>
    </row>
    <row r="32" spans="1:4" s="292" customFormat="1" ht="89.25" x14ac:dyDescent="0.25">
      <c r="A32" s="374" t="s">
        <v>1686</v>
      </c>
      <c r="B32" s="372" t="s">
        <v>1687</v>
      </c>
      <c r="C32" s="377" t="s">
        <v>1688</v>
      </c>
      <c r="D32" s="374" t="s">
        <v>1682</v>
      </c>
    </row>
    <row r="33" spans="1:4" s="292" customFormat="1" ht="229.5" x14ac:dyDescent="0.25">
      <c r="A33" s="374" t="s">
        <v>1683</v>
      </c>
      <c r="B33" s="372" t="s">
        <v>1684</v>
      </c>
      <c r="C33" s="377" t="s">
        <v>1636</v>
      </c>
      <c r="D33" s="374" t="s">
        <v>1685</v>
      </c>
    </row>
    <row r="34" spans="1:4" s="292" customFormat="1" ht="114.75" x14ac:dyDescent="0.25">
      <c r="A34" s="374" t="s">
        <v>1689</v>
      </c>
      <c r="B34" s="372" t="s">
        <v>1690</v>
      </c>
      <c r="C34" s="379">
        <v>2016</v>
      </c>
      <c r="D34" s="374" t="s">
        <v>1691</v>
      </c>
    </row>
    <row r="35" spans="1:4" s="292" customFormat="1" ht="114.75" x14ac:dyDescent="0.25">
      <c r="A35" s="374" t="s">
        <v>1692</v>
      </c>
      <c r="B35" s="372" t="s">
        <v>1693</v>
      </c>
      <c r="C35" s="377" t="s">
        <v>1636</v>
      </c>
      <c r="D35" s="374" t="s">
        <v>1694</v>
      </c>
    </row>
    <row r="36" spans="1:4" s="292" customFormat="1" ht="114.75" x14ac:dyDescent="0.25">
      <c r="A36" s="374" t="s">
        <v>1695</v>
      </c>
      <c r="B36" s="372" t="s">
        <v>1696</v>
      </c>
      <c r="C36" s="377" t="s">
        <v>1697</v>
      </c>
      <c r="D36" s="374" t="s">
        <v>1712</v>
      </c>
    </row>
    <row r="37" spans="1:4" s="292" customFormat="1" ht="178.5" x14ac:dyDescent="0.25">
      <c r="A37" s="374" t="s">
        <v>1698</v>
      </c>
      <c r="B37" s="372" t="s">
        <v>1699</v>
      </c>
      <c r="C37" s="377" t="s">
        <v>1636</v>
      </c>
      <c r="D37" s="374" t="s">
        <v>1713</v>
      </c>
    </row>
    <row r="38" spans="1:4" s="292" customFormat="1" ht="140.25" x14ac:dyDescent="0.25">
      <c r="A38" s="374" t="s">
        <v>1700</v>
      </c>
      <c r="B38" s="372" t="s">
        <v>1701</v>
      </c>
      <c r="C38" s="377" t="s">
        <v>1636</v>
      </c>
      <c r="D38" s="374" t="s">
        <v>1702</v>
      </c>
    </row>
    <row r="39" spans="1:4" s="292" customFormat="1" ht="229.5" x14ac:dyDescent="0.25">
      <c r="A39" s="374" t="s">
        <v>1703</v>
      </c>
      <c r="B39" s="372" t="s">
        <v>1704</v>
      </c>
      <c r="C39" s="377" t="s">
        <v>1636</v>
      </c>
      <c r="D39" s="374" t="s">
        <v>1705</v>
      </c>
    </row>
    <row r="40" spans="1:4" s="292" customFormat="1" ht="12.75" x14ac:dyDescent="0.25">
      <c r="A40" s="275"/>
      <c r="B40" s="275"/>
      <c r="C40" s="275"/>
      <c r="D40" s="275"/>
    </row>
    <row r="41" spans="1:4" s="292" customFormat="1" ht="12.75" x14ac:dyDescent="0.25">
      <c r="A41" s="275"/>
      <c r="B41" s="275"/>
      <c r="C41" s="275"/>
      <c r="D41" s="275"/>
    </row>
    <row r="42" spans="1:4" s="292" customFormat="1" ht="12.75" x14ac:dyDescent="0.25">
      <c r="A42" s="275"/>
      <c r="B42" s="275"/>
      <c r="C42" s="275"/>
      <c r="D42" s="275"/>
    </row>
    <row r="43" spans="1:4" s="292" customFormat="1" ht="12.75" x14ac:dyDescent="0.25">
      <c r="A43" s="275"/>
      <c r="B43" s="275"/>
      <c r="C43" s="275"/>
      <c r="D43" s="275"/>
    </row>
    <row r="44" spans="1:4" s="292" customFormat="1" ht="12.75" x14ac:dyDescent="0.25">
      <c r="A44" s="275"/>
      <c r="B44" s="275"/>
      <c r="C44" s="275"/>
      <c r="D44" s="275"/>
    </row>
    <row r="45" spans="1:4" s="292" customFormat="1" ht="12.75" x14ac:dyDescent="0.25">
      <c r="A45" s="275"/>
      <c r="B45" s="275"/>
      <c r="C45" s="275"/>
      <c r="D45" s="275"/>
    </row>
    <row r="46" spans="1:4" s="292" customFormat="1" ht="12.75" x14ac:dyDescent="0.25">
      <c r="A46" s="275"/>
      <c r="B46" s="275"/>
      <c r="C46" s="275"/>
      <c r="D46" s="275"/>
    </row>
    <row r="47" spans="1:4" s="292" customFormat="1" ht="12.75" x14ac:dyDescent="0.25">
      <c r="A47" s="275"/>
      <c r="B47" s="275"/>
      <c r="C47" s="275"/>
      <c r="D47" s="275"/>
    </row>
    <row r="48" spans="1:4" s="292" customFormat="1" ht="12.75" x14ac:dyDescent="0.25">
      <c r="A48" s="275"/>
      <c r="B48" s="275"/>
      <c r="C48" s="275"/>
      <c r="D48" s="275"/>
    </row>
    <row r="49" spans="1:4" s="292" customFormat="1" ht="12.75" x14ac:dyDescent="0.25">
      <c r="A49" s="275"/>
      <c r="B49" s="275"/>
      <c r="C49" s="275"/>
      <c r="D49" s="275"/>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70"/>
      <c r="B121" s="471"/>
      <c r="C121" s="471"/>
      <c r="D121" s="472"/>
    </row>
    <row r="122" spans="1:4" s="17" customFormat="1" ht="12.75" x14ac:dyDescent="0.2">
      <c r="A122" s="473"/>
      <c r="B122" s="474"/>
      <c r="C122" s="474"/>
      <c r="D122" s="475"/>
    </row>
    <row r="123" spans="1:4" s="17" customFormat="1" ht="12.75" x14ac:dyDescent="0.2">
      <c r="A123" s="473"/>
      <c r="B123" s="474"/>
      <c r="C123" s="474"/>
      <c r="D123" s="475"/>
    </row>
    <row r="124" spans="1:4" s="17" customFormat="1" ht="12.75" x14ac:dyDescent="0.2">
      <c r="A124" s="473"/>
      <c r="B124" s="474"/>
      <c r="C124" s="474"/>
      <c r="D124" s="475"/>
    </row>
    <row r="125" spans="1:4" s="17" customFormat="1" ht="12.75" x14ac:dyDescent="0.2">
      <c r="A125" s="473"/>
      <c r="B125" s="474"/>
      <c r="C125" s="474"/>
      <c r="D125" s="475"/>
    </row>
    <row r="126" spans="1:4" s="17" customFormat="1" ht="12.75" x14ac:dyDescent="0.2">
      <c r="A126" s="473"/>
      <c r="B126" s="474"/>
      <c r="C126" s="474"/>
      <c r="D126" s="475"/>
    </row>
    <row r="127" spans="1:4" s="17" customFormat="1" ht="12.75" x14ac:dyDescent="0.2">
      <c r="A127" s="473"/>
      <c r="B127" s="474"/>
      <c r="C127" s="474"/>
      <c r="D127" s="475"/>
    </row>
    <row r="128" spans="1:4" s="17" customFormat="1" ht="12.75" x14ac:dyDescent="0.2">
      <c r="A128" s="476"/>
      <c r="B128" s="477"/>
      <c r="C128" s="477"/>
      <c r="D128" s="478"/>
    </row>
  </sheetData>
  <sheetProtection algorithmName="SHA-512" hashValue="JbB2zjr3LJJGEle4W+boLmxcxw2S3JRzK5oPDaX1/yqwfwvsG2V8OmiqxU+i8OITZqM0G7lQwCyZsH0L0kGtYQ==" saltValue="YVhgceSRAwTpOuG0YyX6o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D12 C14:C118"/>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8" t="s">
        <v>8</v>
      </c>
      <c r="B1" s="438"/>
      <c r="C1" s="438"/>
      <c r="D1" s="438"/>
      <c r="E1" s="438"/>
      <c r="F1" s="438"/>
      <c r="G1" s="438"/>
      <c r="H1" s="438"/>
      <c r="I1" s="438"/>
      <c r="J1" s="74"/>
      <c r="K1" s="74"/>
      <c r="L1" s="74"/>
      <c r="M1" s="74"/>
      <c r="N1" s="74"/>
      <c r="O1" s="74"/>
      <c r="P1" s="74"/>
      <c r="Q1" s="74"/>
      <c r="R1" s="74"/>
      <c r="S1" s="74"/>
      <c r="T1" s="74"/>
      <c r="U1" s="74"/>
      <c r="V1" s="74"/>
    </row>
    <row r="2" spans="1:22" s="255" customFormat="1" ht="20.25" customHeight="1" x14ac:dyDescent="0.3">
      <c r="A2" s="439" t="s">
        <v>9</v>
      </c>
      <c r="B2" s="439"/>
      <c r="C2" s="439"/>
      <c r="D2" s="439"/>
      <c r="E2" s="439"/>
      <c r="F2" s="439"/>
      <c r="G2" s="439"/>
      <c r="H2" s="439"/>
      <c r="I2" s="439"/>
      <c r="J2" s="75"/>
      <c r="K2" s="75"/>
      <c r="L2" s="75"/>
      <c r="M2" s="75"/>
      <c r="N2" s="75"/>
      <c r="O2" s="75"/>
      <c r="P2" s="75"/>
      <c r="Q2" s="75"/>
      <c r="R2" s="75"/>
      <c r="S2" s="75"/>
      <c r="T2" s="75"/>
      <c r="U2" s="75"/>
      <c r="V2" s="75"/>
    </row>
    <row r="3" spans="1:22" s="255" customFormat="1" ht="15.75" customHeight="1" x14ac:dyDescent="0.2">
      <c r="A3" s="434" t="s">
        <v>1376</v>
      </c>
      <c r="B3" s="434"/>
      <c r="C3" s="434"/>
      <c r="D3" s="434"/>
      <c r="E3" s="434"/>
      <c r="F3" s="434"/>
      <c r="G3" s="434"/>
      <c r="H3" s="434"/>
      <c r="I3" s="434"/>
      <c r="J3" s="76"/>
      <c r="K3" s="76"/>
      <c r="L3" s="76"/>
      <c r="M3" s="76"/>
      <c r="N3" s="76"/>
      <c r="O3" s="76"/>
      <c r="P3" s="76"/>
      <c r="Q3" s="76"/>
      <c r="R3" s="76"/>
      <c r="S3" s="76"/>
      <c r="T3" s="76"/>
      <c r="U3" s="76"/>
      <c r="V3" s="76"/>
    </row>
    <row r="4" spans="1:22" s="79" customFormat="1" ht="25.5" customHeight="1" x14ac:dyDescent="0.2">
      <c r="A4" s="316" t="s">
        <v>10</v>
      </c>
      <c r="B4" s="238" t="str">
        <f>'Start Here'!B4:D4</f>
        <v>Orinda</v>
      </c>
      <c r="C4" s="317"/>
      <c r="D4" s="78"/>
      <c r="E4" s="78"/>
      <c r="F4" s="78"/>
      <c r="G4" s="78"/>
      <c r="H4" s="427" t="s">
        <v>1374</v>
      </c>
      <c r="I4" s="428"/>
      <c r="J4" s="429"/>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91" t="s">
        <v>30</v>
      </c>
      <c r="B8" s="491"/>
      <c r="C8" s="491"/>
      <c r="D8" s="491"/>
      <c r="E8" s="491"/>
      <c r="F8" s="491"/>
      <c r="G8" s="491"/>
      <c r="H8" s="491"/>
      <c r="I8" s="491"/>
      <c r="J8" s="469"/>
    </row>
    <row r="9" spans="1:22" s="241" customFormat="1" ht="15.75" x14ac:dyDescent="0.2">
      <c r="A9" s="491" t="s">
        <v>37</v>
      </c>
      <c r="B9" s="491"/>
      <c r="C9" s="491"/>
      <c r="D9" s="491"/>
      <c r="E9" s="491"/>
      <c r="F9" s="491"/>
      <c r="G9" s="491"/>
      <c r="H9" s="491"/>
      <c r="I9" s="491"/>
      <c r="J9" s="469"/>
    </row>
    <row r="10" spans="1:22" s="241" customFormat="1" ht="45" customHeight="1" x14ac:dyDescent="0.2">
      <c r="A10" s="435" t="s">
        <v>43</v>
      </c>
      <c r="B10" s="492"/>
      <c r="C10" s="492"/>
      <c r="D10" s="493"/>
      <c r="E10" s="490" t="s">
        <v>31</v>
      </c>
      <c r="F10" s="490"/>
      <c r="G10" s="490"/>
      <c r="H10" s="490"/>
      <c r="I10" s="210" t="s">
        <v>32</v>
      </c>
      <c r="J10" s="210" t="s">
        <v>33</v>
      </c>
    </row>
    <row r="11" spans="1:22" s="241" customFormat="1" ht="14.25" customHeight="1" x14ac:dyDescent="0.2">
      <c r="A11" s="412">
        <v>1</v>
      </c>
      <c r="B11" s="413"/>
      <c r="C11" s="413"/>
      <c r="D11" s="415"/>
      <c r="E11" s="412">
        <v>2</v>
      </c>
      <c r="F11" s="414"/>
      <c r="G11" s="414"/>
      <c r="H11" s="415"/>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7" t="s">
        <v>136</v>
      </c>
      <c r="B13" s="488"/>
      <c r="C13" s="489"/>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83" t="s">
        <v>8</v>
      </c>
      <c r="B1" s="483"/>
      <c r="C1" s="483"/>
      <c r="D1" s="483"/>
      <c r="E1" s="483"/>
      <c r="F1" s="483"/>
      <c r="G1" s="483"/>
      <c r="H1" s="483"/>
      <c r="I1" s="483"/>
      <c r="J1" s="483"/>
      <c r="K1" s="3"/>
      <c r="L1" s="3"/>
      <c r="M1" s="3"/>
      <c r="N1" s="3"/>
      <c r="O1" s="3"/>
      <c r="P1" s="3"/>
      <c r="Q1" s="3"/>
      <c r="R1" s="3"/>
      <c r="S1" s="3"/>
      <c r="T1" s="3"/>
      <c r="U1" s="3"/>
    </row>
    <row r="2" spans="1:21" s="278" customFormat="1" ht="20.25" customHeight="1" x14ac:dyDescent="0.3">
      <c r="A2" s="485" t="s">
        <v>9</v>
      </c>
      <c r="B2" s="485"/>
      <c r="C2" s="485"/>
      <c r="D2" s="485"/>
      <c r="E2" s="485"/>
      <c r="F2" s="485"/>
      <c r="G2" s="485"/>
      <c r="H2" s="485"/>
      <c r="I2" s="485"/>
      <c r="J2" s="485"/>
      <c r="K2" s="4"/>
      <c r="L2" s="4"/>
      <c r="M2" s="4"/>
      <c r="N2" s="4"/>
      <c r="O2" s="4"/>
      <c r="P2" s="4"/>
      <c r="Q2" s="4"/>
      <c r="R2" s="4"/>
      <c r="S2" s="4"/>
      <c r="T2" s="4"/>
      <c r="U2" s="4"/>
    </row>
    <row r="3" spans="1:21" s="278" customFormat="1" ht="15.75" customHeight="1" x14ac:dyDescent="0.2">
      <c r="A3" s="486" t="s">
        <v>1376</v>
      </c>
      <c r="B3" s="486"/>
      <c r="C3" s="486"/>
      <c r="D3" s="486"/>
      <c r="E3" s="486"/>
      <c r="F3" s="486"/>
      <c r="G3" s="486"/>
      <c r="H3" s="486"/>
      <c r="I3" s="486"/>
      <c r="J3" s="486"/>
      <c r="K3" s="21"/>
      <c r="L3" s="21"/>
      <c r="M3" s="21"/>
      <c r="N3" s="21"/>
      <c r="O3" s="21"/>
      <c r="P3" s="21"/>
      <c r="Q3" s="21"/>
      <c r="R3" s="21"/>
      <c r="S3" s="21"/>
      <c r="T3" s="21"/>
      <c r="U3" s="21"/>
    </row>
    <row r="4" spans="1:21" s="2" customFormat="1" ht="16.5" customHeight="1" x14ac:dyDescent="0.2">
      <c r="A4" s="323" t="s">
        <v>10</v>
      </c>
      <c r="B4" s="238" t="str">
        <f>'Start Here'!B4:D4</f>
        <v>Orinda</v>
      </c>
      <c r="C4" s="321"/>
      <c r="D4" s="206"/>
      <c r="E4" s="206"/>
      <c r="F4" s="206"/>
      <c r="G4" s="206"/>
      <c r="H4" s="206"/>
      <c r="I4" s="427" t="s">
        <v>1374</v>
      </c>
      <c r="J4" s="429"/>
      <c r="K4" s="313"/>
      <c r="L4" s="313"/>
      <c r="M4" s="504"/>
      <c r="N4" s="504"/>
      <c r="O4" s="504"/>
      <c r="P4" s="504"/>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501" t="s">
        <v>40</v>
      </c>
      <c r="B8" s="502"/>
      <c r="C8" s="502"/>
      <c r="D8" s="502"/>
      <c r="E8" s="502"/>
      <c r="F8" s="502"/>
      <c r="G8" s="502"/>
      <c r="H8" s="502"/>
      <c r="I8" s="502"/>
      <c r="J8" s="503"/>
    </row>
    <row r="9" spans="1:21" ht="15.75" customHeight="1" x14ac:dyDescent="0.2">
      <c r="A9" s="501" t="s">
        <v>1361</v>
      </c>
      <c r="B9" s="502"/>
      <c r="C9" s="502"/>
      <c r="D9" s="502"/>
      <c r="E9" s="502"/>
      <c r="F9" s="502"/>
      <c r="G9" s="502"/>
      <c r="H9" s="502"/>
      <c r="I9" s="502"/>
      <c r="J9" s="503"/>
    </row>
    <row r="10" spans="1:21" ht="58.5" customHeight="1" x14ac:dyDescent="0.2">
      <c r="A10" s="494" t="s">
        <v>1362</v>
      </c>
      <c r="B10" s="495"/>
      <c r="C10" s="495"/>
      <c r="D10" s="495"/>
      <c r="E10" s="495"/>
      <c r="F10" s="495"/>
      <c r="G10" s="495"/>
      <c r="H10" s="495"/>
      <c r="I10" s="495"/>
      <c r="J10" s="496"/>
    </row>
    <row r="11" spans="1:21" ht="77.25" customHeight="1" x14ac:dyDescent="0.2">
      <c r="A11" s="497" t="s">
        <v>34</v>
      </c>
      <c r="B11" s="498" t="s">
        <v>1352</v>
      </c>
      <c r="C11" s="499"/>
      <c r="D11" s="499"/>
      <c r="E11" s="500"/>
      <c r="F11" s="497" t="s">
        <v>1357</v>
      </c>
      <c r="G11" s="497"/>
      <c r="H11" s="497"/>
      <c r="I11" s="497"/>
      <c r="J11" s="497" t="s">
        <v>1358</v>
      </c>
    </row>
    <row r="12" spans="1:21" ht="60" customHeight="1" x14ac:dyDescent="0.2">
      <c r="A12" s="497"/>
      <c r="B12" s="146" t="s">
        <v>1353</v>
      </c>
      <c r="C12" s="146" t="s">
        <v>1354</v>
      </c>
      <c r="D12" s="146" t="s">
        <v>1355</v>
      </c>
      <c r="E12" s="146" t="s">
        <v>1356</v>
      </c>
      <c r="F12" s="146" t="s">
        <v>1353</v>
      </c>
      <c r="G12" s="146" t="s">
        <v>1354</v>
      </c>
      <c r="H12" s="146" t="s">
        <v>1355</v>
      </c>
      <c r="I12" s="146" t="s">
        <v>1356</v>
      </c>
      <c r="J12" s="497"/>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E1" sqref="E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Orinda</v>
      </c>
      <c r="C3" s="325"/>
    </row>
    <row r="4" spans="1:3" ht="18" customHeight="1" x14ac:dyDescent="0.2">
      <c r="A4" s="326" t="s">
        <v>36</v>
      </c>
      <c r="B4" s="239">
        <f>'Start Here'!B5</f>
        <v>2018</v>
      </c>
      <c r="C4" s="327" t="s">
        <v>52</v>
      </c>
    </row>
    <row r="7" spans="1:3" ht="16.5" thickBot="1" x14ac:dyDescent="0.3">
      <c r="A7" s="514"/>
      <c r="B7" s="514"/>
      <c r="C7" s="514"/>
    </row>
    <row r="8" spans="1:3" ht="15" customHeight="1" x14ac:dyDescent="0.2">
      <c r="A8" s="521" t="s">
        <v>1380</v>
      </c>
      <c r="B8" s="522"/>
      <c r="C8" s="523"/>
    </row>
    <row r="9" spans="1:3" x14ac:dyDescent="0.2">
      <c r="A9" s="524" t="s">
        <v>15</v>
      </c>
      <c r="B9" s="525"/>
      <c r="C9" s="98" t="s">
        <v>60</v>
      </c>
    </row>
    <row r="10" spans="1:3" x14ac:dyDescent="0.2">
      <c r="A10" s="526" t="s">
        <v>16</v>
      </c>
      <c r="B10" s="242" t="s">
        <v>5</v>
      </c>
      <c r="C10" s="99">
        <f>'Table A2'!H12</f>
        <v>0</v>
      </c>
    </row>
    <row r="11" spans="1:3" ht="25.5" x14ac:dyDescent="0.2">
      <c r="A11" s="526"/>
      <c r="B11" s="242" t="s">
        <v>20</v>
      </c>
      <c r="C11" s="99">
        <f>'Table A2'!I12</f>
        <v>0</v>
      </c>
    </row>
    <row r="12" spans="1:3" x14ac:dyDescent="0.2">
      <c r="A12" s="526" t="s">
        <v>17</v>
      </c>
      <c r="B12" s="242" t="s">
        <v>5</v>
      </c>
      <c r="C12" s="99">
        <f>'Table A2'!J12</f>
        <v>0</v>
      </c>
    </row>
    <row r="13" spans="1:3" ht="25.5" x14ac:dyDescent="0.2">
      <c r="A13" s="526"/>
      <c r="B13" s="242" t="s">
        <v>20</v>
      </c>
      <c r="C13" s="99">
        <f>'Table A2'!K12</f>
        <v>0</v>
      </c>
    </row>
    <row r="14" spans="1:3" x14ac:dyDescent="0.2">
      <c r="A14" s="526" t="s">
        <v>18</v>
      </c>
      <c r="B14" s="242" t="s">
        <v>5</v>
      </c>
      <c r="C14" s="99">
        <f>'Table A2'!L12</f>
        <v>0</v>
      </c>
    </row>
    <row r="15" spans="1:3" ht="25.5" x14ac:dyDescent="0.2">
      <c r="A15" s="526"/>
      <c r="B15" s="242" t="s">
        <v>20</v>
      </c>
      <c r="C15" s="99">
        <f>'Table A2'!M12</f>
        <v>7</v>
      </c>
    </row>
    <row r="16" spans="1:3" ht="28.5" customHeight="1" thickBot="1" x14ac:dyDescent="0.25">
      <c r="A16" s="243" t="s">
        <v>19</v>
      </c>
      <c r="B16" s="244"/>
      <c r="C16" s="100">
        <f>'Table A2'!N12</f>
        <v>40</v>
      </c>
    </row>
    <row r="17" spans="1:9" ht="15.75" thickTop="1" thickBot="1" x14ac:dyDescent="0.25">
      <c r="A17" s="527" t="s">
        <v>1375</v>
      </c>
      <c r="B17" s="528"/>
      <c r="C17" s="101">
        <f>SUM(C10:C16)</f>
        <v>47</v>
      </c>
    </row>
    <row r="18" spans="1:9" ht="29.25" customHeight="1" x14ac:dyDescent="0.2">
      <c r="A18" s="508" t="s">
        <v>78</v>
      </c>
      <c r="B18" s="508"/>
      <c r="C18" s="508"/>
      <c r="D18" s="508"/>
    </row>
    <row r="20" spans="1:9" ht="15" thickBot="1" x14ac:dyDescent="0.25"/>
    <row r="21" spans="1:9" ht="15" customHeight="1" x14ac:dyDescent="0.2">
      <c r="A21" s="505" t="s">
        <v>1379</v>
      </c>
      <c r="B21" s="506"/>
      <c r="C21" s="506"/>
      <c r="D21" s="215"/>
    </row>
    <row r="22" spans="1:9" ht="15" customHeight="1" x14ac:dyDescent="0.2">
      <c r="A22" s="509" t="s">
        <v>87</v>
      </c>
      <c r="B22" s="517"/>
      <c r="C22" s="518"/>
      <c r="D22" s="245">
        <f>COUNTIF('Table A'!P13:P1000,"&gt;0")</f>
        <v>54</v>
      </c>
    </row>
    <row r="23" spans="1:9" ht="17.25" customHeight="1" x14ac:dyDescent="0.2">
      <c r="A23" s="509" t="s">
        <v>70</v>
      </c>
      <c r="B23" s="517"/>
      <c r="C23" s="518"/>
      <c r="D23" s="245">
        <f>'Table A'!P12</f>
        <v>55</v>
      </c>
    </row>
    <row r="24" spans="1:9" ht="15" customHeight="1" x14ac:dyDescent="0.2">
      <c r="A24" s="509" t="s">
        <v>71</v>
      </c>
      <c r="B24" s="517"/>
      <c r="C24" s="518"/>
      <c r="D24" s="245">
        <f>'Table A'!Q12</f>
        <v>55</v>
      </c>
    </row>
    <row r="25" spans="1:9" ht="15.75" customHeight="1" thickBot="1" x14ac:dyDescent="0.25">
      <c r="A25" s="515" t="s">
        <v>72</v>
      </c>
      <c r="B25" s="519"/>
      <c r="C25" s="520"/>
      <c r="D25" s="246">
        <f>'Table A'!R12</f>
        <v>0</v>
      </c>
    </row>
    <row r="26" spans="1:9" ht="15" x14ac:dyDescent="0.25">
      <c r="A26" s="247"/>
      <c r="B26" s="247"/>
    </row>
    <row r="27" spans="1:9" ht="15.75" thickBot="1" x14ac:dyDescent="0.3">
      <c r="A27" s="247"/>
      <c r="B27" s="247"/>
      <c r="G27" s="102"/>
      <c r="H27" s="102"/>
      <c r="I27" s="102"/>
    </row>
    <row r="28" spans="1:9" ht="15" customHeight="1" x14ac:dyDescent="0.2">
      <c r="A28" s="505" t="s">
        <v>73</v>
      </c>
      <c r="B28" s="506"/>
      <c r="C28" s="506"/>
      <c r="D28" s="507"/>
      <c r="G28" s="102"/>
      <c r="H28" s="102"/>
      <c r="I28" s="102"/>
    </row>
    <row r="29" spans="1:9" x14ac:dyDescent="0.2">
      <c r="A29" s="509" t="s">
        <v>74</v>
      </c>
      <c r="B29" s="510"/>
      <c r="C29" s="510"/>
      <c r="D29" s="248">
        <f>(COUNTIFS('Table A'!S:S,"Yes-but no action taken"))+(COUNTIF('Table A'!S:S,"Yes-Approved"))+(COUNTIF('Table A'!S:S,"Yes-Denied"))</f>
        <v>0</v>
      </c>
    </row>
    <row r="30" spans="1:9" x14ac:dyDescent="0.2">
      <c r="A30" s="509" t="s">
        <v>75</v>
      </c>
      <c r="B30" s="510"/>
      <c r="C30" s="510"/>
      <c r="D30" s="248">
        <f>SUMIF('Table A'!S:S, "Yes-Approved",'Table A'!Q:Q )</f>
        <v>0</v>
      </c>
    </row>
    <row r="31" spans="1:9" x14ac:dyDescent="0.2">
      <c r="A31" s="509" t="s">
        <v>76</v>
      </c>
      <c r="B31" s="510"/>
      <c r="C31" s="510"/>
      <c r="D31" s="249">
        <f>COUNTIF('Table A'!S:S, "Yes-Approved")</f>
        <v>0</v>
      </c>
    </row>
    <row r="32" spans="1:9" ht="15" thickBot="1" x14ac:dyDescent="0.25">
      <c r="A32" s="515" t="s">
        <v>77</v>
      </c>
      <c r="B32" s="516"/>
      <c r="C32" s="516"/>
      <c r="D32" s="246">
        <f>SUMIF('Table A2'!AJ:AJ, "Y",'Table A2'!AH:AH)</f>
        <v>0</v>
      </c>
    </row>
    <row r="34" spans="1:5" ht="21" thickBot="1" x14ac:dyDescent="0.35">
      <c r="A34" s="103"/>
      <c r="B34" s="250"/>
      <c r="C34" s="250"/>
      <c r="D34" s="94"/>
      <c r="E34" s="94"/>
    </row>
    <row r="35" spans="1:5" ht="15" customHeight="1" x14ac:dyDescent="0.2">
      <c r="A35" s="511" t="s">
        <v>111</v>
      </c>
      <c r="B35" s="512"/>
      <c r="C35" s="512"/>
      <c r="D35" s="513"/>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EC1C879-B7F6-4924-AA6C-55695A6AC6EB}"/>
</file>

<file path=customXml/itemProps2.xml><?xml version="1.0" encoding="utf-8"?>
<ds:datastoreItem xmlns:ds="http://schemas.openxmlformats.org/officeDocument/2006/customXml" ds:itemID="{4926AB65-91D7-488A-BA52-45E3BB71D5FC}"/>
</file>

<file path=customXml/itemProps3.xml><?xml version="1.0" encoding="utf-8"?>
<ds:datastoreItem xmlns:ds="http://schemas.openxmlformats.org/officeDocument/2006/customXml" ds:itemID="{000A5A23-AC02-47C1-A74E-8E6CDBF07F4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Drew Taplin</cp:lastModifiedBy>
  <cp:lastPrinted>2019-02-08T22:03:00Z</cp:lastPrinted>
  <dcterms:created xsi:type="dcterms:W3CDTF">2018-09-27T21:13:30Z</dcterms:created>
  <dcterms:modified xsi:type="dcterms:W3CDTF">2019-03-27T15:25:17Z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