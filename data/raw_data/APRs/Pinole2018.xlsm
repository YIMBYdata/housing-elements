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haredStrings.xml" ContentType="application/vnd.openxmlformats-officedocument.spreadsheetml.sharedString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7" codeName="{B7FE6334-C1A2-E50D-BD3D-5F4D41BBC2E3}"/>
  <workbookPr codeName="ThisWorkbook"/>
  <workbookProtection lockStructure="1"/>
  <bookViews>
    <workbookView xWindow="285" yWindow="-285" windowWidth="22080" windowHeight="13350" tabRatio="627" activeTab="1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A'!$A$1:$T$27</definedName>
    <definedName name="_xlnm.Print_Area" localSheetId="2">'Table A2'!$A$1:$AS$29</definedName>
    <definedName name="_xlnm.Print_Area" localSheetId="4">'Table B'!$A$1:$O$27</definedName>
    <definedName name="_xlnm.Print_Area" localSheetId="8">'Table C'!$A$1:$U$24</definedName>
    <definedName name="_xlnm.Print_Area" localSheetId="9">'Table D'!$A$1:$D$39</definedName>
    <definedName name="_xlnm.Print_Area" localSheetId="10">'Table E'!$A$1:$J$22</definedName>
    <definedName name="_xlnm.Print_Area" localSheetId="11">'Table F'!$A$1:$J$19</definedName>
    <definedName name="_xlnm.Print_Titles" localSheetId="2">'Table A2'!$1:$6</definedName>
  </definedNames>
  <calcPr calcId="125725"/>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c r="P14"/>
  <c r="P17"/>
  <c r="P16"/>
  <c r="P13" i="1"/>
  <c r="P500" i="2"/>
  <c r="R500" s="1"/>
  <c r="P1000"/>
  <c r="R1000"/>
  <c r="P999"/>
  <c r="R999" s="1"/>
  <c r="P998"/>
  <c r="R998" s="1"/>
  <c r="P997"/>
  <c r="R997" s="1"/>
  <c r="P996"/>
  <c r="R996" s="1"/>
  <c r="P995"/>
  <c r="R995"/>
  <c r="P994"/>
  <c r="R994" s="1"/>
  <c r="P993"/>
  <c r="R993" s="1"/>
  <c r="P992"/>
  <c r="R992"/>
  <c r="P991"/>
  <c r="R991"/>
  <c r="P990"/>
  <c r="R990" s="1"/>
  <c r="P989"/>
  <c r="R989" s="1"/>
  <c r="P988"/>
  <c r="R988"/>
  <c r="P987"/>
  <c r="R987"/>
  <c r="P986"/>
  <c r="R986"/>
  <c r="P985"/>
  <c r="R985" s="1"/>
  <c r="P984"/>
  <c r="R984" s="1"/>
  <c r="P983"/>
  <c r="R983"/>
  <c r="P982"/>
  <c r="R982" s="1"/>
  <c r="P981"/>
  <c r="R981" s="1"/>
  <c r="P980"/>
  <c r="R980"/>
  <c r="P979"/>
  <c r="R979"/>
  <c r="P978"/>
  <c r="R978" s="1"/>
  <c r="P977"/>
  <c r="R977" s="1"/>
  <c r="P976"/>
  <c r="R976"/>
  <c r="P975"/>
  <c r="R975"/>
  <c r="P974"/>
  <c r="R974"/>
  <c r="P973"/>
  <c r="R973" s="1"/>
  <c r="P972"/>
  <c r="R972" s="1"/>
  <c r="P971"/>
  <c r="R971"/>
  <c r="P970"/>
  <c r="R970" s="1"/>
  <c r="P969"/>
  <c r="R969" s="1"/>
  <c r="P968"/>
  <c r="R968"/>
  <c r="P967"/>
  <c r="R967" s="1"/>
  <c r="P966"/>
  <c r="R966" s="1"/>
  <c r="P965"/>
  <c r="R965" s="1"/>
  <c r="P964"/>
  <c r="R964"/>
  <c r="P963"/>
  <c r="R963"/>
  <c r="P962"/>
  <c r="R962" s="1"/>
  <c r="P961"/>
  <c r="R961" s="1"/>
  <c r="P960"/>
  <c r="R960"/>
  <c r="P959"/>
  <c r="R959" s="1"/>
  <c r="P958"/>
  <c r="R958" s="1"/>
  <c r="P957"/>
  <c r="R957" s="1"/>
  <c r="P956"/>
  <c r="R956"/>
  <c r="P955"/>
  <c r="R955"/>
  <c r="P954"/>
  <c r="R954" s="1"/>
  <c r="P953"/>
  <c r="R953" s="1"/>
  <c r="P952"/>
  <c r="R952" s="1"/>
  <c r="P951"/>
  <c r="R951"/>
  <c r="P950"/>
  <c r="R950"/>
  <c r="P949"/>
  <c r="R949" s="1"/>
  <c r="P948"/>
  <c r="R948"/>
  <c r="P947"/>
  <c r="R947"/>
  <c r="P946"/>
  <c r="R946" s="1"/>
  <c r="P945"/>
  <c r="R945" s="1"/>
  <c r="P944"/>
  <c r="R944" s="1"/>
  <c r="P943"/>
  <c r="R943"/>
  <c r="P942"/>
  <c r="R942"/>
  <c r="P941"/>
  <c r="R941" s="1"/>
  <c r="P940"/>
  <c r="R940"/>
  <c r="P939"/>
  <c r="R939"/>
  <c r="P938"/>
  <c r="R938" s="1"/>
  <c r="P937"/>
  <c r="R937" s="1"/>
  <c r="P936"/>
  <c r="R936"/>
  <c r="P935"/>
  <c r="R935"/>
  <c r="P934"/>
  <c r="R934" s="1"/>
  <c r="P933"/>
  <c r="R933" s="1"/>
  <c r="P932"/>
  <c r="R932" s="1"/>
  <c r="P931"/>
  <c r="R931"/>
  <c r="P930"/>
  <c r="R930"/>
  <c r="P929"/>
  <c r="R929" s="1"/>
  <c r="P928"/>
  <c r="R928"/>
  <c r="P927"/>
  <c r="R927" s="1"/>
  <c r="P926"/>
  <c r="R926" s="1"/>
  <c r="P925"/>
  <c r="R925" s="1"/>
  <c r="P924"/>
  <c r="R924" s="1"/>
  <c r="P923"/>
  <c r="R923"/>
  <c r="P922"/>
  <c r="R922" s="1"/>
  <c r="P921"/>
  <c r="R921" s="1"/>
  <c r="P920"/>
  <c r="R920"/>
  <c r="P919"/>
  <c r="R919"/>
  <c r="P918"/>
  <c r="R918" s="1"/>
  <c r="P917"/>
  <c r="R917" s="1"/>
  <c r="P916"/>
  <c r="R916"/>
  <c r="P915"/>
  <c r="R915" s="1"/>
  <c r="P914"/>
  <c r="R914" s="1"/>
  <c r="P913"/>
  <c r="R913" s="1"/>
  <c r="P912"/>
  <c r="R912" s="1"/>
  <c r="P911"/>
  <c r="R911"/>
  <c r="P910"/>
  <c r="R910" s="1"/>
  <c r="P909"/>
  <c r="R909" s="1"/>
  <c r="P908"/>
  <c r="R908" s="1"/>
  <c r="P907"/>
  <c r="R907"/>
  <c r="P906"/>
  <c r="R906" s="1"/>
  <c r="P905"/>
  <c r="R905" s="1"/>
  <c r="P904"/>
  <c r="R904"/>
  <c r="P903"/>
  <c r="R903" s="1"/>
  <c r="P902"/>
  <c r="R902" s="1"/>
  <c r="P901"/>
  <c r="R901" s="1"/>
  <c r="P900"/>
  <c r="R900"/>
  <c r="P899"/>
  <c r="R899"/>
  <c r="P898"/>
  <c r="R898" s="1"/>
  <c r="P897"/>
  <c r="R897" s="1"/>
  <c r="P896"/>
  <c r="R896"/>
  <c r="P895"/>
  <c r="R895" s="1"/>
  <c r="P894"/>
  <c r="R894" s="1"/>
  <c r="P893"/>
  <c r="R893" s="1"/>
  <c r="P892"/>
  <c r="R892" s="1"/>
  <c r="P891"/>
  <c r="R891"/>
  <c r="P890"/>
  <c r="R890" s="1"/>
  <c r="P889"/>
  <c r="R889" s="1"/>
  <c r="P888"/>
  <c r="R888" s="1"/>
  <c r="P887"/>
  <c r="R887"/>
  <c r="P886"/>
  <c r="R886"/>
  <c r="P885"/>
  <c r="R885" s="1"/>
  <c r="P884"/>
  <c r="R884"/>
  <c r="P883"/>
  <c r="R883" s="1"/>
  <c r="P882"/>
  <c r="R882" s="1"/>
  <c r="P881"/>
  <c r="R881" s="1"/>
  <c r="P880"/>
  <c r="R880" s="1"/>
  <c r="P879"/>
  <c r="R879"/>
  <c r="P878"/>
  <c r="R878" s="1"/>
  <c r="P877"/>
  <c r="R877" s="1"/>
  <c r="P876"/>
  <c r="R876"/>
  <c r="P875"/>
  <c r="R875"/>
  <c r="P874"/>
  <c r="R874" s="1"/>
  <c r="P873"/>
  <c r="R873" s="1"/>
  <c r="P872"/>
  <c r="R872"/>
  <c r="P871"/>
  <c r="R871"/>
  <c r="P870"/>
  <c r="R870" s="1"/>
  <c r="P869"/>
  <c r="R869" s="1"/>
  <c r="P868"/>
  <c r="R868" s="1"/>
  <c r="P867"/>
  <c r="R867"/>
  <c r="P866"/>
  <c r="R866"/>
  <c r="P865"/>
  <c r="R865" s="1"/>
  <c r="P864"/>
  <c r="R864"/>
  <c r="P863"/>
  <c r="R863" s="1"/>
  <c r="P862"/>
  <c r="R862" s="1"/>
  <c r="P861"/>
  <c r="R861" s="1"/>
  <c r="P860"/>
  <c r="R860" s="1"/>
  <c r="P859"/>
  <c r="R859"/>
  <c r="P858"/>
  <c r="R858" s="1"/>
  <c r="P857"/>
  <c r="R857" s="1"/>
  <c r="P856"/>
  <c r="R856"/>
  <c r="P855"/>
  <c r="R855"/>
  <c r="P854"/>
  <c r="R854" s="1"/>
  <c r="P853"/>
  <c r="R853" s="1"/>
  <c r="P852"/>
  <c r="R852"/>
  <c r="P851"/>
  <c r="R851" s="1"/>
  <c r="P850"/>
  <c r="R850" s="1"/>
  <c r="P849"/>
  <c r="R849" s="1"/>
  <c r="P848"/>
  <c r="R848" s="1"/>
  <c r="P847"/>
  <c r="R847"/>
  <c r="P846"/>
  <c r="R846" s="1"/>
  <c r="P845"/>
  <c r="R845" s="1"/>
  <c r="P844"/>
  <c r="R844" s="1"/>
  <c r="P843"/>
  <c r="R843"/>
  <c r="P842"/>
  <c r="R842" s="1"/>
  <c r="P841"/>
  <c r="R841" s="1"/>
  <c r="P840"/>
  <c r="R840"/>
  <c r="P839"/>
  <c r="R839" s="1"/>
  <c r="P838"/>
  <c r="R838" s="1"/>
  <c r="P837"/>
  <c r="R837" s="1"/>
  <c r="P836"/>
  <c r="R836"/>
  <c r="P835"/>
  <c r="R835"/>
  <c r="P834"/>
  <c r="R834" s="1"/>
  <c r="P833"/>
  <c r="R833" s="1"/>
  <c r="P832"/>
  <c r="R832"/>
  <c r="P831"/>
  <c r="R831" s="1"/>
  <c r="P830"/>
  <c r="R830" s="1"/>
  <c r="P829"/>
  <c r="R829" s="1"/>
  <c r="P828"/>
  <c r="R828"/>
  <c r="P827"/>
  <c r="R827"/>
  <c r="P826"/>
  <c r="R826" s="1"/>
  <c r="P825"/>
  <c r="R825" s="1"/>
  <c r="P824"/>
  <c r="R824" s="1"/>
  <c r="P823"/>
  <c r="R823"/>
  <c r="P822"/>
  <c r="R822"/>
  <c r="P821"/>
  <c r="R821" s="1"/>
  <c r="P820"/>
  <c r="R820"/>
  <c r="P819"/>
  <c r="R819" s="1"/>
  <c r="P818"/>
  <c r="R818" s="1"/>
  <c r="P817"/>
  <c r="R817" s="1"/>
  <c r="P816"/>
  <c r="R816" s="1"/>
  <c r="P815"/>
  <c r="R815"/>
  <c r="P814"/>
  <c r="R814" s="1"/>
  <c r="P813"/>
  <c r="R813" s="1"/>
  <c r="P812"/>
  <c r="R812"/>
  <c r="P811"/>
  <c r="R811"/>
  <c r="P810"/>
  <c r="R810" s="1"/>
  <c r="P809"/>
  <c r="R809" s="1"/>
  <c r="P808"/>
  <c r="R808"/>
  <c r="P807"/>
  <c r="R807"/>
  <c r="P806"/>
  <c r="R806" s="1"/>
  <c r="P805"/>
  <c r="R805" s="1"/>
  <c r="P804"/>
  <c r="R804" s="1"/>
  <c r="P803"/>
  <c r="R803"/>
  <c r="P802"/>
  <c r="R802"/>
  <c r="P801"/>
  <c r="R801" s="1"/>
  <c r="P800"/>
  <c r="R800"/>
  <c r="P799"/>
  <c r="R799" s="1"/>
  <c r="P798"/>
  <c r="R798" s="1"/>
  <c r="P797"/>
  <c r="R797" s="1"/>
  <c r="P796"/>
  <c r="R796" s="1"/>
  <c r="P795"/>
  <c r="R795"/>
  <c r="P794"/>
  <c r="R794" s="1"/>
  <c r="P793"/>
  <c r="R793" s="1"/>
  <c r="P792"/>
  <c r="R792"/>
  <c r="P791"/>
  <c r="R791"/>
  <c r="P790"/>
  <c r="R790" s="1"/>
  <c r="P789"/>
  <c r="R789" s="1"/>
  <c r="P788"/>
  <c r="R788"/>
  <c r="P787"/>
  <c r="R787" s="1"/>
  <c r="P786"/>
  <c r="R786" s="1"/>
  <c r="P785"/>
  <c r="R785" s="1"/>
  <c r="P784"/>
  <c r="R784" s="1"/>
  <c r="P783"/>
  <c r="R783"/>
  <c r="P782"/>
  <c r="R782" s="1"/>
  <c r="P781"/>
  <c r="R781" s="1"/>
  <c r="P780"/>
  <c r="R780" s="1"/>
  <c r="P779"/>
  <c r="R779"/>
  <c r="P778"/>
  <c r="R778" s="1"/>
  <c r="P777"/>
  <c r="R777" s="1"/>
  <c r="P776"/>
  <c r="R776"/>
  <c r="P775"/>
  <c r="R775" s="1"/>
  <c r="P774"/>
  <c r="R774"/>
  <c r="P773"/>
  <c r="R773" s="1"/>
  <c r="P772"/>
  <c r="R772" s="1"/>
  <c r="P771"/>
  <c r="R771"/>
  <c r="P770"/>
  <c r="R770" s="1"/>
  <c r="P769"/>
  <c r="R769" s="1"/>
  <c r="P768"/>
  <c r="R768"/>
  <c r="P767"/>
  <c r="R767"/>
  <c r="P766"/>
  <c r="R766" s="1"/>
  <c r="P765"/>
  <c r="R765" s="1"/>
  <c r="P764"/>
  <c r="R764"/>
  <c r="P763"/>
  <c r="R763"/>
  <c r="P762"/>
  <c r="R762"/>
  <c r="P761"/>
  <c r="R761" s="1"/>
  <c r="P760"/>
  <c r="R760" s="1"/>
  <c r="P759"/>
  <c r="R759"/>
  <c r="P758"/>
  <c r="R758" s="1"/>
  <c r="P757"/>
  <c r="R757" s="1"/>
  <c r="P756"/>
  <c r="R756" s="1"/>
  <c r="P755"/>
  <c r="R755"/>
  <c r="P754"/>
  <c r="R754" s="1"/>
  <c r="P753"/>
  <c r="R753" s="1"/>
  <c r="P752"/>
  <c r="R752"/>
  <c r="P751"/>
  <c r="R751" s="1"/>
  <c r="P750"/>
  <c r="R750"/>
  <c r="P749"/>
  <c r="R749" s="1"/>
  <c r="P748"/>
  <c r="R748" s="1"/>
  <c r="P747"/>
  <c r="R747"/>
  <c r="P746"/>
  <c r="R746" s="1"/>
  <c r="P745"/>
  <c r="R745" s="1"/>
  <c r="P744"/>
  <c r="R744"/>
  <c r="P743"/>
  <c r="R743" s="1"/>
  <c r="P742"/>
  <c r="R742"/>
  <c r="P741"/>
  <c r="R741" s="1"/>
  <c r="P740"/>
  <c r="R740"/>
  <c r="P739"/>
  <c r="R739"/>
  <c r="P738"/>
  <c r="R738"/>
  <c r="P737"/>
  <c r="R737" s="1"/>
  <c r="P736"/>
  <c r="R736" s="1"/>
  <c r="P735"/>
  <c r="R735"/>
  <c r="P734"/>
  <c r="R734" s="1"/>
  <c r="P733"/>
  <c r="R733" s="1"/>
  <c r="P732"/>
  <c r="R732"/>
  <c r="P731"/>
  <c r="R731" s="1"/>
  <c r="P730"/>
  <c r="R730"/>
  <c r="P729"/>
  <c r="R729" s="1"/>
  <c r="P728"/>
  <c r="R728"/>
  <c r="P727"/>
  <c r="R727" s="1"/>
  <c r="P726"/>
  <c r="R726"/>
  <c r="P725"/>
  <c r="R725" s="1"/>
  <c r="P724"/>
  <c r="R724" s="1"/>
  <c r="P723"/>
  <c r="R723"/>
  <c r="P722"/>
  <c r="R722" s="1"/>
  <c r="P721"/>
  <c r="R721" s="1"/>
  <c r="P720"/>
  <c r="R720"/>
  <c r="P719"/>
  <c r="R719" s="1"/>
  <c r="P718"/>
  <c r="R718"/>
  <c r="P717"/>
  <c r="R717" s="1"/>
  <c r="P716"/>
  <c r="R716"/>
  <c r="P715"/>
  <c r="R715"/>
  <c r="P714"/>
  <c r="R714" s="1"/>
  <c r="P713"/>
  <c r="R713" s="1"/>
  <c r="P712"/>
  <c r="R712" s="1"/>
  <c r="P711"/>
  <c r="R711"/>
  <c r="P710"/>
  <c r="R710"/>
  <c r="P709"/>
  <c r="R709" s="1"/>
  <c r="P708"/>
  <c r="R708"/>
  <c r="P707"/>
  <c r="R707" s="1"/>
  <c r="P706"/>
  <c r="R706"/>
  <c r="P705"/>
  <c r="R705" s="1"/>
  <c r="P704"/>
  <c r="R704"/>
  <c r="P703"/>
  <c r="R703" s="1"/>
  <c r="P702"/>
  <c r="R702" s="1"/>
  <c r="P701"/>
  <c r="R701" s="1"/>
  <c r="P700"/>
  <c r="R700"/>
  <c r="P699"/>
  <c r="R699"/>
  <c r="P698"/>
  <c r="R698" s="1"/>
  <c r="P697"/>
  <c r="R697" s="1"/>
  <c r="P696"/>
  <c r="R696"/>
  <c r="P695"/>
  <c r="R695" s="1"/>
  <c r="P694"/>
  <c r="R694"/>
  <c r="P693"/>
  <c r="R693" s="1"/>
  <c r="P692"/>
  <c r="R692"/>
  <c r="P691"/>
  <c r="R691"/>
  <c r="P690"/>
  <c r="R690" s="1"/>
  <c r="P689"/>
  <c r="R689" s="1"/>
  <c r="P688"/>
  <c r="R688" s="1"/>
  <c r="P687"/>
  <c r="R687" s="1"/>
  <c r="P686"/>
  <c r="R686"/>
  <c r="P685"/>
  <c r="R685" s="1"/>
  <c r="P684"/>
  <c r="R684"/>
  <c r="P683"/>
  <c r="R683" s="1"/>
  <c r="P682"/>
  <c r="R682" s="1"/>
  <c r="P681"/>
  <c r="R681" s="1"/>
  <c r="P680"/>
  <c r="R680"/>
  <c r="P679"/>
  <c r="R679" s="1"/>
  <c r="P678"/>
  <c r="R678"/>
  <c r="P677"/>
  <c r="R677" s="1"/>
  <c r="P676"/>
  <c r="R676" s="1"/>
  <c r="P675"/>
  <c r="R675"/>
  <c r="P674"/>
  <c r="R674" s="1"/>
  <c r="P673"/>
  <c r="R673" s="1"/>
  <c r="P672"/>
  <c r="R672" s="1"/>
  <c r="P671"/>
  <c r="R671"/>
  <c r="P670"/>
  <c r="R670" s="1"/>
  <c r="P669"/>
  <c r="R669" s="1"/>
  <c r="P668"/>
  <c r="R668" s="1"/>
  <c r="P667"/>
  <c r="R667" s="1"/>
  <c r="P666"/>
  <c r="R666" s="1"/>
  <c r="P665"/>
  <c r="R665" s="1"/>
  <c r="P664"/>
  <c r="R664"/>
  <c r="P663"/>
  <c r="R663" s="1"/>
  <c r="P662"/>
  <c r="R662"/>
  <c r="P661"/>
  <c r="R661" s="1"/>
  <c r="P660"/>
  <c r="R660"/>
  <c r="P659"/>
  <c r="R659"/>
  <c r="P658"/>
  <c r="R658"/>
  <c r="P657"/>
  <c r="R657" s="1"/>
  <c r="P656"/>
  <c r="R656" s="1"/>
  <c r="P655"/>
  <c r="R655"/>
  <c r="P654"/>
  <c r="R654" s="1"/>
  <c r="P653"/>
  <c r="R653" s="1"/>
  <c r="P652"/>
  <c r="R652" s="1"/>
  <c r="P651"/>
  <c r="R651"/>
  <c r="P650"/>
  <c r="R650"/>
  <c r="P649"/>
  <c r="R649" s="1"/>
  <c r="P648"/>
  <c r="R648"/>
  <c r="P647"/>
  <c r="R647" s="1"/>
  <c r="P646"/>
  <c r="R646"/>
  <c r="P645"/>
  <c r="R645" s="1"/>
  <c r="P644"/>
  <c r="R644"/>
  <c r="P643"/>
  <c r="R643" s="1"/>
  <c r="P642"/>
  <c r="R642"/>
  <c r="P641"/>
  <c r="R641" s="1"/>
  <c r="P640"/>
  <c r="R640" s="1"/>
  <c r="P639"/>
  <c r="R639"/>
  <c r="P638"/>
  <c r="R638" s="1"/>
  <c r="P637"/>
  <c r="R637" s="1"/>
  <c r="P636"/>
  <c r="R636"/>
  <c r="P635"/>
  <c r="R635"/>
  <c r="P634"/>
  <c r="R634" s="1"/>
  <c r="P633"/>
  <c r="R633" s="1"/>
  <c r="P632"/>
  <c r="R632"/>
  <c r="P631"/>
  <c r="R631" s="1"/>
  <c r="P630"/>
  <c r="R630"/>
  <c r="P629"/>
  <c r="R629" s="1"/>
  <c r="P628"/>
  <c r="R628"/>
  <c r="P627"/>
  <c r="R627"/>
  <c r="P626"/>
  <c r="R626"/>
  <c r="P625"/>
  <c r="R625" s="1"/>
  <c r="P624"/>
  <c r="R624" s="1"/>
  <c r="P623"/>
  <c r="R623"/>
  <c r="P622"/>
  <c r="R622" s="1"/>
  <c r="P621"/>
  <c r="R621" s="1"/>
  <c r="P620"/>
  <c r="R620" s="1"/>
  <c r="P619"/>
  <c r="R619"/>
  <c r="P618"/>
  <c r="R618"/>
  <c r="P617"/>
  <c r="R617" s="1"/>
  <c r="P616"/>
  <c r="R616"/>
  <c r="P615"/>
  <c r="R615" s="1"/>
  <c r="P614"/>
  <c r="R614"/>
  <c r="P613"/>
  <c r="R613" s="1"/>
  <c r="P612"/>
  <c r="R612"/>
  <c r="P611"/>
  <c r="R611" s="1"/>
  <c r="P610"/>
  <c r="R610"/>
  <c r="P609"/>
  <c r="R609" s="1"/>
  <c r="P608"/>
  <c r="R608" s="1"/>
  <c r="P607"/>
  <c r="R607"/>
  <c r="P606"/>
  <c r="R606" s="1"/>
  <c r="P605"/>
  <c r="R605" s="1"/>
  <c r="P604"/>
  <c r="R604"/>
  <c r="P603"/>
  <c r="R603"/>
  <c r="P602"/>
  <c r="R602" s="1"/>
  <c r="P601"/>
  <c r="R601" s="1"/>
  <c r="P600"/>
  <c r="R600"/>
  <c r="P599"/>
  <c r="R599" s="1"/>
  <c r="P598"/>
  <c r="R598"/>
  <c r="P597"/>
  <c r="R597" s="1"/>
  <c r="P596"/>
  <c r="R596"/>
  <c r="P595"/>
  <c r="R595"/>
  <c r="P594"/>
  <c r="R594"/>
  <c r="P593"/>
  <c r="R593" s="1"/>
  <c r="P592"/>
  <c r="R592" s="1"/>
  <c r="P591"/>
  <c r="R591"/>
  <c r="P590"/>
  <c r="R590" s="1"/>
  <c r="P589"/>
  <c r="R589" s="1"/>
  <c r="P588"/>
  <c r="R588" s="1"/>
  <c r="P587"/>
  <c r="R587"/>
  <c r="P586"/>
  <c r="R586"/>
  <c r="P585"/>
  <c r="R585" s="1"/>
  <c r="P584"/>
  <c r="R584"/>
  <c r="P583"/>
  <c r="R583" s="1"/>
  <c r="P582"/>
  <c r="R582"/>
  <c r="P581"/>
  <c r="R581" s="1"/>
  <c r="P580"/>
  <c r="R580"/>
  <c r="P579"/>
  <c r="R579" s="1"/>
  <c r="P578"/>
  <c r="R578"/>
  <c r="P577"/>
  <c r="R577" s="1"/>
  <c r="P576"/>
  <c r="R576" s="1"/>
  <c r="P575"/>
  <c r="R575"/>
  <c r="P574"/>
  <c r="R574" s="1"/>
  <c r="P573"/>
  <c r="R573" s="1"/>
  <c r="P572"/>
  <c r="R572"/>
  <c r="P571"/>
  <c r="R571"/>
  <c r="P570"/>
  <c r="R570" s="1"/>
  <c r="P569"/>
  <c r="R569" s="1"/>
  <c r="P568"/>
  <c r="R568"/>
  <c r="P567"/>
  <c r="R567" s="1"/>
  <c r="P566"/>
  <c r="R566"/>
  <c r="P565"/>
  <c r="R565" s="1"/>
  <c r="P564"/>
  <c r="R564"/>
  <c r="P563"/>
  <c r="R563"/>
  <c r="P562"/>
  <c r="R562"/>
  <c r="P561"/>
  <c r="R561" s="1"/>
  <c r="P560"/>
  <c r="R560" s="1"/>
  <c r="P559"/>
  <c r="R559"/>
  <c r="P558"/>
  <c r="R558" s="1"/>
  <c r="P557"/>
  <c r="R557" s="1"/>
  <c r="P556"/>
  <c r="R556" s="1"/>
  <c r="P555"/>
  <c r="R555"/>
  <c r="P554"/>
  <c r="R554"/>
  <c r="P553"/>
  <c r="R553" s="1"/>
  <c r="P552"/>
  <c r="R552"/>
  <c r="P551"/>
  <c r="R551" s="1"/>
  <c r="P550"/>
  <c r="R550"/>
  <c r="P549"/>
  <c r="R549" s="1"/>
  <c r="P548"/>
  <c r="R548"/>
  <c r="P547"/>
  <c r="R547" s="1"/>
  <c r="P546"/>
  <c r="R546"/>
  <c r="P545"/>
  <c r="R545" s="1"/>
  <c r="P544"/>
  <c r="R544" s="1"/>
  <c r="P543"/>
  <c r="R543"/>
  <c r="P542"/>
  <c r="R542" s="1"/>
  <c r="P541"/>
  <c r="R541" s="1"/>
  <c r="P540"/>
  <c r="R540"/>
  <c r="P539"/>
  <c r="R539"/>
  <c r="P538"/>
  <c r="R538" s="1"/>
  <c r="P537"/>
  <c r="R537" s="1"/>
  <c r="P536"/>
  <c r="R536"/>
  <c r="P535"/>
  <c r="R535" s="1"/>
  <c r="P534"/>
  <c r="R534"/>
  <c r="P533"/>
  <c r="R533" s="1"/>
  <c r="P532"/>
  <c r="R532"/>
  <c r="P531"/>
  <c r="R531"/>
  <c r="P530"/>
  <c r="R530"/>
  <c r="P529"/>
  <c r="R529" s="1"/>
  <c r="P528"/>
  <c r="R528" s="1"/>
  <c r="P527"/>
  <c r="R527"/>
  <c r="P526"/>
  <c r="R526" s="1"/>
  <c r="P525"/>
  <c r="R525" s="1"/>
  <c r="P524"/>
  <c r="R524" s="1"/>
  <c r="P523"/>
  <c r="R523"/>
  <c r="P522"/>
  <c r="R522"/>
  <c r="P521"/>
  <c r="R521" s="1"/>
  <c r="P520"/>
  <c r="R520"/>
  <c r="P519"/>
  <c r="R519" s="1"/>
  <c r="P518"/>
  <c r="R518"/>
  <c r="P517"/>
  <c r="R517" s="1"/>
  <c r="P516"/>
  <c r="R516"/>
  <c r="P515"/>
  <c r="R515" s="1"/>
  <c r="P514"/>
  <c r="R514"/>
  <c r="P513"/>
  <c r="R513" s="1"/>
  <c r="P512"/>
  <c r="R512" s="1"/>
  <c r="P511"/>
  <c r="R511"/>
  <c r="P510"/>
  <c r="R510" s="1"/>
  <c r="P509"/>
  <c r="R509" s="1"/>
  <c r="P508"/>
  <c r="R508"/>
  <c r="P507"/>
  <c r="R507"/>
  <c r="P506"/>
  <c r="R506" s="1"/>
  <c r="P505"/>
  <c r="R505" s="1"/>
  <c r="P504"/>
  <c r="R504"/>
  <c r="P503"/>
  <c r="R503" s="1"/>
  <c r="P502"/>
  <c r="R502"/>
  <c r="P501"/>
  <c r="R501" s="1"/>
  <c r="H259" i="16"/>
  <c r="AQ12" i="1"/>
  <c r="AR12"/>
  <c r="S12" i="2"/>
  <c r="D31" i="11" s="1"/>
  <c r="I13" i="6"/>
  <c r="H13"/>
  <c r="G13"/>
  <c r="F13"/>
  <c r="E13"/>
  <c r="AH1000" i="1"/>
  <c r="AH999"/>
  <c r="AH998"/>
  <c r="AH997"/>
  <c r="AH996"/>
  <c r="AH995"/>
  <c r="AH994"/>
  <c r="AH993"/>
  <c r="AH992"/>
  <c r="AH991"/>
  <c r="AH990"/>
  <c r="AH989"/>
  <c r="AH988"/>
  <c r="AH987"/>
  <c r="AH986"/>
  <c r="AH985"/>
  <c r="AH984"/>
  <c r="AH983"/>
  <c r="AH982"/>
  <c r="AH981"/>
  <c r="AH980"/>
  <c r="AH979"/>
  <c r="AH978"/>
  <c r="AH977"/>
  <c r="AH976"/>
  <c r="AH975"/>
  <c r="AH974"/>
  <c r="AH973"/>
  <c r="AH972"/>
  <c r="AH971"/>
  <c r="AH970"/>
  <c r="AH969"/>
  <c r="AH968"/>
  <c r="AH967"/>
  <c r="AH966"/>
  <c r="AH965"/>
  <c r="AH964"/>
  <c r="AH963"/>
  <c r="AH962"/>
  <c r="AH961"/>
  <c r="AH960"/>
  <c r="AH959"/>
  <c r="AH958"/>
  <c r="AH957"/>
  <c r="AH956"/>
  <c r="AH955"/>
  <c r="AH954"/>
  <c r="AH953"/>
  <c r="AH952"/>
  <c r="AH951"/>
  <c r="AH950"/>
  <c r="AH949"/>
  <c r="AH948"/>
  <c r="AH947"/>
  <c r="AH946"/>
  <c r="AH945"/>
  <c r="AH944"/>
  <c r="AH943"/>
  <c r="AH942"/>
  <c r="AH941"/>
  <c r="AH940"/>
  <c r="AH939"/>
  <c r="AH938"/>
  <c r="AH937"/>
  <c r="AH936"/>
  <c r="AH935"/>
  <c r="AH934"/>
  <c r="AH933"/>
  <c r="AH932"/>
  <c r="AH931"/>
  <c r="AH930"/>
  <c r="AH929"/>
  <c r="AH928"/>
  <c r="AH927"/>
  <c r="AH926"/>
  <c r="AH925"/>
  <c r="AH924"/>
  <c r="AH923"/>
  <c r="AH922"/>
  <c r="AH921"/>
  <c r="AH920"/>
  <c r="AH919"/>
  <c r="AH918"/>
  <c r="AH917"/>
  <c r="AH916"/>
  <c r="AH915"/>
  <c r="AH914"/>
  <c r="AH913"/>
  <c r="AH912"/>
  <c r="AH911"/>
  <c r="AH910"/>
  <c r="AH909"/>
  <c r="AH908"/>
  <c r="AH907"/>
  <c r="AH906"/>
  <c r="AH905"/>
  <c r="AH904"/>
  <c r="AH903"/>
  <c r="AH902"/>
  <c r="AH901"/>
  <c r="AH900"/>
  <c r="AH899"/>
  <c r="AH898"/>
  <c r="AH897"/>
  <c r="AH896"/>
  <c r="AH895"/>
  <c r="AH894"/>
  <c r="AH893"/>
  <c r="AH892"/>
  <c r="AH891"/>
  <c r="AH890"/>
  <c r="AH889"/>
  <c r="AH888"/>
  <c r="AH887"/>
  <c r="AH886"/>
  <c r="AH885"/>
  <c r="AH884"/>
  <c r="AH883"/>
  <c r="AH882"/>
  <c r="AH881"/>
  <c r="AH880"/>
  <c r="AH879"/>
  <c r="AH878"/>
  <c r="AH877"/>
  <c r="AH876"/>
  <c r="AH875"/>
  <c r="AH874"/>
  <c r="AH873"/>
  <c r="AH872"/>
  <c r="AH871"/>
  <c r="AH870"/>
  <c r="AH869"/>
  <c r="AH868"/>
  <c r="AH867"/>
  <c r="AH866"/>
  <c r="AH865"/>
  <c r="AH864"/>
  <c r="AH863"/>
  <c r="AH862"/>
  <c r="AH861"/>
  <c r="AH860"/>
  <c r="AH859"/>
  <c r="AH858"/>
  <c r="AH857"/>
  <c r="AH856"/>
  <c r="AH855"/>
  <c r="AH854"/>
  <c r="AH853"/>
  <c r="AH852"/>
  <c r="AH851"/>
  <c r="AH850"/>
  <c r="AH849"/>
  <c r="AH848"/>
  <c r="AH847"/>
  <c r="AH846"/>
  <c r="AH845"/>
  <c r="AH844"/>
  <c r="AH843"/>
  <c r="AH842"/>
  <c r="AH841"/>
  <c r="AH840"/>
  <c r="AH839"/>
  <c r="AH838"/>
  <c r="AH837"/>
  <c r="AH836"/>
  <c r="AH835"/>
  <c r="AH834"/>
  <c r="AH833"/>
  <c r="AH832"/>
  <c r="AH831"/>
  <c r="AH830"/>
  <c r="AH829"/>
  <c r="AH828"/>
  <c r="AH827"/>
  <c r="AH826"/>
  <c r="AH825"/>
  <c r="AH824"/>
  <c r="AH823"/>
  <c r="AH822"/>
  <c r="AH821"/>
  <c r="AH820"/>
  <c r="AH819"/>
  <c r="AH818"/>
  <c r="AH817"/>
  <c r="AH816"/>
  <c r="AH815"/>
  <c r="AH814"/>
  <c r="AH813"/>
  <c r="AH812"/>
  <c r="AH811"/>
  <c r="AH810"/>
  <c r="AH809"/>
  <c r="AH808"/>
  <c r="AH807"/>
  <c r="AH806"/>
  <c r="AH805"/>
  <c r="AH804"/>
  <c r="AH803"/>
  <c r="AH802"/>
  <c r="AH801"/>
  <c r="AH800"/>
  <c r="AH799"/>
  <c r="AH798"/>
  <c r="AH797"/>
  <c r="AH796"/>
  <c r="AH795"/>
  <c r="AH794"/>
  <c r="AH793"/>
  <c r="AH792"/>
  <c r="AH791"/>
  <c r="AH790"/>
  <c r="AH789"/>
  <c r="AH788"/>
  <c r="AH787"/>
  <c r="AH786"/>
  <c r="AH785"/>
  <c r="AH784"/>
  <c r="AH783"/>
  <c r="AH782"/>
  <c r="AH781"/>
  <c r="AH780"/>
  <c r="AH779"/>
  <c r="AH778"/>
  <c r="AH777"/>
  <c r="AH776"/>
  <c r="AH775"/>
  <c r="AH774"/>
  <c r="AH773"/>
  <c r="AH772"/>
  <c r="AH771"/>
  <c r="AH770"/>
  <c r="AH769"/>
  <c r="AH768"/>
  <c r="AH767"/>
  <c r="AH766"/>
  <c r="AH765"/>
  <c r="AH764"/>
  <c r="AH763"/>
  <c r="AH762"/>
  <c r="AH761"/>
  <c r="AH760"/>
  <c r="AH759"/>
  <c r="AH758"/>
  <c r="AH757"/>
  <c r="AH756"/>
  <c r="AH755"/>
  <c r="AH754"/>
  <c r="AH753"/>
  <c r="AH752"/>
  <c r="AH751"/>
  <c r="AH750"/>
  <c r="AH749"/>
  <c r="AH748"/>
  <c r="AH747"/>
  <c r="AH746"/>
  <c r="AH745"/>
  <c r="AH744"/>
  <c r="AH743"/>
  <c r="AH742"/>
  <c r="AH741"/>
  <c r="AH740"/>
  <c r="AH739"/>
  <c r="AH738"/>
  <c r="AH737"/>
  <c r="AH736"/>
  <c r="AH735"/>
  <c r="AH734"/>
  <c r="AH733"/>
  <c r="AH732"/>
  <c r="AH731"/>
  <c r="AH730"/>
  <c r="AH729"/>
  <c r="AH728"/>
  <c r="AH727"/>
  <c r="AH726"/>
  <c r="AH725"/>
  <c r="AH724"/>
  <c r="AH723"/>
  <c r="AH722"/>
  <c r="AH721"/>
  <c r="AH720"/>
  <c r="AH719"/>
  <c r="AH718"/>
  <c r="AH717"/>
  <c r="AH716"/>
  <c r="AH715"/>
  <c r="AH714"/>
  <c r="AH713"/>
  <c r="AH712"/>
  <c r="AH711"/>
  <c r="AH710"/>
  <c r="AH709"/>
  <c r="AH708"/>
  <c r="AH707"/>
  <c r="AH706"/>
  <c r="AH705"/>
  <c r="AH704"/>
  <c r="AH703"/>
  <c r="AH702"/>
  <c r="AH701"/>
  <c r="AH700"/>
  <c r="AH699"/>
  <c r="AH698"/>
  <c r="AH697"/>
  <c r="AH696"/>
  <c r="AH695"/>
  <c r="AH694"/>
  <c r="AH693"/>
  <c r="AH692"/>
  <c r="AH691"/>
  <c r="AH690"/>
  <c r="AH689"/>
  <c r="AH688"/>
  <c r="AH687"/>
  <c r="AH686"/>
  <c r="AH685"/>
  <c r="AH684"/>
  <c r="AH683"/>
  <c r="AH682"/>
  <c r="AH681"/>
  <c r="AH680"/>
  <c r="AH679"/>
  <c r="AH678"/>
  <c r="AH677"/>
  <c r="AH676"/>
  <c r="AH675"/>
  <c r="AH674"/>
  <c r="AH673"/>
  <c r="AH672"/>
  <c r="AH671"/>
  <c r="AH670"/>
  <c r="AH669"/>
  <c r="AH668"/>
  <c r="AH667"/>
  <c r="AH666"/>
  <c r="AH665"/>
  <c r="AH664"/>
  <c r="AH663"/>
  <c r="AH662"/>
  <c r="AH661"/>
  <c r="AH660"/>
  <c r="AH659"/>
  <c r="AH658"/>
  <c r="AH657"/>
  <c r="AH656"/>
  <c r="AH655"/>
  <c r="AH654"/>
  <c r="AH653"/>
  <c r="AH652"/>
  <c r="AH651"/>
  <c r="AH650"/>
  <c r="AH649"/>
  <c r="AH648"/>
  <c r="AH647"/>
  <c r="AH646"/>
  <c r="AH645"/>
  <c r="AH644"/>
  <c r="AH643"/>
  <c r="AH642"/>
  <c r="AH641"/>
  <c r="AH640"/>
  <c r="AH639"/>
  <c r="AH638"/>
  <c r="AH637"/>
  <c r="AH636"/>
  <c r="AH635"/>
  <c r="AH634"/>
  <c r="AH633"/>
  <c r="AH632"/>
  <c r="AH631"/>
  <c r="AH630"/>
  <c r="AH629"/>
  <c r="AH628"/>
  <c r="AH627"/>
  <c r="AH626"/>
  <c r="AH625"/>
  <c r="AH624"/>
  <c r="AH623"/>
  <c r="AH622"/>
  <c r="AH621"/>
  <c r="AH620"/>
  <c r="AH619"/>
  <c r="AH618"/>
  <c r="AH617"/>
  <c r="AH616"/>
  <c r="AH615"/>
  <c r="AH614"/>
  <c r="AH613"/>
  <c r="AH612"/>
  <c r="AH611"/>
  <c r="AH610"/>
  <c r="AH609"/>
  <c r="AH608"/>
  <c r="AH607"/>
  <c r="AH606"/>
  <c r="AH605"/>
  <c r="AH604"/>
  <c r="AH603"/>
  <c r="AH602"/>
  <c r="AH601"/>
  <c r="AH600"/>
  <c r="AH599"/>
  <c r="AH598"/>
  <c r="AH597"/>
  <c r="AH596"/>
  <c r="AH595"/>
  <c r="AH594"/>
  <c r="AH593"/>
  <c r="AH592"/>
  <c r="AH591"/>
  <c r="AH590"/>
  <c r="AH589"/>
  <c r="AH588"/>
  <c r="AH587"/>
  <c r="AH586"/>
  <c r="AH585"/>
  <c r="AH584"/>
  <c r="AH583"/>
  <c r="AH582"/>
  <c r="AH581"/>
  <c r="AH580"/>
  <c r="AH579"/>
  <c r="AH578"/>
  <c r="AH577"/>
  <c r="AH576"/>
  <c r="AH575"/>
  <c r="AH574"/>
  <c r="AH573"/>
  <c r="AH572"/>
  <c r="AH571"/>
  <c r="AH570"/>
  <c r="AH569"/>
  <c r="AH568"/>
  <c r="AH567"/>
  <c r="AH566"/>
  <c r="AH565"/>
  <c r="AH564"/>
  <c r="AH563"/>
  <c r="AH562"/>
  <c r="AH561"/>
  <c r="AH560"/>
  <c r="AH559"/>
  <c r="AH558"/>
  <c r="AH557"/>
  <c r="AH556"/>
  <c r="AH555"/>
  <c r="AH554"/>
  <c r="AH553"/>
  <c r="AH552"/>
  <c r="AH551"/>
  <c r="AH550"/>
  <c r="AH549"/>
  <c r="AH548"/>
  <c r="AH547"/>
  <c r="AH546"/>
  <c r="AH545"/>
  <c r="AH544"/>
  <c r="AH543"/>
  <c r="AH542"/>
  <c r="AH541"/>
  <c r="AH540"/>
  <c r="AH539"/>
  <c r="AH538"/>
  <c r="AH537"/>
  <c r="AH536"/>
  <c r="AH535"/>
  <c r="AH534"/>
  <c r="AH533"/>
  <c r="AH532"/>
  <c r="AH531"/>
  <c r="AH530"/>
  <c r="AH529"/>
  <c r="AH528"/>
  <c r="AH527"/>
  <c r="AH526"/>
  <c r="AH525"/>
  <c r="AH524"/>
  <c r="AH523"/>
  <c r="AH522"/>
  <c r="AH521"/>
  <c r="AH520"/>
  <c r="AH519"/>
  <c r="AH518"/>
  <c r="AH517"/>
  <c r="AH516"/>
  <c r="AH515"/>
  <c r="AH514"/>
  <c r="AH513"/>
  <c r="AH512"/>
  <c r="AH511"/>
  <c r="AH510"/>
  <c r="AH509"/>
  <c r="AH508"/>
  <c r="AH507"/>
  <c r="AH506"/>
  <c r="AH505"/>
  <c r="AH504"/>
  <c r="AH503"/>
  <c r="AH502"/>
  <c r="AH501"/>
  <c r="AI12"/>
  <c r="AP12"/>
  <c r="AJ12"/>
  <c r="G13" i="4"/>
  <c r="I13"/>
  <c r="H13"/>
  <c r="F13"/>
  <c r="AF12" i="1"/>
  <c r="AE12"/>
  <c r="AD12"/>
  <c r="AC12"/>
  <c r="AB12"/>
  <c r="AA12"/>
  <c r="Z12"/>
  <c r="W12"/>
  <c r="V12"/>
  <c r="U12"/>
  <c r="T12"/>
  <c r="S12"/>
  <c r="R12"/>
  <c r="Q12"/>
  <c r="N12"/>
  <c r="C16" i="11" s="1"/>
  <c r="M12" i="1"/>
  <c r="L12"/>
  <c r="K12"/>
  <c r="J12"/>
  <c r="I12"/>
  <c r="H12"/>
  <c r="Y1000"/>
  <c r="Y999"/>
  <c r="Y998"/>
  <c r="Y997"/>
  <c r="Y996"/>
  <c r="Y995"/>
  <c r="Y994"/>
  <c r="Y993"/>
  <c r="Y992"/>
  <c r="Y991"/>
  <c r="Y990"/>
  <c r="Y989"/>
  <c r="Y988"/>
  <c r="Y987"/>
  <c r="Y986"/>
  <c r="Y985"/>
  <c r="Y984"/>
  <c r="Y983"/>
  <c r="Y982"/>
  <c r="Y981"/>
  <c r="Y980"/>
  <c r="Y979"/>
  <c r="Y978"/>
  <c r="Y977"/>
  <c r="Y976"/>
  <c r="Y975"/>
  <c r="Y974"/>
  <c r="Y973"/>
  <c r="Y972"/>
  <c r="Y971"/>
  <c r="Y970"/>
  <c r="Y969"/>
  <c r="Y968"/>
  <c r="Y967"/>
  <c r="Y966"/>
  <c r="Y965"/>
  <c r="Y964"/>
  <c r="Y963"/>
  <c r="Y962"/>
  <c r="Y961"/>
  <c r="Y960"/>
  <c r="Y959"/>
  <c r="Y958"/>
  <c r="Y957"/>
  <c r="Y956"/>
  <c r="Y955"/>
  <c r="Y954"/>
  <c r="Y953"/>
  <c r="Y952"/>
  <c r="Y951"/>
  <c r="Y950"/>
  <c r="Y949"/>
  <c r="Y948"/>
  <c r="Y947"/>
  <c r="Y946"/>
  <c r="Y945"/>
  <c r="Y944"/>
  <c r="Y943"/>
  <c r="Y942"/>
  <c r="Y941"/>
  <c r="Y940"/>
  <c r="Y939"/>
  <c r="Y938"/>
  <c r="Y937"/>
  <c r="Y936"/>
  <c r="Y935"/>
  <c r="Y934"/>
  <c r="Y933"/>
  <c r="Y932"/>
  <c r="Y931"/>
  <c r="Y930"/>
  <c r="Y929"/>
  <c r="Y928"/>
  <c r="Y927"/>
  <c r="Y926"/>
  <c r="Y925"/>
  <c r="Y924"/>
  <c r="Y923"/>
  <c r="Y922"/>
  <c r="Y921"/>
  <c r="Y920"/>
  <c r="Y919"/>
  <c r="Y918"/>
  <c r="Y917"/>
  <c r="Y916"/>
  <c r="Y915"/>
  <c r="Y914"/>
  <c r="Y913"/>
  <c r="Y912"/>
  <c r="Y911"/>
  <c r="Y910"/>
  <c r="Y909"/>
  <c r="Y908"/>
  <c r="Y907"/>
  <c r="Y906"/>
  <c r="Y905"/>
  <c r="Y904"/>
  <c r="Y903"/>
  <c r="Y902"/>
  <c r="Y901"/>
  <c r="Y900"/>
  <c r="Y899"/>
  <c r="Y898"/>
  <c r="Y897"/>
  <c r="Y896"/>
  <c r="Y895"/>
  <c r="Y894"/>
  <c r="Y893"/>
  <c r="Y892"/>
  <c r="Y891"/>
  <c r="Y890"/>
  <c r="Y889"/>
  <c r="Y888"/>
  <c r="Y887"/>
  <c r="Y886"/>
  <c r="Y885"/>
  <c r="Y884"/>
  <c r="Y883"/>
  <c r="Y882"/>
  <c r="Y881"/>
  <c r="Y880"/>
  <c r="Y879"/>
  <c r="Y878"/>
  <c r="Y877"/>
  <c r="Y876"/>
  <c r="Y875"/>
  <c r="Y874"/>
  <c r="Y873"/>
  <c r="Y872"/>
  <c r="Y871"/>
  <c r="Y870"/>
  <c r="Y869"/>
  <c r="Y868"/>
  <c r="Y867"/>
  <c r="Y866"/>
  <c r="Y865"/>
  <c r="Y864"/>
  <c r="Y863"/>
  <c r="Y862"/>
  <c r="Y861"/>
  <c r="Y860"/>
  <c r="Y859"/>
  <c r="Y858"/>
  <c r="Y857"/>
  <c r="Y856"/>
  <c r="Y855"/>
  <c r="Y854"/>
  <c r="Y853"/>
  <c r="Y852"/>
  <c r="Y851"/>
  <c r="Y850"/>
  <c r="Y849"/>
  <c r="Y848"/>
  <c r="Y847"/>
  <c r="Y846"/>
  <c r="Y845"/>
  <c r="Y844"/>
  <c r="Y843"/>
  <c r="Y842"/>
  <c r="Y841"/>
  <c r="Y840"/>
  <c r="Y839"/>
  <c r="Y838"/>
  <c r="Y837"/>
  <c r="Y836"/>
  <c r="Y835"/>
  <c r="Y834"/>
  <c r="Y833"/>
  <c r="Y832"/>
  <c r="Y831"/>
  <c r="Y830"/>
  <c r="Y829"/>
  <c r="Y828"/>
  <c r="Y827"/>
  <c r="Y826"/>
  <c r="Y825"/>
  <c r="Y824"/>
  <c r="Y823"/>
  <c r="Y822"/>
  <c r="Y821"/>
  <c r="Y820"/>
  <c r="Y819"/>
  <c r="Y818"/>
  <c r="Y817"/>
  <c r="Y816"/>
  <c r="Y815"/>
  <c r="Y814"/>
  <c r="Y813"/>
  <c r="Y812"/>
  <c r="Y811"/>
  <c r="Y810"/>
  <c r="Y809"/>
  <c r="Y808"/>
  <c r="Y807"/>
  <c r="Y806"/>
  <c r="Y805"/>
  <c r="Y804"/>
  <c r="Y803"/>
  <c r="Y802"/>
  <c r="Y801"/>
  <c r="Y800"/>
  <c r="Y799"/>
  <c r="Y798"/>
  <c r="Y797"/>
  <c r="Y796"/>
  <c r="Y795"/>
  <c r="Y794"/>
  <c r="Y793"/>
  <c r="Y792"/>
  <c r="Y791"/>
  <c r="Y790"/>
  <c r="Y789"/>
  <c r="Y788"/>
  <c r="Y787"/>
  <c r="Y786"/>
  <c r="Y785"/>
  <c r="Y784"/>
  <c r="Y783"/>
  <c r="Y782"/>
  <c r="Y781"/>
  <c r="Y780"/>
  <c r="Y779"/>
  <c r="Y778"/>
  <c r="Y777"/>
  <c r="Y776"/>
  <c r="Y775"/>
  <c r="Y774"/>
  <c r="Y773"/>
  <c r="Y772"/>
  <c r="Y771"/>
  <c r="Y770"/>
  <c r="Y769"/>
  <c r="Y768"/>
  <c r="Y767"/>
  <c r="Y766"/>
  <c r="Y765"/>
  <c r="Y764"/>
  <c r="Y763"/>
  <c r="Y762"/>
  <c r="Y761"/>
  <c r="Y760"/>
  <c r="Y759"/>
  <c r="Y758"/>
  <c r="Y757"/>
  <c r="Y756"/>
  <c r="Y755"/>
  <c r="Y754"/>
  <c r="Y753"/>
  <c r="Y752"/>
  <c r="Y751"/>
  <c r="Y750"/>
  <c r="Y749"/>
  <c r="Y748"/>
  <c r="Y747"/>
  <c r="Y746"/>
  <c r="Y745"/>
  <c r="Y744"/>
  <c r="Y743"/>
  <c r="Y742"/>
  <c r="Y741"/>
  <c r="Y740"/>
  <c r="Y739"/>
  <c r="Y738"/>
  <c r="Y737"/>
  <c r="Y736"/>
  <c r="Y735"/>
  <c r="Y734"/>
  <c r="Y733"/>
  <c r="Y732"/>
  <c r="Y731"/>
  <c r="Y730"/>
  <c r="Y729"/>
  <c r="Y728"/>
  <c r="Y727"/>
  <c r="Y726"/>
  <c r="Y725"/>
  <c r="Y724"/>
  <c r="Y723"/>
  <c r="Y722"/>
  <c r="Y721"/>
  <c r="Y720"/>
  <c r="Y719"/>
  <c r="Y718"/>
  <c r="Y717"/>
  <c r="Y716"/>
  <c r="Y715"/>
  <c r="Y714"/>
  <c r="Y713"/>
  <c r="Y712"/>
  <c r="Y711"/>
  <c r="Y710"/>
  <c r="Y709"/>
  <c r="Y708"/>
  <c r="Y707"/>
  <c r="Y706"/>
  <c r="Y705"/>
  <c r="Y704"/>
  <c r="Y703"/>
  <c r="Y702"/>
  <c r="Y701"/>
  <c r="Y700"/>
  <c r="Y699"/>
  <c r="Y698"/>
  <c r="Y697"/>
  <c r="Y696"/>
  <c r="Y695"/>
  <c r="Y694"/>
  <c r="Y693"/>
  <c r="Y692"/>
  <c r="Y691"/>
  <c r="Y690"/>
  <c r="Y689"/>
  <c r="Y688"/>
  <c r="Y687"/>
  <c r="Y686"/>
  <c r="Y685"/>
  <c r="Y684"/>
  <c r="Y683"/>
  <c r="Y682"/>
  <c r="Y681"/>
  <c r="Y680"/>
  <c r="Y679"/>
  <c r="Y678"/>
  <c r="Y677"/>
  <c r="Y676"/>
  <c r="Y675"/>
  <c r="Y674"/>
  <c r="Y673"/>
  <c r="Y672"/>
  <c r="Y671"/>
  <c r="Y670"/>
  <c r="Y669"/>
  <c r="Y668"/>
  <c r="Y667"/>
  <c r="Y666"/>
  <c r="Y665"/>
  <c r="Y664"/>
  <c r="Y663"/>
  <c r="Y662"/>
  <c r="Y661"/>
  <c r="Y660"/>
  <c r="Y659"/>
  <c r="Y658"/>
  <c r="Y657"/>
  <c r="Y656"/>
  <c r="Y655"/>
  <c r="Y654"/>
  <c r="Y653"/>
  <c r="Y652"/>
  <c r="Y651"/>
  <c r="Y650"/>
  <c r="Y649"/>
  <c r="Y648"/>
  <c r="Y647"/>
  <c r="Y646"/>
  <c r="Y645"/>
  <c r="Y644"/>
  <c r="Y643"/>
  <c r="Y642"/>
  <c r="Y641"/>
  <c r="Y640"/>
  <c r="Y639"/>
  <c r="Y638"/>
  <c r="Y637"/>
  <c r="Y636"/>
  <c r="Y635"/>
  <c r="Y634"/>
  <c r="Y633"/>
  <c r="Y632"/>
  <c r="Y631"/>
  <c r="Y630"/>
  <c r="Y629"/>
  <c r="Y628"/>
  <c r="Y627"/>
  <c r="Y626"/>
  <c r="Y625"/>
  <c r="Y624"/>
  <c r="Y623"/>
  <c r="Y622"/>
  <c r="Y621"/>
  <c r="Y620"/>
  <c r="Y619"/>
  <c r="Y618"/>
  <c r="Y617"/>
  <c r="Y616"/>
  <c r="Y615"/>
  <c r="Y614"/>
  <c r="Y613"/>
  <c r="Y612"/>
  <c r="Y611"/>
  <c r="Y610"/>
  <c r="Y609"/>
  <c r="Y608"/>
  <c r="Y607"/>
  <c r="Y606"/>
  <c r="Y605"/>
  <c r="Y604"/>
  <c r="Y603"/>
  <c r="Y602"/>
  <c r="Y601"/>
  <c r="Y600"/>
  <c r="Y599"/>
  <c r="Y598"/>
  <c r="Y597"/>
  <c r="Y596"/>
  <c r="Y595"/>
  <c r="Y594"/>
  <c r="Y593"/>
  <c r="Y592"/>
  <c r="Y591"/>
  <c r="Y590"/>
  <c r="Y589"/>
  <c r="Y588"/>
  <c r="Y587"/>
  <c r="Y586"/>
  <c r="Y585"/>
  <c r="Y584"/>
  <c r="Y583"/>
  <c r="Y582"/>
  <c r="Y581"/>
  <c r="Y580"/>
  <c r="Y579"/>
  <c r="Y578"/>
  <c r="Y577"/>
  <c r="Y576"/>
  <c r="Y575"/>
  <c r="Y574"/>
  <c r="Y573"/>
  <c r="Y572"/>
  <c r="Y571"/>
  <c r="Y570"/>
  <c r="Y569"/>
  <c r="Y568"/>
  <c r="Y567"/>
  <c r="Y566"/>
  <c r="Y565"/>
  <c r="Y564"/>
  <c r="Y563"/>
  <c r="Y562"/>
  <c r="Y561"/>
  <c r="Y560"/>
  <c r="Y559"/>
  <c r="Y558"/>
  <c r="Y557"/>
  <c r="Y556"/>
  <c r="Y555"/>
  <c r="Y554"/>
  <c r="Y553"/>
  <c r="Y552"/>
  <c r="Y551"/>
  <c r="Y550"/>
  <c r="Y549"/>
  <c r="Y548"/>
  <c r="Y547"/>
  <c r="Y546"/>
  <c r="Y545"/>
  <c r="Y544"/>
  <c r="Y543"/>
  <c r="Y542"/>
  <c r="Y541"/>
  <c r="Y540"/>
  <c r="Y539"/>
  <c r="Y538"/>
  <c r="Y537"/>
  <c r="Y536"/>
  <c r="Y535"/>
  <c r="Y534"/>
  <c r="Y533"/>
  <c r="Y532"/>
  <c r="Y531"/>
  <c r="Y530"/>
  <c r="Y529"/>
  <c r="Y528"/>
  <c r="Y527"/>
  <c r="Y526"/>
  <c r="Y525"/>
  <c r="Y524"/>
  <c r="Y523"/>
  <c r="Y522"/>
  <c r="Y521"/>
  <c r="Y520"/>
  <c r="Y519"/>
  <c r="Y518"/>
  <c r="Y517"/>
  <c r="Y516"/>
  <c r="Y515"/>
  <c r="Y514"/>
  <c r="Y513"/>
  <c r="Y512"/>
  <c r="Y511"/>
  <c r="Y510"/>
  <c r="Y509"/>
  <c r="Y508"/>
  <c r="Y507"/>
  <c r="Y506"/>
  <c r="Y505"/>
  <c r="Y504"/>
  <c r="Y503"/>
  <c r="Y502"/>
  <c r="Y501"/>
  <c r="Y500"/>
  <c r="Y499"/>
  <c r="Y498"/>
  <c r="Y497"/>
  <c r="Y496"/>
  <c r="Y495"/>
  <c r="Y494"/>
  <c r="Y493"/>
  <c r="Y492"/>
  <c r="Y491"/>
  <c r="Y490"/>
  <c r="Y489"/>
  <c r="Y488"/>
  <c r="Y487"/>
  <c r="Y486"/>
  <c r="Y485"/>
  <c r="Y484"/>
  <c r="Y483"/>
  <c r="Y482"/>
  <c r="Y481"/>
  <c r="Y480"/>
  <c r="Y479"/>
  <c r="Y478"/>
  <c r="Y477"/>
  <c r="Y476"/>
  <c r="Y475"/>
  <c r="Y474"/>
  <c r="Y473"/>
  <c r="Y472"/>
  <c r="Y471"/>
  <c r="Y470"/>
  <c r="Y469"/>
  <c r="Y468"/>
  <c r="Y467"/>
  <c r="Y466"/>
  <c r="Y465"/>
  <c r="Y464"/>
  <c r="Y463"/>
  <c r="Y462"/>
  <c r="Y461"/>
  <c r="Y460"/>
  <c r="Y459"/>
  <c r="Y458"/>
  <c r="Y457"/>
  <c r="Y456"/>
  <c r="Y455"/>
  <c r="Y454"/>
  <c r="Y453"/>
  <c r="Y452"/>
  <c r="Y451"/>
  <c r="Y450"/>
  <c r="Y449"/>
  <c r="Y448"/>
  <c r="Y447"/>
  <c r="Y446"/>
  <c r="Y445"/>
  <c r="Y444"/>
  <c r="Y443"/>
  <c r="Y442"/>
  <c r="Y441"/>
  <c r="Y440"/>
  <c r="Y439"/>
  <c r="Y438"/>
  <c r="Y437"/>
  <c r="Y436"/>
  <c r="Y435"/>
  <c r="Y434"/>
  <c r="Y433"/>
  <c r="Y432"/>
  <c r="Y431"/>
  <c r="Y430"/>
  <c r="Y429"/>
  <c r="Y428"/>
  <c r="Y427"/>
  <c r="Y426"/>
  <c r="Y425"/>
  <c r="Y424"/>
  <c r="Y423"/>
  <c r="Y422"/>
  <c r="Y421"/>
  <c r="Y420"/>
  <c r="Y419"/>
  <c r="Y418"/>
  <c r="Y417"/>
  <c r="Y416"/>
  <c r="Y415"/>
  <c r="Y414"/>
  <c r="Y413"/>
  <c r="Y412"/>
  <c r="Y411"/>
  <c r="Y410"/>
  <c r="Y409"/>
  <c r="Y408"/>
  <c r="Y407"/>
  <c r="Y406"/>
  <c r="Y405"/>
  <c r="Y404"/>
  <c r="Y403"/>
  <c r="Y402"/>
  <c r="Y401"/>
  <c r="Y400"/>
  <c r="Y399"/>
  <c r="Y398"/>
  <c r="Y397"/>
  <c r="Y396"/>
  <c r="Y395"/>
  <c r="Y394"/>
  <c r="Y393"/>
  <c r="Y392"/>
  <c r="Y391"/>
  <c r="Y390"/>
  <c r="Y389"/>
  <c r="Y388"/>
  <c r="Y387"/>
  <c r="Y386"/>
  <c r="Y385"/>
  <c r="Y384"/>
  <c r="Y383"/>
  <c r="Y382"/>
  <c r="Y381"/>
  <c r="Y380"/>
  <c r="Y379"/>
  <c r="Y378"/>
  <c r="Y377"/>
  <c r="Y376"/>
  <c r="Y375"/>
  <c r="Y374"/>
  <c r="Y373"/>
  <c r="Y372"/>
  <c r="Y371"/>
  <c r="Y370"/>
  <c r="Y369"/>
  <c r="Y368"/>
  <c r="Y367"/>
  <c r="Y366"/>
  <c r="Y365"/>
  <c r="Y364"/>
  <c r="Y363"/>
  <c r="Y362"/>
  <c r="Y361"/>
  <c r="Y360"/>
  <c r="Y359"/>
  <c r="Y358"/>
  <c r="Y357"/>
  <c r="Y356"/>
  <c r="Y355"/>
  <c r="Y354"/>
  <c r="Y353"/>
  <c r="Y352"/>
  <c r="Y351"/>
  <c r="Y350"/>
  <c r="Y349"/>
  <c r="Y348"/>
  <c r="Y347"/>
  <c r="Y346"/>
  <c r="Y345"/>
  <c r="Y344"/>
  <c r="Y343"/>
  <c r="Y342"/>
  <c r="Y341"/>
  <c r="Y340"/>
  <c r="Y339"/>
  <c r="Y338"/>
  <c r="Y337"/>
  <c r="Y336"/>
  <c r="Y335"/>
  <c r="Y334"/>
  <c r="Y333"/>
  <c r="Y332"/>
  <c r="Y331"/>
  <c r="Y330"/>
  <c r="Y329"/>
  <c r="Y328"/>
  <c r="Y327"/>
  <c r="Y326"/>
  <c r="Y325"/>
  <c r="Y324"/>
  <c r="Y323"/>
  <c r="Y322"/>
  <c r="Y321"/>
  <c r="Y320"/>
  <c r="Y319"/>
  <c r="Y318"/>
  <c r="Y317"/>
  <c r="Y316"/>
  <c r="Y315"/>
  <c r="Y314"/>
  <c r="Y313"/>
  <c r="Y312"/>
  <c r="Y311"/>
  <c r="Y310"/>
  <c r="Y309"/>
  <c r="Y308"/>
  <c r="Y307"/>
  <c r="Y306"/>
  <c r="Y305"/>
  <c r="Y304"/>
  <c r="Y303"/>
  <c r="Y302"/>
  <c r="Y301"/>
  <c r="Y300"/>
  <c r="Y299"/>
  <c r="Y298"/>
  <c r="Y297"/>
  <c r="Y296"/>
  <c r="Y295"/>
  <c r="Y294"/>
  <c r="Y293"/>
  <c r="Y292"/>
  <c r="Y291"/>
  <c r="Y290"/>
  <c r="Y289"/>
  <c r="Y288"/>
  <c r="Y287"/>
  <c r="Y286"/>
  <c r="Y285"/>
  <c r="Y284"/>
  <c r="Y283"/>
  <c r="Y282"/>
  <c r="Y281"/>
  <c r="Y280"/>
  <c r="Y279"/>
  <c r="Y278"/>
  <c r="Y277"/>
  <c r="Y276"/>
  <c r="Y275"/>
  <c r="Y274"/>
  <c r="Y273"/>
  <c r="Y272"/>
  <c r="Y271"/>
  <c r="Y270"/>
  <c r="Y269"/>
  <c r="Y268"/>
  <c r="Y267"/>
  <c r="Y266"/>
  <c r="Y265"/>
  <c r="Y264"/>
  <c r="Y263"/>
  <c r="Y262"/>
  <c r="Y261"/>
  <c r="Y260"/>
  <c r="Y259"/>
  <c r="Y258"/>
  <c r="Y257"/>
  <c r="Y256"/>
  <c r="Y255"/>
  <c r="Y254"/>
  <c r="Y253"/>
  <c r="Y252"/>
  <c r="Y251"/>
  <c r="Y250"/>
  <c r="Y249"/>
  <c r="Y248"/>
  <c r="Y247"/>
  <c r="Y246"/>
  <c r="Y245"/>
  <c r="Y244"/>
  <c r="Y243"/>
  <c r="Y242"/>
  <c r="Y241"/>
  <c r="Y240"/>
  <c r="Y239"/>
  <c r="Y238"/>
  <c r="Y237"/>
  <c r="Y236"/>
  <c r="Y235"/>
  <c r="Y234"/>
  <c r="Y233"/>
  <c r="Y232"/>
  <c r="Y231"/>
  <c r="Y230"/>
  <c r="Y229"/>
  <c r="Y228"/>
  <c r="Y227"/>
  <c r="Y226"/>
  <c r="Y225"/>
  <c r="Y224"/>
  <c r="Y223"/>
  <c r="Y222"/>
  <c r="Y221"/>
  <c r="Y220"/>
  <c r="Y219"/>
  <c r="Y218"/>
  <c r="Y217"/>
  <c r="Y216"/>
  <c r="Y215"/>
  <c r="Y214"/>
  <c r="Y213"/>
  <c r="Y212"/>
  <c r="Y211"/>
  <c r="Y210"/>
  <c r="Y209"/>
  <c r="Y208"/>
  <c r="Y207"/>
  <c r="Y206"/>
  <c r="Y205"/>
  <c r="Y204"/>
  <c r="Y203"/>
  <c r="Y202"/>
  <c r="Y201"/>
  <c r="Y200"/>
  <c r="Y199"/>
  <c r="Y198"/>
  <c r="Y197"/>
  <c r="Y196"/>
  <c r="Y195"/>
  <c r="Y194"/>
  <c r="Y193"/>
  <c r="Y192"/>
  <c r="Y191"/>
  <c r="Y190"/>
  <c r="Y189"/>
  <c r="Y188"/>
  <c r="Y187"/>
  <c r="Y186"/>
  <c r="Y185"/>
  <c r="Y184"/>
  <c r="Y183"/>
  <c r="Y182"/>
  <c r="Y181"/>
  <c r="Y180"/>
  <c r="Y179"/>
  <c r="Y178"/>
  <c r="Y177"/>
  <c r="Y176"/>
  <c r="Y175"/>
  <c r="Y174"/>
  <c r="Y173"/>
  <c r="Y172"/>
  <c r="Y171"/>
  <c r="Y170"/>
  <c r="Y169"/>
  <c r="Y168"/>
  <c r="Y167"/>
  <c r="Y166"/>
  <c r="Y165"/>
  <c r="Y164"/>
  <c r="Y163"/>
  <c r="Y162"/>
  <c r="Y161"/>
  <c r="Y160"/>
  <c r="Y159"/>
  <c r="Y158"/>
  <c r="Y157"/>
  <c r="Y156"/>
  <c r="Y155"/>
  <c r="Y154"/>
  <c r="Y153"/>
  <c r="Y152"/>
  <c r="Y151"/>
  <c r="Y150"/>
  <c r="Y149"/>
  <c r="Y148"/>
  <c r="Y147"/>
  <c r="Y146"/>
  <c r="Y145"/>
  <c r="Y144"/>
  <c r="Y143"/>
  <c r="Y142"/>
  <c r="Y141"/>
  <c r="Y140"/>
  <c r="Y139"/>
  <c r="Y138"/>
  <c r="Y137"/>
  <c r="Y136"/>
  <c r="Y135"/>
  <c r="Y134"/>
  <c r="Y133"/>
  <c r="Y132"/>
  <c r="Y131"/>
  <c r="Y130"/>
  <c r="Y129"/>
  <c r="Y128"/>
  <c r="Y127"/>
  <c r="Y126"/>
  <c r="Y125"/>
  <c r="Y124"/>
  <c r="Y123"/>
  <c r="Y122"/>
  <c r="Y121"/>
  <c r="Y120"/>
  <c r="Y119"/>
  <c r="Y118"/>
  <c r="Y117"/>
  <c r="Y116"/>
  <c r="Y115"/>
  <c r="Y114"/>
  <c r="Y113"/>
  <c r="Y112"/>
  <c r="Y111"/>
  <c r="Y110"/>
  <c r="Y109"/>
  <c r="Y108"/>
  <c r="Y107"/>
  <c r="Y106"/>
  <c r="Y105"/>
  <c r="Y104"/>
  <c r="Y103"/>
  <c r="Y102"/>
  <c r="Y101"/>
  <c r="Y100"/>
  <c r="Y99"/>
  <c r="Y98"/>
  <c r="Y97"/>
  <c r="Y96"/>
  <c r="Y95"/>
  <c r="Y94"/>
  <c r="Y93"/>
  <c r="Y92"/>
  <c r="Y91"/>
  <c r="Y90"/>
  <c r="Y89"/>
  <c r="Y88"/>
  <c r="Y87"/>
  <c r="Y86"/>
  <c r="Y85"/>
  <c r="Y84"/>
  <c r="Y83"/>
  <c r="Y82"/>
  <c r="Y81"/>
  <c r="Y80"/>
  <c r="Y79"/>
  <c r="Y78"/>
  <c r="Y77"/>
  <c r="Y76"/>
  <c r="Y75"/>
  <c r="Y74"/>
  <c r="Y73"/>
  <c r="Y72"/>
  <c r="Y71"/>
  <c r="Y70"/>
  <c r="Y69"/>
  <c r="Y68"/>
  <c r="Y67"/>
  <c r="Y66"/>
  <c r="Y65"/>
  <c r="Y64"/>
  <c r="Y63"/>
  <c r="Y62"/>
  <c r="Y61"/>
  <c r="Y60"/>
  <c r="Y59"/>
  <c r="Y58"/>
  <c r="Y57"/>
  <c r="Y56"/>
  <c r="Y55"/>
  <c r="Y54"/>
  <c r="Y53"/>
  <c r="Y52"/>
  <c r="Y51"/>
  <c r="Y50"/>
  <c r="Y49"/>
  <c r="Y48"/>
  <c r="Y47"/>
  <c r="Y46"/>
  <c r="Y45"/>
  <c r="Y44"/>
  <c r="Y43"/>
  <c r="Y42"/>
  <c r="Y41"/>
  <c r="Y40"/>
  <c r="Y39"/>
  <c r="Y38"/>
  <c r="Y37"/>
  <c r="Y36"/>
  <c r="Y35"/>
  <c r="Y34"/>
  <c r="Y33"/>
  <c r="Y32"/>
  <c r="Y31"/>
  <c r="Y30"/>
  <c r="Y29"/>
  <c r="Y28"/>
  <c r="Y27"/>
  <c r="Y26"/>
  <c r="Y25"/>
  <c r="Y24"/>
  <c r="Y23"/>
  <c r="Y22"/>
  <c r="Y21"/>
  <c r="Y20"/>
  <c r="Y19"/>
  <c r="Y18"/>
  <c r="Y17"/>
  <c r="Y16"/>
  <c r="P1000"/>
  <c r="P999"/>
  <c r="P998"/>
  <c r="P997"/>
  <c r="P996"/>
  <c r="P995"/>
  <c r="P994"/>
  <c r="P993"/>
  <c r="P992"/>
  <c r="P991"/>
  <c r="P990"/>
  <c r="P989"/>
  <c r="P988"/>
  <c r="P987"/>
  <c r="P986"/>
  <c r="P985"/>
  <c r="P984"/>
  <c r="P983"/>
  <c r="P982"/>
  <c r="P981"/>
  <c r="P980"/>
  <c r="P979"/>
  <c r="P978"/>
  <c r="P977"/>
  <c r="P976"/>
  <c r="P975"/>
  <c r="P974"/>
  <c r="P973"/>
  <c r="P972"/>
  <c r="P971"/>
  <c r="P970"/>
  <c r="P969"/>
  <c r="P968"/>
  <c r="P967"/>
  <c r="P966"/>
  <c r="P965"/>
  <c r="P964"/>
  <c r="P963"/>
  <c r="P962"/>
  <c r="P961"/>
  <c r="P960"/>
  <c r="P959"/>
  <c r="P958"/>
  <c r="P957"/>
  <c r="P956"/>
  <c r="P955"/>
  <c r="P954"/>
  <c r="P953"/>
  <c r="P952"/>
  <c r="P951"/>
  <c r="P950"/>
  <c r="P949"/>
  <c r="P948"/>
  <c r="P947"/>
  <c r="P946"/>
  <c r="P945"/>
  <c r="P944"/>
  <c r="P943"/>
  <c r="P942"/>
  <c r="P941"/>
  <c r="P940"/>
  <c r="P939"/>
  <c r="P938"/>
  <c r="P937"/>
  <c r="P936"/>
  <c r="P935"/>
  <c r="P934"/>
  <c r="P933"/>
  <c r="P932"/>
  <c r="P931"/>
  <c r="P930"/>
  <c r="P929"/>
  <c r="P928"/>
  <c r="P927"/>
  <c r="P926"/>
  <c r="P925"/>
  <c r="P924"/>
  <c r="P923"/>
  <c r="P922"/>
  <c r="P921"/>
  <c r="P920"/>
  <c r="P919"/>
  <c r="P918"/>
  <c r="P917"/>
  <c r="P916"/>
  <c r="P915"/>
  <c r="P914"/>
  <c r="P913"/>
  <c r="P912"/>
  <c r="P911"/>
  <c r="P910"/>
  <c r="P909"/>
  <c r="P908"/>
  <c r="P907"/>
  <c r="P906"/>
  <c r="P905"/>
  <c r="P904"/>
  <c r="P903"/>
  <c r="P902"/>
  <c r="P901"/>
  <c r="P900"/>
  <c r="P899"/>
  <c r="P898"/>
  <c r="P897"/>
  <c r="P896"/>
  <c r="P895"/>
  <c r="P894"/>
  <c r="P893"/>
  <c r="P892"/>
  <c r="P891"/>
  <c r="P890"/>
  <c r="P889"/>
  <c r="P888"/>
  <c r="P887"/>
  <c r="P886"/>
  <c r="P885"/>
  <c r="P884"/>
  <c r="P883"/>
  <c r="P882"/>
  <c r="P881"/>
  <c r="P880"/>
  <c r="P879"/>
  <c r="P878"/>
  <c r="P877"/>
  <c r="P876"/>
  <c r="P875"/>
  <c r="P874"/>
  <c r="P873"/>
  <c r="P872"/>
  <c r="P871"/>
  <c r="P870"/>
  <c r="P869"/>
  <c r="P868"/>
  <c r="P867"/>
  <c r="P866"/>
  <c r="P865"/>
  <c r="P864"/>
  <c r="P863"/>
  <c r="P862"/>
  <c r="P861"/>
  <c r="P860"/>
  <c r="P859"/>
  <c r="P858"/>
  <c r="P857"/>
  <c r="P856"/>
  <c r="P855"/>
  <c r="P854"/>
  <c r="P853"/>
  <c r="P852"/>
  <c r="P851"/>
  <c r="P850"/>
  <c r="P849"/>
  <c r="P848"/>
  <c r="P847"/>
  <c r="P846"/>
  <c r="P845"/>
  <c r="P844"/>
  <c r="P843"/>
  <c r="P842"/>
  <c r="P841"/>
  <c r="P840"/>
  <c r="P839"/>
  <c r="P838"/>
  <c r="P837"/>
  <c r="P836"/>
  <c r="P835"/>
  <c r="P834"/>
  <c r="P833"/>
  <c r="P832"/>
  <c r="P831"/>
  <c r="P830"/>
  <c r="P829"/>
  <c r="P828"/>
  <c r="P827"/>
  <c r="P826"/>
  <c r="P825"/>
  <c r="P824"/>
  <c r="P823"/>
  <c r="P822"/>
  <c r="P821"/>
  <c r="P820"/>
  <c r="P819"/>
  <c r="P818"/>
  <c r="P817"/>
  <c r="P816"/>
  <c r="P815"/>
  <c r="P814"/>
  <c r="P813"/>
  <c r="P812"/>
  <c r="P811"/>
  <c r="P810"/>
  <c r="P809"/>
  <c r="P808"/>
  <c r="P807"/>
  <c r="P806"/>
  <c r="P805"/>
  <c r="P804"/>
  <c r="P803"/>
  <c r="P802"/>
  <c r="P801"/>
  <c r="P800"/>
  <c r="P799"/>
  <c r="P798"/>
  <c r="P797"/>
  <c r="P796"/>
  <c r="P795"/>
  <c r="P794"/>
  <c r="P793"/>
  <c r="P792"/>
  <c r="P791"/>
  <c r="P790"/>
  <c r="P789"/>
  <c r="P788"/>
  <c r="P787"/>
  <c r="P786"/>
  <c r="P785"/>
  <c r="P784"/>
  <c r="P783"/>
  <c r="P782"/>
  <c r="P781"/>
  <c r="P780"/>
  <c r="P779"/>
  <c r="P778"/>
  <c r="P777"/>
  <c r="P776"/>
  <c r="P775"/>
  <c r="P774"/>
  <c r="P773"/>
  <c r="P772"/>
  <c r="P771"/>
  <c r="P770"/>
  <c r="P769"/>
  <c r="P768"/>
  <c r="P767"/>
  <c r="P766"/>
  <c r="P765"/>
  <c r="P764"/>
  <c r="P763"/>
  <c r="P762"/>
  <c r="P761"/>
  <c r="P760"/>
  <c r="P759"/>
  <c r="P758"/>
  <c r="P757"/>
  <c r="P756"/>
  <c r="P755"/>
  <c r="P754"/>
  <c r="P753"/>
  <c r="P752"/>
  <c r="P751"/>
  <c r="P750"/>
  <c r="P749"/>
  <c r="P748"/>
  <c r="P747"/>
  <c r="P746"/>
  <c r="P745"/>
  <c r="P744"/>
  <c r="P743"/>
  <c r="P742"/>
  <c r="P741"/>
  <c r="P740"/>
  <c r="P739"/>
  <c r="P738"/>
  <c r="P737"/>
  <c r="P736"/>
  <c r="P735"/>
  <c r="P734"/>
  <c r="P733"/>
  <c r="P732"/>
  <c r="P731"/>
  <c r="P730"/>
  <c r="P729"/>
  <c r="P728"/>
  <c r="P727"/>
  <c r="P726"/>
  <c r="P725"/>
  <c r="P724"/>
  <c r="P723"/>
  <c r="P722"/>
  <c r="P721"/>
  <c r="P720"/>
  <c r="P719"/>
  <c r="P718"/>
  <c r="P717"/>
  <c r="P716"/>
  <c r="P715"/>
  <c r="P714"/>
  <c r="P713"/>
  <c r="P712"/>
  <c r="P711"/>
  <c r="P710"/>
  <c r="P709"/>
  <c r="P708"/>
  <c r="P707"/>
  <c r="P706"/>
  <c r="P705"/>
  <c r="P704"/>
  <c r="P703"/>
  <c r="P702"/>
  <c r="P701"/>
  <c r="P700"/>
  <c r="P699"/>
  <c r="P698"/>
  <c r="P697"/>
  <c r="P696"/>
  <c r="P695"/>
  <c r="P694"/>
  <c r="P693"/>
  <c r="P692"/>
  <c r="P691"/>
  <c r="P690"/>
  <c r="P689"/>
  <c r="P688"/>
  <c r="P687"/>
  <c r="P686"/>
  <c r="P685"/>
  <c r="P684"/>
  <c r="P683"/>
  <c r="P682"/>
  <c r="P681"/>
  <c r="P680"/>
  <c r="P679"/>
  <c r="P678"/>
  <c r="P677"/>
  <c r="P676"/>
  <c r="P675"/>
  <c r="P674"/>
  <c r="P673"/>
  <c r="P672"/>
  <c r="P671"/>
  <c r="P670"/>
  <c r="P669"/>
  <c r="P668"/>
  <c r="P667"/>
  <c r="P666"/>
  <c r="P665"/>
  <c r="P664"/>
  <c r="P663"/>
  <c r="P662"/>
  <c r="P661"/>
  <c r="P660"/>
  <c r="P659"/>
  <c r="P658"/>
  <c r="P657"/>
  <c r="P656"/>
  <c r="P655"/>
  <c r="P654"/>
  <c r="P653"/>
  <c r="P652"/>
  <c r="P651"/>
  <c r="P650"/>
  <c r="P649"/>
  <c r="P648"/>
  <c r="P647"/>
  <c r="P646"/>
  <c r="P645"/>
  <c r="P644"/>
  <c r="P643"/>
  <c r="P642"/>
  <c r="P641"/>
  <c r="P640"/>
  <c r="P639"/>
  <c r="P638"/>
  <c r="P637"/>
  <c r="P636"/>
  <c r="P635"/>
  <c r="P634"/>
  <c r="P633"/>
  <c r="P632"/>
  <c r="P631"/>
  <c r="P630"/>
  <c r="P629"/>
  <c r="P628"/>
  <c r="P627"/>
  <c r="P626"/>
  <c r="P625"/>
  <c r="P624"/>
  <c r="P623"/>
  <c r="P622"/>
  <c r="P621"/>
  <c r="P620"/>
  <c r="P619"/>
  <c r="P618"/>
  <c r="P617"/>
  <c r="P616"/>
  <c r="P615"/>
  <c r="P614"/>
  <c r="P613"/>
  <c r="P612"/>
  <c r="P611"/>
  <c r="P610"/>
  <c r="P609"/>
  <c r="P608"/>
  <c r="P607"/>
  <c r="P606"/>
  <c r="P605"/>
  <c r="P604"/>
  <c r="P603"/>
  <c r="P602"/>
  <c r="P601"/>
  <c r="P600"/>
  <c r="P599"/>
  <c r="P598"/>
  <c r="P597"/>
  <c r="P596"/>
  <c r="P595"/>
  <c r="P594"/>
  <c r="P593"/>
  <c r="P592"/>
  <c r="P591"/>
  <c r="P590"/>
  <c r="P589"/>
  <c r="P588"/>
  <c r="P587"/>
  <c r="P586"/>
  <c r="P585"/>
  <c r="P584"/>
  <c r="P583"/>
  <c r="P582"/>
  <c r="P581"/>
  <c r="P580"/>
  <c r="P579"/>
  <c r="P578"/>
  <c r="P577"/>
  <c r="P576"/>
  <c r="P575"/>
  <c r="P574"/>
  <c r="P573"/>
  <c r="P572"/>
  <c r="P571"/>
  <c r="P570"/>
  <c r="P569"/>
  <c r="P568"/>
  <c r="P567"/>
  <c r="P566"/>
  <c r="P565"/>
  <c r="P564"/>
  <c r="P563"/>
  <c r="P562"/>
  <c r="P561"/>
  <c r="P560"/>
  <c r="P559"/>
  <c r="P558"/>
  <c r="P557"/>
  <c r="P556"/>
  <c r="P555"/>
  <c r="P554"/>
  <c r="P553"/>
  <c r="P552"/>
  <c r="P551"/>
  <c r="P550"/>
  <c r="P549"/>
  <c r="P548"/>
  <c r="P547"/>
  <c r="P546"/>
  <c r="P545"/>
  <c r="P544"/>
  <c r="P543"/>
  <c r="P542"/>
  <c r="P541"/>
  <c r="P540"/>
  <c r="P539"/>
  <c r="P538"/>
  <c r="P537"/>
  <c r="P536"/>
  <c r="P535"/>
  <c r="P534"/>
  <c r="P533"/>
  <c r="P532"/>
  <c r="P531"/>
  <c r="P530"/>
  <c r="P529"/>
  <c r="P528"/>
  <c r="P527"/>
  <c r="P526"/>
  <c r="P525"/>
  <c r="P524"/>
  <c r="P523"/>
  <c r="P522"/>
  <c r="P521"/>
  <c r="P520"/>
  <c r="P519"/>
  <c r="P518"/>
  <c r="P517"/>
  <c r="P516"/>
  <c r="P515"/>
  <c r="P514"/>
  <c r="P513"/>
  <c r="P512"/>
  <c r="P511"/>
  <c r="P510"/>
  <c r="P509"/>
  <c r="P508"/>
  <c r="P507"/>
  <c r="P506"/>
  <c r="P505"/>
  <c r="P504"/>
  <c r="P503"/>
  <c r="P502"/>
  <c r="P501"/>
  <c r="P499"/>
  <c r="P498"/>
  <c r="P497"/>
  <c r="P496"/>
  <c r="P495"/>
  <c r="P494"/>
  <c r="P493"/>
  <c r="P492"/>
  <c r="P491"/>
  <c r="P490"/>
  <c r="P489"/>
  <c r="P488"/>
  <c r="P487"/>
  <c r="P486"/>
  <c r="P485"/>
  <c r="P484"/>
  <c r="P483"/>
  <c r="P482"/>
  <c r="P481"/>
  <c r="P480"/>
  <c r="P479"/>
  <c r="P478"/>
  <c r="P477"/>
  <c r="P476"/>
  <c r="P475"/>
  <c r="P474"/>
  <c r="P473"/>
  <c r="P472"/>
  <c r="P471"/>
  <c r="P470"/>
  <c r="P469"/>
  <c r="P468"/>
  <c r="P467"/>
  <c r="P466"/>
  <c r="P465"/>
  <c r="P464"/>
  <c r="P463"/>
  <c r="P462"/>
  <c r="P461"/>
  <c r="P460"/>
  <c r="P459"/>
  <c r="P458"/>
  <c r="P457"/>
  <c r="P456"/>
  <c r="P455"/>
  <c r="P454"/>
  <c r="P453"/>
  <c r="P452"/>
  <c r="P451"/>
  <c r="P450"/>
  <c r="P449"/>
  <c r="P448"/>
  <c r="P447"/>
  <c r="P446"/>
  <c r="P445"/>
  <c r="P444"/>
  <c r="P443"/>
  <c r="P442"/>
  <c r="P441"/>
  <c r="P440"/>
  <c r="P439"/>
  <c r="P438"/>
  <c r="P437"/>
  <c r="P436"/>
  <c r="P435"/>
  <c r="P434"/>
  <c r="P433"/>
  <c r="P432"/>
  <c r="P431"/>
  <c r="P430"/>
  <c r="P429"/>
  <c r="P428"/>
  <c r="P427"/>
  <c r="P426"/>
  <c r="P425"/>
  <c r="P424"/>
  <c r="P423"/>
  <c r="P422"/>
  <c r="P421"/>
  <c r="P420"/>
  <c r="P419"/>
  <c r="P418"/>
  <c r="P417"/>
  <c r="P416"/>
  <c r="P415"/>
  <c r="P414"/>
  <c r="P413"/>
  <c r="P412"/>
  <c r="P411"/>
  <c r="P410"/>
  <c r="P409"/>
  <c r="P408"/>
  <c r="P407"/>
  <c r="P406"/>
  <c r="P405"/>
  <c r="P404"/>
  <c r="P403"/>
  <c r="P402"/>
  <c r="P401"/>
  <c r="P400"/>
  <c r="P399"/>
  <c r="P398"/>
  <c r="P397"/>
  <c r="P396"/>
  <c r="P395"/>
  <c r="P394"/>
  <c r="P393"/>
  <c r="P392"/>
  <c r="P391"/>
  <c r="P390"/>
  <c r="P389"/>
  <c r="P388"/>
  <c r="P387"/>
  <c r="P386"/>
  <c r="P385"/>
  <c r="P384"/>
  <c r="P383"/>
  <c r="P382"/>
  <c r="P381"/>
  <c r="P380"/>
  <c r="P379"/>
  <c r="P378"/>
  <c r="P377"/>
  <c r="P376"/>
  <c r="P375"/>
  <c r="P374"/>
  <c r="P373"/>
  <c r="P372"/>
  <c r="P371"/>
  <c r="P370"/>
  <c r="P369"/>
  <c r="P368"/>
  <c r="P367"/>
  <c r="P366"/>
  <c r="P365"/>
  <c r="P364"/>
  <c r="P363"/>
  <c r="P362"/>
  <c r="P361"/>
  <c r="P360"/>
  <c r="P359"/>
  <c r="P358"/>
  <c r="P357"/>
  <c r="P356"/>
  <c r="P355"/>
  <c r="P354"/>
  <c r="P353"/>
  <c r="P352"/>
  <c r="P351"/>
  <c r="P350"/>
  <c r="P349"/>
  <c r="P348"/>
  <c r="P347"/>
  <c r="P346"/>
  <c r="P345"/>
  <c r="P344"/>
  <c r="P343"/>
  <c r="P342"/>
  <c r="P341"/>
  <c r="P340"/>
  <c r="P339"/>
  <c r="P338"/>
  <c r="P337"/>
  <c r="P336"/>
  <c r="P335"/>
  <c r="P334"/>
  <c r="P333"/>
  <c r="P332"/>
  <c r="P331"/>
  <c r="P330"/>
  <c r="P329"/>
  <c r="P328"/>
  <c r="P327"/>
  <c r="P326"/>
  <c r="P325"/>
  <c r="P324"/>
  <c r="P323"/>
  <c r="P322"/>
  <c r="P321"/>
  <c r="P320"/>
  <c r="P319"/>
  <c r="P318"/>
  <c r="P317"/>
  <c r="P316"/>
  <c r="P315"/>
  <c r="P314"/>
  <c r="P313"/>
  <c r="P312"/>
  <c r="P311"/>
  <c r="P310"/>
  <c r="P309"/>
  <c r="P308"/>
  <c r="P307"/>
  <c r="P306"/>
  <c r="P305"/>
  <c r="P304"/>
  <c r="P303"/>
  <c r="P302"/>
  <c r="P301"/>
  <c r="P300"/>
  <c r="P299"/>
  <c r="P298"/>
  <c r="P297"/>
  <c r="P296"/>
  <c r="P295"/>
  <c r="P294"/>
  <c r="P293"/>
  <c r="P292"/>
  <c r="P291"/>
  <c r="P290"/>
  <c r="P289"/>
  <c r="P288"/>
  <c r="P287"/>
  <c r="P286"/>
  <c r="P285"/>
  <c r="P284"/>
  <c r="P283"/>
  <c r="P282"/>
  <c r="P281"/>
  <c r="P280"/>
  <c r="P279"/>
  <c r="P278"/>
  <c r="P277"/>
  <c r="P276"/>
  <c r="P275"/>
  <c r="P274"/>
  <c r="P273"/>
  <c r="P272"/>
  <c r="P271"/>
  <c r="P270"/>
  <c r="P269"/>
  <c r="P268"/>
  <c r="P267"/>
  <c r="P266"/>
  <c r="P265"/>
  <c r="P264"/>
  <c r="P263"/>
  <c r="P262"/>
  <c r="P261"/>
  <c r="P260"/>
  <c r="P259"/>
  <c r="P258"/>
  <c r="P25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Q12" i="2"/>
  <c r="O12"/>
  <c r="N12"/>
  <c r="M12"/>
  <c r="L12"/>
  <c r="K12"/>
  <c r="J12"/>
  <c r="I12"/>
  <c r="D388" i="18"/>
  <c r="D2430"/>
  <c r="D2429"/>
  <c r="D2425"/>
  <c r="D2424"/>
  <c r="D2402"/>
  <c r="D2401"/>
  <c r="D2358"/>
  <c r="D2357"/>
  <c r="D2353"/>
  <c r="D2352"/>
  <c r="D2343"/>
  <c r="D2342"/>
  <c r="D2338"/>
  <c r="D2337"/>
  <c r="D2333"/>
  <c r="D2332"/>
  <c r="D2323"/>
  <c r="D2322"/>
  <c r="D2318"/>
  <c r="D2317"/>
  <c r="D2292"/>
  <c r="D2291"/>
  <c r="D2278"/>
  <c r="D2277"/>
  <c r="D2273"/>
  <c r="D2272"/>
  <c r="D2268"/>
  <c r="D2267"/>
  <c r="D2263"/>
  <c r="D2262"/>
  <c r="D2250"/>
  <c r="D2249"/>
  <c r="D2237"/>
  <c r="D2236"/>
  <c r="D2232"/>
  <c r="D2231"/>
  <c r="D2191"/>
  <c r="D2190"/>
  <c r="D2182"/>
  <c r="D2181"/>
  <c r="D2177"/>
  <c r="D2176"/>
  <c r="D2171"/>
  <c r="D2124"/>
  <c r="D2123"/>
  <c r="D2107"/>
  <c r="D2106"/>
  <c r="D2097"/>
  <c r="D2096"/>
  <c r="D2092"/>
  <c r="D2091"/>
  <c r="D2054"/>
  <c r="D2053"/>
  <c r="D2049"/>
  <c r="D2048"/>
  <c r="D2044"/>
  <c r="D2043"/>
  <c r="D2009"/>
  <c r="D2008"/>
  <c r="D1983"/>
  <c r="D1982"/>
  <c r="D1977"/>
  <c r="D1969"/>
  <c r="D1968"/>
  <c r="D1956"/>
  <c r="D1955"/>
  <c r="D1935"/>
  <c r="D1934"/>
  <c r="D1901"/>
  <c r="D1900"/>
  <c r="D1899"/>
  <c r="D1898"/>
  <c r="D1877"/>
  <c r="D1876"/>
  <c r="D1855"/>
  <c r="D1854"/>
  <c r="D1850"/>
  <c r="D1849"/>
  <c r="D1841"/>
  <c r="D1840"/>
  <c r="D1835"/>
  <c r="D1821"/>
  <c r="D1820"/>
  <c r="D1812"/>
  <c r="D1811"/>
  <c r="D1803"/>
  <c r="D1802"/>
  <c r="D1798"/>
  <c r="D1797"/>
  <c r="D1762"/>
  <c r="D1761"/>
  <c r="D1757"/>
  <c r="D1756"/>
  <c r="D1752"/>
  <c r="D1751"/>
  <c r="D1738"/>
  <c r="D1737"/>
  <c r="D1733"/>
  <c r="D1732"/>
  <c r="D1702"/>
  <c r="D1689"/>
  <c r="D1688"/>
  <c r="D1684"/>
  <c r="D1683"/>
  <c r="D1671"/>
  <c r="D1670"/>
  <c r="D1666"/>
  <c r="D1665"/>
  <c r="D1661"/>
  <c r="D1660"/>
  <c r="D1656"/>
  <c r="D1655"/>
  <c r="D1629"/>
  <c r="D1628"/>
  <c r="D1624"/>
  <c r="D1623"/>
  <c r="D1589"/>
  <c r="D1588"/>
  <c r="D1567"/>
  <c r="D1559"/>
  <c r="D1558"/>
  <c r="D1546"/>
  <c r="D1545"/>
  <c r="D1536"/>
  <c r="D1535"/>
  <c r="D1527"/>
  <c r="D1526"/>
  <c r="D1518"/>
  <c r="D1517"/>
  <c r="D1513"/>
  <c r="D1512"/>
  <c r="D1508"/>
  <c r="D1507"/>
  <c r="D1495"/>
  <c r="D1494"/>
  <c r="D1473"/>
  <c r="D1472"/>
  <c r="D1467"/>
  <c r="D1463"/>
  <c r="D1462"/>
  <c r="D1458"/>
  <c r="D1457"/>
  <c r="D1432"/>
  <c r="D1431"/>
  <c r="D1427"/>
  <c r="D1426"/>
  <c r="D1422"/>
  <c r="D1421"/>
  <c r="D1401"/>
  <c r="D1400"/>
  <c r="D1383"/>
  <c r="D1382"/>
  <c r="D1362"/>
  <c r="D1361"/>
  <c r="D1353"/>
  <c r="D1352"/>
  <c r="D1347"/>
  <c r="D1335"/>
  <c r="D1334"/>
  <c r="D1326"/>
  <c r="D1325"/>
  <c r="D1317"/>
  <c r="D1316"/>
  <c r="D1300"/>
  <c r="D1299"/>
  <c r="D1271"/>
  <c r="D1270"/>
  <c r="D1252"/>
  <c r="D1251"/>
  <c r="D1217"/>
  <c r="D1216"/>
  <c r="D1208"/>
  <c r="D1207"/>
  <c r="D1195"/>
  <c r="D1194"/>
  <c r="D1177"/>
  <c r="D1173"/>
  <c r="D1172"/>
  <c r="D1160"/>
  <c r="D1159"/>
  <c r="D1150"/>
  <c r="D1149"/>
  <c r="D1141"/>
  <c r="D1140"/>
  <c r="D1136"/>
  <c r="D1135"/>
  <c r="D1096"/>
  <c r="D1095"/>
  <c r="D1079"/>
  <c r="D1078"/>
  <c r="D1074"/>
  <c r="D1073"/>
  <c r="D1065"/>
  <c r="D1064"/>
  <c r="D1059"/>
  <c r="D1050"/>
  <c r="D1046"/>
  <c r="D1045"/>
  <c r="D1041"/>
  <c r="D1040"/>
  <c r="D1036"/>
  <c r="D1035"/>
  <c r="D1027"/>
  <c r="D1026"/>
  <c r="D1022"/>
  <c r="D1021"/>
  <c r="D1017"/>
  <c r="D1016"/>
  <c r="D1012"/>
  <c r="D1011"/>
  <c r="D1007"/>
  <c r="D1006"/>
  <c r="D996"/>
  <c r="D992"/>
  <c r="D991"/>
  <c r="D987"/>
  <c r="D986"/>
  <c r="D959"/>
  <c r="D958"/>
  <c r="D945"/>
  <c r="D944"/>
  <c r="D940"/>
  <c r="D939"/>
  <c r="D927"/>
  <c r="D926"/>
  <c r="D922"/>
  <c r="D921"/>
  <c r="D917"/>
  <c r="D916"/>
  <c r="D912"/>
  <c r="D911"/>
  <c r="D906"/>
  <c r="D897"/>
  <c r="D896"/>
  <c r="D887"/>
  <c r="D886"/>
  <c r="D882"/>
  <c r="D881"/>
  <c r="D869"/>
  <c r="D868"/>
  <c r="D856"/>
  <c r="D855"/>
  <c r="D851"/>
  <c r="D850"/>
  <c r="D846"/>
  <c r="D845"/>
  <c r="D841"/>
  <c r="D840"/>
  <c r="D832"/>
  <c r="D831"/>
  <c r="D818"/>
  <c r="D814"/>
  <c r="D813"/>
  <c r="D777"/>
  <c r="D776"/>
  <c r="D760"/>
  <c r="D759"/>
  <c r="D755"/>
  <c r="D754"/>
  <c r="D746"/>
  <c r="D745"/>
  <c r="D741"/>
  <c r="D740"/>
  <c r="D731"/>
  <c r="D730"/>
  <c r="D707"/>
  <c r="D706"/>
  <c r="D686"/>
  <c r="D685"/>
  <c r="E7" i="15"/>
  <c r="D615" i="18"/>
  <c r="D670"/>
  <c r="D614"/>
  <c r="D610"/>
  <c r="D609"/>
  <c r="D596"/>
  <c r="D595"/>
  <c r="D586"/>
  <c r="D585"/>
  <c r="D569"/>
  <c r="D568"/>
  <c r="D564"/>
  <c r="D563"/>
  <c r="D543"/>
  <c r="D542"/>
  <c r="D537"/>
  <c r="D505"/>
  <c r="D496"/>
  <c r="D487"/>
  <c r="D482"/>
  <c r="D473"/>
  <c r="D464"/>
  <c r="D450"/>
  <c r="D429"/>
  <c r="D424"/>
  <c r="D411"/>
  <c r="D392"/>
  <c r="D370"/>
  <c r="D351"/>
  <c r="D346"/>
  <c r="D337"/>
  <c r="D328"/>
  <c r="D323"/>
  <c r="D301"/>
  <c r="D292"/>
  <c r="D283"/>
  <c r="D278"/>
  <c r="D268"/>
  <c r="D259"/>
  <c r="D246"/>
  <c r="D241"/>
  <c r="D224"/>
  <c r="D219"/>
  <c r="D214"/>
  <c r="D209"/>
  <c r="D187"/>
  <c r="D166"/>
  <c r="D161"/>
  <c r="D151"/>
  <c r="D146"/>
  <c r="D141"/>
  <c r="D136"/>
  <c r="D126"/>
  <c r="D156"/>
  <c r="D6"/>
  <c r="D2"/>
  <c r="D16" i="7"/>
  <c r="E16" s="1"/>
  <c r="C16"/>
  <c r="B16"/>
  <c r="F16"/>
  <c r="D2423" i="18"/>
  <c r="D2422"/>
  <c r="D2421"/>
  <c r="D2420"/>
  <c r="D2410"/>
  <c r="D2406"/>
  <c r="D2396"/>
  <c r="D2392"/>
  <c r="D2347"/>
  <c r="D2350"/>
  <c r="D2349"/>
  <c r="D2348"/>
  <c r="D2310"/>
  <c r="D2309"/>
  <c r="D2301"/>
  <c r="D2300"/>
  <c r="D2296"/>
  <c r="D2293"/>
  <c r="D2282"/>
  <c r="D2283"/>
  <c r="D2258"/>
  <c r="D2254"/>
  <c r="D2227"/>
  <c r="D2215"/>
  <c r="D2211"/>
  <c r="D2195"/>
  <c r="D2179"/>
  <c r="D2178"/>
  <c r="D2174"/>
  <c r="D2168"/>
  <c r="D2158"/>
  <c r="D2154"/>
  <c r="D2153"/>
  <c r="D2136"/>
  <c r="D2130"/>
  <c r="D2129"/>
  <c r="D2128"/>
  <c r="D2119"/>
  <c r="D2115"/>
  <c r="D2111"/>
  <c r="D2101"/>
  <c r="D2079"/>
  <c r="D2075"/>
  <c r="D2035"/>
  <c r="D2026"/>
  <c r="D2021"/>
  <c r="D1996"/>
  <c r="D1985"/>
  <c r="D1984"/>
  <c r="D1973"/>
  <c r="D1964"/>
  <c r="D1960"/>
  <c r="D1947"/>
  <c r="D1939"/>
  <c r="D1931"/>
  <c r="D1930"/>
  <c r="D1929"/>
  <c r="D1913"/>
  <c r="D1909"/>
  <c r="D1905"/>
  <c r="D1864"/>
  <c r="D1859"/>
  <c r="D1816"/>
  <c r="D1800"/>
  <c r="D1799"/>
  <c r="D1793"/>
  <c r="D1785"/>
  <c r="D1771"/>
  <c r="D1728"/>
  <c r="D1711"/>
  <c r="D1707"/>
  <c r="D1698"/>
  <c r="D1697"/>
  <c r="D1693"/>
  <c r="D1641"/>
  <c r="D1633"/>
  <c r="D1576"/>
  <c r="D1573"/>
  <c r="D1563"/>
  <c r="D1544"/>
  <c r="D1541"/>
  <c r="D1540"/>
  <c r="D1532"/>
  <c r="D1522"/>
  <c r="D1520"/>
  <c r="D1503"/>
  <c r="D1499"/>
  <c r="D1477"/>
  <c r="D1448"/>
  <c r="D1444"/>
  <c r="D1441"/>
  <c r="D1440"/>
  <c r="D1387"/>
  <c r="D1366"/>
  <c r="D1343"/>
  <c r="D1340"/>
  <c r="D1339"/>
  <c r="D1304"/>
  <c r="D1291"/>
  <c r="D1280"/>
  <c r="D1279"/>
  <c r="D1284"/>
  <c r="D1283"/>
  <c r="D1275"/>
  <c r="D1265"/>
  <c r="D1261"/>
  <c r="D1257"/>
  <c r="D1256"/>
  <c r="D1246"/>
  <c r="D1243"/>
  <c r="D1242"/>
  <c r="D1234"/>
  <c r="D1225"/>
  <c r="D1203"/>
  <c r="D1183"/>
  <c r="D1182"/>
  <c r="D1170"/>
  <c r="D1169"/>
  <c r="D1168"/>
  <c r="D1164"/>
  <c r="D1154"/>
  <c r="D1145"/>
  <c r="D1131"/>
  <c r="D1128"/>
  <c r="D1127"/>
  <c r="D1114"/>
  <c r="D1097"/>
  <c r="D1092"/>
  <c r="D1091"/>
  <c r="D981"/>
  <c r="D979"/>
  <c r="D978"/>
  <c r="D977"/>
  <c r="D973"/>
  <c r="D969"/>
  <c r="D968"/>
  <c r="D964"/>
  <c r="D963"/>
  <c r="D949"/>
  <c r="D892"/>
  <c r="D891"/>
  <c r="D873"/>
  <c r="D871"/>
  <c r="D870"/>
  <c r="D864"/>
  <c r="D860"/>
  <c r="D836"/>
  <c r="D823"/>
  <c r="D750"/>
  <c r="D726"/>
  <c r="D725"/>
  <c r="D721"/>
  <c r="D720"/>
  <c r="D711"/>
  <c r="D702"/>
  <c r="D693"/>
  <c r="D692"/>
  <c r="D677"/>
  <c r="D676"/>
  <c r="D675"/>
  <c r="D663"/>
  <c r="D662"/>
  <c r="D654"/>
  <c r="D651"/>
  <c r="D650"/>
  <c r="D624"/>
  <c r="D581"/>
  <c r="D573"/>
  <c r="D557"/>
  <c r="D551"/>
  <c r="D547"/>
  <c r="D533"/>
  <c r="D532"/>
  <c r="D510"/>
  <c r="D492"/>
  <c r="D490"/>
  <c r="D489"/>
  <c r="D488"/>
  <c r="D486"/>
  <c r="D484"/>
  <c r="D469"/>
  <c r="D460"/>
  <c r="D438"/>
  <c r="D398"/>
  <c r="D397"/>
  <c r="D387"/>
  <c r="D375"/>
  <c r="D349"/>
  <c r="D334"/>
  <c r="D333"/>
  <c r="D306"/>
  <c r="D297"/>
  <c r="D288"/>
  <c r="D286"/>
  <c r="D285"/>
  <c r="D284"/>
  <c r="D273"/>
  <c r="D200"/>
  <c r="D199"/>
  <c r="D195"/>
  <c r="D194"/>
  <c r="D193"/>
  <c r="D192"/>
  <c r="D183"/>
  <c r="D175"/>
  <c r="D154"/>
  <c r="D153"/>
  <c r="D152"/>
  <c r="D148"/>
  <c r="D147"/>
  <c r="D132"/>
  <c r="D131"/>
  <c r="D124"/>
  <c r="D123"/>
  <c r="D122"/>
  <c r="D109"/>
  <c r="D108"/>
  <c r="D103"/>
  <c r="D96"/>
  <c r="D95"/>
  <c r="D67"/>
  <c r="D50"/>
  <c r="D20"/>
  <c r="D22"/>
  <c r="D16"/>
  <c r="D12"/>
  <c r="D5"/>
  <c r="D2386"/>
  <c r="D2369"/>
  <c r="D2365"/>
  <c r="D2316"/>
  <c r="D2308"/>
  <c r="D2276"/>
  <c r="D2271"/>
  <c r="D2222"/>
  <c r="D2206"/>
  <c r="D2202"/>
  <c r="D2162"/>
  <c r="D2143"/>
  <c r="D2095"/>
  <c r="D2074"/>
  <c r="D2061"/>
  <c r="D2042"/>
  <c r="D2030"/>
  <c r="D2025"/>
  <c r="D2016"/>
  <c r="D2012"/>
  <c r="D2007"/>
  <c r="D1928"/>
  <c r="D1875"/>
  <c r="D1863"/>
  <c r="D1755"/>
  <c r="D1727"/>
  <c r="D1723"/>
  <c r="D1719"/>
  <c r="D1715"/>
  <c r="D1640"/>
  <c r="D1627"/>
  <c r="D1583"/>
  <c r="D1571"/>
  <c r="D1557"/>
  <c r="D1530"/>
  <c r="D1481"/>
  <c r="D1420"/>
  <c r="D1408"/>
  <c r="D1373"/>
  <c r="D1338"/>
  <c r="D1329"/>
  <c r="D1311"/>
  <c r="D1269"/>
  <c r="D1255"/>
  <c r="D1250"/>
  <c r="D1229"/>
  <c r="D1224"/>
  <c r="D1220"/>
  <c r="D1198"/>
  <c r="D1193"/>
  <c r="D1139"/>
  <c r="D1108"/>
  <c r="D1090"/>
  <c r="D1082"/>
  <c r="D1058"/>
  <c r="D1020"/>
  <c r="D1000"/>
  <c r="D985"/>
  <c r="D962"/>
  <c r="D953"/>
  <c r="D938"/>
  <c r="D925"/>
  <c r="D890"/>
  <c r="D885"/>
  <c r="D854"/>
  <c r="D844"/>
  <c r="D817"/>
  <c r="D812"/>
  <c r="D804"/>
  <c r="D800"/>
  <c r="D788"/>
  <c r="D775"/>
  <c r="D715"/>
  <c r="D697"/>
  <c r="D674"/>
  <c r="D669"/>
  <c r="D636"/>
  <c r="D618"/>
  <c r="D580"/>
  <c r="D562"/>
  <c r="D531"/>
  <c r="D481"/>
  <c r="D477"/>
  <c r="D449"/>
  <c r="D445"/>
  <c r="D433"/>
  <c r="D428"/>
  <c r="D419"/>
  <c r="D359"/>
  <c r="D318"/>
  <c r="D305"/>
  <c r="D277"/>
  <c r="D218"/>
  <c r="D213"/>
  <c r="D208"/>
  <c r="D130"/>
  <c r="D66"/>
  <c r="D45"/>
  <c r="D41"/>
  <c r="B490" i="16"/>
  <c r="C490"/>
  <c r="A490" i="15"/>
  <c r="E490" s="1"/>
  <c r="D2385" i="18"/>
  <c r="D2368"/>
  <c r="D2364"/>
  <c r="D2315"/>
  <c r="D2307"/>
  <c r="D2275"/>
  <c r="D2270"/>
  <c r="D2221"/>
  <c r="D2205"/>
  <c r="D2201"/>
  <c r="D2161"/>
  <c r="D2142"/>
  <c r="D2094"/>
  <c r="D2073"/>
  <c r="D2060"/>
  <c r="D2041"/>
  <c r="D2029"/>
  <c r="D2024"/>
  <c r="D2015"/>
  <c r="D2011"/>
  <c r="D2006"/>
  <c r="D1927"/>
  <c r="D1874"/>
  <c r="D1862"/>
  <c r="D1754"/>
  <c r="D1726"/>
  <c r="D1722"/>
  <c r="D1718"/>
  <c r="D1714"/>
  <c r="D1639"/>
  <c r="D1626"/>
  <c r="D1582"/>
  <c r="D1570"/>
  <c r="D1556"/>
  <c r="D1529"/>
  <c r="D1480"/>
  <c r="D1419"/>
  <c r="D1407"/>
  <c r="D1372"/>
  <c r="D1337"/>
  <c r="D1328"/>
  <c r="D1310"/>
  <c r="D1268"/>
  <c r="D1254"/>
  <c r="D1249"/>
  <c r="D1228"/>
  <c r="D1223"/>
  <c r="D1219"/>
  <c r="D1197"/>
  <c r="D1192"/>
  <c r="D1138"/>
  <c r="D1107"/>
  <c r="D1089"/>
  <c r="D1081"/>
  <c r="D1057"/>
  <c r="D1019"/>
  <c r="D999"/>
  <c r="D984"/>
  <c r="D961"/>
  <c r="D952"/>
  <c r="D937"/>
  <c r="D924"/>
  <c r="D889"/>
  <c r="D884"/>
  <c r="D853"/>
  <c r="D843"/>
  <c r="D816"/>
  <c r="D811"/>
  <c r="D803"/>
  <c r="D799"/>
  <c r="D787"/>
  <c r="D774"/>
  <c r="D714"/>
  <c r="D696"/>
  <c r="D673"/>
  <c r="D668"/>
  <c r="D635"/>
  <c r="D617"/>
  <c r="D579"/>
  <c r="D561"/>
  <c r="D530"/>
  <c r="D480"/>
  <c r="D476"/>
  <c r="D448"/>
  <c r="D444"/>
  <c r="D432"/>
  <c r="D427"/>
  <c r="D418"/>
  <c r="D358"/>
  <c r="D317"/>
  <c r="D304"/>
  <c r="D276"/>
  <c r="D217"/>
  <c r="D212"/>
  <c r="D207"/>
  <c r="D129"/>
  <c r="D65"/>
  <c r="D44"/>
  <c r="D40"/>
  <c r="D2384"/>
  <c r="D2367"/>
  <c r="D2363"/>
  <c r="D2314"/>
  <c r="D2306"/>
  <c r="D2274"/>
  <c r="D2269"/>
  <c r="D2220"/>
  <c r="D2204"/>
  <c r="D2200"/>
  <c r="D2160"/>
  <c r="D2141"/>
  <c r="D2093"/>
  <c r="D2072"/>
  <c r="D2059"/>
  <c r="D2040"/>
  <c r="D2028"/>
  <c r="D2023"/>
  <c r="D2014"/>
  <c r="D2010"/>
  <c r="D2005"/>
  <c r="D1926"/>
  <c r="D1873"/>
  <c r="D1861"/>
  <c r="D1753"/>
  <c r="D1725"/>
  <c r="D1721"/>
  <c r="D1717"/>
  <c r="D1713"/>
  <c r="D1638"/>
  <c r="D1625"/>
  <c r="D1581"/>
  <c r="D1569"/>
  <c r="D1555"/>
  <c r="D1528"/>
  <c r="D1479"/>
  <c r="D1418"/>
  <c r="D1406"/>
  <c r="D1371"/>
  <c r="D1336"/>
  <c r="D1327"/>
  <c r="D1309"/>
  <c r="D1267"/>
  <c r="D1253"/>
  <c r="D1248"/>
  <c r="D1227"/>
  <c r="D1222"/>
  <c r="D1218"/>
  <c r="D1196"/>
  <c r="D1191"/>
  <c r="D1137"/>
  <c r="D1106"/>
  <c r="D1088"/>
  <c r="D1080"/>
  <c r="D1056"/>
  <c r="D1018"/>
  <c r="D998"/>
  <c r="D983"/>
  <c r="D960"/>
  <c r="D951"/>
  <c r="D936"/>
  <c r="D923"/>
  <c r="D888"/>
  <c r="D883"/>
  <c r="D852"/>
  <c r="D842"/>
  <c r="D815"/>
  <c r="D810"/>
  <c r="D802"/>
  <c r="D798"/>
  <c r="D786"/>
  <c r="D773"/>
  <c r="D713"/>
  <c r="D695"/>
  <c r="D672"/>
  <c r="D667"/>
  <c r="D634"/>
  <c r="D616"/>
  <c r="D578"/>
  <c r="D560"/>
  <c r="D529"/>
  <c r="D479"/>
  <c r="D475"/>
  <c r="D447"/>
  <c r="D443"/>
  <c r="D431"/>
  <c r="D426"/>
  <c r="D417"/>
  <c r="D357"/>
  <c r="D316"/>
  <c r="D303"/>
  <c r="D275"/>
  <c r="D216"/>
  <c r="D211"/>
  <c r="D206"/>
  <c r="D128"/>
  <c r="D64"/>
  <c r="D43"/>
  <c r="D39"/>
  <c r="D4"/>
  <c r="D2335"/>
  <c r="D2334"/>
  <c r="D2297"/>
  <c r="D2280"/>
  <c r="D2279"/>
  <c r="D2259"/>
  <c r="D2213"/>
  <c r="D2212"/>
  <c r="D2165"/>
  <c r="D2164"/>
  <c r="D2163"/>
  <c r="D2104"/>
  <c r="D2103"/>
  <c r="D2102"/>
  <c r="D2080"/>
  <c r="D2033"/>
  <c r="D2032"/>
  <c r="D2031"/>
  <c r="D1933"/>
  <c r="D1856"/>
  <c r="D1817"/>
  <c r="D1796"/>
  <c r="D1795"/>
  <c r="D1759"/>
  <c r="D1758"/>
  <c r="D1735"/>
  <c r="D1734"/>
  <c r="D1663"/>
  <c r="D1662"/>
  <c r="D1631"/>
  <c r="D1630"/>
  <c r="D1617"/>
  <c r="D1616"/>
  <c r="D1615"/>
  <c r="D1612"/>
  <c r="D1611"/>
  <c r="D1572"/>
  <c r="D1429"/>
  <c r="D1428"/>
  <c r="D1377"/>
  <c r="D1376"/>
  <c r="D1375"/>
  <c r="D1350"/>
  <c r="D1349"/>
  <c r="D1348"/>
  <c r="D1323"/>
  <c r="D1322"/>
  <c r="D1321"/>
  <c r="D1292"/>
  <c r="D1281"/>
  <c r="D1264"/>
  <c r="D1263"/>
  <c r="D1260"/>
  <c r="D1258"/>
  <c r="D1236"/>
  <c r="D1235"/>
  <c r="D1162"/>
  <c r="D1161"/>
  <c r="D1157"/>
  <c r="D1156"/>
  <c r="D1155"/>
  <c r="D1133"/>
  <c r="D1132"/>
  <c r="D1071"/>
  <c r="D1070"/>
  <c r="D1069"/>
  <c r="D1029"/>
  <c r="D1028"/>
  <c r="D1024"/>
  <c r="D1023"/>
  <c r="D1009"/>
  <c r="D1008"/>
  <c r="D966"/>
  <c r="D965"/>
  <c r="D947"/>
  <c r="D946"/>
  <c r="D908"/>
  <c r="D907"/>
  <c r="D895"/>
  <c r="D894"/>
  <c r="D700"/>
  <c r="D699"/>
  <c r="D698"/>
  <c r="D690"/>
  <c r="D678"/>
  <c r="D664"/>
  <c r="D652"/>
  <c r="D644"/>
  <c r="D643"/>
  <c r="D642"/>
  <c r="D540"/>
  <c r="D539"/>
  <c r="D538"/>
  <c r="D470"/>
  <c r="D405"/>
  <c r="D404"/>
  <c r="D403"/>
  <c r="D379"/>
  <c r="D373"/>
  <c r="D372"/>
  <c r="D371"/>
  <c r="D342"/>
  <c r="D324"/>
  <c r="D255"/>
  <c r="D256"/>
  <c r="D134"/>
  <c r="D133"/>
  <c r="D117"/>
  <c r="D104"/>
  <c r="D90"/>
  <c r="D88"/>
  <c r="D87"/>
  <c r="D86"/>
  <c r="D77"/>
  <c r="D76"/>
  <c r="D71"/>
  <c r="D54"/>
  <c r="D29"/>
  <c r="D24"/>
  <c r="D21"/>
  <c r="D7"/>
  <c r="D80"/>
  <c r="D79"/>
  <c r="D78"/>
  <c r="D72"/>
  <c r="D59"/>
  <c r="D48"/>
  <c r="D47"/>
  <c r="D46"/>
  <c r="H16" i="7"/>
  <c r="G16"/>
  <c r="I15"/>
  <c r="E15"/>
  <c r="I14"/>
  <c r="E14"/>
  <c r="I13"/>
  <c r="I16" s="1"/>
  <c r="E13"/>
  <c r="E9" i="15"/>
  <c r="D2383" i="18"/>
  <c r="D2366"/>
  <c r="D2362"/>
  <c r="D2313"/>
  <c r="D2305"/>
  <c r="D2219"/>
  <c r="D2203"/>
  <c r="D2199"/>
  <c r="D2159"/>
  <c r="D2140"/>
  <c r="D2071"/>
  <c r="D2058"/>
  <c r="D2039"/>
  <c r="D2027"/>
  <c r="D2022"/>
  <c r="D2013"/>
  <c r="D2004"/>
  <c r="D1925"/>
  <c r="D1872"/>
  <c r="D1860"/>
  <c r="D1724"/>
  <c r="D1720"/>
  <c r="D1716"/>
  <c r="D1712"/>
  <c r="D1637"/>
  <c r="D1580"/>
  <c r="D1568"/>
  <c r="D1554"/>
  <c r="D1478"/>
  <c r="D1417"/>
  <c r="D1405"/>
  <c r="D1370"/>
  <c r="D1308"/>
  <c r="D1266"/>
  <c r="D1247"/>
  <c r="D1226"/>
  <c r="D1221"/>
  <c r="D1190"/>
  <c r="D1105"/>
  <c r="D1087"/>
  <c r="D1055"/>
  <c r="D997"/>
  <c r="D982"/>
  <c r="D950"/>
  <c r="D935"/>
  <c r="D809"/>
  <c r="D801"/>
  <c r="D797"/>
  <c r="D785"/>
  <c r="D772"/>
  <c r="D712"/>
  <c r="D694"/>
  <c r="D671"/>
  <c r="D666"/>
  <c r="D633"/>
  <c r="D577"/>
  <c r="D559"/>
  <c r="D528"/>
  <c r="D478"/>
  <c r="D474"/>
  <c r="D446"/>
  <c r="D442"/>
  <c r="D430"/>
  <c r="D425"/>
  <c r="D416"/>
  <c r="D356"/>
  <c r="D315"/>
  <c r="D302"/>
  <c r="D274"/>
  <c r="D215"/>
  <c r="D210"/>
  <c r="D205"/>
  <c r="D127"/>
  <c r="D63"/>
  <c r="D42"/>
  <c r="D38"/>
  <c r="D3"/>
  <c r="B9" i="16"/>
  <c r="C9" s="1"/>
  <c r="C524"/>
  <c r="C517"/>
  <c r="B5" i="13"/>
  <c r="D576" i="18"/>
  <c r="D14"/>
  <c r="K14"/>
  <c r="F14"/>
  <c r="D2419"/>
  <c r="D2351"/>
  <c r="D2400"/>
  <c r="D2399"/>
  <c r="D2398"/>
  <c r="D2397"/>
  <c r="D2391"/>
  <c r="D2390"/>
  <c r="D2389"/>
  <c r="D2388"/>
  <c r="D2387"/>
  <c r="D2382"/>
  <c r="D2381"/>
  <c r="D2380"/>
  <c r="D2379"/>
  <c r="D2378"/>
  <c r="D2331"/>
  <c r="D2330"/>
  <c r="D2329"/>
  <c r="D2328"/>
  <c r="D2327"/>
  <c r="D518"/>
  <c r="D517"/>
  <c r="D516"/>
  <c r="D515"/>
  <c r="D514"/>
  <c r="D2266"/>
  <c r="D2265"/>
  <c r="D2264"/>
  <c r="D2185"/>
  <c r="D2184"/>
  <c r="D2183"/>
  <c r="D2057"/>
  <c r="D2056"/>
  <c r="D2055"/>
  <c r="D1986"/>
  <c r="D1815"/>
  <c r="D1814"/>
  <c r="D1813"/>
  <c r="D1632"/>
  <c r="D1498"/>
  <c r="D1497"/>
  <c r="D1496"/>
  <c r="D1461"/>
  <c r="D1460"/>
  <c r="D1459"/>
  <c r="D1356"/>
  <c r="D1355"/>
  <c r="D1354"/>
  <c r="D296"/>
  <c r="D295"/>
  <c r="D294"/>
  <c r="D293"/>
  <c r="D2226"/>
  <c r="D2225"/>
  <c r="D2224"/>
  <c r="D2223"/>
  <c r="D2090"/>
  <c r="D2089"/>
  <c r="D2088"/>
  <c r="D2087"/>
  <c r="D2285"/>
  <c r="D2284"/>
  <c r="D2218"/>
  <c r="D2217"/>
  <c r="D2216"/>
  <c r="D2214"/>
  <c r="D1636"/>
  <c r="D1635"/>
  <c r="D1634"/>
  <c r="D1117"/>
  <c r="D1116"/>
  <c r="D1115"/>
  <c r="D665"/>
  <c r="D653"/>
  <c r="D550"/>
  <c r="D549"/>
  <c r="D548"/>
  <c r="D2170"/>
  <c r="D2169"/>
  <c r="D2167"/>
  <c r="D2166"/>
  <c r="D1678"/>
  <c r="D1677"/>
  <c r="D1676"/>
  <c r="D1675"/>
  <c r="D2418"/>
  <c r="D2417"/>
  <c r="D2416"/>
  <c r="D2415"/>
  <c r="D2414"/>
  <c r="D2148"/>
  <c r="D2147"/>
  <c r="D2146"/>
  <c r="D2145"/>
  <c r="D2144"/>
  <c r="D1122"/>
  <c r="D1121"/>
  <c r="D1120"/>
  <c r="D1119"/>
  <c r="D1118"/>
  <c r="D2230"/>
  <c r="D2229"/>
  <c r="D2228"/>
  <c r="D2122"/>
  <c r="D2121"/>
  <c r="D2120"/>
  <c r="D1731"/>
  <c r="D1730"/>
  <c r="D1729"/>
  <c r="D1443"/>
  <c r="D1442"/>
  <c r="D1307"/>
  <c r="D1306"/>
  <c r="D1305"/>
  <c r="D876"/>
  <c r="D875"/>
  <c r="D874"/>
  <c r="D336"/>
  <c r="D335"/>
  <c r="D2377"/>
  <c r="D2376"/>
  <c r="D2375"/>
  <c r="D2374"/>
  <c r="D2086"/>
  <c r="D2085"/>
  <c r="D2084"/>
  <c r="D2083"/>
  <c r="D2082"/>
  <c r="D2081"/>
  <c r="D2020"/>
  <c r="D2019"/>
  <c r="D2018"/>
  <c r="D2017"/>
  <c r="D1990"/>
  <c r="D1989"/>
  <c r="D1988"/>
  <c r="D1987"/>
  <c r="D1750"/>
  <c r="D1749"/>
  <c r="D1748"/>
  <c r="D1747"/>
  <c r="D1566"/>
  <c r="D1565"/>
  <c r="D1564"/>
  <c r="D830"/>
  <c r="D829"/>
  <c r="D828"/>
  <c r="D827"/>
  <c r="D472"/>
  <c r="D471"/>
  <c r="D386"/>
  <c r="D385"/>
  <c r="D384"/>
  <c r="D383"/>
  <c r="D2261"/>
  <c r="D2260"/>
  <c r="D2257"/>
  <c r="D2256"/>
  <c r="D2255"/>
  <c r="D2135"/>
  <c r="D2134"/>
  <c r="D2133"/>
  <c r="D2132"/>
  <c r="D2070"/>
  <c r="D2069"/>
  <c r="D2068"/>
  <c r="D2067"/>
  <c r="D661"/>
  <c r="D660"/>
  <c r="D659"/>
  <c r="D658"/>
  <c r="D554"/>
  <c r="D553"/>
  <c r="D552"/>
  <c r="D182"/>
  <c r="D181"/>
  <c r="D180"/>
  <c r="D179"/>
  <c r="D2413"/>
  <c r="D2412"/>
  <c r="D2411"/>
  <c r="D1374"/>
  <c r="D1324"/>
  <c r="D645"/>
  <c r="D558"/>
  <c r="D556"/>
  <c r="D555"/>
  <c r="D2038"/>
  <c r="D2037"/>
  <c r="D2036"/>
  <c r="D2034"/>
  <c r="D1682"/>
  <c r="D1681"/>
  <c r="D1680"/>
  <c r="D1679"/>
  <c r="D62"/>
  <c r="D61"/>
  <c r="D60"/>
  <c r="D2312"/>
  <c r="D2311"/>
  <c r="D1967"/>
  <c r="D1966"/>
  <c r="D1965"/>
  <c r="D1963"/>
  <c r="D1962"/>
  <c r="D1961"/>
  <c r="D309"/>
  <c r="D308"/>
  <c r="D307"/>
  <c r="D2139"/>
  <c r="D2138"/>
  <c r="D2137"/>
  <c r="D1999"/>
  <c r="D1998"/>
  <c r="D1997"/>
  <c r="D1954"/>
  <c r="D1953"/>
  <c r="D1952"/>
  <c r="D1951"/>
  <c r="D1950"/>
  <c r="D1949"/>
  <c r="D1948"/>
  <c r="D1871"/>
  <c r="D1870"/>
  <c r="D1869"/>
  <c r="D1868"/>
  <c r="D1525"/>
  <c r="D1524"/>
  <c r="D1523"/>
  <c r="D1381"/>
  <c r="D1380"/>
  <c r="D1379"/>
  <c r="D1378"/>
  <c r="D1369"/>
  <c r="D1368"/>
  <c r="D1367"/>
  <c r="D1333"/>
  <c r="D1332"/>
  <c r="D1331"/>
  <c r="D1330"/>
  <c r="D1298"/>
  <c r="D1297"/>
  <c r="D1296"/>
  <c r="D1295"/>
  <c r="D1189"/>
  <c r="D1188"/>
  <c r="D1187"/>
  <c r="D1186"/>
  <c r="D1171"/>
  <c r="D1167"/>
  <c r="D1166"/>
  <c r="D1165"/>
  <c r="D753"/>
  <c r="D752"/>
  <c r="D751"/>
  <c r="D495"/>
  <c r="D494"/>
  <c r="D493"/>
  <c r="D300"/>
  <c r="D299"/>
  <c r="D298"/>
  <c r="D2078"/>
  <c r="D2077"/>
  <c r="D2076"/>
  <c r="D1976"/>
  <c r="D1975"/>
  <c r="D1974"/>
  <c r="D1946"/>
  <c r="D1945"/>
  <c r="D1944"/>
  <c r="D1943"/>
  <c r="D1942"/>
  <c r="D1941"/>
  <c r="D1940"/>
  <c r="D1148"/>
  <c r="D1147"/>
  <c r="D1146"/>
  <c r="D771"/>
  <c r="D770"/>
  <c r="D769"/>
  <c r="D768"/>
  <c r="D322"/>
  <c r="D321"/>
  <c r="D320"/>
  <c r="D319"/>
  <c r="D240"/>
  <c r="D239"/>
  <c r="D238"/>
  <c r="D237"/>
  <c r="D2395"/>
  <c r="D2394"/>
  <c r="D2393"/>
  <c r="D2114"/>
  <c r="D2113"/>
  <c r="D2112"/>
  <c r="D1912"/>
  <c r="D1911"/>
  <c r="D1910"/>
  <c r="D1908"/>
  <c r="D1907"/>
  <c r="D1906"/>
  <c r="D1819"/>
  <c r="D1818"/>
  <c r="D1810"/>
  <c r="D1809"/>
  <c r="D1808"/>
  <c r="D1807"/>
  <c r="D1696"/>
  <c r="D1695"/>
  <c r="D1694"/>
  <c r="D1644"/>
  <c r="D1643"/>
  <c r="D1642"/>
  <c r="D1506"/>
  <c r="D1505"/>
  <c r="D1504"/>
  <c r="D1294"/>
  <c r="D1293"/>
  <c r="D1278"/>
  <c r="D1277"/>
  <c r="D1276"/>
  <c r="D863"/>
  <c r="D862"/>
  <c r="D861"/>
  <c r="D808"/>
  <c r="D807"/>
  <c r="D806"/>
  <c r="D805"/>
  <c r="D705"/>
  <c r="D704"/>
  <c r="D703"/>
  <c r="D584"/>
  <c r="D583"/>
  <c r="D582"/>
  <c r="D504"/>
  <c r="D503"/>
  <c r="D502"/>
  <c r="D501"/>
  <c r="D410"/>
  <c r="D409"/>
  <c r="D408"/>
  <c r="D407"/>
  <c r="D254"/>
  <c r="D253"/>
  <c r="D252"/>
  <c r="D251"/>
  <c r="D236"/>
  <c r="D235"/>
  <c r="D234"/>
  <c r="D233"/>
  <c r="D174"/>
  <c r="D173"/>
  <c r="D172"/>
  <c r="D171"/>
  <c r="D107"/>
  <c r="D106"/>
  <c r="D105"/>
  <c r="D1892"/>
  <c r="D1891"/>
  <c r="D1890"/>
  <c r="D1889"/>
  <c r="D1888"/>
  <c r="D1887"/>
  <c r="D1886"/>
  <c r="D1885"/>
  <c r="D1553"/>
  <c r="D1552"/>
  <c r="D1551"/>
  <c r="D1550"/>
  <c r="D796"/>
  <c r="D795"/>
  <c r="D794"/>
  <c r="D793"/>
  <c r="D102"/>
  <c r="D101"/>
  <c r="D100"/>
  <c r="D89"/>
  <c r="D2198"/>
  <c r="D2197"/>
  <c r="D2196"/>
  <c r="D2131"/>
  <c r="D1867"/>
  <c r="D1866"/>
  <c r="D1865"/>
  <c r="D1134"/>
  <c r="D1094"/>
  <c r="D1093"/>
  <c r="D1848"/>
  <c r="D1847"/>
  <c r="D1846"/>
  <c r="D1845"/>
  <c r="D2290"/>
  <c r="D2289"/>
  <c r="D2288"/>
  <c r="D2287"/>
  <c r="D2286"/>
  <c r="D2066"/>
  <c r="D2065"/>
  <c r="D2064"/>
  <c r="D2063"/>
  <c r="D2062"/>
  <c r="D1995"/>
  <c r="D1994"/>
  <c r="D1993"/>
  <c r="D1992"/>
  <c r="D1991"/>
  <c r="D1897"/>
  <c r="D1896"/>
  <c r="D1895"/>
  <c r="D1894"/>
  <c r="D1893"/>
  <c r="D1834"/>
  <c r="D1833"/>
  <c r="D1832"/>
  <c r="D1831"/>
  <c r="D1830"/>
  <c r="D1829"/>
  <c r="D1828"/>
  <c r="D1827"/>
  <c r="D1826"/>
  <c r="D1825"/>
  <c r="D1649"/>
  <c r="D1648"/>
  <c r="D1647"/>
  <c r="D1646"/>
  <c r="D1645"/>
  <c r="D1456"/>
  <c r="D1455"/>
  <c r="D1454"/>
  <c r="D1453"/>
  <c r="D1452"/>
  <c r="D1399"/>
  <c r="D1398"/>
  <c r="D1397"/>
  <c r="D1396"/>
  <c r="D1395"/>
  <c r="D1104"/>
  <c r="D1103"/>
  <c r="D1102"/>
  <c r="D1101"/>
  <c r="D1100"/>
  <c r="D1005"/>
  <c r="D1004"/>
  <c r="D1003"/>
  <c r="D1002"/>
  <c r="D1001"/>
  <c r="D905"/>
  <c r="D904"/>
  <c r="D903"/>
  <c r="D902"/>
  <c r="D901"/>
  <c r="D641"/>
  <c r="D640"/>
  <c r="D639"/>
  <c r="D638"/>
  <c r="D637"/>
  <c r="D632"/>
  <c r="D631"/>
  <c r="D630"/>
  <c r="D629"/>
  <c r="D628"/>
  <c r="D594"/>
  <c r="D593"/>
  <c r="D592"/>
  <c r="D591"/>
  <c r="D590"/>
  <c r="D523"/>
  <c r="D522"/>
  <c r="D521"/>
  <c r="D520"/>
  <c r="D519"/>
  <c r="D459"/>
  <c r="D458"/>
  <c r="D457"/>
  <c r="D456"/>
  <c r="D455"/>
  <c r="D364"/>
  <c r="D363"/>
  <c r="D362"/>
  <c r="D361"/>
  <c r="D360"/>
  <c r="D314"/>
  <c r="D313"/>
  <c r="D312"/>
  <c r="D311"/>
  <c r="D310"/>
  <c r="D2433"/>
  <c r="D2432"/>
  <c r="D2431"/>
  <c r="D2428"/>
  <c r="D2427"/>
  <c r="D2426"/>
  <c r="D2253"/>
  <c r="D2252"/>
  <c r="D2251"/>
  <c r="D2240"/>
  <c r="D2239"/>
  <c r="D2238"/>
  <c r="D1806"/>
  <c r="D1805"/>
  <c r="D1804"/>
  <c r="D1801"/>
  <c r="D1706"/>
  <c r="D1705"/>
  <c r="D1704"/>
  <c r="D1703"/>
  <c r="D1687"/>
  <c r="D1686"/>
  <c r="D1685"/>
  <c r="D1659"/>
  <c r="D1658"/>
  <c r="D1657"/>
  <c r="D1466"/>
  <c r="D1465"/>
  <c r="D1464"/>
  <c r="D1404"/>
  <c r="D1403"/>
  <c r="D1402"/>
  <c r="D859"/>
  <c r="D858"/>
  <c r="D857"/>
  <c r="D849"/>
  <c r="D848"/>
  <c r="D847"/>
  <c r="D780"/>
  <c r="D779"/>
  <c r="D778"/>
  <c r="D689"/>
  <c r="D688"/>
  <c r="D687"/>
  <c r="D415"/>
  <c r="D414"/>
  <c r="D413"/>
  <c r="D412"/>
  <c r="D355"/>
  <c r="D354"/>
  <c r="D353"/>
  <c r="D352"/>
  <c r="D350"/>
  <c r="D348"/>
  <c r="D347"/>
  <c r="D196"/>
  <c r="D150"/>
  <c r="D149"/>
  <c r="D75"/>
  <c r="D74"/>
  <c r="D73"/>
  <c r="D1794"/>
  <c r="D867"/>
  <c r="D866"/>
  <c r="D865"/>
  <c r="D1784"/>
  <c r="D1783"/>
  <c r="D1782"/>
  <c r="D1781"/>
  <c r="D1780"/>
  <c r="D1779"/>
  <c r="D1778"/>
  <c r="D1777"/>
  <c r="D1776"/>
  <c r="D1775"/>
  <c r="D1654"/>
  <c r="D1653"/>
  <c r="D1652"/>
  <c r="D1651"/>
  <c r="D1650"/>
  <c r="D739"/>
  <c r="D738"/>
  <c r="D737"/>
  <c r="D736"/>
  <c r="D735"/>
  <c r="D684"/>
  <c r="D683"/>
  <c r="D682"/>
  <c r="D681"/>
  <c r="D680"/>
  <c r="D623"/>
  <c r="D622"/>
  <c r="D621"/>
  <c r="D620"/>
  <c r="D619"/>
  <c r="D369"/>
  <c r="D368"/>
  <c r="D367"/>
  <c r="D366"/>
  <c r="D365"/>
  <c r="D2361"/>
  <c r="D2360"/>
  <c r="D2359"/>
  <c r="D2175"/>
  <c r="D2173"/>
  <c r="D2172"/>
  <c r="D1858"/>
  <c r="D1857"/>
  <c r="D1741"/>
  <c r="D1740"/>
  <c r="D1739"/>
  <c r="D1736"/>
  <c r="D1664"/>
  <c r="D1562"/>
  <c r="D1561"/>
  <c r="D1560"/>
  <c r="D1516"/>
  <c r="D1515"/>
  <c r="D1514"/>
  <c r="D1511"/>
  <c r="D1510"/>
  <c r="D1509"/>
  <c r="D1430"/>
  <c r="D1386"/>
  <c r="D1385"/>
  <c r="D1384"/>
  <c r="D1365"/>
  <c r="D1364"/>
  <c r="D1363"/>
  <c r="D1274"/>
  <c r="D1273"/>
  <c r="D1272"/>
  <c r="D1063"/>
  <c r="D1062"/>
  <c r="D1061"/>
  <c r="D1060"/>
  <c r="D1025"/>
  <c r="D920"/>
  <c r="D919"/>
  <c r="D918"/>
  <c r="D915"/>
  <c r="D914"/>
  <c r="D913"/>
  <c r="D835"/>
  <c r="D834"/>
  <c r="D833"/>
  <c r="D589"/>
  <c r="D588"/>
  <c r="D587"/>
  <c r="D541"/>
  <c r="D454"/>
  <c r="D453"/>
  <c r="D452"/>
  <c r="D451"/>
  <c r="D396"/>
  <c r="D395"/>
  <c r="D394"/>
  <c r="D393"/>
  <c r="D332"/>
  <c r="D331"/>
  <c r="D330"/>
  <c r="D329"/>
  <c r="D282"/>
  <c r="D281"/>
  <c r="D280"/>
  <c r="D279"/>
  <c r="D155"/>
  <c r="D145"/>
  <c r="D144"/>
  <c r="D143"/>
  <c r="D142"/>
  <c r="D1614"/>
  <c r="D1613"/>
  <c r="D1770"/>
  <c r="D1769"/>
  <c r="D1768"/>
  <c r="D1767"/>
  <c r="D1766"/>
  <c r="D1746"/>
  <c r="D1745"/>
  <c r="D1744"/>
  <c r="D1743"/>
  <c r="D1742"/>
  <c r="D1597"/>
  <c r="D1596"/>
  <c r="D1595"/>
  <c r="D1594"/>
  <c r="D1593"/>
  <c r="D1158"/>
  <c r="D1113"/>
  <c r="D1112"/>
  <c r="D1111"/>
  <c r="D1110"/>
  <c r="D1109"/>
  <c r="D406"/>
  <c r="D402"/>
  <c r="D116"/>
  <c r="D115"/>
  <c r="D114"/>
  <c r="D113"/>
  <c r="D112"/>
  <c r="D2405"/>
  <c r="D2404"/>
  <c r="D2403"/>
  <c r="D2341"/>
  <c r="D2340"/>
  <c r="D2339"/>
  <c r="D2281"/>
  <c r="D2235"/>
  <c r="D2234"/>
  <c r="D2233"/>
  <c r="D2127"/>
  <c r="D2126"/>
  <c r="D2125"/>
  <c r="D1938"/>
  <c r="D1937"/>
  <c r="D1936"/>
  <c r="D1880"/>
  <c r="D1879"/>
  <c r="D1878"/>
  <c r="D1824"/>
  <c r="D1823"/>
  <c r="D1822"/>
  <c r="D1674"/>
  <c r="D1673"/>
  <c r="D1672"/>
  <c r="D1592"/>
  <c r="D1591"/>
  <c r="D1590"/>
  <c r="D1476"/>
  <c r="D1475"/>
  <c r="D1474"/>
  <c r="D1471"/>
  <c r="D1470"/>
  <c r="D1469"/>
  <c r="D1468"/>
  <c r="D1425"/>
  <c r="D1424"/>
  <c r="D1423"/>
  <c r="D1303"/>
  <c r="D1302"/>
  <c r="D1301"/>
  <c r="D1163"/>
  <c r="D1068"/>
  <c r="D1067"/>
  <c r="D1066"/>
  <c r="D1054"/>
  <c r="D1053"/>
  <c r="D1052"/>
  <c r="D1051"/>
  <c r="D1049"/>
  <c r="D1048"/>
  <c r="D1047"/>
  <c r="D1044"/>
  <c r="D1043"/>
  <c r="D1042"/>
  <c r="D1039"/>
  <c r="D1038"/>
  <c r="D1037"/>
  <c r="D1015"/>
  <c r="D1014"/>
  <c r="D1013"/>
  <c r="D995"/>
  <c r="D994"/>
  <c r="D993"/>
  <c r="D943"/>
  <c r="D942"/>
  <c r="D941"/>
  <c r="D744"/>
  <c r="D743"/>
  <c r="D742"/>
  <c r="D734"/>
  <c r="D733"/>
  <c r="D732"/>
  <c r="D710"/>
  <c r="D709"/>
  <c r="D708"/>
  <c r="D509"/>
  <c r="D508"/>
  <c r="D507"/>
  <c r="D506"/>
  <c r="D500"/>
  <c r="D499"/>
  <c r="D498"/>
  <c r="D497"/>
  <c r="D468"/>
  <c r="D467"/>
  <c r="D466"/>
  <c r="D465"/>
  <c r="D245"/>
  <c r="D244"/>
  <c r="D243"/>
  <c r="D242"/>
  <c r="D228"/>
  <c r="D227"/>
  <c r="D226"/>
  <c r="D225"/>
  <c r="D58"/>
  <c r="D57"/>
  <c r="D56"/>
  <c r="D55"/>
  <c r="D33"/>
  <c r="D32"/>
  <c r="D31"/>
  <c r="D30"/>
  <c r="D2210"/>
  <c r="D2209"/>
  <c r="D2208"/>
  <c r="D2207"/>
  <c r="D1412"/>
  <c r="D1411"/>
  <c r="D1410"/>
  <c r="D1409"/>
  <c r="D784"/>
  <c r="D783"/>
  <c r="D782"/>
  <c r="D781"/>
  <c r="D2409"/>
  <c r="D2408"/>
  <c r="D2407"/>
  <c r="D2118"/>
  <c r="D2117"/>
  <c r="D2116"/>
  <c r="D1394"/>
  <c r="D1393"/>
  <c r="D1392"/>
  <c r="D1391"/>
  <c r="D1390"/>
  <c r="D1389"/>
  <c r="D1388"/>
  <c r="D291"/>
  <c r="D290"/>
  <c r="D289"/>
  <c r="D53"/>
  <c r="D52"/>
  <c r="D51"/>
  <c r="D1788"/>
  <c r="D1787"/>
  <c r="D1786"/>
  <c r="D1502"/>
  <c r="D1501"/>
  <c r="D1500"/>
  <c r="D1346"/>
  <c r="D1345"/>
  <c r="D1344"/>
  <c r="D1342"/>
  <c r="D1341"/>
  <c r="D1237"/>
  <c r="D976"/>
  <c r="D975"/>
  <c r="D974"/>
  <c r="D1315"/>
  <c r="D1314"/>
  <c r="D1313"/>
  <c r="D1312"/>
  <c r="D1215"/>
  <c r="D1214"/>
  <c r="D1213"/>
  <c r="D1212"/>
  <c r="D1286"/>
  <c r="D1285"/>
  <c r="D1282"/>
  <c r="D1185"/>
  <c r="D1184"/>
  <c r="D1130"/>
  <c r="D1129"/>
  <c r="D111"/>
  <c r="D110"/>
  <c r="D2244"/>
  <c r="D2243"/>
  <c r="D2242"/>
  <c r="D2241"/>
  <c r="D1622"/>
  <c r="D1621"/>
  <c r="D1620"/>
  <c r="D1619"/>
  <c r="D1262"/>
  <c r="D691"/>
  <c r="D1241"/>
  <c r="D1240"/>
  <c r="D1239"/>
  <c r="D1238"/>
  <c r="D2189"/>
  <c r="D2188"/>
  <c r="D2187"/>
  <c r="D2186"/>
  <c r="D2003"/>
  <c r="D2002"/>
  <c r="D2001"/>
  <c r="D2000"/>
  <c r="D1920"/>
  <c r="D1919"/>
  <c r="D1918"/>
  <c r="D1917"/>
  <c r="D1792"/>
  <c r="D1791"/>
  <c r="D1790"/>
  <c r="D1789"/>
  <c r="D1774"/>
  <c r="D1773"/>
  <c r="D1772"/>
  <c r="D1439"/>
  <c r="D1438"/>
  <c r="D1437"/>
  <c r="D1436"/>
  <c r="D1290"/>
  <c r="D1289"/>
  <c r="D1288"/>
  <c r="D1287"/>
  <c r="D1233"/>
  <c r="D1232"/>
  <c r="D1231"/>
  <c r="D1230"/>
  <c r="D1086"/>
  <c r="D1085"/>
  <c r="D1084"/>
  <c r="D1083"/>
  <c r="D657"/>
  <c r="D656"/>
  <c r="D655"/>
  <c r="D463"/>
  <c r="D462"/>
  <c r="D461"/>
  <c r="D178"/>
  <c r="D177"/>
  <c r="D176"/>
  <c r="D1206"/>
  <c r="D1205"/>
  <c r="D1204"/>
  <c r="D1202"/>
  <c r="D1201"/>
  <c r="D1200"/>
  <c r="D1199"/>
  <c r="D2356"/>
  <c r="D2355"/>
  <c r="D2354"/>
  <c r="D2336"/>
  <c r="D2326"/>
  <c r="D2325"/>
  <c r="D2324"/>
  <c r="D2321"/>
  <c r="D2320"/>
  <c r="D2319"/>
  <c r="D2295"/>
  <c r="D2294"/>
  <c r="D2194"/>
  <c r="D2193"/>
  <c r="D2192"/>
  <c r="D2180"/>
  <c r="D2110"/>
  <c r="D2109"/>
  <c r="D2108"/>
  <c r="D2100"/>
  <c r="D2099"/>
  <c r="D2098"/>
  <c r="D2052"/>
  <c r="D2051"/>
  <c r="D2050"/>
  <c r="D2047"/>
  <c r="D2046"/>
  <c r="D2045"/>
  <c r="D1981"/>
  <c r="D1980"/>
  <c r="D1979"/>
  <c r="D1978"/>
  <c r="D1972"/>
  <c r="D1971"/>
  <c r="D1970"/>
  <c r="D1959"/>
  <c r="D1958"/>
  <c r="D1957"/>
  <c r="D1904"/>
  <c r="D1903"/>
  <c r="D1902"/>
  <c r="D1853"/>
  <c r="D1852"/>
  <c r="D1851"/>
  <c r="D1844"/>
  <c r="D1843"/>
  <c r="D1842"/>
  <c r="D1839"/>
  <c r="D1838"/>
  <c r="D1837"/>
  <c r="D1836"/>
  <c r="D1765"/>
  <c r="D1764"/>
  <c r="D1763"/>
  <c r="D1760"/>
  <c r="D1692"/>
  <c r="D1691"/>
  <c r="D1690"/>
  <c r="D1669"/>
  <c r="D1668"/>
  <c r="D1667"/>
  <c r="D1549"/>
  <c r="D1548"/>
  <c r="D1547"/>
  <c r="D1539"/>
  <c r="D1538"/>
  <c r="D1537"/>
  <c r="D1521"/>
  <c r="D1519"/>
  <c r="D1435"/>
  <c r="D1434"/>
  <c r="D1433"/>
  <c r="D1351"/>
  <c r="D1320"/>
  <c r="D1319"/>
  <c r="D1318"/>
  <c r="D1211"/>
  <c r="D1210"/>
  <c r="D1209"/>
  <c r="D1181"/>
  <c r="D1180"/>
  <c r="D1179"/>
  <c r="D1178"/>
  <c r="D1176"/>
  <c r="D1175"/>
  <c r="D1174"/>
  <c r="D1153"/>
  <c r="D1152"/>
  <c r="D1151"/>
  <c r="D1144"/>
  <c r="D1143"/>
  <c r="D1142"/>
  <c r="D1099"/>
  <c r="D1098"/>
  <c r="D1077"/>
  <c r="D1076"/>
  <c r="D1075"/>
  <c r="D1030"/>
  <c r="D1010"/>
  <c r="D990"/>
  <c r="D989"/>
  <c r="D988"/>
  <c r="D948"/>
  <c r="D930"/>
  <c r="D929"/>
  <c r="D928"/>
  <c r="D822"/>
  <c r="D821"/>
  <c r="D820"/>
  <c r="D819"/>
  <c r="D763"/>
  <c r="D762"/>
  <c r="D761"/>
  <c r="D758"/>
  <c r="D757"/>
  <c r="D756"/>
  <c r="D749"/>
  <c r="D748"/>
  <c r="D747"/>
  <c r="D613"/>
  <c r="D612"/>
  <c r="D611"/>
  <c r="D572"/>
  <c r="D571"/>
  <c r="D570"/>
  <c r="D567"/>
  <c r="D566"/>
  <c r="D565"/>
  <c r="D546"/>
  <c r="D545"/>
  <c r="D544"/>
  <c r="D491"/>
  <c r="D485"/>
  <c r="D483"/>
  <c r="D374"/>
  <c r="D341"/>
  <c r="D340"/>
  <c r="D339"/>
  <c r="D338"/>
  <c r="D327"/>
  <c r="D326"/>
  <c r="D325"/>
  <c r="D263"/>
  <c r="D262"/>
  <c r="D261"/>
  <c r="D260"/>
  <c r="D250"/>
  <c r="D249"/>
  <c r="D248"/>
  <c r="D247"/>
  <c r="D191"/>
  <c r="D190"/>
  <c r="D189"/>
  <c r="D188"/>
  <c r="D170"/>
  <c r="D169"/>
  <c r="D168"/>
  <c r="D167"/>
  <c r="D165"/>
  <c r="D164"/>
  <c r="D163"/>
  <c r="D162"/>
  <c r="D160"/>
  <c r="D159"/>
  <c r="D158"/>
  <c r="D157"/>
  <c r="D140"/>
  <c r="D139"/>
  <c r="D138"/>
  <c r="D137"/>
  <c r="D121"/>
  <c r="D120"/>
  <c r="D119"/>
  <c r="D118"/>
  <c r="D94"/>
  <c r="D93"/>
  <c r="D92"/>
  <c r="D91"/>
  <c r="D81"/>
  <c r="D28"/>
  <c r="D27"/>
  <c r="D26"/>
  <c r="D25"/>
  <c r="D11"/>
  <c r="D10"/>
  <c r="D9"/>
  <c r="D8"/>
  <c r="D1072"/>
  <c r="D382"/>
  <c r="D381"/>
  <c r="D380"/>
  <c r="D980"/>
  <c r="D125"/>
  <c r="D2304"/>
  <c r="D2303"/>
  <c r="D2302"/>
  <c r="D2157"/>
  <c r="D2156"/>
  <c r="D2155"/>
  <c r="D1259"/>
  <c r="D972"/>
  <c r="D971"/>
  <c r="D970"/>
  <c r="D536"/>
  <c r="D535"/>
  <c r="D534"/>
  <c r="D135"/>
  <c r="D99"/>
  <c r="D98"/>
  <c r="D97"/>
  <c r="D934"/>
  <c r="D933"/>
  <c r="D932"/>
  <c r="D931"/>
  <c r="D204"/>
  <c r="D203"/>
  <c r="D202"/>
  <c r="D201"/>
  <c r="D2346"/>
  <c r="D2345"/>
  <c r="D2344"/>
  <c r="D910"/>
  <c r="D909"/>
  <c r="D900"/>
  <c r="D899"/>
  <c r="D898"/>
  <c r="D872"/>
  <c r="D599"/>
  <c r="D598"/>
  <c r="D597"/>
  <c r="D287"/>
  <c r="D272"/>
  <c r="D271"/>
  <c r="D270"/>
  <c r="D269"/>
  <c r="D223"/>
  <c r="D222"/>
  <c r="D221"/>
  <c r="D220"/>
  <c r="D880"/>
  <c r="D879"/>
  <c r="D878"/>
  <c r="D877"/>
  <c r="D701"/>
  <c r="D649"/>
  <c r="D648"/>
  <c r="D647"/>
  <c r="D646"/>
  <c r="D85"/>
  <c r="D84"/>
  <c r="D83"/>
  <c r="D82"/>
  <c r="D2373"/>
  <c r="D2372"/>
  <c r="D2371"/>
  <c r="D2370"/>
  <c r="D1489"/>
  <c r="D1488"/>
  <c r="D1487"/>
  <c r="D1486"/>
  <c r="D767"/>
  <c r="D766"/>
  <c r="D765"/>
  <c r="D764"/>
  <c r="D1932"/>
  <c r="D1701"/>
  <c r="D1700"/>
  <c r="D1699"/>
  <c r="D1543"/>
  <c r="D1542"/>
  <c r="D967"/>
  <c r="D893"/>
  <c r="D729"/>
  <c r="D728"/>
  <c r="D727"/>
  <c r="D724"/>
  <c r="D723"/>
  <c r="D722"/>
  <c r="D679"/>
  <c r="D401"/>
  <c r="D400"/>
  <c r="D399"/>
  <c r="D391"/>
  <c r="D390"/>
  <c r="D389"/>
  <c r="D2105"/>
  <c r="D1602"/>
  <c r="D1601"/>
  <c r="D1600"/>
  <c r="D1599"/>
  <c r="D1598"/>
  <c r="D608"/>
  <c r="D607"/>
  <c r="D606"/>
  <c r="D605"/>
  <c r="D604"/>
  <c r="D527"/>
  <c r="D526"/>
  <c r="D525"/>
  <c r="D524"/>
  <c r="D2299"/>
  <c r="D2298"/>
  <c r="D1924"/>
  <c r="D1923"/>
  <c r="D1922"/>
  <c r="D1921"/>
  <c r="D1916"/>
  <c r="D1915"/>
  <c r="D1914"/>
  <c r="D1710"/>
  <c r="D1709"/>
  <c r="D1708"/>
  <c r="D1606"/>
  <c r="D1605"/>
  <c r="D1604"/>
  <c r="D1603"/>
  <c r="D1587"/>
  <c r="D1586"/>
  <c r="D1585"/>
  <c r="D1584"/>
  <c r="D1579"/>
  <c r="D1578"/>
  <c r="D1577"/>
  <c r="D1485"/>
  <c r="D1484"/>
  <c r="D1483"/>
  <c r="D1482"/>
  <c r="D1451"/>
  <c r="D1450"/>
  <c r="D1449"/>
  <c r="D1360"/>
  <c r="D1359"/>
  <c r="D1358"/>
  <c r="D1357"/>
  <c r="D1245"/>
  <c r="D1244"/>
  <c r="D1034"/>
  <c r="D1033"/>
  <c r="D1032"/>
  <c r="D1031"/>
  <c r="D839"/>
  <c r="D838"/>
  <c r="D837"/>
  <c r="D603"/>
  <c r="D602"/>
  <c r="D601"/>
  <c r="D600"/>
  <c r="D513"/>
  <c r="D512"/>
  <c r="D511"/>
  <c r="D441"/>
  <c r="D440"/>
  <c r="D439"/>
  <c r="D437"/>
  <c r="D436"/>
  <c r="D435"/>
  <c r="D434"/>
  <c r="D378"/>
  <c r="D377"/>
  <c r="D376"/>
  <c r="D232"/>
  <c r="D231"/>
  <c r="D230"/>
  <c r="D229"/>
  <c r="D70"/>
  <c r="D69"/>
  <c r="D68"/>
  <c r="D423"/>
  <c r="D422"/>
  <c r="D421"/>
  <c r="D420"/>
  <c r="D267"/>
  <c r="D266"/>
  <c r="D265"/>
  <c r="D264"/>
  <c r="D1534"/>
  <c r="D1533"/>
  <c r="D1531"/>
  <c r="D1493"/>
  <c r="D1492"/>
  <c r="D1491"/>
  <c r="D1490"/>
  <c r="D792"/>
  <c r="D791"/>
  <c r="D790"/>
  <c r="D789"/>
  <c r="D345"/>
  <c r="D344"/>
  <c r="D343"/>
  <c r="D258"/>
  <c r="D257"/>
  <c r="D198"/>
  <c r="D197"/>
  <c r="D2152"/>
  <c r="D2151"/>
  <c r="D2150"/>
  <c r="D2149"/>
  <c r="D1618"/>
  <c r="D957"/>
  <c r="D956"/>
  <c r="D955"/>
  <c r="D954"/>
  <c r="D49"/>
  <c r="D37"/>
  <c r="D36"/>
  <c r="D35"/>
  <c r="D34"/>
  <c r="D2248"/>
  <c r="D2247"/>
  <c r="D2246"/>
  <c r="D2245"/>
  <c r="D1884"/>
  <c r="D1883"/>
  <c r="D1882"/>
  <c r="D1881"/>
  <c r="D1610"/>
  <c r="D1609"/>
  <c r="D1608"/>
  <c r="D1607"/>
  <c r="D1575"/>
  <c r="D1574"/>
  <c r="D1447"/>
  <c r="D1446"/>
  <c r="D1445"/>
  <c r="D1416"/>
  <c r="D1415"/>
  <c r="D1414"/>
  <c r="D1413"/>
  <c r="D1126"/>
  <c r="D1125"/>
  <c r="D1124"/>
  <c r="D1123"/>
  <c r="D826"/>
  <c r="D825"/>
  <c r="D824"/>
  <c r="D719"/>
  <c r="D718"/>
  <c r="D717"/>
  <c r="D716"/>
  <c r="D627"/>
  <c r="D626"/>
  <c r="D625"/>
  <c r="D575"/>
  <c r="D574"/>
  <c r="D186"/>
  <c r="D185"/>
  <c r="D184"/>
  <c r="D23"/>
  <c r="D19"/>
  <c r="D18"/>
  <c r="D17"/>
  <c r="D15"/>
  <c r="D13"/>
  <c r="AH31" i="1"/>
  <c r="AH30"/>
  <c r="AH29"/>
  <c r="AH28"/>
  <c r="AH27"/>
  <c r="AH26"/>
  <c r="AH25"/>
  <c r="AH24"/>
  <c r="AH23"/>
  <c r="AH22"/>
  <c r="AH21"/>
  <c r="AH20"/>
  <c r="AH19"/>
  <c r="AH18"/>
  <c r="AH17"/>
  <c r="AH16"/>
  <c r="AH15"/>
  <c r="AH32"/>
  <c r="P13" i="4"/>
  <c r="C40" i="11"/>
  <c r="C15"/>
  <c r="C14"/>
  <c r="C13"/>
  <c r="C12"/>
  <c r="C11"/>
  <c r="C10"/>
  <c r="B4" i="13"/>
  <c r="C12" s="1"/>
  <c r="C2" i="16"/>
  <c r="C3"/>
  <c r="C4"/>
  <c r="H2"/>
  <c r="H3"/>
  <c r="H4"/>
  <c r="B5"/>
  <c r="C5"/>
  <c r="H5"/>
  <c r="C6"/>
  <c r="H6"/>
  <c r="C7"/>
  <c r="H7"/>
  <c r="C8"/>
  <c r="H8"/>
  <c r="H9"/>
  <c r="C10"/>
  <c r="H10"/>
  <c r="C11"/>
  <c r="H11"/>
  <c r="B12"/>
  <c r="C12" s="1"/>
  <c r="H12"/>
  <c r="C13"/>
  <c r="H13"/>
  <c r="C14"/>
  <c r="H14"/>
  <c r="C15"/>
  <c r="H15"/>
  <c r="C16"/>
  <c r="H16"/>
  <c r="C17"/>
  <c r="H17"/>
  <c r="C18"/>
  <c r="H18"/>
  <c r="C19"/>
  <c r="H19"/>
  <c r="C20"/>
  <c r="H20"/>
  <c r="C21"/>
  <c r="H21"/>
  <c r="C22"/>
  <c r="H22"/>
  <c r="C23"/>
  <c r="H23"/>
  <c r="C24"/>
  <c r="H24"/>
  <c r="C25"/>
  <c r="H25"/>
  <c r="C26"/>
  <c r="H26"/>
  <c r="C27"/>
  <c r="H27"/>
  <c r="C28"/>
  <c r="H28"/>
  <c r="C29"/>
  <c r="H29"/>
  <c r="C30"/>
  <c r="H30"/>
  <c r="C31"/>
  <c r="H31"/>
  <c r="C32"/>
  <c r="H32"/>
  <c r="C33"/>
  <c r="H33"/>
  <c r="C34"/>
  <c r="H34"/>
  <c r="C35"/>
  <c r="H35"/>
  <c r="C36"/>
  <c r="H36"/>
  <c r="C37"/>
  <c r="H37"/>
  <c r="C38"/>
  <c r="H38"/>
  <c r="C39"/>
  <c r="H39"/>
  <c r="C40"/>
  <c r="H40"/>
  <c r="C41"/>
  <c r="H41"/>
  <c r="C42"/>
  <c r="H42"/>
  <c r="C43"/>
  <c r="H43"/>
  <c r="C44"/>
  <c r="H44"/>
  <c r="C45"/>
  <c r="H45"/>
  <c r="C46"/>
  <c r="H46"/>
  <c r="C47"/>
  <c r="H47"/>
  <c r="C48"/>
  <c r="H48"/>
  <c r="C49"/>
  <c r="H49"/>
  <c r="C50"/>
  <c r="H50"/>
  <c r="C51"/>
  <c r="H51"/>
  <c r="C52"/>
  <c r="H52"/>
  <c r="C53"/>
  <c r="H53"/>
  <c r="C54"/>
  <c r="H54"/>
  <c r="C55"/>
  <c r="H55"/>
  <c r="C56"/>
  <c r="H56"/>
  <c r="C57"/>
  <c r="H57"/>
  <c r="B58"/>
  <c r="C58"/>
  <c r="H58"/>
  <c r="C59"/>
  <c r="H59"/>
  <c r="B60"/>
  <c r="C60" s="1"/>
  <c r="H60"/>
  <c r="C61"/>
  <c r="H61"/>
  <c r="C62"/>
  <c r="H62"/>
  <c r="C63"/>
  <c r="H63"/>
  <c r="C64"/>
  <c r="H64"/>
  <c r="C65"/>
  <c r="H65"/>
  <c r="C66"/>
  <c r="H66"/>
  <c r="C67"/>
  <c r="H67"/>
  <c r="C68"/>
  <c r="H68"/>
  <c r="C69"/>
  <c r="H69"/>
  <c r="C70"/>
  <c r="H70"/>
  <c r="C71"/>
  <c r="H71"/>
  <c r="C72"/>
  <c r="H72"/>
  <c r="C73"/>
  <c r="H73"/>
  <c r="C74"/>
  <c r="H74"/>
  <c r="C75"/>
  <c r="H75"/>
  <c r="C76"/>
  <c r="H76"/>
  <c r="C77"/>
  <c r="H77"/>
  <c r="C78"/>
  <c r="H78"/>
  <c r="C79"/>
  <c r="H79"/>
  <c r="C80"/>
  <c r="H80"/>
  <c r="C81"/>
  <c r="H81"/>
  <c r="C82"/>
  <c r="H82"/>
  <c r="C83"/>
  <c r="H83"/>
  <c r="C84"/>
  <c r="H84"/>
  <c r="C85"/>
  <c r="H85"/>
  <c r="C86"/>
  <c r="H86"/>
  <c r="C87"/>
  <c r="H87"/>
  <c r="C88"/>
  <c r="H88"/>
  <c r="C89"/>
  <c r="H89"/>
  <c r="C90"/>
  <c r="H90"/>
  <c r="C91"/>
  <c r="H91"/>
  <c r="C92"/>
  <c r="H92"/>
  <c r="C93"/>
  <c r="H93"/>
  <c r="B94"/>
  <c r="C94" s="1"/>
  <c r="H94"/>
  <c r="C95"/>
  <c r="H95"/>
  <c r="C96"/>
  <c r="H96"/>
  <c r="C97"/>
  <c r="H97"/>
  <c r="B98"/>
  <c r="C98" s="1"/>
  <c r="H98"/>
  <c r="C99"/>
  <c r="H99"/>
  <c r="C100"/>
  <c r="H100"/>
  <c r="C101"/>
  <c r="H101"/>
  <c r="C102"/>
  <c r="H102"/>
  <c r="C103"/>
  <c r="H103"/>
  <c r="C104"/>
  <c r="H104"/>
  <c r="C105"/>
  <c r="H105"/>
  <c r="C106"/>
  <c r="H106"/>
  <c r="C107"/>
  <c r="H107"/>
  <c r="C108"/>
  <c r="H108"/>
  <c r="C109"/>
  <c r="H109"/>
  <c r="C110"/>
  <c r="H110"/>
  <c r="C111"/>
  <c r="H111"/>
  <c r="C112"/>
  <c r="H112"/>
  <c r="C113"/>
  <c r="H113"/>
  <c r="C114"/>
  <c r="H114"/>
  <c r="C115"/>
  <c r="H115"/>
  <c r="C116"/>
  <c r="H116"/>
  <c r="B117"/>
  <c r="C117" s="1"/>
  <c r="H117"/>
  <c r="C118"/>
  <c r="H118"/>
  <c r="C119"/>
  <c r="H119"/>
  <c r="C120"/>
  <c r="H120"/>
  <c r="C121"/>
  <c r="H121"/>
  <c r="C122"/>
  <c r="H122"/>
  <c r="C123"/>
  <c r="H123"/>
  <c r="C124"/>
  <c r="H124"/>
  <c r="C125"/>
  <c r="H125"/>
  <c r="C126"/>
  <c r="H126"/>
  <c r="C127"/>
  <c r="H127"/>
  <c r="C128"/>
  <c r="H128"/>
  <c r="C129"/>
  <c r="H129"/>
  <c r="C130"/>
  <c r="H130"/>
  <c r="C131"/>
  <c r="H131"/>
  <c r="C132"/>
  <c r="H132"/>
  <c r="C133"/>
  <c r="H133"/>
  <c r="C134"/>
  <c r="H134"/>
  <c r="B135"/>
  <c r="C135"/>
  <c r="H135"/>
  <c r="C136"/>
  <c r="H136"/>
  <c r="C137"/>
  <c r="H137"/>
  <c r="C138"/>
  <c r="H138"/>
  <c r="C139"/>
  <c r="H139"/>
  <c r="C140"/>
  <c r="H140"/>
  <c r="C141"/>
  <c r="H141"/>
  <c r="C142"/>
  <c r="H142"/>
  <c r="C143"/>
  <c r="H143"/>
  <c r="C144"/>
  <c r="H144"/>
  <c r="C145"/>
  <c r="H145"/>
  <c r="C146"/>
  <c r="H146"/>
  <c r="C147"/>
  <c r="H147"/>
  <c r="C148"/>
  <c r="H148"/>
  <c r="C149"/>
  <c r="H149"/>
  <c r="C150"/>
  <c r="H150"/>
  <c r="C151"/>
  <c r="H151"/>
  <c r="C152"/>
  <c r="H152"/>
  <c r="C153"/>
  <c r="H153"/>
  <c r="C154"/>
  <c r="H154"/>
  <c r="C155"/>
  <c r="H155"/>
  <c r="C156"/>
  <c r="H156"/>
  <c r="C157"/>
  <c r="H157"/>
  <c r="C158"/>
  <c r="H158"/>
  <c r="C159"/>
  <c r="H159"/>
  <c r="C160"/>
  <c r="H160"/>
  <c r="C161"/>
  <c r="H161"/>
  <c r="B162"/>
  <c r="C162" s="1"/>
  <c r="H162"/>
  <c r="C163"/>
  <c r="H163"/>
  <c r="C164"/>
  <c r="H164"/>
  <c r="C165"/>
  <c r="H165"/>
  <c r="C166"/>
  <c r="H166"/>
  <c r="C167"/>
  <c r="H167"/>
  <c r="C168"/>
  <c r="H168"/>
  <c r="C169"/>
  <c r="H169"/>
  <c r="B170"/>
  <c r="C170"/>
  <c r="H170"/>
  <c r="C171"/>
  <c r="H171"/>
  <c r="C172"/>
  <c r="H172"/>
  <c r="C173"/>
  <c r="H173"/>
  <c r="C174"/>
  <c r="H174"/>
  <c r="C175"/>
  <c r="H175"/>
  <c r="C176"/>
  <c r="H176"/>
  <c r="C177"/>
  <c r="H177"/>
  <c r="C178"/>
  <c r="H178"/>
  <c r="C179"/>
  <c r="H179"/>
  <c r="C180"/>
  <c r="H180"/>
  <c r="C181"/>
  <c r="H181"/>
  <c r="C182"/>
  <c r="H182"/>
  <c r="C183"/>
  <c r="H183"/>
  <c r="C184"/>
  <c r="H184"/>
  <c r="C185"/>
  <c r="H185"/>
  <c r="C186"/>
  <c r="H186"/>
  <c r="C187"/>
  <c r="H187"/>
  <c r="C188"/>
  <c r="H188"/>
  <c r="C189"/>
  <c r="H189"/>
  <c r="C190"/>
  <c r="H190"/>
  <c r="C191"/>
  <c r="H191"/>
  <c r="C192"/>
  <c r="H192"/>
  <c r="C193"/>
  <c r="H193"/>
  <c r="C194"/>
  <c r="H194"/>
  <c r="C195"/>
  <c r="H195"/>
  <c r="B196"/>
  <c r="C196" s="1"/>
  <c r="H196"/>
  <c r="C197"/>
  <c r="H197"/>
  <c r="C198"/>
  <c r="H198"/>
  <c r="C199"/>
  <c r="H199"/>
  <c r="C200"/>
  <c r="H200"/>
  <c r="C201"/>
  <c r="H201"/>
  <c r="B202"/>
  <c r="C202" s="1"/>
  <c r="H202"/>
  <c r="C203"/>
  <c r="H203"/>
  <c r="C204"/>
  <c r="H204"/>
  <c r="C205"/>
  <c r="H205"/>
  <c r="C206"/>
  <c r="H206"/>
  <c r="B207"/>
  <c r="C207"/>
  <c r="H207"/>
  <c r="C208"/>
  <c r="H208"/>
  <c r="C209"/>
  <c r="H209"/>
  <c r="C210"/>
  <c r="H210"/>
  <c r="C211"/>
  <c r="H211"/>
  <c r="C212"/>
  <c r="H212"/>
  <c r="C213"/>
  <c r="H213"/>
  <c r="C214"/>
  <c r="H214"/>
  <c r="B215"/>
  <c r="C215" s="1"/>
  <c r="H215"/>
  <c r="C216"/>
  <c r="H216"/>
  <c r="B217"/>
  <c r="C217" s="1"/>
  <c r="H217"/>
  <c r="C218"/>
  <c r="H218"/>
  <c r="C219"/>
  <c r="H219"/>
  <c r="C220"/>
  <c r="H220"/>
  <c r="C221"/>
  <c r="H221"/>
  <c r="C222"/>
  <c r="H222"/>
  <c r="C223"/>
  <c r="H223"/>
  <c r="C224"/>
  <c r="H224"/>
  <c r="C225"/>
  <c r="H225"/>
  <c r="C226"/>
  <c r="H226"/>
  <c r="C227"/>
  <c r="H227"/>
  <c r="C228"/>
  <c r="H228"/>
  <c r="C229"/>
  <c r="H229"/>
  <c r="C230"/>
  <c r="H230"/>
  <c r="C231"/>
  <c r="H231"/>
  <c r="C232"/>
  <c r="H232"/>
  <c r="B233"/>
  <c r="C233"/>
  <c r="H233"/>
  <c r="C234"/>
  <c r="H234"/>
  <c r="C235"/>
  <c r="H235"/>
  <c r="C236"/>
  <c r="H236"/>
  <c r="C237"/>
  <c r="H237"/>
  <c r="C238"/>
  <c r="H238"/>
  <c r="C239"/>
  <c r="H239"/>
  <c r="B240"/>
  <c r="C240" s="1"/>
  <c r="H240"/>
  <c r="C241"/>
  <c r="H241"/>
  <c r="C242"/>
  <c r="H242"/>
  <c r="C243"/>
  <c r="H243"/>
  <c r="C244"/>
  <c r="H244"/>
  <c r="C245"/>
  <c r="H245"/>
  <c r="C246"/>
  <c r="H246"/>
  <c r="C247"/>
  <c r="H247"/>
  <c r="C248"/>
  <c r="H248"/>
  <c r="C249"/>
  <c r="H249"/>
  <c r="C250"/>
  <c r="H250"/>
  <c r="C251"/>
  <c r="H251"/>
  <c r="C252"/>
  <c r="H252"/>
  <c r="C253"/>
  <c r="H253"/>
  <c r="C254"/>
  <c r="H254"/>
  <c r="C255"/>
  <c r="H255"/>
  <c r="C256"/>
  <c r="H256"/>
  <c r="C257"/>
  <c r="H257"/>
  <c r="C258"/>
  <c r="H258"/>
  <c r="C259"/>
  <c r="B260"/>
  <c r="C260" s="1"/>
  <c r="H260"/>
  <c r="C261"/>
  <c r="H261"/>
  <c r="C262"/>
  <c r="H262"/>
  <c r="C263"/>
  <c r="H263"/>
  <c r="C264"/>
  <c r="H264"/>
  <c r="C265"/>
  <c r="H265"/>
  <c r="B266"/>
  <c r="C266" s="1"/>
  <c r="H266"/>
  <c r="C267"/>
  <c r="H267"/>
  <c r="C268"/>
  <c r="H268"/>
  <c r="C269"/>
  <c r="H269"/>
  <c r="C270"/>
  <c r="H270"/>
  <c r="C271"/>
  <c r="H271"/>
  <c r="B272"/>
  <c r="C272" s="1"/>
  <c r="H272"/>
  <c r="C273"/>
  <c r="H273"/>
  <c r="B274"/>
  <c r="C274" s="1"/>
  <c r="H274"/>
  <c r="C275"/>
  <c r="H275"/>
  <c r="C276"/>
  <c r="H276"/>
  <c r="C277"/>
  <c r="H277"/>
  <c r="C278"/>
  <c r="H278"/>
  <c r="B279"/>
  <c r="C279"/>
  <c r="H279"/>
  <c r="C280"/>
  <c r="H280"/>
  <c r="C281"/>
  <c r="H281"/>
  <c r="C282"/>
  <c r="H282"/>
  <c r="C283"/>
  <c r="H283"/>
  <c r="B284"/>
  <c r="C284"/>
  <c r="H284"/>
  <c r="C285"/>
  <c r="H285"/>
  <c r="C286"/>
  <c r="H286"/>
  <c r="C287"/>
  <c r="H287"/>
  <c r="C288"/>
  <c r="H288"/>
  <c r="C289"/>
  <c r="H289"/>
  <c r="B290"/>
  <c r="C290"/>
  <c r="H290"/>
  <c r="B291"/>
  <c r="C291"/>
  <c r="H291"/>
  <c r="C292"/>
  <c r="H292"/>
  <c r="C293"/>
  <c r="H293"/>
  <c r="C294"/>
  <c r="H294"/>
  <c r="C295"/>
  <c r="H295"/>
  <c r="C296"/>
  <c r="H296"/>
  <c r="C297"/>
  <c r="H297"/>
  <c r="B298"/>
  <c r="C298" s="1"/>
  <c r="H298"/>
  <c r="C299"/>
  <c r="H299"/>
  <c r="C300"/>
  <c r="H300"/>
  <c r="C301"/>
  <c r="H301"/>
  <c r="C302"/>
  <c r="H302"/>
  <c r="C303"/>
  <c r="H303"/>
  <c r="C304"/>
  <c r="H304"/>
  <c r="C305"/>
  <c r="H305"/>
  <c r="C306"/>
  <c r="H306"/>
  <c r="C307"/>
  <c r="H307"/>
  <c r="C308"/>
  <c r="H308"/>
  <c r="B309"/>
  <c r="C309" s="1"/>
  <c r="H309"/>
  <c r="C310"/>
  <c r="H310"/>
  <c r="C311"/>
  <c r="H311"/>
  <c r="C312"/>
  <c r="H312"/>
  <c r="B313"/>
  <c r="C313" s="1"/>
  <c r="H313"/>
  <c r="C314"/>
  <c r="H314"/>
  <c r="C315"/>
  <c r="H315"/>
  <c r="C316"/>
  <c r="H316"/>
  <c r="C317"/>
  <c r="H317"/>
  <c r="C318"/>
  <c r="H318"/>
  <c r="C319"/>
  <c r="H319"/>
  <c r="C320"/>
  <c r="H320"/>
  <c r="C321"/>
  <c r="H321"/>
  <c r="C322"/>
  <c r="H322"/>
  <c r="C323"/>
  <c r="H323"/>
  <c r="C324"/>
  <c r="H324"/>
  <c r="C325"/>
  <c r="H325"/>
  <c r="C326"/>
  <c r="H326"/>
  <c r="B327"/>
  <c r="C327"/>
  <c r="H327"/>
  <c r="C328"/>
  <c r="H328"/>
  <c r="C329"/>
  <c r="H329"/>
  <c r="C330"/>
  <c r="H330"/>
  <c r="C331"/>
  <c r="H331"/>
  <c r="C332"/>
  <c r="H332"/>
  <c r="C333"/>
  <c r="H333"/>
  <c r="C334"/>
  <c r="H334"/>
  <c r="C335"/>
  <c r="H335"/>
  <c r="C336"/>
  <c r="H336"/>
  <c r="C337"/>
  <c r="H337"/>
  <c r="C338"/>
  <c r="H338"/>
  <c r="C339"/>
  <c r="H339"/>
  <c r="C340"/>
  <c r="H340"/>
  <c r="C341"/>
  <c r="H341"/>
  <c r="C342"/>
  <c r="H342"/>
  <c r="C343"/>
  <c r="H343"/>
  <c r="C344"/>
  <c r="H344"/>
  <c r="C345"/>
  <c r="H345"/>
  <c r="C346"/>
  <c r="H346"/>
  <c r="C347"/>
  <c r="H347"/>
  <c r="C348"/>
  <c r="H348"/>
  <c r="C349"/>
  <c r="H349"/>
  <c r="C350"/>
  <c r="H350"/>
  <c r="C351"/>
  <c r="H351"/>
  <c r="C352"/>
  <c r="H352"/>
  <c r="C353"/>
  <c r="H353"/>
  <c r="B354"/>
  <c r="C354" s="1"/>
  <c r="H354"/>
  <c r="C355"/>
  <c r="H355"/>
  <c r="C356"/>
  <c r="H356"/>
  <c r="C357"/>
  <c r="H357"/>
  <c r="B358"/>
  <c r="C358" s="1"/>
  <c r="H358"/>
  <c r="C359"/>
  <c r="H359"/>
  <c r="C360"/>
  <c r="H360"/>
  <c r="C361"/>
  <c r="H361"/>
  <c r="C362"/>
  <c r="H362"/>
  <c r="C363"/>
  <c r="H363"/>
  <c r="C364"/>
  <c r="H364"/>
  <c r="C365"/>
  <c r="H365"/>
  <c r="C366"/>
  <c r="H366"/>
  <c r="C367"/>
  <c r="H367"/>
  <c r="C368"/>
  <c r="H368"/>
  <c r="C369"/>
  <c r="H369"/>
  <c r="C370"/>
  <c r="H370"/>
  <c r="C371"/>
  <c r="H371"/>
  <c r="C372"/>
  <c r="H372"/>
  <c r="C373"/>
  <c r="H373"/>
  <c r="C374"/>
  <c r="H374"/>
  <c r="C375"/>
  <c r="H375"/>
  <c r="C376"/>
  <c r="H376"/>
  <c r="C377"/>
  <c r="H377"/>
  <c r="C378"/>
  <c r="H378"/>
  <c r="C379"/>
  <c r="H379"/>
  <c r="C380"/>
  <c r="H380"/>
  <c r="C381"/>
  <c r="H381"/>
  <c r="C382"/>
  <c r="H382"/>
  <c r="C383"/>
  <c r="H383"/>
  <c r="C384"/>
  <c r="H384"/>
  <c r="C385"/>
  <c r="H385"/>
  <c r="B386"/>
  <c r="C386"/>
  <c r="H386"/>
  <c r="C387"/>
  <c r="H387"/>
  <c r="C388"/>
  <c r="H388"/>
  <c r="C389"/>
  <c r="H389"/>
  <c r="C390"/>
  <c r="H390"/>
  <c r="C391"/>
  <c r="H391"/>
  <c r="C392"/>
  <c r="H392"/>
  <c r="C393"/>
  <c r="H393"/>
  <c r="C394"/>
  <c r="H394"/>
  <c r="B395"/>
  <c r="C395" s="1"/>
  <c r="H395"/>
  <c r="C396"/>
  <c r="H396"/>
  <c r="C397"/>
  <c r="H397"/>
  <c r="B398"/>
  <c r="C398"/>
  <c r="H398"/>
  <c r="C399"/>
  <c r="H399"/>
  <c r="B400"/>
  <c r="C400"/>
  <c r="H400"/>
  <c r="C401"/>
  <c r="H401"/>
  <c r="C402"/>
  <c r="H402"/>
  <c r="C403"/>
  <c r="H403"/>
  <c r="C404"/>
  <c r="H404"/>
  <c r="C405"/>
  <c r="H405"/>
  <c r="B406"/>
  <c r="C406" s="1"/>
  <c r="H406"/>
  <c r="C407"/>
  <c r="H407"/>
  <c r="C408"/>
  <c r="H408"/>
  <c r="C409"/>
  <c r="H409"/>
  <c r="C410"/>
  <c r="H410"/>
  <c r="C411"/>
  <c r="H411"/>
  <c r="C412"/>
  <c r="H412"/>
  <c r="B413"/>
  <c r="C413"/>
  <c r="H413"/>
  <c r="C414"/>
  <c r="H414"/>
  <c r="C415"/>
  <c r="H415"/>
  <c r="C416"/>
  <c r="H416"/>
  <c r="C417"/>
  <c r="H417"/>
  <c r="C418"/>
  <c r="H418"/>
  <c r="B419"/>
  <c r="C419"/>
  <c r="H419"/>
  <c r="C420"/>
  <c r="H420"/>
  <c r="C421"/>
  <c r="H421"/>
  <c r="C422"/>
  <c r="H422"/>
  <c r="B423"/>
  <c r="C423" s="1"/>
  <c r="H423"/>
  <c r="C424"/>
  <c r="H424"/>
  <c r="C425"/>
  <c r="H425"/>
  <c r="C426"/>
  <c r="H426"/>
  <c r="C427"/>
  <c r="H427"/>
  <c r="C428"/>
  <c r="H428"/>
  <c r="C429"/>
  <c r="H429"/>
  <c r="C430"/>
  <c r="H430"/>
  <c r="B431"/>
  <c r="C431"/>
  <c r="H431"/>
  <c r="C432"/>
  <c r="H432"/>
  <c r="B433"/>
  <c r="C433"/>
  <c r="H433"/>
  <c r="C434"/>
  <c r="H434"/>
  <c r="C435"/>
  <c r="H435"/>
  <c r="B436"/>
  <c r="C436" s="1"/>
  <c r="H436"/>
  <c r="C437"/>
  <c r="H437"/>
  <c r="C438"/>
  <c r="H438"/>
  <c r="C439"/>
  <c r="H439"/>
  <c r="C440"/>
  <c r="H440"/>
  <c r="C441"/>
  <c r="D441"/>
  <c r="E441"/>
  <c r="G441"/>
  <c r="C442"/>
  <c r="H442"/>
  <c r="C443"/>
  <c r="H443"/>
  <c r="C444"/>
  <c r="H444"/>
  <c r="C445"/>
  <c r="H445"/>
  <c r="C446"/>
  <c r="H446"/>
  <c r="C447"/>
  <c r="H447"/>
  <c r="C448"/>
  <c r="H448"/>
  <c r="C449"/>
  <c r="H449"/>
  <c r="C450"/>
  <c r="H450"/>
  <c r="B451"/>
  <c r="C451" s="1"/>
  <c r="H451"/>
  <c r="C452"/>
  <c r="H452"/>
  <c r="B453"/>
  <c r="C453" s="1"/>
  <c r="H453"/>
  <c r="C454"/>
  <c r="H454"/>
  <c r="C455"/>
  <c r="H455"/>
  <c r="C456"/>
  <c r="H456"/>
  <c r="B457"/>
  <c r="C457" s="1"/>
  <c r="H457"/>
  <c r="C458"/>
  <c r="H458"/>
  <c r="B459"/>
  <c r="C459"/>
  <c r="H459"/>
  <c r="C460"/>
  <c r="H460"/>
  <c r="C461"/>
  <c r="H461"/>
  <c r="C462"/>
  <c r="H462"/>
  <c r="B463"/>
  <c r="C463" s="1"/>
  <c r="D463"/>
  <c r="E463"/>
  <c r="G463"/>
  <c r="C464"/>
  <c r="H464"/>
  <c r="C465"/>
  <c r="H465"/>
  <c r="C466"/>
  <c r="H466"/>
  <c r="C467"/>
  <c r="H467"/>
  <c r="C468"/>
  <c r="H468"/>
  <c r="C469"/>
  <c r="H469"/>
  <c r="C470"/>
  <c r="H470"/>
  <c r="B471"/>
  <c r="C471" s="1"/>
  <c r="H471"/>
  <c r="C472"/>
  <c r="H472"/>
  <c r="C473"/>
  <c r="H473"/>
  <c r="C474"/>
  <c r="H474"/>
  <c r="C475"/>
  <c r="H475"/>
  <c r="C476"/>
  <c r="H476"/>
  <c r="B477"/>
  <c r="C477" s="1"/>
  <c r="H477"/>
  <c r="C478"/>
  <c r="H478"/>
  <c r="C479"/>
  <c r="H479"/>
  <c r="C480"/>
  <c r="H480"/>
  <c r="C481"/>
  <c r="H481"/>
  <c r="B482"/>
  <c r="C482" s="1"/>
  <c r="H482"/>
  <c r="C483"/>
  <c r="H483"/>
  <c r="C484"/>
  <c r="H484"/>
  <c r="C485"/>
  <c r="H485"/>
  <c r="C486"/>
  <c r="H486"/>
  <c r="C487"/>
  <c r="H487"/>
  <c r="C488"/>
  <c r="H488"/>
  <c r="C489"/>
  <c r="H489"/>
  <c r="H490"/>
  <c r="C491"/>
  <c r="H491"/>
  <c r="C492"/>
  <c r="H492"/>
  <c r="B493"/>
  <c r="C493" s="1"/>
  <c r="H493"/>
  <c r="C494"/>
  <c r="H494"/>
  <c r="B495"/>
  <c r="C495" s="1"/>
  <c r="H495"/>
  <c r="C496"/>
  <c r="H496"/>
  <c r="C497"/>
  <c r="H497"/>
  <c r="C498"/>
  <c r="H498"/>
  <c r="C499"/>
  <c r="H499"/>
  <c r="C500"/>
  <c r="H500"/>
  <c r="C501"/>
  <c r="H501"/>
  <c r="C502"/>
  <c r="H502"/>
  <c r="C503"/>
  <c r="H503"/>
  <c r="B504"/>
  <c r="C504" s="1"/>
  <c r="H504"/>
  <c r="C505"/>
  <c r="H505"/>
  <c r="C506"/>
  <c r="H506"/>
  <c r="C507"/>
  <c r="H507"/>
  <c r="C508"/>
  <c r="H508"/>
  <c r="C509"/>
  <c r="H509"/>
  <c r="C510"/>
  <c r="H510"/>
  <c r="C511"/>
  <c r="H511"/>
  <c r="C512"/>
  <c r="H512"/>
  <c r="C513"/>
  <c r="H513"/>
  <c r="C514"/>
  <c r="H514"/>
  <c r="C515"/>
  <c r="H515"/>
  <c r="C516"/>
  <c r="H516"/>
  <c r="H517"/>
  <c r="C518"/>
  <c r="H518"/>
  <c r="C519"/>
  <c r="H519"/>
  <c r="C520"/>
  <c r="H520"/>
  <c r="C521"/>
  <c r="H521"/>
  <c r="C522"/>
  <c r="H522"/>
  <c r="C523"/>
  <c r="H523"/>
  <c r="H524"/>
  <c r="C525"/>
  <c r="H525"/>
  <c r="C526"/>
  <c r="H526"/>
  <c r="C527"/>
  <c r="H527"/>
  <c r="C528"/>
  <c r="H528"/>
  <c r="C529"/>
  <c r="H529"/>
  <c r="C530"/>
  <c r="H530"/>
  <c r="C531"/>
  <c r="H531"/>
  <c r="C532"/>
  <c r="H532"/>
  <c r="B533"/>
  <c r="C533" s="1"/>
  <c r="H533"/>
  <c r="C534"/>
  <c r="H534"/>
  <c r="C535"/>
  <c r="H535"/>
  <c r="C536"/>
  <c r="H536"/>
  <c r="C537"/>
  <c r="H537"/>
  <c r="B538"/>
  <c r="C538"/>
  <c r="H538"/>
  <c r="C539"/>
  <c r="H539"/>
  <c r="C540"/>
  <c r="H540"/>
  <c r="P34" i="2"/>
  <c r="R34" s="1"/>
  <c r="R14"/>
  <c r="B4" i="11"/>
  <c r="B3"/>
  <c r="C5" i="7"/>
  <c r="B5"/>
  <c r="B4"/>
  <c r="C5" i="6"/>
  <c r="B5"/>
  <c r="B4"/>
  <c r="C5" i="5"/>
  <c r="B5"/>
  <c r="B4"/>
  <c r="Q13" i="4"/>
  <c r="C5"/>
  <c r="B5"/>
  <c r="B4"/>
  <c r="M538" i="15"/>
  <c r="L538"/>
  <c r="I538"/>
  <c r="H538"/>
  <c r="E538"/>
  <c r="M522"/>
  <c r="L522"/>
  <c r="I522"/>
  <c r="H522"/>
  <c r="E522"/>
  <c r="M276"/>
  <c r="L276"/>
  <c r="I276"/>
  <c r="H276"/>
  <c r="E276"/>
  <c r="M533"/>
  <c r="L533"/>
  <c r="I533"/>
  <c r="H533"/>
  <c r="A533"/>
  <c r="E533" s="1"/>
  <c r="M531"/>
  <c r="L531"/>
  <c r="I531"/>
  <c r="H531"/>
  <c r="E531"/>
  <c r="M529"/>
  <c r="L529"/>
  <c r="I529"/>
  <c r="H529"/>
  <c r="E529"/>
  <c r="M518"/>
  <c r="L518"/>
  <c r="I518"/>
  <c r="H518"/>
  <c r="E518"/>
  <c r="M115"/>
  <c r="L115"/>
  <c r="I115"/>
  <c r="H115"/>
  <c r="E115"/>
  <c r="M504"/>
  <c r="L504"/>
  <c r="I504"/>
  <c r="H504"/>
  <c r="A504"/>
  <c r="E504" s="1"/>
  <c r="M485"/>
  <c r="L485"/>
  <c r="I485"/>
  <c r="H485"/>
  <c r="E485"/>
  <c r="M456"/>
  <c r="L456"/>
  <c r="I456"/>
  <c r="H456"/>
  <c r="E456"/>
  <c r="M440"/>
  <c r="L440"/>
  <c r="I440"/>
  <c r="H440"/>
  <c r="E440"/>
  <c r="M402"/>
  <c r="L402"/>
  <c r="I402"/>
  <c r="H402"/>
  <c r="E402"/>
  <c r="M362"/>
  <c r="L362"/>
  <c r="I362"/>
  <c r="H362"/>
  <c r="E362"/>
  <c r="M332"/>
  <c r="L332"/>
  <c r="I332"/>
  <c r="H332"/>
  <c r="E332"/>
  <c r="M324"/>
  <c r="L324"/>
  <c r="I324"/>
  <c r="H324"/>
  <c r="E324"/>
  <c r="M300"/>
  <c r="L300"/>
  <c r="I300"/>
  <c r="H300"/>
  <c r="E300"/>
  <c r="M150"/>
  <c r="L150"/>
  <c r="I150"/>
  <c r="H150"/>
  <c r="E150"/>
  <c r="M66"/>
  <c r="L66"/>
  <c r="I66"/>
  <c r="H66"/>
  <c r="E66"/>
  <c r="M495"/>
  <c r="L495"/>
  <c r="I495"/>
  <c r="H495"/>
  <c r="A495"/>
  <c r="E495" s="1"/>
  <c r="M464"/>
  <c r="L464"/>
  <c r="I464"/>
  <c r="H464"/>
  <c r="E464"/>
  <c r="M530"/>
  <c r="L530"/>
  <c r="I530"/>
  <c r="H530"/>
  <c r="E530"/>
  <c r="M508"/>
  <c r="L508"/>
  <c r="I508"/>
  <c r="H508"/>
  <c r="E508"/>
  <c r="M493"/>
  <c r="L493"/>
  <c r="I493"/>
  <c r="H493"/>
  <c r="A493"/>
  <c r="E493" s="1"/>
  <c r="M492"/>
  <c r="L492"/>
  <c r="I492"/>
  <c r="H492"/>
  <c r="E492"/>
  <c r="M363"/>
  <c r="L363"/>
  <c r="I363"/>
  <c r="H363"/>
  <c r="E363"/>
  <c r="M246"/>
  <c r="L246"/>
  <c r="I246"/>
  <c r="H246"/>
  <c r="E246"/>
  <c r="M148"/>
  <c r="L148"/>
  <c r="I148"/>
  <c r="H148"/>
  <c r="E148"/>
  <c r="M145"/>
  <c r="L145"/>
  <c r="I145"/>
  <c r="H145"/>
  <c r="E145"/>
  <c r="M122"/>
  <c r="L122"/>
  <c r="I122"/>
  <c r="H122"/>
  <c r="E122"/>
  <c r="M490"/>
  <c r="L490"/>
  <c r="I490"/>
  <c r="H490"/>
  <c r="M482"/>
  <c r="L482"/>
  <c r="I482"/>
  <c r="H482"/>
  <c r="A482"/>
  <c r="E482" s="1"/>
  <c r="M481"/>
  <c r="L481"/>
  <c r="I481"/>
  <c r="H481"/>
  <c r="E481"/>
  <c r="M372"/>
  <c r="L372"/>
  <c r="I372"/>
  <c r="H372"/>
  <c r="E372"/>
  <c r="M100"/>
  <c r="L100"/>
  <c r="I100"/>
  <c r="H100"/>
  <c r="E100"/>
  <c r="M537"/>
  <c r="L537"/>
  <c r="I537"/>
  <c r="H537"/>
  <c r="E537"/>
  <c r="M477"/>
  <c r="L477"/>
  <c r="I477"/>
  <c r="H477"/>
  <c r="A477"/>
  <c r="E477"/>
  <c r="M247"/>
  <c r="L247"/>
  <c r="I247"/>
  <c r="H247"/>
  <c r="E247"/>
  <c r="M513"/>
  <c r="L513"/>
  <c r="I513"/>
  <c r="H513"/>
  <c r="E513"/>
  <c r="M496"/>
  <c r="L496"/>
  <c r="I496"/>
  <c r="H496"/>
  <c r="E496"/>
  <c r="M471"/>
  <c r="L471"/>
  <c r="I471"/>
  <c r="H471"/>
  <c r="A471"/>
  <c r="E471" s="1"/>
  <c r="M384"/>
  <c r="L384"/>
  <c r="I384"/>
  <c r="H384"/>
  <c r="E384"/>
  <c r="M345"/>
  <c r="L345"/>
  <c r="I345"/>
  <c r="H345"/>
  <c r="E345"/>
  <c r="M320"/>
  <c r="L320"/>
  <c r="I320"/>
  <c r="H320"/>
  <c r="E320"/>
  <c r="M315"/>
  <c r="L315"/>
  <c r="I315"/>
  <c r="H315"/>
  <c r="E315"/>
  <c r="M289"/>
  <c r="L289"/>
  <c r="I289"/>
  <c r="H289"/>
  <c r="E289"/>
  <c r="M195"/>
  <c r="L195"/>
  <c r="I195"/>
  <c r="H195"/>
  <c r="E195"/>
  <c r="M75"/>
  <c r="L75"/>
  <c r="I75"/>
  <c r="H75"/>
  <c r="E75"/>
  <c r="M528"/>
  <c r="L528"/>
  <c r="I528"/>
  <c r="H528"/>
  <c r="E528"/>
  <c r="M463"/>
  <c r="L463"/>
  <c r="I463"/>
  <c r="H463"/>
  <c r="A463"/>
  <c r="E463"/>
  <c r="M462"/>
  <c r="L462"/>
  <c r="I462"/>
  <c r="H462"/>
  <c r="E462"/>
  <c r="M448"/>
  <c r="L448"/>
  <c r="I448"/>
  <c r="H448"/>
  <c r="E448"/>
  <c r="M441"/>
  <c r="L441"/>
  <c r="I441"/>
  <c r="H441"/>
  <c r="E441"/>
  <c r="M388"/>
  <c r="L388"/>
  <c r="I388"/>
  <c r="H388"/>
  <c r="E388"/>
  <c r="M347"/>
  <c r="L347"/>
  <c r="I347"/>
  <c r="H347"/>
  <c r="E347"/>
  <c r="M185"/>
  <c r="L185"/>
  <c r="I185"/>
  <c r="H185"/>
  <c r="E185"/>
  <c r="M105"/>
  <c r="L105"/>
  <c r="I105"/>
  <c r="H105"/>
  <c r="E105"/>
  <c r="M86"/>
  <c r="L86"/>
  <c r="I86"/>
  <c r="H86"/>
  <c r="E86"/>
  <c r="M503"/>
  <c r="L503"/>
  <c r="I503"/>
  <c r="H503"/>
  <c r="E503"/>
  <c r="M502"/>
  <c r="L502"/>
  <c r="I502"/>
  <c r="H502"/>
  <c r="E502"/>
  <c r="M474"/>
  <c r="L474"/>
  <c r="I474"/>
  <c r="H474"/>
  <c r="E474"/>
  <c r="M459"/>
  <c r="L459"/>
  <c r="I459"/>
  <c r="H459"/>
  <c r="A459"/>
  <c r="E459" s="1"/>
  <c r="M382"/>
  <c r="L382"/>
  <c r="I382"/>
  <c r="H382"/>
  <c r="E382"/>
  <c r="M147"/>
  <c r="L147"/>
  <c r="I147"/>
  <c r="H147"/>
  <c r="E147"/>
  <c r="M123"/>
  <c r="L123"/>
  <c r="I123"/>
  <c r="H123"/>
  <c r="E123"/>
  <c r="M41"/>
  <c r="L41"/>
  <c r="I41"/>
  <c r="H41"/>
  <c r="E41"/>
  <c r="M536"/>
  <c r="L536"/>
  <c r="I536"/>
  <c r="H536"/>
  <c r="E536"/>
  <c r="M515"/>
  <c r="L515"/>
  <c r="I515"/>
  <c r="H515"/>
  <c r="E515"/>
  <c r="M494"/>
  <c r="L494"/>
  <c r="I494"/>
  <c r="H494"/>
  <c r="E494"/>
  <c r="M457"/>
  <c r="L457"/>
  <c r="I457"/>
  <c r="H457"/>
  <c r="A457"/>
  <c r="E457"/>
  <c r="M305"/>
  <c r="L305"/>
  <c r="I305"/>
  <c r="H305"/>
  <c r="E305"/>
  <c r="M293"/>
  <c r="L293"/>
  <c r="I293"/>
  <c r="H293"/>
  <c r="E293"/>
  <c r="M155"/>
  <c r="L155"/>
  <c r="I155"/>
  <c r="H155"/>
  <c r="E155"/>
  <c r="M143"/>
  <c r="L143"/>
  <c r="I143"/>
  <c r="H143"/>
  <c r="E143"/>
  <c r="M129"/>
  <c r="L129"/>
  <c r="I129"/>
  <c r="H129"/>
  <c r="E129"/>
  <c r="M124"/>
  <c r="L124"/>
  <c r="I124"/>
  <c r="H124"/>
  <c r="E124"/>
  <c r="M453"/>
  <c r="L453"/>
  <c r="I453"/>
  <c r="H453"/>
  <c r="A453"/>
  <c r="E453" s="1"/>
  <c r="M263"/>
  <c r="L263"/>
  <c r="I263"/>
  <c r="H263"/>
  <c r="E263"/>
  <c r="M452"/>
  <c r="L452"/>
  <c r="I452"/>
  <c r="H452"/>
  <c r="E452"/>
  <c r="M451"/>
  <c r="L451"/>
  <c r="I451"/>
  <c r="H451"/>
  <c r="A451"/>
  <c r="E451" s="1"/>
  <c r="M373"/>
  <c r="L373"/>
  <c r="I373"/>
  <c r="H373"/>
  <c r="E373"/>
  <c r="M15"/>
  <c r="L15"/>
  <c r="I15"/>
  <c r="H15"/>
  <c r="E15"/>
  <c r="M514"/>
  <c r="L514"/>
  <c r="I514"/>
  <c r="H514"/>
  <c r="E514"/>
  <c r="M445"/>
  <c r="L445"/>
  <c r="I445"/>
  <c r="H445"/>
  <c r="E445"/>
  <c r="M436"/>
  <c r="L436"/>
  <c r="I436"/>
  <c r="H436"/>
  <c r="A436"/>
  <c r="E436" s="1"/>
  <c r="M435"/>
  <c r="L435"/>
  <c r="I435"/>
  <c r="H435"/>
  <c r="E435"/>
  <c r="M69"/>
  <c r="L69"/>
  <c r="I69"/>
  <c r="H69"/>
  <c r="E69"/>
  <c r="M475"/>
  <c r="L475"/>
  <c r="I475"/>
  <c r="H475"/>
  <c r="E475"/>
  <c r="M443"/>
  <c r="L443"/>
  <c r="I443"/>
  <c r="H443"/>
  <c r="E443"/>
  <c r="M433"/>
  <c r="L433"/>
  <c r="I433"/>
  <c r="H433"/>
  <c r="A433"/>
  <c r="E433"/>
  <c r="M432"/>
  <c r="L432"/>
  <c r="I432"/>
  <c r="H432"/>
  <c r="E432"/>
  <c r="M414"/>
  <c r="L414"/>
  <c r="I414"/>
  <c r="H414"/>
  <c r="E414"/>
  <c r="M338"/>
  <c r="L338"/>
  <c r="I338"/>
  <c r="H338"/>
  <c r="E338"/>
  <c r="M306"/>
  <c r="L306"/>
  <c r="I306"/>
  <c r="H306"/>
  <c r="E306"/>
  <c r="M303"/>
  <c r="L303"/>
  <c r="I303"/>
  <c r="H303"/>
  <c r="E303"/>
  <c r="M295"/>
  <c r="L295"/>
  <c r="I295"/>
  <c r="H295"/>
  <c r="E295"/>
  <c r="M287"/>
  <c r="L287"/>
  <c r="I287"/>
  <c r="H287"/>
  <c r="E287"/>
  <c r="M262"/>
  <c r="L262"/>
  <c r="I262"/>
  <c r="H262"/>
  <c r="E262"/>
  <c r="M258"/>
  <c r="L258"/>
  <c r="I258"/>
  <c r="H258"/>
  <c r="E258"/>
  <c r="M257"/>
  <c r="L257"/>
  <c r="I257"/>
  <c r="H257"/>
  <c r="E257"/>
  <c r="M167"/>
  <c r="L167"/>
  <c r="I167"/>
  <c r="H167"/>
  <c r="E167"/>
  <c r="M110"/>
  <c r="L110"/>
  <c r="I110"/>
  <c r="H110"/>
  <c r="E110"/>
  <c r="M67"/>
  <c r="L67"/>
  <c r="I67"/>
  <c r="H67"/>
  <c r="E67"/>
  <c r="M461"/>
  <c r="L461"/>
  <c r="I461"/>
  <c r="H461"/>
  <c r="E461"/>
  <c r="M438"/>
  <c r="L438"/>
  <c r="I438"/>
  <c r="H438"/>
  <c r="E438"/>
  <c r="M431"/>
  <c r="L431"/>
  <c r="I431"/>
  <c r="H431"/>
  <c r="A431"/>
  <c r="E431" s="1"/>
  <c r="M430"/>
  <c r="L430"/>
  <c r="I430"/>
  <c r="H430"/>
  <c r="E430"/>
  <c r="M253"/>
  <c r="L253"/>
  <c r="I253"/>
  <c r="H253"/>
  <c r="E253"/>
  <c r="M178"/>
  <c r="L178"/>
  <c r="I178"/>
  <c r="H178"/>
  <c r="E178"/>
  <c r="M171"/>
  <c r="L171"/>
  <c r="I171"/>
  <c r="H171"/>
  <c r="E171"/>
  <c r="M72"/>
  <c r="L72"/>
  <c r="I72"/>
  <c r="H72"/>
  <c r="E72"/>
  <c r="M54"/>
  <c r="L54"/>
  <c r="I54"/>
  <c r="H54"/>
  <c r="E54"/>
  <c r="M532"/>
  <c r="L532"/>
  <c r="I532"/>
  <c r="H532"/>
  <c r="E532"/>
  <c r="M469"/>
  <c r="L469"/>
  <c r="I469"/>
  <c r="H469"/>
  <c r="E469"/>
  <c r="M423"/>
  <c r="L423"/>
  <c r="I423"/>
  <c r="H423"/>
  <c r="A423"/>
  <c r="E423" s="1"/>
  <c r="M422"/>
  <c r="L422"/>
  <c r="I422"/>
  <c r="H422"/>
  <c r="E422"/>
  <c r="M403"/>
  <c r="L403"/>
  <c r="I403"/>
  <c r="H403"/>
  <c r="E403"/>
  <c r="M401"/>
  <c r="L401"/>
  <c r="I401"/>
  <c r="H401"/>
  <c r="E401"/>
  <c r="M376"/>
  <c r="L376"/>
  <c r="I376"/>
  <c r="H376"/>
  <c r="E376"/>
  <c r="M365"/>
  <c r="L365"/>
  <c r="I365"/>
  <c r="H365"/>
  <c r="E365"/>
  <c r="M334"/>
  <c r="L334"/>
  <c r="I334"/>
  <c r="H334"/>
  <c r="E334"/>
  <c r="M286"/>
  <c r="L286"/>
  <c r="I286"/>
  <c r="H286"/>
  <c r="E286"/>
  <c r="M282"/>
  <c r="L282"/>
  <c r="I282"/>
  <c r="H282"/>
  <c r="E282"/>
  <c r="M192"/>
  <c r="L192"/>
  <c r="I192"/>
  <c r="H192"/>
  <c r="E192"/>
  <c r="M180"/>
  <c r="L180"/>
  <c r="I180"/>
  <c r="H180"/>
  <c r="E180"/>
  <c r="M157"/>
  <c r="L157"/>
  <c r="I157"/>
  <c r="H157"/>
  <c r="E157"/>
  <c r="M130"/>
  <c r="L130"/>
  <c r="I130"/>
  <c r="H130"/>
  <c r="E130"/>
  <c r="M112"/>
  <c r="L112"/>
  <c r="I112"/>
  <c r="H112"/>
  <c r="E112"/>
  <c r="M91"/>
  <c r="L91"/>
  <c r="I91"/>
  <c r="H91"/>
  <c r="E91"/>
  <c r="M57"/>
  <c r="L57"/>
  <c r="I57"/>
  <c r="H57"/>
  <c r="E57"/>
  <c r="M53"/>
  <c r="L53"/>
  <c r="I53"/>
  <c r="H53"/>
  <c r="E53"/>
  <c r="M39"/>
  <c r="L39"/>
  <c r="I39"/>
  <c r="H39"/>
  <c r="E39"/>
  <c r="M25"/>
  <c r="L25"/>
  <c r="I25"/>
  <c r="H25"/>
  <c r="E25"/>
  <c r="M419"/>
  <c r="L419"/>
  <c r="I419"/>
  <c r="H419"/>
  <c r="A419"/>
  <c r="E419" s="1"/>
  <c r="M418"/>
  <c r="L418"/>
  <c r="I418"/>
  <c r="H418"/>
  <c r="E418"/>
  <c r="M351"/>
  <c r="L351"/>
  <c r="I351"/>
  <c r="H351"/>
  <c r="E351"/>
  <c r="M344"/>
  <c r="L344"/>
  <c r="I344"/>
  <c r="H344"/>
  <c r="E344"/>
  <c r="M304"/>
  <c r="L304"/>
  <c r="I304"/>
  <c r="H304"/>
  <c r="E304"/>
  <c r="M177"/>
  <c r="L177"/>
  <c r="I177"/>
  <c r="H177"/>
  <c r="E177"/>
  <c r="M24"/>
  <c r="L24"/>
  <c r="I24"/>
  <c r="H24"/>
  <c r="E24"/>
  <c r="M21"/>
  <c r="L21"/>
  <c r="I21"/>
  <c r="H21"/>
  <c r="E21"/>
  <c r="M488"/>
  <c r="L488"/>
  <c r="I488"/>
  <c r="H488"/>
  <c r="E488"/>
  <c r="M473"/>
  <c r="L473"/>
  <c r="I473"/>
  <c r="H473"/>
  <c r="E473"/>
  <c r="M413"/>
  <c r="L413"/>
  <c r="I413"/>
  <c r="H413"/>
  <c r="E413"/>
  <c r="M383"/>
  <c r="L383"/>
  <c r="I383"/>
  <c r="H383"/>
  <c r="E383"/>
  <c r="M270"/>
  <c r="L270"/>
  <c r="I270"/>
  <c r="H270"/>
  <c r="E270"/>
  <c r="M250"/>
  <c r="L250"/>
  <c r="I250"/>
  <c r="H250"/>
  <c r="E250"/>
  <c r="M241"/>
  <c r="L241"/>
  <c r="I241"/>
  <c r="H241"/>
  <c r="E241"/>
  <c r="M141"/>
  <c r="L141"/>
  <c r="I141"/>
  <c r="H141"/>
  <c r="E141"/>
  <c r="M409"/>
  <c r="L409"/>
  <c r="I409"/>
  <c r="H409"/>
  <c r="E409"/>
  <c r="M509"/>
  <c r="L509"/>
  <c r="I509"/>
  <c r="H509"/>
  <c r="E509"/>
  <c r="M458"/>
  <c r="L458"/>
  <c r="I458"/>
  <c r="H458"/>
  <c r="E458"/>
  <c r="M442"/>
  <c r="L442"/>
  <c r="I442"/>
  <c r="H442"/>
  <c r="E442"/>
  <c r="M420"/>
  <c r="L420"/>
  <c r="I420"/>
  <c r="H420"/>
  <c r="E420"/>
  <c r="M406"/>
  <c r="L406"/>
  <c r="I406"/>
  <c r="H406"/>
  <c r="A406"/>
  <c r="E406" s="1"/>
  <c r="M405"/>
  <c r="L405"/>
  <c r="I405"/>
  <c r="H405"/>
  <c r="E405"/>
  <c r="M366"/>
  <c r="L366"/>
  <c r="I366"/>
  <c r="H366"/>
  <c r="E366"/>
  <c r="M323"/>
  <c r="L323"/>
  <c r="I323"/>
  <c r="H323"/>
  <c r="E323"/>
  <c r="M310"/>
  <c r="L310"/>
  <c r="I310"/>
  <c r="H310"/>
  <c r="E310"/>
  <c r="M243"/>
  <c r="L243"/>
  <c r="I243"/>
  <c r="H243"/>
  <c r="E243"/>
  <c r="M222"/>
  <c r="L222"/>
  <c r="I222"/>
  <c r="H222"/>
  <c r="E222"/>
  <c r="M201"/>
  <c r="L201"/>
  <c r="I201"/>
  <c r="H201"/>
  <c r="E201"/>
  <c r="M142"/>
  <c r="L142"/>
  <c r="I142"/>
  <c r="H142"/>
  <c r="E142"/>
  <c r="M140"/>
  <c r="L140"/>
  <c r="I140"/>
  <c r="H140"/>
  <c r="E140"/>
  <c r="M132"/>
  <c r="L132"/>
  <c r="I132"/>
  <c r="H132"/>
  <c r="E132"/>
  <c r="M116"/>
  <c r="L116"/>
  <c r="I116"/>
  <c r="H116"/>
  <c r="E116"/>
  <c r="M102"/>
  <c r="L102"/>
  <c r="I102"/>
  <c r="H102"/>
  <c r="E102"/>
  <c r="M81"/>
  <c r="L81"/>
  <c r="I81"/>
  <c r="H81"/>
  <c r="E81"/>
  <c r="M70"/>
  <c r="L70"/>
  <c r="I70"/>
  <c r="H70"/>
  <c r="E70"/>
  <c r="M540"/>
  <c r="L540"/>
  <c r="I540"/>
  <c r="H540"/>
  <c r="E540"/>
  <c r="M539"/>
  <c r="L539"/>
  <c r="I539"/>
  <c r="H539"/>
  <c r="E539"/>
  <c r="M506"/>
  <c r="L506"/>
  <c r="I506"/>
  <c r="H506"/>
  <c r="E506"/>
  <c r="M501"/>
  <c r="L501"/>
  <c r="I501"/>
  <c r="H501"/>
  <c r="E501"/>
  <c r="M498"/>
  <c r="L498"/>
  <c r="I498"/>
  <c r="H498"/>
  <c r="E498"/>
  <c r="M400"/>
  <c r="L400"/>
  <c r="I400"/>
  <c r="H400"/>
  <c r="A400"/>
  <c r="E400" s="1"/>
  <c r="M399"/>
  <c r="L399"/>
  <c r="I399"/>
  <c r="H399"/>
  <c r="E399"/>
  <c r="M378"/>
  <c r="L378"/>
  <c r="I378"/>
  <c r="H378"/>
  <c r="E378"/>
  <c r="M374"/>
  <c r="L374"/>
  <c r="I374"/>
  <c r="H374"/>
  <c r="E374"/>
  <c r="M368"/>
  <c r="L368"/>
  <c r="I368"/>
  <c r="H368"/>
  <c r="E368"/>
  <c r="M325"/>
  <c r="L325"/>
  <c r="I325"/>
  <c r="H325"/>
  <c r="E325"/>
  <c r="M311"/>
  <c r="L311"/>
  <c r="I311"/>
  <c r="H311"/>
  <c r="E311"/>
  <c r="M294"/>
  <c r="L294"/>
  <c r="I294"/>
  <c r="H294"/>
  <c r="E294"/>
  <c r="M251"/>
  <c r="L251"/>
  <c r="I251"/>
  <c r="H251"/>
  <c r="E251"/>
  <c r="M191"/>
  <c r="L191"/>
  <c r="I191"/>
  <c r="H191"/>
  <c r="E191"/>
  <c r="M189"/>
  <c r="L189"/>
  <c r="I189"/>
  <c r="H189"/>
  <c r="E189"/>
  <c r="M173"/>
  <c r="L173"/>
  <c r="I173"/>
  <c r="H173"/>
  <c r="E173"/>
  <c r="M153"/>
  <c r="L153"/>
  <c r="I153"/>
  <c r="H153"/>
  <c r="E153"/>
  <c r="M92"/>
  <c r="L92"/>
  <c r="I92"/>
  <c r="H92"/>
  <c r="E92"/>
  <c r="M79"/>
  <c r="L79"/>
  <c r="I79"/>
  <c r="H79"/>
  <c r="E79"/>
  <c r="M78"/>
  <c r="L78"/>
  <c r="I78"/>
  <c r="H78"/>
  <c r="E78"/>
  <c r="M44"/>
  <c r="L44"/>
  <c r="I44"/>
  <c r="H44"/>
  <c r="E44"/>
  <c r="M34"/>
  <c r="L34"/>
  <c r="I34"/>
  <c r="H34"/>
  <c r="E34"/>
  <c r="M18"/>
  <c r="L18"/>
  <c r="I18"/>
  <c r="H18"/>
  <c r="E18"/>
  <c r="M2"/>
  <c r="L2"/>
  <c r="I2"/>
  <c r="H2"/>
  <c r="E2"/>
  <c r="M415"/>
  <c r="L415"/>
  <c r="I415"/>
  <c r="H415"/>
  <c r="E415"/>
  <c r="M398"/>
  <c r="L398"/>
  <c r="I398"/>
  <c r="H398"/>
  <c r="A398"/>
  <c r="E398"/>
  <c r="M193"/>
  <c r="L193"/>
  <c r="I193"/>
  <c r="H193"/>
  <c r="E193"/>
  <c r="M395"/>
  <c r="L395"/>
  <c r="I395"/>
  <c r="H395"/>
  <c r="A395"/>
  <c r="E395"/>
  <c r="M394"/>
  <c r="L394"/>
  <c r="I394"/>
  <c r="H394"/>
  <c r="E394"/>
  <c r="M367"/>
  <c r="L367"/>
  <c r="I367"/>
  <c r="H367"/>
  <c r="E367"/>
  <c r="M211"/>
  <c r="L211"/>
  <c r="I211"/>
  <c r="H211"/>
  <c r="E211"/>
  <c r="M164"/>
  <c r="L164"/>
  <c r="I164"/>
  <c r="H164"/>
  <c r="E164"/>
  <c r="M152"/>
  <c r="L152"/>
  <c r="I152"/>
  <c r="H152"/>
  <c r="E152"/>
  <c r="M138"/>
  <c r="L138"/>
  <c r="I138"/>
  <c r="H138"/>
  <c r="E138"/>
  <c r="M82"/>
  <c r="L82"/>
  <c r="I82"/>
  <c r="H82"/>
  <c r="E82"/>
  <c r="M524"/>
  <c r="L524"/>
  <c r="I524"/>
  <c r="H524"/>
  <c r="E524"/>
  <c r="M483"/>
  <c r="L483"/>
  <c r="I483"/>
  <c r="H483"/>
  <c r="E483"/>
  <c r="M411"/>
  <c r="L411"/>
  <c r="I411"/>
  <c r="H411"/>
  <c r="E411"/>
  <c r="M386"/>
  <c r="L386"/>
  <c r="I386"/>
  <c r="H386"/>
  <c r="A386"/>
  <c r="E386"/>
  <c r="M385"/>
  <c r="L385"/>
  <c r="I385"/>
  <c r="H385"/>
  <c r="E385"/>
  <c r="M369"/>
  <c r="L369"/>
  <c r="I369"/>
  <c r="H369"/>
  <c r="E369"/>
  <c r="M346"/>
  <c r="L346"/>
  <c r="I346"/>
  <c r="H346"/>
  <c r="E346"/>
  <c r="M336"/>
  <c r="L336"/>
  <c r="I336"/>
  <c r="H336"/>
  <c r="E336"/>
  <c r="M335"/>
  <c r="L335"/>
  <c r="I335"/>
  <c r="H335"/>
  <c r="E335"/>
  <c r="M317"/>
  <c r="L317"/>
  <c r="I317"/>
  <c r="H317"/>
  <c r="E317"/>
  <c r="M307"/>
  <c r="L307"/>
  <c r="I307"/>
  <c r="H307"/>
  <c r="E307"/>
  <c r="M302"/>
  <c r="L302"/>
  <c r="I302"/>
  <c r="H302"/>
  <c r="E302"/>
  <c r="M281"/>
  <c r="L281"/>
  <c r="I281"/>
  <c r="H281"/>
  <c r="E281"/>
  <c r="M234"/>
  <c r="L234"/>
  <c r="I234"/>
  <c r="H234"/>
  <c r="E234"/>
  <c r="M226"/>
  <c r="L226"/>
  <c r="I226"/>
  <c r="H226"/>
  <c r="E226"/>
  <c r="M213"/>
  <c r="L213"/>
  <c r="I213"/>
  <c r="H213"/>
  <c r="E213"/>
  <c r="M204"/>
  <c r="L204"/>
  <c r="I204"/>
  <c r="H204"/>
  <c r="E204"/>
  <c r="M203"/>
  <c r="L203"/>
  <c r="I203"/>
  <c r="H203"/>
  <c r="E203"/>
  <c r="M186"/>
  <c r="L186"/>
  <c r="I186"/>
  <c r="H186"/>
  <c r="E186"/>
  <c r="M131"/>
  <c r="L131"/>
  <c r="I131"/>
  <c r="H131"/>
  <c r="E131"/>
  <c r="M120"/>
  <c r="L120"/>
  <c r="I120"/>
  <c r="H120"/>
  <c r="E120"/>
  <c r="M101"/>
  <c r="L101"/>
  <c r="I101"/>
  <c r="H101"/>
  <c r="E101"/>
  <c r="M88"/>
  <c r="L88"/>
  <c r="I88"/>
  <c r="H88"/>
  <c r="E88"/>
  <c r="M74"/>
  <c r="L74"/>
  <c r="I74"/>
  <c r="H74"/>
  <c r="E74"/>
  <c r="M68"/>
  <c r="L68"/>
  <c r="I68"/>
  <c r="H68"/>
  <c r="E68"/>
  <c r="M63"/>
  <c r="L63"/>
  <c r="I63"/>
  <c r="H63"/>
  <c r="E63"/>
  <c r="M48"/>
  <c r="L48"/>
  <c r="I48"/>
  <c r="H48"/>
  <c r="E48"/>
  <c r="M35"/>
  <c r="L35"/>
  <c r="I35"/>
  <c r="H35"/>
  <c r="E35"/>
  <c r="M33"/>
  <c r="L33"/>
  <c r="I33"/>
  <c r="H33"/>
  <c r="E33"/>
  <c r="M364"/>
  <c r="L364"/>
  <c r="I364"/>
  <c r="H364"/>
  <c r="E364"/>
  <c r="M358"/>
  <c r="L358"/>
  <c r="I358"/>
  <c r="H358"/>
  <c r="A358"/>
  <c r="E358"/>
  <c r="M392"/>
  <c r="L392"/>
  <c r="I392"/>
  <c r="H392"/>
  <c r="E392"/>
  <c r="M387"/>
  <c r="L387"/>
  <c r="I387"/>
  <c r="H387"/>
  <c r="E387"/>
  <c r="M354"/>
  <c r="L354"/>
  <c r="I354"/>
  <c r="H354"/>
  <c r="A354"/>
  <c r="E354"/>
  <c r="M255"/>
  <c r="L255"/>
  <c r="I255"/>
  <c r="H255"/>
  <c r="E255"/>
  <c r="M245"/>
  <c r="L245"/>
  <c r="I245"/>
  <c r="H245"/>
  <c r="E245"/>
  <c r="M90"/>
  <c r="L90"/>
  <c r="I90"/>
  <c r="H90"/>
  <c r="E90"/>
  <c r="M27"/>
  <c r="L27"/>
  <c r="I27"/>
  <c r="H27"/>
  <c r="E27"/>
  <c r="M534"/>
  <c r="L534"/>
  <c r="I534"/>
  <c r="H534"/>
  <c r="E534"/>
  <c r="M520"/>
  <c r="L520"/>
  <c r="I520"/>
  <c r="H520"/>
  <c r="E520"/>
  <c r="M507"/>
  <c r="L507"/>
  <c r="I507"/>
  <c r="H507"/>
  <c r="E507"/>
  <c r="M497"/>
  <c r="L497"/>
  <c r="I497"/>
  <c r="H497"/>
  <c r="E497"/>
  <c r="M472"/>
  <c r="L472"/>
  <c r="I472"/>
  <c r="H472"/>
  <c r="E472"/>
  <c r="M446"/>
  <c r="L446"/>
  <c r="I446"/>
  <c r="H446"/>
  <c r="E446"/>
  <c r="M429"/>
  <c r="L429"/>
  <c r="I429"/>
  <c r="H429"/>
  <c r="E429"/>
  <c r="M416"/>
  <c r="L416"/>
  <c r="I416"/>
  <c r="H416"/>
  <c r="E416"/>
  <c r="M404"/>
  <c r="L404"/>
  <c r="I404"/>
  <c r="H404"/>
  <c r="E404"/>
  <c r="M371"/>
  <c r="L371"/>
  <c r="I371"/>
  <c r="H371"/>
  <c r="E371"/>
  <c r="M353"/>
  <c r="L353"/>
  <c r="I353"/>
  <c r="H353"/>
  <c r="E353"/>
  <c r="M327"/>
  <c r="L327"/>
  <c r="I327"/>
  <c r="H327"/>
  <c r="A327"/>
  <c r="E327" s="1"/>
  <c r="M326"/>
  <c r="L326"/>
  <c r="I326"/>
  <c r="H326"/>
  <c r="E326"/>
  <c r="M316"/>
  <c r="L316"/>
  <c r="I316"/>
  <c r="H316"/>
  <c r="E316"/>
  <c r="M288"/>
  <c r="L288"/>
  <c r="I288"/>
  <c r="H288"/>
  <c r="E288"/>
  <c r="M256"/>
  <c r="L256"/>
  <c r="I256"/>
  <c r="H256"/>
  <c r="E256"/>
  <c r="M235"/>
  <c r="L235"/>
  <c r="I235"/>
  <c r="H235"/>
  <c r="E235"/>
  <c r="M232"/>
  <c r="L232"/>
  <c r="I232"/>
  <c r="H232"/>
  <c r="E232"/>
  <c r="M231"/>
  <c r="L231"/>
  <c r="I231"/>
  <c r="H231"/>
  <c r="E231"/>
  <c r="M230"/>
  <c r="L230"/>
  <c r="I230"/>
  <c r="H230"/>
  <c r="E230"/>
  <c r="M229"/>
  <c r="L229"/>
  <c r="I229"/>
  <c r="H229"/>
  <c r="E229"/>
  <c r="M224"/>
  <c r="L224"/>
  <c r="I224"/>
  <c r="H224"/>
  <c r="E224"/>
  <c r="M220"/>
  <c r="L220"/>
  <c r="I220"/>
  <c r="H220"/>
  <c r="E220"/>
  <c r="M209"/>
  <c r="L209"/>
  <c r="I209"/>
  <c r="H209"/>
  <c r="E209"/>
  <c r="M197"/>
  <c r="L197"/>
  <c r="I197"/>
  <c r="H197"/>
  <c r="E197"/>
  <c r="M165"/>
  <c r="L165"/>
  <c r="I165"/>
  <c r="H165"/>
  <c r="E165"/>
  <c r="M163"/>
  <c r="L163"/>
  <c r="I163"/>
  <c r="H163"/>
  <c r="E163"/>
  <c r="M158"/>
  <c r="L158"/>
  <c r="I158"/>
  <c r="H158"/>
  <c r="E158"/>
  <c r="M113"/>
  <c r="L113"/>
  <c r="I113"/>
  <c r="H113"/>
  <c r="E113"/>
  <c r="M111"/>
  <c r="L111"/>
  <c r="I111"/>
  <c r="H111"/>
  <c r="E111"/>
  <c r="M104"/>
  <c r="L104"/>
  <c r="I104"/>
  <c r="H104"/>
  <c r="E104"/>
  <c r="M55"/>
  <c r="L55"/>
  <c r="I55"/>
  <c r="H55"/>
  <c r="E55"/>
  <c r="M51"/>
  <c r="L51"/>
  <c r="I51"/>
  <c r="H51"/>
  <c r="E51"/>
  <c r="M14"/>
  <c r="L14"/>
  <c r="I14"/>
  <c r="H14"/>
  <c r="E14"/>
  <c r="M8"/>
  <c r="L8"/>
  <c r="I8"/>
  <c r="H8"/>
  <c r="E8"/>
  <c r="M491"/>
  <c r="L491"/>
  <c r="I491"/>
  <c r="H491"/>
  <c r="E491"/>
  <c r="M313"/>
  <c r="L313"/>
  <c r="I313"/>
  <c r="H313"/>
  <c r="A313"/>
  <c r="E313" s="1"/>
  <c r="M312"/>
  <c r="L312"/>
  <c r="I312"/>
  <c r="H312"/>
  <c r="E312"/>
  <c r="M174"/>
  <c r="L174"/>
  <c r="I174"/>
  <c r="H174"/>
  <c r="E174"/>
  <c r="M535"/>
  <c r="L535"/>
  <c r="I535"/>
  <c r="H535"/>
  <c r="E535"/>
  <c r="M470"/>
  <c r="L470"/>
  <c r="I470"/>
  <c r="H470"/>
  <c r="E470"/>
  <c r="M309"/>
  <c r="L309"/>
  <c r="I309"/>
  <c r="H309"/>
  <c r="A309"/>
  <c r="E309" s="1"/>
  <c r="M308"/>
  <c r="L308"/>
  <c r="I308"/>
  <c r="H308"/>
  <c r="E308"/>
  <c r="M65"/>
  <c r="L65"/>
  <c r="I65"/>
  <c r="H65"/>
  <c r="E65"/>
  <c r="M13"/>
  <c r="L13"/>
  <c r="I13"/>
  <c r="H13"/>
  <c r="E13"/>
  <c r="M460"/>
  <c r="L460"/>
  <c r="I460"/>
  <c r="H460"/>
  <c r="E460"/>
  <c r="M447"/>
  <c r="L447"/>
  <c r="I447"/>
  <c r="H447"/>
  <c r="E447"/>
  <c r="M427"/>
  <c r="L427"/>
  <c r="I427"/>
  <c r="H427"/>
  <c r="E427"/>
  <c r="M396"/>
  <c r="L396"/>
  <c r="I396"/>
  <c r="H396"/>
  <c r="E396"/>
  <c r="M333"/>
  <c r="L333"/>
  <c r="I333"/>
  <c r="H333"/>
  <c r="E333"/>
  <c r="M298"/>
  <c r="L298"/>
  <c r="I298"/>
  <c r="H298"/>
  <c r="A298"/>
  <c r="E298" s="1"/>
  <c r="M297"/>
  <c r="L297"/>
  <c r="I297"/>
  <c r="H297"/>
  <c r="E297"/>
  <c r="M273"/>
  <c r="L273"/>
  <c r="I273"/>
  <c r="H273"/>
  <c r="E273"/>
  <c r="M216"/>
  <c r="L216"/>
  <c r="I216"/>
  <c r="H216"/>
  <c r="E216"/>
  <c r="M175"/>
  <c r="L175"/>
  <c r="I175"/>
  <c r="H175"/>
  <c r="E175"/>
  <c r="M172"/>
  <c r="L172"/>
  <c r="I172"/>
  <c r="H172"/>
  <c r="E172"/>
  <c r="M118"/>
  <c r="L118"/>
  <c r="I118"/>
  <c r="H118"/>
  <c r="E118"/>
  <c r="M71"/>
  <c r="L71"/>
  <c r="I71"/>
  <c r="H71"/>
  <c r="E71"/>
  <c r="M291"/>
  <c r="L291"/>
  <c r="I291"/>
  <c r="H291"/>
  <c r="A291"/>
  <c r="E291" s="1"/>
  <c r="M268"/>
  <c r="L268"/>
  <c r="I268"/>
  <c r="H268"/>
  <c r="E268"/>
  <c r="M290"/>
  <c r="L290"/>
  <c r="I290"/>
  <c r="H290"/>
  <c r="A290"/>
  <c r="E290" s="1"/>
  <c r="M10"/>
  <c r="L10"/>
  <c r="I10"/>
  <c r="H10"/>
  <c r="E10"/>
  <c r="M284"/>
  <c r="L284"/>
  <c r="I284"/>
  <c r="H284"/>
  <c r="A284"/>
  <c r="E284" s="1"/>
  <c r="M283"/>
  <c r="L283"/>
  <c r="I283"/>
  <c r="H283"/>
  <c r="E283"/>
  <c r="M261"/>
  <c r="L261"/>
  <c r="I261"/>
  <c r="H261"/>
  <c r="E261"/>
  <c r="M249"/>
  <c r="L249"/>
  <c r="I249"/>
  <c r="H249"/>
  <c r="E249"/>
  <c r="M179"/>
  <c r="L179"/>
  <c r="I179"/>
  <c r="H179"/>
  <c r="E179"/>
  <c r="M125"/>
  <c r="L125"/>
  <c r="I125"/>
  <c r="H125"/>
  <c r="E125"/>
  <c r="M26"/>
  <c r="L26"/>
  <c r="I26"/>
  <c r="H26"/>
  <c r="E26"/>
  <c r="M526"/>
  <c r="L526"/>
  <c r="I526"/>
  <c r="H526"/>
  <c r="E526"/>
  <c r="M499"/>
  <c r="L499"/>
  <c r="I499"/>
  <c r="H499"/>
  <c r="E499"/>
  <c r="M360"/>
  <c r="L360"/>
  <c r="I360"/>
  <c r="H360"/>
  <c r="E360"/>
  <c r="M279"/>
  <c r="L279"/>
  <c r="I279"/>
  <c r="H279"/>
  <c r="A279"/>
  <c r="E279" s="1"/>
  <c r="M154"/>
  <c r="L154"/>
  <c r="I154"/>
  <c r="H154"/>
  <c r="E154"/>
  <c r="M274"/>
  <c r="L274"/>
  <c r="I274"/>
  <c r="H274"/>
  <c r="A274"/>
  <c r="E274" s="1"/>
  <c r="M486"/>
  <c r="L486"/>
  <c r="I486"/>
  <c r="H486"/>
  <c r="E486"/>
  <c r="M444"/>
  <c r="L444"/>
  <c r="I444"/>
  <c r="H444"/>
  <c r="E444"/>
  <c r="M425"/>
  <c r="L425"/>
  <c r="I425"/>
  <c r="H425"/>
  <c r="E425"/>
  <c r="M397"/>
  <c r="L397"/>
  <c r="I397"/>
  <c r="H397"/>
  <c r="E397"/>
  <c r="M393"/>
  <c r="L393"/>
  <c r="I393"/>
  <c r="H393"/>
  <c r="E393"/>
  <c r="M319"/>
  <c r="L319"/>
  <c r="I319"/>
  <c r="H319"/>
  <c r="E319"/>
  <c r="M285"/>
  <c r="L285"/>
  <c r="I285"/>
  <c r="H285"/>
  <c r="E285"/>
  <c r="M272"/>
  <c r="L272"/>
  <c r="I272"/>
  <c r="H272"/>
  <c r="A272"/>
  <c r="E272"/>
  <c r="M239"/>
  <c r="L239"/>
  <c r="I239"/>
  <c r="H239"/>
  <c r="E239"/>
  <c r="M146"/>
  <c r="L146"/>
  <c r="I146"/>
  <c r="H146"/>
  <c r="E146"/>
  <c r="M103"/>
  <c r="L103"/>
  <c r="I103"/>
  <c r="H103"/>
  <c r="E103"/>
  <c r="M40"/>
  <c r="L40"/>
  <c r="I40"/>
  <c r="H40"/>
  <c r="E40"/>
  <c r="M266"/>
  <c r="L266"/>
  <c r="I266"/>
  <c r="H266"/>
  <c r="A266"/>
  <c r="E266" s="1"/>
  <c r="M265"/>
  <c r="L265"/>
  <c r="I265"/>
  <c r="H265"/>
  <c r="E265"/>
  <c r="M80"/>
  <c r="L80"/>
  <c r="I80"/>
  <c r="H80"/>
  <c r="E80"/>
  <c r="M523"/>
  <c r="L523"/>
  <c r="I523"/>
  <c r="H523"/>
  <c r="E523"/>
  <c r="M519"/>
  <c r="L519"/>
  <c r="I519"/>
  <c r="H519"/>
  <c r="E519"/>
  <c r="M517"/>
  <c r="L517"/>
  <c r="I517"/>
  <c r="H517"/>
  <c r="E517"/>
  <c r="M516"/>
  <c r="L516"/>
  <c r="I516"/>
  <c r="H516"/>
  <c r="E516"/>
  <c r="M510"/>
  <c r="L510"/>
  <c r="I510"/>
  <c r="H510"/>
  <c r="E510"/>
  <c r="M505"/>
  <c r="L505"/>
  <c r="I505"/>
  <c r="H505"/>
  <c r="E505"/>
  <c r="M487"/>
  <c r="L487"/>
  <c r="I487"/>
  <c r="H487"/>
  <c r="E487"/>
  <c r="M484"/>
  <c r="L484"/>
  <c r="I484"/>
  <c r="H484"/>
  <c r="E484"/>
  <c r="M468"/>
  <c r="L468"/>
  <c r="I468"/>
  <c r="H468"/>
  <c r="E468"/>
  <c r="M466"/>
  <c r="L466"/>
  <c r="I466"/>
  <c r="H466"/>
  <c r="E466"/>
  <c r="M465"/>
  <c r="L465"/>
  <c r="I465"/>
  <c r="H465"/>
  <c r="E465"/>
  <c r="M455"/>
  <c r="L455"/>
  <c r="I455"/>
  <c r="H455"/>
  <c r="E455"/>
  <c r="M454"/>
  <c r="L454"/>
  <c r="I454"/>
  <c r="H454"/>
  <c r="E454"/>
  <c r="M439"/>
  <c r="L439"/>
  <c r="I439"/>
  <c r="H439"/>
  <c r="E439"/>
  <c r="M437"/>
  <c r="L437"/>
  <c r="I437"/>
  <c r="H437"/>
  <c r="E437"/>
  <c r="M434"/>
  <c r="L434"/>
  <c r="I434"/>
  <c r="H434"/>
  <c r="E434"/>
  <c r="M421"/>
  <c r="L421"/>
  <c r="I421"/>
  <c r="H421"/>
  <c r="E421"/>
  <c r="M410"/>
  <c r="L410"/>
  <c r="I410"/>
  <c r="H410"/>
  <c r="E410"/>
  <c r="M408"/>
  <c r="L408"/>
  <c r="I408"/>
  <c r="H408"/>
  <c r="E408"/>
  <c r="M407"/>
  <c r="L407"/>
  <c r="I407"/>
  <c r="H407"/>
  <c r="E407"/>
  <c r="M391"/>
  <c r="L391"/>
  <c r="I391"/>
  <c r="H391"/>
  <c r="E391"/>
  <c r="M390"/>
  <c r="L390"/>
  <c r="I390"/>
  <c r="H390"/>
  <c r="E390"/>
  <c r="M389"/>
  <c r="L389"/>
  <c r="I389"/>
  <c r="H389"/>
  <c r="E389"/>
  <c r="M375"/>
  <c r="L375"/>
  <c r="I375"/>
  <c r="H375"/>
  <c r="E375"/>
  <c r="M370"/>
  <c r="L370"/>
  <c r="I370"/>
  <c r="H370"/>
  <c r="E370"/>
  <c r="M361"/>
  <c r="L361"/>
  <c r="I361"/>
  <c r="H361"/>
  <c r="E361"/>
  <c r="M348"/>
  <c r="L348"/>
  <c r="I348"/>
  <c r="H348"/>
  <c r="E348"/>
  <c r="M343"/>
  <c r="L343"/>
  <c r="I343"/>
  <c r="H343"/>
  <c r="E343"/>
  <c r="M341"/>
  <c r="L341"/>
  <c r="I341"/>
  <c r="H341"/>
  <c r="E341"/>
  <c r="M339"/>
  <c r="L339"/>
  <c r="I339"/>
  <c r="H339"/>
  <c r="E339"/>
  <c r="M337"/>
  <c r="L337"/>
  <c r="I337"/>
  <c r="H337"/>
  <c r="E337"/>
  <c r="M318"/>
  <c r="L318"/>
  <c r="I318"/>
  <c r="H318"/>
  <c r="E318"/>
  <c r="M299"/>
  <c r="L299"/>
  <c r="I299"/>
  <c r="H299"/>
  <c r="E299"/>
  <c r="M296"/>
  <c r="L296"/>
  <c r="I296"/>
  <c r="H296"/>
  <c r="E296"/>
  <c r="M292"/>
  <c r="L292"/>
  <c r="I292"/>
  <c r="H292"/>
  <c r="E292"/>
  <c r="M277"/>
  <c r="L277"/>
  <c r="I277"/>
  <c r="H277"/>
  <c r="E277"/>
  <c r="M269"/>
  <c r="L269"/>
  <c r="I269"/>
  <c r="H269"/>
  <c r="E269"/>
  <c r="M267"/>
  <c r="L267"/>
  <c r="I267"/>
  <c r="H267"/>
  <c r="E267"/>
  <c r="M264"/>
  <c r="L264"/>
  <c r="I264"/>
  <c r="H264"/>
  <c r="E264"/>
  <c r="M260"/>
  <c r="L260"/>
  <c r="I260"/>
  <c r="H260"/>
  <c r="A260"/>
  <c r="E260" s="1"/>
  <c r="M259"/>
  <c r="L259"/>
  <c r="I259"/>
  <c r="H259"/>
  <c r="E259"/>
  <c r="M254"/>
  <c r="L254"/>
  <c r="I254"/>
  <c r="H254"/>
  <c r="E254"/>
  <c r="M252"/>
  <c r="L252"/>
  <c r="I252"/>
  <c r="H252"/>
  <c r="E252"/>
  <c r="M242"/>
  <c r="L242"/>
  <c r="I242"/>
  <c r="H242"/>
  <c r="E242"/>
  <c r="M238"/>
  <c r="L238"/>
  <c r="I238"/>
  <c r="H238"/>
  <c r="E238"/>
  <c r="M237"/>
  <c r="L237"/>
  <c r="I237"/>
  <c r="H237"/>
  <c r="E237"/>
  <c r="M227"/>
  <c r="L227"/>
  <c r="I227"/>
  <c r="H227"/>
  <c r="E227"/>
  <c r="M225"/>
  <c r="L225"/>
  <c r="I225"/>
  <c r="H225"/>
  <c r="E225"/>
  <c r="M223"/>
  <c r="L223"/>
  <c r="I223"/>
  <c r="H223"/>
  <c r="E223"/>
  <c r="M221"/>
  <c r="L221"/>
  <c r="I221"/>
  <c r="H221"/>
  <c r="E221"/>
  <c r="M219"/>
  <c r="L219"/>
  <c r="I219"/>
  <c r="H219"/>
  <c r="E219"/>
  <c r="M210"/>
  <c r="L210"/>
  <c r="I210"/>
  <c r="H210"/>
  <c r="E210"/>
  <c r="M206"/>
  <c r="L206"/>
  <c r="I206"/>
  <c r="H206"/>
  <c r="E206"/>
  <c r="M205"/>
  <c r="L205"/>
  <c r="I205"/>
  <c r="H205"/>
  <c r="E205"/>
  <c r="M198"/>
  <c r="L198"/>
  <c r="I198"/>
  <c r="H198"/>
  <c r="E198"/>
  <c r="M190"/>
  <c r="L190"/>
  <c r="I190"/>
  <c r="H190"/>
  <c r="E190"/>
  <c r="M188"/>
  <c r="L188"/>
  <c r="I188"/>
  <c r="H188"/>
  <c r="E188"/>
  <c r="M183"/>
  <c r="L183"/>
  <c r="I183"/>
  <c r="H183"/>
  <c r="E183"/>
  <c r="M182"/>
  <c r="L182"/>
  <c r="I182"/>
  <c r="H182"/>
  <c r="E182"/>
  <c r="M169"/>
  <c r="L169"/>
  <c r="I169"/>
  <c r="H169"/>
  <c r="E169"/>
  <c r="M168"/>
  <c r="L168"/>
  <c r="I168"/>
  <c r="H168"/>
  <c r="E168"/>
  <c r="M166"/>
  <c r="L166"/>
  <c r="I166"/>
  <c r="H166"/>
  <c r="E166"/>
  <c r="M137"/>
  <c r="L137"/>
  <c r="I137"/>
  <c r="H137"/>
  <c r="E137"/>
  <c r="M136"/>
  <c r="L136"/>
  <c r="I136"/>
  <c r="H136"/>
  <c r="E136"/>
  <c r="M127"/>
  <c r="L127"/>
  <c r="I127"/>
  <c r="H127"/>
  <c r="E127"/>
  <c r="M126"/>
  <c r="L126"/>
  <c r="I126"/>
  <c r="H126"/>
  <c r="E126"/>
  <c r="M121"/>
  <c r="L121"/>
  <c r="I121"/>
  <c r="H121"/>
  <c r="E121"/>
  <c r="M109"/>
  <c r="L109"/>
  <c r="I109"/>
  <c r="H109"/>
  <c r="E109"/>
  <c r="M108"/>
  <c r="L108"/>
  <c r="I108"/>
  <c r="H108"/>
  <c r="E108"/>
  <c r="M106"/>
  <c r="L106"/>
  <c r="I106"/>
  <c r="H106"/>
  <c r="E106"/>
  <c r="M96"/>
  <c r="L96"/>
  <c r="I96"/>
  <c r="H96"/>
  <c r="E96"/>
  <c r="M95"/>
  <c r="L95"/>
  <c r="I95"/>
  <c r="H95"/>
  <c r="E95"/>
  <c r="M83"/>
  <c r="L83"/>
  <c r="I83"/>
  <c r="H83"/>
  <c r="E83"/>
  <c r="M76"/>
  <c r="L76"/>
  <c r="I76"/>
  <c r="H76"/>
  <c r="E76"/>
  <c r="M73"/>
  <c r="L73"/>
  <c r="I73"/>
  <c r="H73"/>
  <c r="E73"/>
  <c r="M59"/>
  <c r="L59"/>
  <c r="I59"/>
  <c r="H59"/>
  <c r="E59"/>
  <c r="M56"/>
  <c r="L56"/>
  <c r="I56"/>
  <c r="H56"/>
  <c r="E56"/>
  <c r="M49"/>
  <c r="L49"/>
  <c r="I49"/>
  <c r="H49"/>
  <c r="E49"/>
  <c r="M43"/>
  <c r="L43"/>
  <c r="I43"/>
  <c r="H43"/>
  <c r="E43"/>
  <c r="M38"/>
  <c r="L38"/>
  <c r="I38"/>
  <c r="H38"/>
  <c r="E38"/>
  <c r="M37"/>
  <c r="L37"/>
  <c r="I37"/>
  <c r="H37"/>
  <c r="E37"/>
  <c r="M36"/>
  <c r="L36"/>
  <c r="I36"/>
  <c r="H36"/>
  <c r="E36"/>
  <c r="M32"/>
  <c r="L32"/>
  <c r="I32"/>
  <c r="H32"/>
  <c r="E32"/>
  <c r="M30"/>
  <c r="L30"/>
  <c r="I30"/>
  <c r="H30"/>
  <c r="E30"/>
  <c r="M28"/>
  <c r="L28"/>
  <c r="I28"/>
  <c r="H28"/>
  <c r="E28"/>
  <c r="M22"/>
  <c r="L22"/>
  <c r="I22"/>
  <c r="H22"/>
  <c r="E22"/>
  <c r="M19"/>
  <c r="L19"/>
  <c r="I19"/>
  <c r="H19"/>
  <c r="E19"/>
  <c r="M7"/>
  <c r="L7"/>
  <c r="I7"/>
  <c r="H7"/>
  <c r="M3"/>
  <c r="L3"/>
  <c r="I3"/>
  <c r="H3"/>
  <c r="E3"/>
  <c r="M476"/>
  <c r="L476"/>
  <c r="I476"/>
  <c r="H476"/>
  <c r="E476"/>
  <c r="M240"/>
  <c r="L240"/>
  <c r="I240"/>
  <c r="H240"/>
  <c r="A240"/>
  <c r="E240" s="1"/>
  <c r="M236"/>
  <c r="L236"/>
  <c r="I236"/>
  <c r="H236"/>
  <c r="E236"/>
  <c r="M233"/>
  <c r="L233"/>
  <c r="I233"/>
  <c r="H233"/>
  <c r="A233"/>
  <c r="E233"/>
  <c r="M85"/>
  <c r="L85"/>
  <c r="I85"/>
  <c r="H85"/>
  <c r="E85"/>
  <c r="M244"/>
  <c r="L244"/>
  <c r="I244"/>
  <c r="H244"/>
  <c r="E244"/>
  <c r="M217"/>
  <c r="L217"/>
  <c r="I217"/>
  <c r="H217"/>
  <c r="A217"/>
  <c r="E217"/>
  <c r="M181"/>
  <c r="L181"/>
  <c r="I181"/>
  <c r="H181"/>
  <c r="E181"/>
  <c r="M99"/>
  <c r="L99"/>
  <c r="I99"/>
  <c r="H99"/>
  <c r="E99"/>
  <c r="M29"/>
  <c r="L29"/>
  <c r="I29"/>
  <c r="H29"/>
  <c r="E29"/>
  <c r="M512"/>
  <c r="L512"/>
  <c r="I512"/>
  <c r="H512"/>
  <c r="E512"/>
  <c r="M480"/>
  <c r="L480"/>
  <c r="I480"/>
  <c r="H480"/>
  <c r="E480"/>
  <c r="M479"/>
  <c r="L479"/>
  <c r="I479"/>
  <c r="H479"/>
  <c r="E479"/>
  <c r="M450"/>
  <c r="L450"/>
  <c r="I450"/>
  <c r="H450"/>
  <c r="E450"/>
  <c r="M380"/>
  <c r="L380"/>
  <c r="I380"/>
  <c r="H380"/>
  <c r="E380"/>
  <c r="M278"/>
  <c r="L278"/>
  <c r="I278"/>
  <c r="H278"/>
  <c r="E278"/>
  <c r="M271"/>
  <c r="L271"/>
  <c r="I271"/>
  <c r="H271"/>
  <c r="E271"/>
  <c r="M215"/>
  <c r="L215"/>
  <c r="I215"/>
  <c r="H215"/>
  <c r="A215"/>
  <c r="E215"/>
  <c r="M119"/>
  <c r="L119"/>
  <c r="I119"/>
  <c r="H119"/>
  <c r="E119"/>
  <c r="M62"/>
  <c r="L62"/>
  <c r="I62"/>
  <c r="H62"/>
  <c r="E62"/>
  <c r="M31"/>
  <c r="L31"/>
  <c r="I31"/>
  <c r="H31"/>
  <c r="E31"/>
  <c r="M23"/>
  <c r="L23"/>
  <c r="I23"/>
  <c r="H23"/>
  <c r="E23"/>
  <c r="M207"/>
  <c r="L207"/>
  <c r="I207"/>
  <c r="H207"/>
  <c r="E207"/>
  <c r="M46"/>
  <c r="L46"/>
  <c r="I46"/>
  <c r="H46"/>
  <c r="E46"/>
  <c r="M521"/>
  <c r="L521"/>
  <c r="I521"/>
  <c r="H521"/>
  <c r="E521"/>
  <c r="M202"/>
  <c r="L202"/>
  <c r="I202"/>
  <c r="H202"/>
  <c r="A202"/>
  <c r="E202" s="1"/>
  <c r="M200"/>
  <c r="L200"/>
  <c r="I200"/>
  <c r="H200"/>
  <c r="E200"/>
  <c r="M194"/>
  <c r="L194"/>
  <c r="I194"/>
  <c r="H194"/>
  <c r="E194"/>
  <c r="M133"/>
  <c r="L133"/>
  <c r="I133"/>
  <c r="H133"/>
  <c r="E133"/>
  <c r="M64"/>
  <c r="L64"/>
  <c r="I64"/>
  <c r="H64"/>
  <c r="E64"/>
  <c r="M61"/>
  <c r="L61"/>
  <c r="I61"/>
  <c r="H61"/>
  <c r="E61"/>
  <c r="M50"/>
  <c r="L50"/>
  <c r="I50"/>
  <c r="H50"/>
  <c r="E50"/>
  <c r="M489"/>
  <c r="L489"/>
  <c r="I489"/>
  <c r="H489"/>
  <c r="E489"/>
  <c r="M381"/>
  <c r="L381"/>
  <c r="I381"/>
  <c r="H381"/>
  <c r="E381"/>
  <c r="M196"/>
  <c r="L196"/>
  <c r="I196"/>
  <c r="H196"/>
  <c r="A196"/>
  <c r="E196"/>
  <c r="M156"/>
  <c r="L156"/>
  <c r="I156"/>
  <c r="H156"/>
  <c r="E156"/>
  <c r="M149"/>
  <c r="L149"/>
  <c r="I149"/>
  <c r="H149"/>
  <c r="E149"/>
  <c r="M144"/>
  <c r="L144"/>
  <c r="I144"/>
  <c r="H144"/>
  <c r="E144"/>
  <c r="M47"/>
  <c r="L47"/>
  <c r="I47"/>
  <c r="H47"/>
  <c r="E47"/>
  <c r="M20"/>
  <c r="L20"/>
  <c r="I20"/>
  <c r="H20"/>
  <c r="E20"/>
  <c r="M527"/>
  <c r="L527"/>
  <c r="I527"/>
  <c r="H527"/>
  <c r="E527"/>
  <c r="M330"/>
  <c r="L330"/>
  <c r="I330"/>
  <c r="H330"/>
  <c r="E330"/>
  <c r="M170"/>
  <c r="L170"/>
  <c r="I170"/>
  <c r="H170"/>
  <c r="A170"/>
  <c r="E170"/>
  <c r="M449"/>
  <c r="L449"/>
  <c r="I449"/>
  <c r="H449"/>
  <c r="E449"/>
  <c r="M428"/>
  <c r="L428"/>
  <c r="I428"/>
  <c r="H428"/>
  <c r="E428"/>
  <c r="M412"/>
  <c r="L412"/>
  <c r="I412"/>
  <c r="H412"/>
  <c r="E412"/>
  <c r="M377"/>
  <c r="L377"/>
  <c r="I377"/>
  <c r="H377"/>
  <c r="E377"/>
  <c r="M342"/>
  <c r="L342"/>
  <c r="I342"/>
  <c r="H342"/>
  <c r="E342"/>
  <c r="M328"/>
  <c r="L328"/>
  <c r="I328"/>
  <c r="H328"/>
  <c r="E328"/>
  <c r="M280"/>
  <c r="L280"/>
  <c r="I280"/>
  <c r="H280"/>
  <c r="E280"/>
  <c r="M218"/>
  <c r="L218"/>
  <c r="I218"/>
  <c r="H218"/>
  <c r="E218"/>
  <c r="M214"/>
  <c r="L214"/>
  <c r="I214"/>
  <c r="H214"/>
  <c r="E214"/>
  <c r="M199"/>
  <c r="L199"/>
  <c r="I199"/>
  <c r="H199"/>
  <c r="E199"/>
  <c r="M162"/>
  <c r="L162"/>
  <c r="I162"/>
  <c r="H162"/>
  <c r="A162"/>
  <c r="E162"/>
  <c r="M161"/>
  <c r="L161"/>
  <c r="I161"/>
  <c r="H161"/>
  <c r="E161"/>
  <c r="M159"/>
  <c r="L159"/>
  <c r="I159"/>
  <c r="H159"/>
  <c r="E159"/>
  <c r="M151"/>
  <c r="L151"/>
  <c r="I151"/>
  <c r="H151"/>
  <c r="E151"/>
  <c r="M89"/>
  <c r="L89"/>
  <c r="I89"/>
  <c r="H89"/>
  <c r="E89"/>
  <c r="M87"/>
  <c r="L87"/>
  <c r="I87"/>
  <c r="H87"/>
  <c r="E87"/>
  <c r="M467"/>
  <c r="L467"/>
  <c r="I467"/>
  <c r="H467"/>
  <c r="E467"/>
  <c r="M355"/>
  <c r="L355"/>
  <c r="I355"/>
  <c r="H355"/>
  <c r="E355"/>
  <c r="M135"/>
  <c r="L135"/>
  <c r="I135"/>
  <c r="H135"/>
  <c r="A135"/>
  <c r="E135" s="1"/>
  <c r="M117"/>
  <c r="L117"/>
  <c r="I117"/>
  <c r="H117"/>
  <c r="A117"/>
  <c r="E117" s="1"/>
  <c r="M107"/>
  <c r="L107"/>
  <c r="I107"/>
  <c r="H107"/>
  <c r="E107"/>
  <c r="M511"/>
  <c r="L511"/>
  <c r="I511"/>
  <c r="H511"/>
  <c r="E511"/>
  <c r="M426"/>
  <c r="L426"/>
  <c r="I426"/>
  <c r="H426"/>
  <c r="E426"/>
  <c r="M424"/>
  <c r="L424"/>
  <c r="I424"/>
  <c r="H424"/>
  <c r="E424"/>
  <c r="M379"/>
  <c r="L379"/>
  <c r="I379"/>
  <c r="H379"/>
  <c r="E379"/>
  <c r="M356"/>
  <c r="L356"/>
  <c r="I356"/>
  <c r="H356"/>
  <c r="E356"/>
  <c r="M352"/>
  <c r="L352"/>
  <c r="I352"/>
  <c r="H352"/>
  <c r="E352"/>
  <c r="M350"/>
  <c r="L350"/>
  <c r="I350"/>
  <c r="H350"/>
  <c r="E350"/>
  <c r="M329"/>
  <c r="L329"/>
  <c r="I329"/>
  <c r="H329"/>
  <c r="E329"/>
  <c r="M322"/>
  <c r="L322"/>
  <c r="I322"/>
  <c r="H322"/>
  <c r="E322"/>
  <c r="M301"/>
  <c r="L301"/>
  <c r="I301"/>
  <c r="H301"/>
  <c r="E301"/>
  <c r="M275"/>
  <c r="L275"/>
  <c r="I275"/>
  <c r="H275"/>
  <c r="E275"/>
  <c r="M228"/>
  <c r="L228"/>
  <c r="I228"/>
  <c r="H228"/>
  <c r="E228"/>
  <c r="M187"/>
  <c r="L187"/>
  <c r="I187"/>
  <c r="H187"/>
  <c r="E187"/>
  <c r="M134"/>
  <c r="L134"/>
  <c r="I134"/>
  <c r="H134"/>
  <c r="E134"/>
  <c r="M114"/>
  <c r="L114"/>
  <c r="I114"/>
  <c r="H114"/>
  <c r="E114"/>
  <c r="M98"/>
  <c r="L98"/>
  <c r="I98"/>
  <c r="H98"/>
  <c r="A98"/>
  <c r="E98" s="1"/>
  <c r="M97"/>
  <c r="L97"/>
  <c r="I97"/>
  <c r="H97"/>
  <c r="E97"/>
  <c r="M84"/>
  <c r="L84"/>
  <c r="I84"/>
  <c r="H84"/>
  <c r="E84"/>
  <c r="M52"/>
  <c r="L52"/>
  <c r="I52"/>
  <c r="H52"/>
  <c r="E52"/>
  <c r="M17"/>
  <c r="L17"/>
  <c r="I17"/>
  <c r="H17"/>
  <c r="E17"/>
  <c r="M525"/>
  <c r="L525"/>
  <c r="I525"/>
  <c r="H525"/>
  <c r="E525"/>
  <c r="M94"/>
  <c r="L94"/>
  <c r="I94"/>
  <c r="H94"/>
  <c r="A94"/>
  <c r="E94"/>
  <c r="M93"/>
  <c r="L93"/>
  <c r="I93"/>
  <c r="H93"/>
  <c r="E93"/>
  <c r="M60"/>
  <c r="L60"/>
  <c r="I60"/>
  <c r="H60"/>
  <c r="A60"/>
  <c r="E60" s="1"/>
  <c r="M16"/>
  <c r="L16"/>
  <c r="I16"/>
  <c r="H16"/>
  <c r="E16"/>
  <c r="M340"/>
  <c r="L340"/>
  <c r="I340"/>
  <c r="H340"/>
  <c r="E340"/>
  <c r="M331"/>
  <c r="L331"/>
  <c r="I331"/>
  <c r="H331"/>
  <c r="E331"/>
  <c r="M176"/>
  <c r="L176"/>
  <c r="I176"/>
  <c r="H176"/>
  <c r="E176"/>
  <c r="M77"/>
  <c r="L77"/>
  <c r="I77"/>
  <c r="H77"/>
  <c r="E77"/>
  <c r="M58"/>
  <c r="L58"/>
  <c r="I58"/>
  <c r="H58"/>
  <c r="A58"/>
  <c r="E58" s="1"/>
  <c r="M45"/>
  <c r="L45"/>
  <c r="I45"/>
  <c r="H45"/>
  <c r="E45"/>
  <c r="M478"/>
  <c r="L478"/>
  <c r="I478"/>
  <c r="H478"/>
  <c r="E478"/>
  <c r="M359"/>
  <c r="L359"/>
  <c r="I359"/>
  <c r="H359"/>
  <c r="E359"/>
  <c r="M212"/>
  <c r="L212"/>
  <c r="I212"/>
  <c r="H212"/>
  <c r="E212"/>
  <c r="M208"/>
  <c r="L208"/>
  <c r="I208"/>
  <c r="H208"/>
  <c r="E208"/>
  <c r="M12"/>
  <c r="L12"/>
  <c r="I12"/>
  <c r="H12"/>
  <c r="A12"/>
  <c r="E12"/>
  <c r="M11"/>
  <c r="L11"/>
  <c r="I11"/>
  <c r="H11"/>
  <c r="E11"/>
  <c r="M9"/>
  <c r="L9"/>
  <c r="I9"/>
  <c r="H9"/>
  <c r="M500"/>
  <c r="L500"/>
  <c r="I500"/>
  <c r="H500"/>
  <c r="E500"/>
  <c r="M417"/>
  <c r="L417"/>
  <c r="I417"/>
  <c r="H417"/>
  <c r="E417"/>
  <c r="M357"/>
  <c r="L357"/>
  <c r="I357"/>
  <c r="H357"/>
  <c r="E357"/>
  <c r="M349"/>
  <c r="L349"/>
  <c r="I349"/>
  <c r="H349"/>
  <c r="E349"/>
  <c r="M321"/>
  <c r="L321"/>
  <c r="I321"/>
  <c r="H321"/>
  <c r="E321"/>
  <c r="M314"/>
  <c r="L314"/>
  <c r="I314"/>
  <c r="H314"/>
  <c r="E314"/>
  <c r="M248"/>
  <c r="L248"/>
  <c r="I248"/>
  <c r="H248"/>
  <c r="E248"/>
  <c r="M184"/>
  <c r="L184"/>
  <c r="I184"/>
  <c r="H184"/>
  <c r="E184"/>
  <c r="M160"/>
  <c r="L160"/>
  <c r="I160"/>
  <c r="H160"/>
  <c r="E160"/>
  <c r="M139"/>
  <c r="L139"/>
  <c r="I139"/>
  <c r="H139"/>
  <c r="E139"/>
  <c r="M128"/>
  <c r="L128"/>
  <c r="I128"/>
  <c r="H128"/>
  <c r="E128"/>
  <c r="M42"/>
  <c r="L42"/>
  <c r="I42"/>
  <c r="H42"/>
  <c r="E42"/>
  <c r="M6"/>
  <c r="L6"/>
  <c r="I6"/>
  <c r="H6"/>
  <c r="E6"/>
  <c r="M5"/>
  <c r="L5"/>
  <c r="I5"/>
  <c r="H5"/>
  <c r="A5"/>
  <c r="E5"/>
  <c r="M4"/>
  <c r="L4"/>
  <c r="I4"/>
  <c r="H4"/>
  <c r="E4"/>
  <c r="AH500" i="1"/>
  <c r="P500"/>
  <c r="P12"/>
  <c r="AH499"/>
  <c r="AH498"/>
  <c r="AH497"/>
  <c r="AH496"/>
  <c r="AH495"/>
  <c r="AH494"/>
  <c r="AH493"/>
  <c r="AH492"/>
  <c r="AH491"/>
  <c r="AH490"/>
  <c r="AH489"/>
  <c r="AH488"/>
  <c r="AH487"/>
  <c r="AH486"/>
  <c r="AH485"/>
  <c r="AH484"/>
  <c r="AH483"/>
  <c r="AH482"/>
  <c r="AH481"/>
  <c r="AH480"/>
  <c r="AH479"/>
  <c r="AH478"/>
  <c r="AH477"/>
  <c r="AH476"/>
  <c r="AH475"/>
  <c r="AH474"/>
  <c r="AH473"/>
  <c r="AH472"/>
  <c r="AH471"/>
  <c r="AH470"/>
  <c r="AH469"/>
  <c r="AH468"/>
  <c r="AH467"/>
  <c r="AH466"/>
  <c r="AH465"/>
  <c r="AH464"/>
  <c r="AH463"/>
  <c r="AH462"/>
  <c r="AH461"/>
  <c r="AH460"/>
  <c r="AH459"/>
  <c r="AH458"/>
  <c r="AH457"/>
  <c r="AH456"/>
  <c r="AH455"/>
  <c r="AH454"/>
  <c r="AH453"/>
  <c r="AH452"/>
  <c r="AH451"/>
  <c r="AH450"/>
  <c r="AH449"/>
  <c r="AH448"/>
  <c r="AH447"/>
  <c r="AH446"/>
  <c r="AH445"/>
  <c r="AH444"/>
  <c r="AH443"/>
  <c r="AH442"/>
  <c r="AH441"/>
  <c r="AH440"/>
  <c r="AH439"/>
  <c r="AH438"/>
  <c r="AH437"/>
  <c r="AH436"/>
  <c r="AH435"/>
  <c r="AH434"/>
  <c r="AH433"/>
  <c r="AH432"/>
  <c r="AH431"/>
  <c r="AH430"/>
  <c r="AH429"/>
  <c r="AH428"/>
  <c r="AH427"/>
  <c r="AH426"/>
  <c r="AH425"/>
  <c r="AH424"/>
  <c r="AH423"/>
  <c r="AH422"/>
  <c r="AH421"/>
  <c r="AH420"/>
  <c r="AH419"/>
  <c r="AH418"/>
  <c r="AH417"/>
  <c r="AH416"/>
  <c r="AH415"/>
  <c r="AH414"/>
  <c r="AH413"/>
  <c r="AH412"/>
  <c r="AH411"/>
  <c r="AH410"/>
  <c r="AH409"/>
  <c r="AH408"/>
  <c r="AH407"/>
  <c r="AH406"/>
  <c r="AH405"/>
  <c r="AH404"/>
  <c r="AH403"/>
  <c r="AH402"/>
  <c r="AH401"/>
  <c r="AH400"/>
  <c r="AH399"/>
  <c r="AH398"/>
  <c r="AH397"/>
  <c r="AH396"/>
  <c r="AH395"/>
  <c r="AH394"/>
  <c r="AH393"/>
  <c r="AH392"/>
  <c r="AH391"/>
  <c r="AH390"/>
  <c r="AH389"/>
  <c r="AH388"/>
  <c r="AH387"/>
  <c r="AH386"/>
  <c r="AH385"/>
  <c r="AH384"/>
  <c r="AH383"/>
  <c r="AH382"/>
  <c r="AH381"/>
  <c r="AH380"/>
  <c r="AH379"/>
  <c r="AH378"/>
  <c r="AH377"/>
  <c r="AH376"/>
  <c r="AH375"/>
  <c r="AH374"/>
  <c r="AH373"/>
  <c r="AH372"/>
  <c r="AH371"/>
  <c r="AH370"/>
  <c r="AH369"/>
  <c r="AH368"/>
  <c r="AH367"/>
  <c r="AH366"/>
  <c r="AH365"/>
  <c r="AH364"/>
  <c r="AH363"/>
  <c r="AH362"/>
  <c r="AH361"/>
  <c r="AH360"/>
  <c r="AH359"/>
  <c r="AH358"/>
  <c r="AH357"/>
  <c r="AH356"/>
  <c r="AH355"/>
  <c r="AH354"/>
  <c r="AH353"/>
  <c r="AH352"/>
  <c r="AH351"/>
  <c r="AH350"/>
  <c r="AH349"/>
  <c r="AH348"/>
  <c r="AH347"/>
  <c r="AH346"/>
  <c r="AH345"/>
  <c r="AH344"/>
  <c r="AH343"/>
  <c r="AH342"/>
  <c r="AH341"/>
  <c r="AH340"/>
  <c r="AH339"/>
  <c r="AH338"/>
  <c r="AH337"/>
  <c r="AH336"/>
  <c r="AH335"/>
  <c r="AH334"/>
  <c r="AH333"/>
  <c r="AH332"/>
  <c r="AH331"/>
  <c r="AH330"/>
  <c r="AH329"/>
  <c r="AH328"/>
  <c r="AH327"/>
  <c r="AH326"/>
  <c r="AH325"/>
  <c r="AH324"/>
  <c r="AH323"/>
  <c r="AH322"/>
  <c r="AH321"/>
  <c r="AH320"/>
  <c r="AH319"/>
  <c r="AH318"/>
  <c r="AH317"/>
  <c r="AH316"/>
  <c r="AH315"/>
  <c r="AH314"/>
  <c r="AH313"/>
  <c r="AH312"/>
  <c r="AH311"/>
  <c r="AH310"/>
  <c r="AH309"/>
  <c r="AH308"/>
  <c r="AH307"/>
  <c r="AH306"/>
  <c r="AH305"/>
  <c r="AH304"/>
  <c r="AH303"/>
  <c r="AH302"/>
  <c r="AH301"/>
  <c r="AH300"/>
  <c r="AH299"/>
  <c r="AH298"/>
  <c r="AH297"/>
  <c r="AH296"/>
  <c r="AH295"/>
  <c r="AH294"/>
  <c r="AH293"/>
  <c r="AH292"/>
  <c r="AH291"/>
  <c r="AH290"/>
  <c r="AH289"/>
  <c r="AH288"/>
  <c r="AH287"/>
  <c r="AH286"/>
  <c r="AH285"/>
  <c r="AH284"/>
  <c r="AH283"/>
  <c r="AH282"/>
  <c r="AH281"/>
  <c r="AH280"/>
  <c r="AH279"/>
  <c r="AH278"/>
  <c r="AH277"/>
  <c r="AH276"/>
  <c r="AH275"/>
  <c r="AH274"/>
  <c r="AH273"/>
  <c r="AH272"/>
  <c r="AH271"/>
  <c r="AH270"/>
  <c r="AH269"/>
  <c r="AH268"/>
  <c r="AH267"/>
  <c r="AH266"/>
  <c r="AH265"/>
  <c r="AH264"/>
  <c r="AH263"/>
  <c r="AH262"/>
  <c r="AH261"/>
  <c r="AH260"/>
  <c r="AH259"/>
  <c r="AH258"/>
  <c r="AH257"/>
  <c r="AH256"/>
  <c r="AH255"/>
  <c r="AH254"/>
  <c r="AH253"/>
  <c r="AH252"/>
  <c r="AH251"/>
  <c r="AH250"/>
  <c r="AH249"/>
  <c r="AH248"/>
  <c r="AH247"/>
  <c r="AH246"/>
  <c r="AH245"/>
  <c r="AH244"/>
  <c r="AH243"/>
  <c r="AH242"/>
  <c r="AH241"/>
  <c r="AH240"/>
  <c r="AH239"/>
  <c r="AH238"/>
  <c r="AH237"/>
  <c r="AH236"/>
  <c r="AH235"/>
  <c r="AH234"/>
  <c r="AH233"/>
  <c r="AH232"/>
  <c r="AH231"/>
  <c r="AH230"/>
  <c r="AH229"/>
  <c r="AH228"/>
  <c r="AH227"/>
  <c r="AH226"/>
  <c r="AH225"/>
  <c r="AH224"/>
  <c r="AH223"/>
  <c r="AH222"/>
  <c r="AH221"/>
  <c r="AH220"/>
  <c r="AH219"/>
  <c r="AH218"/>
  <c r="AH217"/>
  <c r="AH216"/>
  <c r="AH215"/>
  <c r="AH214"/>
  <c r="AH213"/>
  <c r="AH212"/>
  <c r="AH211"/>
  <c r="AH210"/>
  <c r="AH209"/>
  <c r="AH208"/>
  <c r="AH207"/>
  <c r="AH206"/>
  <c r="AH205"/>
  <c r="AH204"/>
  <c r="AH203"/>
  <c r="AH202"/>
  <c r="AH201"/>
  <c r="AH200"/>
  <c r="AH199"/>
  <c r="AH198"/>
  <c r="AH197"/>
  <c r="AH196"/>
  <c r="AH195"/>
  <c r="AH194"/>
  <c r="AH193"/>
  <c r="AH192"/>
  <c r="AH191"/>
  <c r="AH190"/>
  <c r="AH189"/>
  <c r="AH188"/>
  <c r="AH187"/>
  <c r="AH186"/>
  <c r="AH185"/>
  <c r="AH184"/>
  <c r="AH183"/>
  <c r="AH182"/>
  <c r="AH181"/>
  <c r="AH180"/>
  <c r="AH179"/>
  <c r="AH178"/>
  <c r="AH177"/>
  <c r="AH176"/>
  <c r="AH175"/>
  <c r="AH174"/>
  <c r="AH173"/>
  <c r="AH172"/>
  <c r="AH171"/>
  <c r="AH170"/>
  <c r="AH169"/>
  <c r="AH168"/>
  <c r="AH167"/>
  <c r="AH166"/>
  <c r="AH165"/>
  <c r="AH164"/>
  <c r="AH163"/>
  <c r="AH162"/>
  <c r="AH161"/>
  <c r="AH160"/>
  <c r="AH159"/>
  <c r="AH158"/>
  <c r="AH157"/>
  <c r="AH156"/>
  <c r="AH155"/>
  <c r="AH154"/>
  <c r="AH153"/>
  <c r="AH152"/>
  <c r="AH151"/>
  <c r="AH150"/>
  <c r="AH149"/>
  <c r="AH148"/>
  <c r="AH147"/>
  <c r="AH146"/>
  <c r="AH145"/>
  <c r="AH144"/>
  <c r="AH143"/>
  <c r="AH142"/>
  <c r="AH141"/>
  <c r="AH140"/>
  <c r="AH139"/>
  <c r="AH138"/>
  <c r="AH137"/>
  <c r="AH136"/>
  <c r="AH135"/>
  <c r="AH134"/>
  <c r="AH133"/>
  <c r="AH132"/>
  <c r="AH131"/>
  <c r="AH130"/>
  <c r="AH129"/>
  <c r="AH128"/>
  <c r="AH127"/>
  <c r="AH126"/>
  <c r="AH125"/>
  <c r="AH124"/>
  <c r="AH123"/>
  <c r="AH122"/>
  <c r="AH121"/>
  <c r="AH120"/>
  <c r="AH119"/>
  <c r="AH118"/>
  <c r="AH117"/>
  <c r="AH116"/>
  <c r="AH115"/>
  <c r="AH114"/>
  <c r="AH113"/>
  <c r="AH112"/>
  <c r="AH111"/>
  <c r="AH110"/>
  <c r="AH109"/>
  <c r="AH108"/>
  <c r="AH107"/>
  <c r="AH106"/>
  <c r="AH105"/>
  <c r="AH104"/>
  <c r="AH103"/>
  <c r="AH102"/>
  <c r="AH101"/>
  <c r="AH100"/>
  <c r="AH99"/>
  <c r="AH98"/>
  <c r="AH97"/>
  <c r="AH96"/>
  <c r="AH95"/>
  <c r="AH94"/>
  <c r="AH93"/>
  <c r="AH92"/>
  <c r="AH91"/>
  <c r="AH90"/>
  <c r="AH89"/>
  <c r="AH88"/>
  <c r="AH87"/>
  <c r="AH86"/>
  <c r="AH85"/>
  <c r="AH84"/>
  <c r="AH83"/>
  <c r="AH82"/>
  <c r="AH81"/>
  <c r="AH80"/>
  <c r="AH79"/>
  <c r="AH78"/>
  <c r="AH77"/>
  <c r="AH76"/>
  <c r="AH75"/>
  <c r="AH74"/>
  <c r="AH73"/>
  <c r="AH72"/>
  <c r="AH71"/>
  <c r="AH70"/>
  <c r="AH69"/>
  <c r="AH68"/>
  <c r="AH67"/>
  <c r="AH66"/>
  <c r="AH65"/>
  <c r="AH64"/>
  <c r="AH63"/>
  <c r="AH62"/>
  <c r="AH61"/>
  <c r="AH60"/>
  <c r="AH59"/>
  <c r="AH58"/>
  <c r="AH57"/>
  <c r="AH56"/>
  <c r="AH55"/>
  <c r="AH54"/>
  <c r="AH53"/>
  <c r="AH52"/>
  <c r="AH51"/>
  <c r="AH50"/>
  <c r="AH49"/>
  <c r="AH48"/>
  <c r="AH47"/>
  <c r="AH46"/>
  <c r="AH45"/>
  <c r="AH44"/>
  <c r="AH43"/>
  <c r="AH42"/>
  <c r="AH41"/>
  <c r="AH40"/>
  <c r="AH39"/>
  <c r="AH38"/>
  <c r="AH37"/>
  <c r="AH36"/>
  <c r="AH35"/>
  <c r="AH34"/>
  <c r="AH33"/>
  <c r="AH13"/>
  <c r="AH12" s="1"/>
  <c r="Y13"/>
  <c r="Y12" s="1"/>
  <c r="B5"/>
  <c r="B4"/>
  <c r="P499" i="2"/>
  <c r="R499" s="1"/>
  <c r="P498"/>
  <c r="R498" s="1"/>
  <c r="P497"/>
  <c r="R497" s="1"/>
  <c r="P496"/>
  <c r="R496" s="1"/>
  <c r="P495"/>
  <c r="R495" s="1"/>
  <c r="P494"/>
  <c r="R494" s="1"/>
  <c r="P493"/>
  <c r="R493"/>
  <c r="P492"/>
  <c r="R492" s="1"/>
  <c r="P491"/>
  <c r="R491" s="1"/>
  <c r="P490"/>
  <c r="R490" s="1"/>
  <c r="P489"/>
  <c r="R489" s="1"/>
  <c r="P488"/>
  <c r="R488" s="1"/>
  <c r="P487"/>
  <c r="R487"/>
  <c r="P486"/>
  <c r="R486" s="1"/>
  <c r="P485"/>
  <c r="R485"/>
  <c r="P484"/>
  <c r="R484" s="1"/>
  <c r="P483"/>
  <c r="R483" s="1"/>
  <c r="P482"/>
  <c r="R482" s="1"/>
  <c r="P481"/>
  <c r="R481" s="1"/>
  <c r="P480"/>
  <c r="R480" s="1"/>
  <c r="P479"/>
  <c r="R479" s="1"/>
  <c r="P478"/>
  <c r="R478" s="1"/>
  <c r="P477"/>
  <c r="R477" s="1"/>
  <c r="P476"/>
  <c r="R476" s="1"/>
  <c r="P475"/>
  <c r="R475" s="1"/>
  <c r="P474"/>
  <c r="R474" s="1"/>
  <c r="P473"/>
  <c r="R473" s="1"/>
  <c r="P472"/>
  <c r="R472" s="1"/>
  <c r="P471"/>
  <c r="R471" s="1"/>
  <c r="P470"/>
  <c r="R470"/>
  <c r="P469"/>
  <c r="R469"/>
  <c r="P468"/>
  <c r="R468" s="1"/>
  <c r="P467"/>
  <c r="R467" s="1"/>
  <c r="P466"/>
  <c r="R466" s="1"/>
  <c r="P465"/>
  <c r="R465" s="1"/>
  <c r="P464"/>
  <c r="R464" s="1"/>
  <c r="P463"/>
  <c r="R463" s="1"/>
  <c r="P462"/>
  <c r="R462"/>
  <c r="P461"/>
  <c r="R461" s="1"/>
  <c r="P460"/>
  <c r="R460" s="1"/>
  <c r="P459"/>
  <c r="R459" s="1"/>
  <c r="P458"/>
  <c r="R458" s="1"/>
  <c r="P457"/>
  <c r="R457" s="1"/>
  <c r="P456"/>
  <c r="R456" s="1"/>
  <c r="P455"/>
  <c r="R455"/>
  <c r="P454"/>
  <c r="R454" s="1"/>
  <c r="P453"/>
  <c r="R453" s="1"/>
  <c r="P452"/>
  <c r="R452" s="1"/>
  <c r="P451"/>
  <c r="R451" s="1"/>
  <c r="P450"/>
  <c r="R450" s="1"/>
  <c r="P449"/>
  <c r="R449" s="1"/>
  <c r="P448"/>
  <c r="R448" s="1"/>
  <c r="P447"/>
  <c r="R447"/>
  <c r="P446"/>
  <c r="R446"/>
  <c r="P445"/>
  <c r="R445" s="1"/>
  <c r="P444"/>
  <c r="R444" s="1"/>
  <c r="P443"/>
  <c r="R443" s="1"/>
  <c r="P442"/>
  <c r="R442" s="1"/>
  <c r="P441"/>
  <c r="R441" s="1"/>
  <c r="P440"/>
  <c r="R440" s="1"/>
  <c r="P439"/>
  <c r="R439"/>
  <c r="P438"/>
  <c r="R438" s="1"/>
  <c r="P437"/>
  <c r="R437"/>
  <c r="P436"/>
  <c r="R436" s="1"/>
  <c r="P435"/>
  <c r="R435" s="1"/>
  <c r="P434"/>
  <c r="R434" s="1"/>
  <c r="P433"/>
  <c r="R433" s="1"/>
  <c r="P432"/>
  <c r="R432" s="1"/>
  <c r="P431"/>
  <c r="R431" s="1"/>
  <c r="P430"/>
  <c r="R430"/>
  <c r="P429"/>
  <c r="R429"/>
  <c r="P428"/>
  <c r="R428" s="1"/>
  <c r="P427"/>
  <c r="R427" s="1"/>
  <c r="P426"/>
  <c r="R426" s="1"/>
  <c r="P425"/>
  <c r="R425" s="1"/>
  <c r="P424"/>
  <c r="R424" s="1"/>
  <c r="P423"/>
  <c r="R423" s="1"/>
  <c r="P422"/>
  <c r="R422" s="1"/>
  <c r="P421"/>
  <c r="R421"/>
  <c r="P420"/>
  <c r="R420" s="1"/>
  <c r="P419"/>
  <c r="R419" s="1"/>
  <c r="P418"/>
  <c r="R418" s="1"/>
  <c r="P417"/>
  <c r="R417" s="1"/>
  <c r="P416"/>
  <c r="R416" s="1"/>
  <c r="P415"/>
  <c r="R415" s="1"/>
  <c r="P414"/>
  <c r="R414"/>
  <c r="P413"/>
  <c r="R413" s="1"/>
  <c r="P412"/>
  <c r="R412" s="1"/>
  <c r="P411"/>
  <c r="R411" s="1"/>
  <c r="P410"/>
  <c r="R410" s="1"/>
  <c r="P409"/>
  <c r="R409" s="1"/>
  <c r="P408"/>
  <c r="R408" s="1"/>
  <c r="P407"/>
  <c r="R407"/>
  <c r="P406"/>
  <c r="R406"/>
  <c r="P405"/>
  <c r="R405" s="1"/>
  <c r="P404"/>
  <c r="R404" s="1"/>
  <c r="P403"/>
  <c r="R403" s="1"/>
  <c r="P402"/>
  <c r="R402" s="1"/>
  <c r="P401"/>
  <c r="R401" s="1"/>
  <c r="P400"/>
  <c r="R400" s="1"/>
  <c r="P399"/>
  <c r="R399" s="1"/>
  <c r="P398"/>
  <c r="R398" s="1"/>
  <c r="P397"/>
  <c r="R397" s="1"/>
  <c r="P396"/>
  <c r="R396" s="1"/>
  <c r="P395"/>
  <c r="R395" s="1"/>
  <c r="P394"/>
  <c r="R394" s="1"/>
  <c r="P393"/>
  <c r="R393" s="1"/>
  <c r="P392"/>
  <c r="R392" s="1"/>
  <c r="P391"/>
  <c r="R391"/>
  <c r="P390"/>
  <c r="R390" s="1"/>
  <c r="P389"/>
  <c r="R389"/>
  <c r="P388"/>
  <c r="R388" s="1"/>
  <c r="P387"/>
  <c r="R387" s="1"/>
  <c r="P386"/>
  <c r="R386" s="1"/>
  <c r="P385"/>
  <c r="R385" s="1"/>
  <c r="P384"/>
  <c r="R384" s="1"/>
  <c r="P383"/>
  <c r="R383"/>
  <c r="P382"/>
  <c r="R382" s="1"/>
  <c r="P381"/>
  <c r="R381" s="1"/>
  <c r="P380"/>
  <c r="R380" s="1"/>
  <c r="P379"/>
  <c r="R379" s="1"/>
  <c r="P378"/>
  <c r="R378" s="1"/>
  <c r="P377"/>
  <c r="R377" s="1"/>
  <c r="P376"/>
  <c r="R376" s="1"/>
  <c r="P375"/>
  <c r="R375" s="1"/>
  <c r="P374"/>
  <c r="R374"/>
  <c r="P373"/>
  <c r="R373"/>
  <c r="P372"/>
  <c r="R372" s="1"/>
  <c r="P371"/>
  <c r="R371" s="1"/>
  <c r="P370"/>
  <c r="R370" s="1"/>
  <c r="P369"/>
  <c r="R369" s="1"/>
  <c r="P368"/>
  <c r="R368" s="1"/>
  <c r="P367"/>
  <c r="R367" s="1"/>
  <c r="P366"/>
  <c r="R366"/>
  <c r="P365"/>
  <c r="R365"/>
  <c r="P364"/>
  <c r="R364" s="1"/>
  <c r="P363"/>
  <c r="R363" s="1"/>
  <c r="P362"/>
  <c r="R362" s="1"/>
  <c r="P361"/>
  <c r="R361" s="1"/>
  <c r="P360"/>
  <c r="R360" s="1"/>
  <c r="P359"/>
  <c r="R359" s="1"/>
  <c r="P358"/>
  <c r="R358" s="1"/>
  <c r="P357"/>
  <c r="R357" s="1"/>
  <c r="P356"/>
  <c r="R356" s="1"/>
  <c r="P355"/>
  <c r="R355" s="1"/>
  <c r="P354"/>
  <c r="R354" s="1"/>
  <c r="P353"/>
  <c r="R353" s="1"/>
  <c r="P352"/>
  <c r="R352" s="1"/>
  <c r="P351"/>
  <c r="R351" s="1"/>
  <c r="P350"/>
  <c r="R350"/>
  <c r="P349"/>
  <c r="R349" s="1"/>
  <c r="P348"/>
  <c r="R348" s="1"/>
  <c r="P347"/>
  <c r="R347" s="1"/>
  <c r="P346"/>
  <c r="R346" s="1"/>
  <c r="P345"/>
  <c r="R345" s="1"/>
  <c r="P344"/>
  <c r="R344" s="1"/>
  <c r="P343"/>
  <c r="R343"/>
  <c r="P342"/>
  <c r="R342" s="1"/>
  <c r="P341"/>
  <c r="R341" s="1"/>
  <c r="P340"/>
  <c r="R340" s="1"/>
  <c r="P339"/>
  <c r="R339" s="1"/>
  <c r="P338"/>
  <c r="R338" s="1"/>
  <c r="P337"/>
  <c r="R337" s="1"/>
  <c r="P336"/>
  <c r="R336" s="1"/>
  <c r="P335"/>
  <c r="R335" s="1"/>
  <c r="P334"/>
  <c r="R334" s="1"/>
  <c r="P333"/>
  <c r="R333"/>
  <c r="P332"/>
  <c r="R332" s="1"/>
  <c r="P331"/>
  <c r="R331" s="1"/>
  <c r="P330"/>
  <c r="R330" s="1"/>
  <c r="P329"/>
  <c r="R329" s="1"/>
  <c r="P328"/>
  <c r="R328" s="1"/>
  <c r="P327"/>
  <c r="R327"/>
  <c r="P326"/>
  <c r="R326" s="1"/>
  <c r="P325"/>
  <c r="R325"/>
  <c r="P324"/>
  <c r="R324" s="1"/>
  <c r="P323"/>
  <c r="R323" s="1"/>
  <c r="P322"/>
  <c r="R322" s="1"/>
  <c r="P321"/>
  <c r="R321" s="1"/>
  <c r="P320"/>
  <c r="R320" s="1"/>
  <c r="P319"/>
  <c r="R319" s="1"/>
  <c r="P318"/>
  <c r="R318"/>
  <c r="P317"/>
  <c r="R317" s="1"/>
  <c r="P316"/>
  <c r="R316" s="1"/>
  <c r="P315"/>
  <c r="R315" s="1"/>
  <c r="P314"/>
  <c r="R314" s="1"/>
  <c r="P313"/>
  <c r="R313" s="1"/>
  <c r="P312"/>
  <c r="R312" s="1"/>
  <c r="P311"/>
  <c r="R311"/>
  <c r="P310"/>
  <c r="R310"/>
  <c r="P309"/>
  <c r="R309"/>
  <c r="P308"/>
  <c r="R308" s="1"/>
  <c r="P307"/>
  <c r="R307" s="1"/>
  <c r="P306"/>
  <c r="R306" s="1"/>
  <c r="P305"/>
  <c r="R305" s="1"/>
  <c r="P304"/>
  <c r="R304" s="1"/>
  <c r="P303"/>
  <c r="R303" s="1"/>
  <c r="P302"/>
  <c r="R302"/>
  <c r="P301"/>
  <c r="R301" s="1"/>
  <c r="P300"/>
  <c r="R300" s="1"/>
  <c r="P299"/>
  <c r="R299" s="1"/>
  <c r="P298"/>
  <c r="R298" s="1"/>
  <c r="P297"/>
  <c r="R297" s="1"/>
  <c r="P296"/>
  <c r="R296" s="1"/>
  <c r="P295"/>
  <c r="R295"/>
  <c r="P294"/>
  <c r="R294" s="1"/>
  <c r="P293"/>
  <c r="R293"/>
  <c r="P292"/>
  <c r="R292" s="1"/>
  <c r="P291"/>
  <c r="R291" s="1"/>
  <c r="P290"/>
  <c r="R290" s="1"/>
  <c r="P289"/>
  <c r="R289" s="1"/>
  <c r="P288"/>
  <c r="R288" s="1"/>
  <c r="P287"/>
  <c r="R287"/>
  <c r="P286"/>
  <c r="R286" s="1"/>
  <c r="P285"/>
  <c r="R285" s="1"/>
  <c r="P284"/>
  <c r="R284" s="1"/>
  <c r="P283"/>
  <c r="R283" s="1"/>
  <c r="P282"/>
  <c r="R282" s="1"/>
  <c r="P281"/>
  <c r="R281" s="1"/>
  <c r="P280"/>
  <c r="R280" s="1"/>
  <c r="P279"/>
  <c r="R279" s="1"/>
  <c r="P278"/>
  <c r="R278" s="1"/>
  <c r="P277"/>
  <c r="R277" s="1"/>
  <c r="P276"/>
  <c r="R276" s="1"/>
  <c r="P275"/>
  <c r="R275" s="1"/>
  <c r="P274"/>
  <c r="R274" s="1"/>
  <c r="P273"/>
  <c r="R273" s="1"/>
  <c r="P272"/>
  <c r="R272" s="1"/>
  <c r="P271"/>
  <c r="R271" s="1"/>
  <c r="P270"/>
  <c r="R270" s="1"/>
  <c r="P269"/>
  <c r="R269"/>
  <c r="P268"/>
  <c r="R268" s="1"/>
  <c r="P267"/>
  <c r="R267" s="1"/>
  <c r="P266"/>
  <c r="R266" s="1"/>
  <c r="P265"/>
  <c r="R265" s="1"/>
  <c r="P264"/>
  <c r="R264" s="1"/>
  <c r="P263"/>
  <c r="R263" s="1"/>
  <c r="P262"/>
  <c r="R262" s="1"/>
  <c r="P261"/>
  <c r="R261" s="1"/>
  <c r="P260"/>
  <c r="R260" s="1"/>
  <c r="P259"/>
  <c r="R259" s="1"/>
  <c r="P258"/>
  <c r="R258" s="1"/>
  <c r="P257"/>
  <c r="R257" s="1"/>
  <c r="P256"/>
  <c r="R256" s="1"/>
  <c r="P255"/>
  <c r="R255"/>
  <c r="P254"/>
  <c r="R254"/>
  <c r="P253"/>
  <c r="R253" s="1"/>
  <c r="P252"/>
  <c r="R252" s="1"/>
  <c r="P251"/>
  <c r="R251" s="1"/>
  <c r="P250"/>
  <c r="R250" s="1"/>
  <c r="P249"/>
  <c r="R249" s="1"/>
  <c r="P248"/>
  <c r="R248" s="1"/>
  <c r="P247"/>
  <c r="R247"/>
  <c r="P246"/>
  <c r="R246"/>
  <c r="P245"/>
  <c r="R245" s="1"/>
  <c r="P244"/>
  <c r="R244" s="1"/>
  <c r="P243"/>
  <c r="R243" s="1"/>
  <c r="P242"/>
  <c r="R242" s="1"/>
  <c r="P241"/>
  <c r="R241" s="1"/>
  <c r="P240"/>
  <c r="R240" s="1"/>
  <c r="P239"/>
  <c r="R239" s="1"/>
  <c r="P238"/>
  <c r="R238" s="1"/>
  <c r="P237"/>
  <c r="R237"/>
  <c r="P236"/>
  <c r="R236" s="1"/>
  <c r="P235"/>
  <c r="R235" s="1"/>
  <c r="P234"/>
  <c r="R234" s="1"/>
  <c r="P233"/>
  <c r="R233" s="1"/>
  <c r="P232"/>
  <c r="R232" s="1"/>
  <c r="P231"/>
  <c r="R231"/>
  <c r="P230"/>
  <c r="R230" s="1"/>
  <c r="P229"/>
  <c r="R229"/>
  <c r="P228"/>
  <c r="R228" s="1"/>
  <c r="P227"/>
  <c r="R227" s="1"/>
  <c r="P226"/>
  <c r="R226" s="1"/>
  <c r="P225"/>
  <c r="R225" s="1"/>
  <c r="P224"/>
  <c r="R224" s="1"/>
  <c r="P223"/>
  <c r="R223" s="1"/>
  <c r="P222"/>
  <c r="R222" s="1"/>
  <c r="P221"/>
  <c r="R221" s="1"/>
  <c r="P220"/>
  <c r="R220" s="1"/>
  <c r="P219"/>
  <c r="R219" s="1"/>
  <c r="P218"/>
  <c r="R218" s="1"/>
  <c r="P217"/>
  <c r="R217" s="1"/>
  <c r="P216"/>
  <c r="R216" s="1"/>
  <c r="P215"/>
  <c r="R215" s="1"/>
  <c r="P214"/>
  <c r="R214" s="1"/>
  <c r="P213"/>
  <c r="R213"/>
  <c r="P212"/>
  <c r="R212" s="1"/>
  <c r="P211"/>
  <c r="R211" s="1"/>
  <c r="P210"/>
  <c r="R210" s="1"/>
  <c r="P209"/>
  <c r="R209" s="1"/>
  <c r="P208"/>
  <c r="R208" s="1"/>
  <c r="P207"/>
  <c r="R207" s="1"/>
  <c r="P206"/>
  <c r="R206"/>
  <c r="P205"/>
  <c r="R205" s="1"/>
  <c r="P204"/>
  <c r="R204" s="1"/>
  <c r="P203"/>
  <c r="R203" s="1"/>
  <c r="P202"/>
  <c r="R202" s="1"/>
  <c r="P201"/>
  <c r="R201" s="1"/>
  <c r="P200"/>
  <c r="R200" s="1"/>
  <c r="P199"/>
  <c r="R199"/>
  <c r="P198"/>
  <c r="R198" s="1"/>
  <c r="P197"/>
  <c r="R197" s="1"/>
  <c r="P196"/>
  <c r="R196" s="1"/>
  <c r="P195"/>
  <c r="R195" s="1"/>
  <c r="P194"/>
  <c r="R194" s="1"/>
  <c r="P193"/>
  <c r="R193" s="1"/>
  <c r="P192"/>
  <c r="R192" s="1"/>
  <c r="P191"/>
  <c r="R191"/>
  <c r="P190"/>
  <c r="R190"/>
  <c r="P189"/>
  <c r="R189" s="1"/>
  <c r="P188"/>
  <c r="R188"/>
  <c r="P187"/>
  <c r="R187" s="1"/>
  <c r="P186"/>
  <c r="R186" s="1"/>
  <c r="P185"/>
  <c r="R185" s="1"/>
  <c r="P184"/>
  <c r="R184" s="1"/>
  <c r="P183"/>
  <c r="R183"/>
  <c r="P182"/>
  <c r="R182"/>
  <c r="P181"/>
  <c r="R181" s="1"/>
  <c r="P180"/>
  <c r="R180"/>
  <c r="P179"/>
  <c r="R179"/>
  <c r="P178"/>
  <c r="R178" s="1"/>
  <c r="P177"/>
  <c r="R177" s="1"/>
  <c r="P176"/>
  <c r="R176"/>
  <c r="P175"/>
  <c r="R175" s="1"/>
  <c r="P174"/>
  <c r="R174"/>
  <c r="P173"/>
  <c r="R173" s="1"/>
  <c r="P172"/>
  <c r="R172" s="1"/>
  <c r="P171"/>
  <c r="R171" s="1"/>
  <c r="P170"/>
  <c r="R170"/>
  <c r="P169"/>
  <c r="R169" s="1"/>
  <c r="P168"/>
  <c r="R168"/>
  <c r="P167"/>
  <c r="R167"/>
  <c r="P166"/>
  <c r="R166" s="1"/>
  <c r="P165"/>
  <c r="R165" s="1"/>
  <c r="P164"/>
  <c r="R164" s="1"/>
  <c r="P163"/>
  <c r="R163" s="1"/>
  <c r="P162"/>
  <c r="R162" s="1"/>
  <c r="P161"/>
  <c r="R161" s="1"/>
  <c r="P160"/>
  <c r="R160"/>
  <c r="P159"/>
  <c r="R159"/>
  <c r="P158"/>
  <c r="R158"/>
  <c r="P157"/>
  <c r="R157" s="1"/>
  <c r="P156"/>
  <c r="R156"/>
  <c r="P155"/>
  <c r="R155" s="1"/>
  <c r="P154"/>
  <c r="R154" s="1"/>
  <c r="P153"/>
  <c r="R153" s="1"/>
  <c r="P152"/>
  <c r="R152" s="1"/>
  <c r="P151"/>
  <c r="R151"/>
  <c r="P150"/>
  <c r="R150"/>
  <c r="P149"/>
  <c r="R149" s="1"/>
  <c r="P148"/>
  <c r="R148"/>
  <c r="P147"/>
  <c r="R147"/>
  <c r="P146"/>
  <c r="R146" s="1"/>
  <c r="P145"/>
  <c r="R145" s="1"/>
  <c r="P144"/>
  <c r="R144"/>
  <c r="P143"/>
  <c r="R143" s="1"/>
  <c r="P142"/>
  <c r="R142"/>
  <c r="P141"/>
  <c r="R141" s="1"/>
  <c r="P140"/>
  <c r="R140" s="1"/>
  <c r="P139"/>
  <c r="R139" s="1"/>
  <c r="P138"/>
  <c r="R138"/>
  <c r="P137"/>
  <c r="R137" s="1"/>
  <c r="P136"/>
  <c r="R136"/>
  <c r="P135"/>
  <c r="R135"/>
  <c r="P134"/>
  <c r="R134" s="1"/>
  <c r="P133"/>
  <c r="R133" s="1"/>
  <c r="P132"/>
  <c r="R132" s="1"/>
  <c r="P131"/>
  <c r="R131" s="1"/>
  <c r="P130"/>
  <c r="R130"/>
  <c r="P129"/>
  <c r="R129" s="1"/>
  <c r="P128"/>
  <c r="R128"/>
  <c r="P127"/>
  <c r="R127"/>
  <c r="P126"/>
  <c r="R126"/>
  <c r="P125"/>
  <c r="R125" s="1"/>
  <c r="P124"/>
  <c r="R124"/>
  <c r="P123"/>
  <c r="R123" s="1"/>
  <c r="P122"/>
  <c r="R122" s="1"/>
  <c r="P121"/>
  <c r="R121" s="1"/>
  <c r="P120"/>
  <c r="R120" s="1"/>
  <c r="P119"/>
  <c r="R119"/>
  <c r="P118"/>
  <c r="R118"/>
  <c r="P117"/>
  <c r="R117" s="1"/>
  <c r="P116"/>
  <c r="R116"/>
  <c r="P115"/>
  <c r="R115"/>
  <c r="P114"/>
  <c r="R114" s="1"/>
  <c r="P113"/>
  <c r="R113" s="1"/>
  <c r="P112"/>
  <c r="R112"/>
  <c r="P111"/>
  <c r="R111" s="1"/>
  <c r="P110"/>
  <c r="R110"/>
  <c r="P109"/>
  <c r="R109" s="1"/>
  <c r="P108"/>
  <c r="R108" s="1"/>
  <c r="P107"/>
  <c r="R107"/>
  <c r="P106"/>
  <c r="R106"/>
  <c r="P105"/>
  <c r="R105" s="1"/>
  <c r="P104"/>
  <c r="R104"/>
  <c r="P103"/>
  <c r="R103"/>
  <c r="P102"/>
  <c r="R102" s="1"/>
  <c r="P101"/>
  <c r="R101" s="1"/>
  <c r="P100"/>
  <c r="R100" s="1"/>
  <c r="P99"/>
  <c r="R99" s="1"/>
  <c r="P98"/>
  <c r="R98"/>
  <c r="P97"/>
  <c r="R97" s="1"/>
  <c r="P96"/>
  <c r="R96"/>
  <c r="P95"/>
  <c r="R95"/>
  <c r="P94"/>
  <c r="R94"/>
  <c r="P93"/>
  <c r="R93" s="1"/>
  <c r="P92"/>
  <c r="R92"/>
  <c r="P91"/>
  <c r="R91" s="1"/>
  <c r="P90"/>
  <c r="R90" s="1"/>
  <c r="P89"/>
  <c r="R89" s="1"/>
  <c r="P88"/>
  <c r="R88" s="1"/>
  <c r="P87"/>
  <c r="R87"/>
  <c r="P86"/>
  <c r="R86"/>
  <c r="P85"/>
  <c r="R85" s="1"/>
  <c r="P84"/>
  <c r="R84" s="1"/>
  <c r="P83"/>
  <c r="R83"/>
  <c r="P82"/>
  <c r="R82" s="1"/>
  <c r="P81"/>
  <c r="R81" s="1"/>
  <c r="P80"/>
  <c r="R80"/>
  <c r="P79"/>
  <c r="R79" s="1"/>
  <c r="P78"/>
  <c r="R78"/>
  <c r="P77"/>
  <c r="R77" s="1"/>
  <c r="P76"/>
  <c r="R76" s="1"/>
  <c r="P75"/>
  <c r="R75" s="1"/>
  <c r="P74"/>
  <c r="R74"/>
  <c r="P73"/>
  <c r="R73" s="1"/>
  <c r="P72"/>
  <c r="R72"/>
  <c r="P71"/>
  <c r="R71"/>
  <c r="P70"/>
  <c r="R70" s="1"/>
  <c r="P69"/>
  <c r="R69" s="1"/>
  <c r="P68"/>
  <c r="R68" s="1"/>
  <c r="P67"/>
  <c r="R67" s="1"/>
  <c r="P66"/>
  <c r="R66"/>
  <c r="P65"/>
  <c r="R65" s="1"/>
  <c r="P64"/>
  <c r="R64"/>
  <c r="P63"/>
  <c r="R63"/>
  <c r="P62"/>
  <c r="R62"/>
  <c r="P61"/>
  <c r="R61" s="1"/>
  <c r="P60"/>
  <c r="R60"/>
  <c r="P59"/>
  <c r="R59" s="1"/>
  <c r="P58"/>
  <c r="R58" s="1"/>
  <c r="P57"/>
  <c r="R57" s="1"/>
  <c r="P56"/>
  <c r="R56" s="1"/>
  <c r="P55"/>
  <c r="R55"/>
  <c r="P54"/>
  <c r="R54"/>
  <c r="P53"/>
  <c r="R53" s="1"/>
  <c r="P52"/>
  <c r="R52" s="1"/>
  <c r="P51"/>
  <c r="R51"/>
  <c r="P50"/>
  <c r="R50" s="1"/>
  <c r="P49"/>
  <c r="R49" s="1"/>
  <c r="P48"/>
  <c r="R48"/>
  <c r="P47"/>
  <c r="R47" s="1"/>
  <c r="P46"/>
  <c r="R46"/>
  <c r="P45"/>
  <c r="R45" s="1"/>
  <c r="P44"/>
  <c r="R44" s="1"/>
  <c r="P43"/>
  <c r="R43"/>
  <c r="P42"/>
  <c r="R42"/>
  <c r="P41"/>
  <c r="R41" s="1"/>
  <c r="P40"/>
  <c r="R40"/>
  <c r="P39"/>
  <c r="R39"/>
  <c r="P38"/>
  <c r="R38" s="1"/>
  <c r="P37"/>
  <c r="R37" s="1"/>
  <c r="P36"/>
  <c r="R36" s="1"/>
  <c r="P35"/>
  <c r="R35" s="1"/>
  <c r="P33"/>
  <c r="R33"/>
  <c r="P32"/>
  <c r="R32" s="1"/>
  <c r="P31"/>
  <c r="R31"/>
  <c r="P30"/>
  <c r="R30"/>
  <c r="P29"/>
  <c r="R29"/>
  <c r="P28"/>
  <c r="R28" s="1"/>
  <c r="P27"/>
  <c r="R27"/>
  <c r="P26"/>
  <c r="R26" s="1"/>
  <c r="P25"/>
  <c r="R25" s="1"/>
  <c r="P24"/>
  <c r="R24" s="1"/>
  <c r="P23"/>
  <c r="R23" s="1"/>
  <c r="P22"/>
  <c r="R22"/>
  <c r="P21"/>
  <c r="R21"/>
  <c r="P20"/>
  <c r="R20" s="1"/>
  <c r="R19"/>
  <c r="P18"/>
  <c r="R18" s="1"/>
  <c r="R17"/>
  <c r="R16"/>
  <c r="P15"/>
  <c r="R13"/>
  <c r="D29" i="11"/>
  <c r="D24"/>
  <c r="C5" i="2"/>
  <c r="C5" i="13" s="1"/>
  <c r="B5" i="2"/>
  <c r="B4"/>
  <c r="B976" i="18"/>
  <c r="B1704"/>
  <c r="B1696"/>
  <c r="B264"/>
  <c r="B121"/>
  <c r="B455"/>
  <c r="B611"/>
  <c r="B119"/>
  <c r="B1167"/>
  <c r="B233"/>
  <c r="B416"/>
  <c r="B133"/>
  <c r="B99"/>
  <c r="B91"/>
  <c r="B83"/>
  <c r="B75"/>
  <c r="B67"/>
  <c r="B59"/>
  <c r="B51"/>
  <c r="B43"/>
  <c r="B35"/>
  <c r="B27"/>
  <c r="B19"/>
  <c r="B11"/>
  <c r="B3"/>
  <c r="B2"/>
  <c r="B8"/>
  <c r="B62"/>
  <c r="B6"/>
  <c r="B98"/>
  <c r="B90"/>
  <c r="B82"/>
  <c r="B74"/>
  <c r="B66"/>
  <c r="B58"/>
  <c r="B50"/>
  <c r="B42"/>
  <c r="B34"/>
  <c r="B26"/>
  <c r="B18"/>
  <c r="B10"/>
  <c r="B94"/>
  <c r="B38"/>
  <c r="B97"/>
  <c r="B89"/>
  <c r="B81"/>
  <c r="B73"/>
  <c r="B65"/>
  <c r="B57"/>
  <c r="B49"/>
  <c r="B41"/>
  <c r="B33"/>
  <c r="B25"/>
  <c r="B17"/>
  <c r="B9"/>
  <c r="B54"/>
  <c r="B145"/>
  <c r="B96"/>
  <c r="B88"/>
  <c r="B80"/>
  <c r="B72"/>
  <c r="B64"/>
  <c r="B56"/>
  <c r="B48"/>
  <c r="B40"/>
  <c r="B32"/>
  <c r="B24"/>
  <c r="B16"/>
  <c r="B78"/>
  <c r="B30"/>
  <c r="B135"/>
  <c r="B103"/>
  <c r="B95"/>
  <c r="B87"/>
  <c r="B79"/>
  <c r="B71"/>
  <c r="B63"/>
  <c r="B55"/>
  <c r="B47"/>
  <c r="B39"/>
  <c r="B31"/>
  <c r="B23"/>
  <c r="B15"/>
  <c r="B86"/>
  <c r="B14"/>
  <c r="B127"/>
  <c r="B101"/>
  <c r="B93"/>
  <c r="B85"/>
  <c r="B77"/>
  <c r="B69"/>
  <c r="B61"/>
  <c r="B53"/>
  <c r="B45"/>
  <c r="B37"/>
  <c r="B29"/>
  <c r="B21"/>
  <c r="B13"/>
  <c r="B5"/>
  <c r="B7"/>
  <c r="B70"/>
  <c r="B22"/>
  <c r="B1302"/>
  <c r="B120"/>
  <c r="B100"/>
  <c r="B92"/>
  <c r="B84"/>
  <c r="B76"/>
  <c r="B68"/>
  <c r="B60"/>
  <c r="B52"/>
  <c r="B44"/>
  <c r="B36"/>
  <c r="B28"/>
  <c r="B20"/>
  <c r="B12"/>
  <c r="B4"/>
  <c r="B102"/>
  <c r="B46"/>
  <c r="C39" i="11"/>
  <c r="D32"/>
  <c r="H463" i="16"/>
  <c r="H441"/>
  <c r="B39" i="11"/>
  <c r="B38"/>
  <c r="C38"/>
  <c r="B40"/>
  <c r="D40" s="1"/>
  <c r="B37"/>
  <c r="C37"/>
  <c r="C17" l="1"/>
  <c r="C41"/>
  <c r="C16" i="13"/>
  <c r="C14"/>
  <c r="C19" s="1"/>
  <c r="C18"/>
  <c r="D38" i="11"/>
  <c r="D39"/>
  <c r="B279" i="18"/>
  <c r="B401"/>
  <c r="B950"/>
  <c r="B181"/>
  <c r="B206"/>
  <c r="B332"/>
  <c r="B693"/>
  <c r="B297"/>
  <c r="B549"/>
  <c r="B498"/>
  <c r="B771"/>
  <c r="B983"/>
  <c r="B190"/>
  <c r="B479"/>
  <c r="B531"/>
  <c r="B710"/>
  <c r="B198"/>
  <c r="B461"/>
  <c r="B489"/>
  <c r="B610"/>
  <c r="B393"/>
  <c r="B418"/>
  <c r="B540"/>
  <c r="B322"/>
  <c r="B41" i="11"/>
  <c r="B376" i="18"/>
  <c r="B486"/>
  <c r="B305"/>
  <c r="B711"/>
  <c r="B525"/>
  <c r="B335"/>
  <c r="B194"/>
  <c r="B195"/>
  <c r="B833"/>
  <c r="B261"/>
  <c r="B507"/>
  <c r="B555"/>
  <c r="B375"/>
  <c r="B191"/>
  <c r="B992"/>
  <c r="B594"/>
  <c r="B404"/>
  <c r="B284"/>
  <c r="B294"/>
  <c r="B704"/>
  <c r="B470"/>
  <c r="B523"/>
  <c r="B625"/>
  <c r="B443"/>
  <c r="B262"/>
  <c r="B1414"/>
  <c r="B680"/>
  <c r="B474"/>
  <c r="B380"/>
  <c r="B433"/>
  <c r="B1575"/>
  <c r="B1396"/>
  <c r="B804"/>
  <c r="B763"/>
  <c r="B514"/>
  <c r="B333"/>
  <c r="B175"/>
  <c r="B923"/>
  <c r="B544"/>
  <c r="B475"/>
  <c r="B632"/>
  <c r="B1362"/>
  <c r="B350"/>
  <c r="B204"/>
  <c r="B1052"/>
  <c r="B582"/>
  <c r="B402"/>
  <c r="B245"/>
  <c r="B1236"/>
  <c r="B613"/>
  <c r="B561"/>
  <c r="B698"/>
  <c r="B252"/>
  <c r="B276"/>
  <c r="B1599"/>
  <c r="B659"/>
  <c r="B471"/>
  <c r="B316"/>
  <c r="B717"/>
  <c r="B667"/>
  <c r="B1388"/>
  <c r="B735"/>
  <c r="B601"/>
  <c r="B409"/>
  <c r="B348"/>
  <c r="B163"/>
  <c r="B875"/>
  <c r="B541"/>
  <c r="B386"/>
  <c r="B193"/>
  <c r="B1041"/>
  <c r="B1002"/>
  <c r="B1086"/>
  <c r="B2371"/>
  <c r="B1349"/>
  <c r="B1245"/>
  <c r="B2010"/>
  <c r="B1353"/>
  <c r="B1548"/>
  <c r="B1186"/>
  <c r="B1101"/>
  <c r="B1018"/>
  <c r="B936"/>
  <c r="B854"/>
  <c r="B775"/>
  <c r="B1380"/>
  <c r="B1210"/>
  <c r="B1124"/>
  <c r="B1055"/>
  <c r="B978"/>
  <c r="B907"/>
  <c r="B834"/>
  <c r="B766"/>
  <c r="B696"/>
  <c r="B2188"/>
  <c r="B1355"/>
  <c r="B1195"/>
  <c r="B1115"/>
  <c r="B1044"/>
  <c r="B969"/>
  <c r="B897"/>
  <c r="B824"/>
  <c r="B756"/>
  <c r="B687"/>
  <c r="B1600"/>
  <c r="B1354"/>
  <c r="B1193"/>
  <c r="B1114"/>
  <c r="B1043"/>
  <c r="B968"/>
  <c r="B895"/>
  <c r="B823"/>
  <c r="B755"/>
  <c r="B1695"/>
  <c r="B1434"/>
  <c r="B1252"/>
  <c r="B1145"/>
  <c r="B1077"/>
  <c r="B1000"/>
  <c r="B930"/>
  <c r="B857"/>
  <c r="B786"/>
  <c r="B716"/>
  <c r="B649"/>
  <c r="B1583"/>
  <c r="B1364"/>
  <c r="B1200"/>
  <c r="B1118"/>
  <c r="B1048"/>
  <c r="B972"/>
  <c r="B900"/>
  <c r="B827"/>
  <c r="B760"/>
  <c r="B690"/>
  <c r="B1592"/>
  <c r="B1051"/>
  <c r="B762"/>
  <c r="B624"/>
  <c r="B554"/>
  <c r="B485"/>
  <c r="B415"/>
  <c r="B347"/>
  <c r="B275"/>
  <c r="B203"/>
  <c r="B132"/>
  <c r="B1259"/>
  <c r="B932"/>
  <c r="B684"/>
  <c r="B597"/>
  <c r="B527"/>
  <c r="B457"/>
  <c r="B388"/>
  <c r="B318"/>
  <c r="B248"/>
  <c r="B177"/>
  <c r="B106"/>
  <c r="B1819"/>
  <c r="B1222"/>
  <c r="B2127"/>
  <c r="B1684"/>
  <c r="B1326"/>
  <c r="B1381"/>
  <c r="B1175"/>
  <c r="B1092"/>
  <c r="B1007"/>
  <c r="B928"/>
  <c r="B844"/>
  <c r="B767"/>
  <c r="B1356"/>
  <c r="B1197"/>
  <c r="B1116"/>
  <c r="B1046"/>
  <c r="B970"/>
  <c r="B898"/>
  <c r="B825"/>
  <c r="B757"/>
  <c r="B688"/>
  <c r="B1916"/>
  <c r="B1329"/>
  <c r="B1184"/>
  <c r="B1107"/>
  <c r="B1034"/>
  <c r="B961"/>
  <c r="B888"/>
  <c r="B815"/>
  <c r="B747"/>
  <c r="B678"/>
  <c r="B1566"/>
  <c r="B1328"/>
  <c r="B1183"/>
  <c r="B1106"/>
  <c r="B1033"/>
  <c r="B960"/>
  <c r="B887"/>
  <c r="B814"/>
  <c r="B746"/>
  <c r="B1658"/>
  <c r="B1413"/>
  <c r="B1234"/>
  <c r="B1136"/>
  <c r="B1068"/>
  <c r="B990"/>
  <c r="B920"/>
  <c r="B847"/>
  <c r="B778"/>
  <c r="B708"/>
  <c r="B641"/>
  <c r="B1549"/>
  <c r="B1338"/>
  <c r="B1188"/>
  <c r="B1110"/>
  <c r="B1038"/>
  <c r="B964"/>
  <c r="B891"/>
  <c r="B819"/>
  <c r="B750"/>
  <c r="B1454"/>
  <c r="B1204"/>
  <c r="B126"/>
  <c r="B1597"/>
  <c r="B1317"/>
  <c r="B1337"/>
  <c r="B1164"/>
  <c r="B1084"/>
  <c r="B998"/>
  <c r="B918"/>
  <c r="B835"/>
  <c r="B749"/>
  <c r="B1336"/>
  <c r="B1185"/>
  <c r="B1108"/>
  <c r="B1036"/>
  <c r="B962"/>
  <c r="B889"/>
  <c r="B816"/>
  <c r="B748"/>
  <c r="B679"/>
  <c r="B1677"/>
  <c r="B1309"/>
  <c r="B1173"/>
  <c r="B1099"/>
  <c r="B1025"/>
  <c r="B952"/>
  <c r="B878"/>
  <c r="B806"/>
  <c r="B737"/>
  <c r="B669"/>
  <c r="B1531"/>
  <c r="B1303"/>
  <c r="B1170"/>
  <c r="B1098"/>
  <c r="B1024"/>
  <c r="B951"/>
  <c r="B877"/>
  <c r="B805"/>
  <c r="B736"/>
  <c r="B1624"/>
  <c r="B1389"/>
  <c r="B1218"/>
  <c r="B1127"/>
  <c r="B1058"/>
  <c r="B981"/>
  <c r="B910"/>
  <c r="B837"/>
  <c r="B769"/>
  <c r="B699"/>
  <c r="B2293"/>
  <c r="B1513"/>
  <c r="B1318"/>
  <c r="B1176"/>
  <c r="B1102"/>
  <c r="B1029"/>
  <c r="B955"/>
  <c r="B882"/>
  <c r="B809"/>
  <c r="B741"/>
  <c r="B673"/>
  <c r="B1371"/>
  <c r="B974"/>
  <c r="B702"/>
  <c r="B606"/>
  <c r="B536"/>
  <c r="B467"/>
  <c r="B1298"/>
  <c r="B2094"/>
  <c r="B2428"/>
  <c r="B1519"/>
  <c r="B1300"/>
  <c r="B1311"/>
  <c r="B1152"/>
  <c r="B1075"/>
  <c r="B988"/>
  <c r="B908"/>
  <c r="B817"/>
  <c r="B739"/>
  <c r="B1310"/>
  <c r="B1174"/>
  <c r="B1100"/>
  <c r="B1027"/>
  <c r="B953"/>
  <c r="B879"/>
  <c r="B807"/>
  <c r="B738"/>
  <c r="B671"/>
  <c r="B1539"/>
  <c r="B1285"/>
  <c r="B1160"/>
  <c r="B1090"/>
  <c r="B1014"/>
  <c r="B943"/>
  <c r="B870"/>
  <c r="B798"/>
  <c r="B728"/>
  <c r="B2431"/>
  <c r="B1495"/>
  <c r="B1284"/>
  <c r="B1158"/>
  <c r="B1089"/>
  <c r="B1013"/>
  <c r="B942"/>
  <c r="B869"/>
  <c r="B797"/>
  <c r="B727"/>
  <c r="B1591"/>
  <c r="B1365"/>
  <c r="B1201"/>
  <c r="B1119"/>
  <c r="B1049"/>
  <c r="B973"/>
  <c r="B901"/>
  <c r="B828"/>
  <c r="B761"/>
  <c r="B691"/>
  <c r="B2018"/>
  <c r="B1478"/>
  <c r="B1293"/>
  <c r="B1165"/>
  <c r="B1093"/>
  <c r="B1019"/>
  <c r="B947"/>
  <c r="B873"/>
  <c r="B801"/>
  <c r="B732"/>
  <c r="B664"/>
  <c r="B1277"/>
  <c r="B940"/>
  <c r="B686"/>
  <c r="B598"/>
  <c r="B528"/>
  <c r="B458"/>
  <c r="B389"/>
  <c r="B319"/>
  <c r="B249"/>
  <c r="B178"/>
  <c r="B107"/>
  <c r="B1113"/>
  <c r="B822"/>
  <c r="B642"/>
  <c r="B571"/>
  <c r="B502"/>
  <c r="B432"/>
  <c r="B363"/>
  <c r="B293"/>
  <c r="B221"/>
  <c r="B150"/>
  <c r="B1440"/>
  <c r="B1001"/>
  <c r="B1645"/>
  <c r="B1661"/>
  <c r="B1983"/>
  <c r="B1430"/>
  <c r="B1283"/>
  <c r="B1292"/>
  <c r="B1143"/>
  <c r="B1066"/>
  <c r="B979"/>
  <c r="B890"/>
  <c r="B808"/>
  <c r="B731"/>
  <c r="B1286"/>
  <c r="B1162"/>
  <c r="B1091"/>
  <c r="B1015"/>
  <c r="B945"/>
  <c r="B871"/>
  <c r="B799"/>
  <c r="B729"/>
  <c r="B662"/>
  <c r="B1502"/>
  <c r="B1261"/>
  <c r="B1150"/>
  <c r="B1082"/>
  <c r="B1004"/>
  <c r="B934"/>
  <c r="B861"/>
  <c r="B790"/>
  <c r="B720"/>
  <c r="B2153"/>
  <c r="B1468"/>
  <c r="B1260"/>
  <c r="B1148"/>
  <c r="B1081"/>
  <c r="B1003"/>
  <c r="B933"/>
  <c r="B860"/>
  <c r="B789"/>
  <c r="B719"/>
  <c r="B1556"/>
  <c r="B1344"/>
  <c r="B1190"/>
  <c r="B1111"/>
  <c r="B1039"/>
  <c r="B965"/>
  <c r="B892"/>
  <c r="B820"/>
  <c r="B751"/>
  <c r="B682"/>
  <c r="B1748"/>
  <c r="B1456"/>
  <c r="B1269"/>
  <c r="B1153"/>
  <c r="B1085"/>
  <c r="B1008"/>
  <c r="B937"/>
  <c r="B864"/>
  <c r="B793"/>
  <c r="B723"/>
  <c r="B656"/>
  <c r="B1202"/>
  <c r="B902"/>
  <c r="B668"/>
  <c r="B589"/>
  <c r="B520"/>
  <c r="B449"/>
  <c r="B381"/>
  <c r="B311"/>
  <c r="B141"/>
  <c r="B1289"/>
  <c r="B1523"/>
  <c r="B1657"/>
  <c r="B1404"/>
  <c r="B1266"/>
  <c r="B1268"/>
  <c r="B1133"/>
  <c r="B1056"/>
  <c r="B963"/>
  <c r="B880"/>
  <c r="B800"/>
  <c r="B722"/>
  <c r="B1267"/>
  <c r="B1151"/>
  <c r="B1083"/>
  <c r="B1005"/>
  <c r="B935"/>
  <c r="B862"/>
  <c r="B791"/>
  <c r="B721"/>
  <c r="B654"/>
  <c r="B1469"/>
  <c r="B1242"/>
  <c r="B1141"/>
  <c r="B1072"/>
  <c r="B995"/>
  <c r="B925"/>
  <c r="B852"/>
  <c r="B782"/>
  <c r="B712"/>
  <c r="B1882"/>
  <c r="B1442"/>
  <c r="B1241"/>
  <c r="B1139"/>
  <c r="B1071"/>
  <c r="B994"/>
  <c r="B924"/>
  <c r="B851"/>
  <c r="B781"/>
  <c r="B2327"/>
  <c r="B1521"/>
  <c r="B1319"/>
  <c r="B1178"/>
  <c r="B1103"/>
  <c r="B1030"/>
  <c r="B956"/>
  <c r="B883"/>
  <c r="B810"/>
  <c r="B742"/>
  <c r="B674"/>
  <c r="B1687"/>
  <c r="B1433"/>
  <c r="B1250"/>
  <c r="B1144"/>
  <c r="B1076"/>
  <c r="B999"/>
  <c r="B929"/>
  <c r="B856"/>
  <c r="B785"/>
  <c r="B715"/>
  <c r="B648"/>
  <c r="B1156"/>
  <c r="B866"/>
  <c r="B655"/>
  <c r="B580"/>
  <c r="B512"/>
  <c r="B441"/>
  <c r="B373"/>
  <c r="B303"/>
  <c r="B1736"/>
  <c r="B1964"/>
  <c r="B1383"/>
  <c r="B1547"/>
  <c r="B1378"/>
  <c r="B1258"/>
  <c r="B1244"/>
  <c r="B1125"/>
  <c r="B1037"/>
  <c r="B954"/>
  <c r="B872"/>
  <c r="B792"/>
  <c r="B1608"/>
  <c r="B1243"/>
  <c r="B1142"/>
  <c r="B1074"/>
  <c r="B997"/>
  <c r="B927"/>
  <c r="B853"/>
  <c r="B783"/>
  <c r="B713"/>
  <c r="B646"/>
  <c r="B1423"/>
  <c r="B1226"/>
  <c r="B1131"/>
  <c r="B1063"/>
  <c r="B985"/>
  <c r="B915"/>
  <c r="B842"/>
  <c r="B773"/>
  <c r="B703"/>
  <c r="B1705"/>
  <c r="B1397"/>
  <c r="B1225"/>
  <c r="B1130"/>
  <c r="B1062"/>
  <c r="B984"/>
  <c r="B914"/>
  <c r="B841"/>
  <c r="B772"/>
  <c r="B2052"/>
  <c r="B1485"/>
  <c r="B1294"/>
  <c r="B1166"/>
  <c r="B1094"/>
  <c r="B1020"/>
  <c r="B948"/>
  <c r="B874"/>
  <c r="B802"/>
  <c r="B733"/>
  <c r="B665"/>
  <c r="B1650"/>
  <c r="B1407"/>
  <c r="B1233"/>
  <c r="B1134"/>
  <c r="B1067"/>
  <c r="B989"/>
  <c r="B919"/>
  <c r="B846"/>
  <c r="B777"/>
  <c r="B707"/>
  <c r="B640"/>
  <c r="B1120"/>
  <c r="B829"/>
  <c r="B643"/>
  <c r="B216"/>
  <c r="B1097"/>
  <c r="B575"/>
  <c r="B444"/>
  <c r="B270"/>
  <c r="B592"/>
  <c r="B143"/>
  <c r="B213"/>
  <c r="B286"/>
  <c r="B357"/>
  <c r="B425"/>
  <c r="B495"/>
  <c r="B564"/>
  <c r="B633"/>
  <c r="B796"/>
  <c r="B1088"/>
  <c r="B1847"/>
  <c r="B172"/>
  <c r="B242"/>
  <c r="B313"/>
  <c r="B383"/>
  <c r="B452"/>
  <c r="B522"/>
  <c r="B591"/>
  <c r="B675"/>
  <c r="B912"/>
  <c r="B1219"/>
  <c r="B128"/>
  <c r="B199"/>
  <c r="B271"/>
  <c r="B342"/>
  <c r="B410"/>
  <c r="B480"/>
  <c r="B550"/>
  <c r="B620"/>
  <c r="B743"/>
  <c r="B1031"/>
  <c r="B1522"/>
  <c r="B183"/>
  <c r="B254"/>
  <c r="B325"/>
  <c r="B395"/>
  <c r="B463"/>
  <c r="B533"/>
  <c r="B603"/>
  <c r="B697"/>
  <c r="B959"/>
  <c r="B1327"/>
  <c r="B130"/>
  <c r="B201"/>
  <c r="B273"/>
  <c r="B344"/>
  <c r="B413"/>
  <c r="B483"/>
  <c r="B552"/>
  <c r="B622"/>
  <c r="B752"/>
  <c r="B1079"/>
  <c r="B114"/>
  <c r="B202"/>
  <c r="B302"/>
  <c r="B397"/>
  <c r="B484"/>
  <c r="B579"/>
  <c r="B701"/>
  <c r="B1042"/>
  <c r="B115"/>
  <c r="B212"/>
  <c r="B329"/>
  <c r="B476"/>
  <c r="B725"/>
  <c r="B768"/>
  <c r="B1616"/>
  <c r="B1155"/>
  <c r="B1053"/>
  <c r="B905"/>
  <c r="B774"/>
  <c r="B784"/>
  <c r="B2388"/>
  <c r="B341"/>
  <c r="B288"/>
  <c r="B2120"/>
  <c r="B110"/>
  <c r="B647"/>
  <c r="B515"/>
  <c r="B1023"/>
  <c r="B118"/>
  <c r="B676"/>
  <c r="B153"/>
  <c r="B223"/>
  <c r="B295"/>
  <c r="B365"/>
  <c r="B434"/>
  <c r="B504"/>
  <c r="B573"/>
  <c r="B644"/>
  <c r="B830"/>
  <c r="B1121"/>
  <c r="B109"/>
  <c r="B180"/>
  <c r="B251"/>
  <c r="B321"/>
  <c r="B391"/>
  <c r="B460"/>
  <c r="B530"/>
  <c r="B600"/>
  <c r="B692"/>
  <c r="B949"/>
  <c r="B1301"/>
  <c r="B137"/>
  <c r="B207"/>
  <c r="B280"/>
  <c r="B352"/>
  <c r="B419"/>
  <c r="B490"/>
  <c r="B558"/>
  <c r="B628"/>
  <c r="B779"/>
  <c r="B1069"/>
  <c r="B1659"/>
  <c r="B192"/>
  <c r="B263"/>
  <c r="B334"/>
  <c r="B403"/>
  <c r="B472"/>
  <c r="B543"/>
  <c r="B612"/>
  <c r="B714"/>
  <c r="B993"/>
  <c r="B1415"/>
  <c r="B139"/>
  <c r="B210"/>
  <c r="B282"/>
  <c r="B354"/>
  <c r="B421"/>
  <c r="B492"/>
  <c r="B560"/>
  <c r="B630"/>
  <c r="B787"/>
  <c r="B1112"/>
  <c r="B122"/>
  <c r="B211"/>
  <c r="B310"/>
  <c r="B405"/>
  <c r="B493"/>
  <c r="B588"/>
  <c r="B718"/>
  <c r="B1080"/>
  <c r="B123"/>
  <c r="B222"/>
  <c r="B338"/>
  <c r="B494"/>
  <c r="B795"/>
  <c r="B836"/>
  <c r="B657"/>
  <c r="B1276"/>
  <c r="B1122"/>
  <c r="B977"/>
  <c r="B843"/>
  <c r="B863"/>
  <c r="B1330"/>
  <c r="B557"/>
  <c r="B1493"/>
  <c r="B359"/>
  <c r="B155"/>
  <c r="B839"/>
  <c r="B583"/>
  <c r="B173"/>
  <c r="B913"/>
  <c r="B162"/>
  <c r="B232"/>
  <c r="B304"/>
  <c r="B374"/>
  <c r="B442"/>
  <c r="B513"/>
  <c r="B581"/>
  <c r="B658"/>
  <c r="B867"/>
  <c r="B1157"/>
  <c r="B117"/>
  <c r="B189"/>
  <c r="B260"/>
  <c r="B331"/>
  <c r="B400"/>
  <c r="B469"/>
  <c r="B539"/>
  <c r="B608"/>
  <c r="B709"/>
  <c r="B982"/>
  <c r="B1390"/>
  <c r="B147"/>
  <c r="B217"/>
  <c r="B289"/>
  <c r="B360"/>
  <c r="B428"/>
  <c r="B499"/>
  <c r="B567"/>
  <c r="B636"/>
  <c r="B811"/>
  <c r="B1104"/>
  <c r="B2364"/>
  <c r="B200"/>
  <c r="B272"/>
  <c r="B343"/>
  <c r="B412"/>
  <c r="B481"/>
  <c r="B551"/>
  <c r="B621"/>
  <c r="B744"/>
  <c r="B1032"/>
  <c r="B1530"/>
  <c r="B149"/>
  <c r="B220"/>
  <c r="B291"/>
  <c r="B362"/>
  <c r="B431"/>
  <c r="B501"/>
  <c r="B570"/>
  <c r="B639"/>
  <c r="B821"/>
  <c r="B1146"/>
  <c r="B131"/>
  <c r="B230"/>
  <c r="B327"/>
  <c r="B414"/>
  <c r="B511"/>
  <c r="B605"/>
  <c r="B753"/>
  <c r="B1147"/>
  <c r="B142"/>
  <c r="B231"/>
  <c r="B356"/>
  <c r="B503"/>
  <c r="B1010"/>
  <c r="B909"/>
  <c r="B724"/>
  <c r="B1458"/>
  <c r="B1208"/>
  <c r="B1054"/>
  <c r="B917"/>
  <c r="B946"/>
  <c r="B1627"/>
  <c r="B627"/>
  <c r="B427"/>
  <c r="B129"/>
  <c r="B226"/>
  <c r="B1129"/>
  <c r="B112"/>
  <c r="B660"/>
  <c r="B243"/>
  <c r="B1220"/>
  <c r="B171"/>
  <c r="B240"/>
  <c r="B312"/>
  <c r="B382"/>
  <c r="B451"/>
  <c r="B521"/>
  <c r="B590"/>
  <c r="B672"/>
  <c r="B903"/>
  <c r="B1205"/>
  <c r="B125"/>
  <c r="B197"/>
  <c r="B269"/>
  <c r="B340"/>
  <c r="B408"/>
  <c r="B478"/>
  <c r="B548"/>
  <c r="B618"/>
  <c r="B734"/>
  <c r="B1022"/>
  <c r="B1486"/>
  <c r="B156"/>
  <c r="B227"/>
  <c r="B298"/>
  <c r="B368"/>
  <c r="B437"/>
  <c r="B508"/>
  <c r="B576"/>
  <c r="B650"/>
  <c r="B848"/>
  <c r="B1137"/>
  <c r="B138"/>
  <c r="B208"/>
  <c r="B281"/>
  <c r="B353"/>
  <c r="B420"/>
  <c r="B491"/>
  <c r="B559"/>
  <c r="B629"/>
  <c r="B780"/>
  <c r="B1070"/>
  <c r="B1668"/>
  <c r="B158"/>
  <c r="B229"/>
  <c r="B300"/>
  <c r="B371"/>
  <c r="B439"/>
  <c r="B510"/>
  <c r="B578"/>
  <c r="B652"/>
  <c r="B858"/>
  <c r="B1191"/>
  <c r="B140"/>
  <c r="B238"/>
  <c r="B336"/>
  <c r="B422"/>
  <c r="B519"/>
  <c r="B615"/>
  <c r="B788"/>
  <c r="B1192"/>
  <c r="B152"/>
  <c r="B239"/>
  <c r="B364"/>
  <c r="B546"/>
  <c r="B1087"/>
  <c r="B980"/>
  <c r="B794"/>
  <c r="B1777"/>
  <c r="B1373"/>
  <c r="B1123"/>
  <c r="B987"/>
  <c r="B1028"/>
  <c r="B151"/>
  <c r="B164"/>
  <c r="B876"/>
  <c r="B314"/>
  <c r="B108"/>
  <c r="B179"/>
  <c r="B250"/>
  <c r="B320"/>
  <c r="B390"/>
  <c r="B459"/>
  <c r="B529"/>
  <c r="B599"/>
  <c r="B689"/>
  <c r="B941"/>
  <c r="B1278"/>
  <c r="B134"/>
  <c r="B205"/>
  <c r="B277"/>
  <c r="B349"/>
  <c r="B417"/>
  <c r="B488"/>
  <c r="B556"/>
  <c r="B626"/>
  <c r="B770"/>
  <c r="B1060"/>
  <c r="B1625"/>
  <c r="B165"/>
  <c r="B235"/>
  <c r="B307"/>
  <c r="B377"/>
  <c r="B445"/>
  <c r="B516"/>
  <c r="B584"/>
  <c r="B661"/>
  <c r="B884"/>
  <c r="B1180"/>
  <c r="B148"/>
  <c r="B218"/>
  <c r="B290"/>
  <c r="B361"/>
  <c r="B430"/>
  <c r="B500"/>
  <c r="B569"/>
  <c r="B637"/>
  <c r="B812"/>
  <c r="B1105"/>
  <c r="B2396"/>
  <c r="B168"/>
  <c r="B237"/>
  <c r="B309"/>
  <c r="B379"/>
  <c r="B447"/>
  <c r="B518"/>
  <c r="B587"/>
  <c r="B666"/>
  <c r="B893"/>
  <c r="B1253"/>
  <c r="B159"/>
  <c r="B256"/>
  <c r="B345"/>
  <c r="B440"/>
  <c r="B535"/>
  <c r="B623"/>
  <c r="B859"/>
  <c r="B1346"/>
  <c r="B160"/>
  <c r="B257"/>
  <c r="B398"/>
  <c r="B562"/>
  <c r="B1459"/>
  <c r="B1057"/>
  <c r="B865"/>
  <c r="B764"/>
  <c r="B1634"/>
  <c r="B1209"/>
  <c r="B1065"/>
  <c r="B1109"/>
  <c r="B1061"/>
  <c r="B566"/>
  <c r="B367"/>
  <c r="B234"/>
  <c r="B1168"/>
  <c r="B384"/>
  <c r="B116"/>
  <c r="B188"/>
  <c r="B258"/>
  <c r="B330"/>
  <c r="B399"/>
  <c r="B468"/>
  <c r="B538"/>
  <c r="B607"/>
  <c r="B705"/>
  <c r="B975"/>
  <c r="B1372"/>
  <c r="B144"/>
  <c r="B215"/>
  <c r="B287"/>
  <c r="B358"/>
  <c r="B426"/>
  <c r="B497"/>
  <c r="B565"/>
  <c r="B634"/>
  <c r="B803"/>
  <c r="B1096"/>
  <c r="B2085"/>
  <c r="B174"/>
  <c r="B244"/>
  <c r="B315"/>
  <c r="B385"/>
  <c r="B454"/>
  <c r="B524"/>
  <c r="B593"/>
  <c r="B677"/>
  <c r="B922"/>
  <c r="B1235"/>
  <c r="B157"/>
  <c r="B228"/>
  <c r="B299"/>
  <c r="B369"/>
  <c r="B438"/>
  <c r="B509"/>
  <c r="B577"/>
  <c r="B651"/>
  <c r="B849"/>
  <c r="B1138"/>
  <c r="B105"/>
  <c r="B176"/>
  <c r="B247"/>
  <c r="B317"/>
  <c r="B387"/>
  <c r="B456"/>
  <c r="B526"/>
  <c r="B596"/>
  <c r="B683"/>
  <c r="B931"/>
  <c r="B1345"/>
  <c r="B169"/>
  <c r="B265"/>
  <c r="B355"/>
  <c r="B448"/>
  <c r="B545"/>
  <c r="B631"/>
  <c r="B894"/>
  <c r="B1441"/>
  <c r="B170"/>
  <c r="B266"/>
  <c r="B406"/>
  <c r="B572"/>
  <c r="B1812"/>
  <c r="B1126"/>
  <c r="B938"/>
  <c r="B832"/>
  <c r="B695"/>
  <c r="B1379"/>
  <c r="B1132"/>
  <c r="B1211"/>
  <c r="B1633"/>
  <c r="B104"/>
  <c r="B635"/>
  <c r="B436"/>
  <c r="B619"/>
  <c r="B306"/>
  <c r="B453"/>
  <c r="B124"/>
  <c r="B196"/>
  <c r="B267"/>
  <c r="B339"/>
  <c r="B407"/>
  <c r="B477"/>
  <c r="B547"/>
  <c r="B617"/>
  <c r="B726"/>
  <c r="B1012"/>
  <c r="B1466"/>
  <c r="B154"/>
  <c r="B225"/>
  <c r="B296"/>
  <c r="B366"/>
  <c r="B435"/>
  <c r="B506"/>
  <c r="B574"/>
  <c r="B645"/>
  <c r="B838"/>
  <c r="B1128"/>
  <c r="B111"/>
  <c r="B182"/>
  <c r="B253"/>
  <c r="B324"/>
  <c r="B394"/>
  <c r="B462"/>
  <c r="B532"/>
  <c r="B602"/>
  <c r="B694"/>
  <c r="B957"/>
  <c r="B1320"/>
  <c r="B167"/>
  <c r="B236"/>
  <c r="B308"/>
  <c r="B378"/>
  <c r="B446"/>
  <c r="B517"/>
  <c r="B586"/>
  <c r="B663"/>
  <c r="B885"/>
  <c r="B1182"/>
  <c r="B113"/>
  <c r="B184"/>
  <c r="B255"/>
  <c r="B326"/>
  <c r="B396"/>
  <c r="B465"/>
  <c r="B534"/>
  <c r="B604"/>
  <c r="B700"/>
  <c r="B966"/>
  <c r="B1557"/>
  <c r="B185"/>
  <c r="B274"/>
  <c r="B372"/>
  <c r="B466"/>
  <c r="B553"/>
  <c r="B653"/>
  <c r="B967"/>
  <c r="B1565"/>
  <c r="B186"/>
  <c r="B285"/>
  <c r="B423"/>
  <c r="B616"/>
  <c r="B681"/>
  <c r="B1217"/>
  <c r="B1009"/>
  <c r="B904"/>
  <c r="B765"/>
  <c r="B638"/>
  <c r="B1227"/>
  <c r="B1249"/>
  <c r="D22" i="11"/>
  <c r="B161" i="18"/>
  <c r="B1248"/>
  <c r="B1488"/>
  <c r="B2061"/>
  <c r="B1262"/>
  <c r="B2362"/>
  <c r="B2355"/>
  <c r="B1509"/>
  <c r="B1335"/>
  <c r="B1967"/>
  <c r="B2239"/>
  <c r="B1358"/>
  <c r="B1671"/>
  <c r="B1254"/>
  <c r="B2016"/>
  <c r="B2042"/>
  <c r="B136"/>
  <c r="B2093"/>
  <c r="B1489"/>
  <c r="B1340"/>
  <c r="B1532"/>
  <c r="B1017"/>
  <c r="B1667"/>
  <c r="B1710"/>
  <c r="B1387"/>
  <c r="B1308"/>
  <c r="B1511"/>
  <c r="B1228"/>
  <c r="B146"/>
  <c r="B1767"/>
  <c r="B1281"/>
  <c r="B1213"/>
  <c r="B1391"/>
  <c r="B2092"/>
  <c r="B1573"/>
  <c r="B1605"/>
  <c r="B1370"/>
  <c r="B1291"/>
  <c r="B1363"/>
  <c r="B1199"/>
  <c r="B1117"/>
  <c r="B1047"/>
  <c r="B971"/>
  <c r="B899"/>
  <c r="B826"/>
  <c r="B758"/>
  <c r="B2318"/>
  <c r="D37" i="11"/>
  <c r="B1480" i="18"/>
  <c r="B1618"/>
  <c r="B1930"/>
  <c r="B1437"/>
  <c r="B1637"/>
  <c r="B2205"/>
  <c r="B1446"/>
  <c r="B1664"/>
  <c r="B1759"/>
  <c r="B2033"/>
  <c r="B2308"/>
  <c r="B1874"/>
  <c r="B2422"/>
  <c r="B2384"/>
  <c r="B2427"/>
  <c r="B2361"/>
  <c r="B2289"/>
  <c r="B2218"/>
  <c r="B2150"/>
  <c r="B2082"/>
  <c r="B2015"/>
  <c r="B1946"/>
  <c r="B1879"/>
  <c r="B1808"/>
  <c r="B1739"/>
  <c r="B2392"/>
  <c r="B2323"/>
  <c r="B2252"/>
  <c r="B2184"/>
  <c r="B2116"/>
  <c r="B2047"/>
  <c r="B1980"/>
  <c r="B1912"/>
  <c r="B1843"/>
  <c r="B1773"/>
  <c r="B2367"/>
  <c r="B2296"/>
  <c r="B2224"/>
  <c r="B2156"/>
  <c r="B2088"/>
  <c r="B2021"/>
  <c r="B1952"/>
  <c r="B1885"/>
  <c r="B1815"/>
  <c r="B1745"/>
  <c r="B2407"/>
  <c r="B2339"/>
  <c r="B2268"/>
  <c r="B2199"/>
  <c r="B2131"/>
  <c r="B2063"/>
  <c r="B2418"/>
  <c r="B2410"/>
  <c r="B2343"/>
  <c r="B2271"/>
  <c r="B2202"/>
  <c r="B2134"/>
  <c r="B2066"/>
  <c r="B1998"/>
  <c r="B1929"/>
  <c r="B1862"/>
  <c r="B1790"/>
  <c r="B1721"/>
  <c r="B2376"/>
  <c r="B2305"/>
  <c r="B2234"/>
  <c r="B2165"/>
  <c r="B2099"/>
  <c r="B2030"/>
  <c r="B1962"/>
  <c r="B1894"/>
  <c r="B1825"/>
  <c r="B1755"/>
  <c r="B2416"/>
  <c r="B2349"/>
  <c r="B2279"/>
  <c r="B2208"/>
  <c r="B2140"/>
  <c r="B2072"/>
  <c r="B2004"/>
  <c r="B2402"/>
  <c r="B2333"/>
  <c r="B2261"/>
  <c r="B2194"/>
  <c r="B2126"/>
  <c r="B2058"/>
  <c r="B1990"/>
  <c r="B1921"/>
  <c r="B1853"/>
  <c r="B1782"/>
  <c r="B2368"/>
  <c r="B2297"/>
  <c r="B2225"/>
  <c r="B2157"/>
  <c r="B2089"/>
  <c r="B2022"/>
  <c r="B1953"/>
  <c r="B1886"/>
  <c r="B1816"/>
  <c r="B1746"/>
  <c r="B2408"/>
  <c r="B2340"/>
  <c r="B2269"/>
  <c r="B2200"/>
  <c r="B2132"/>
  <c r="B2064"/>
  <c r="B1996"/>
  <c r="B1927"/>
  <c r="B1860"/>
  <c r="B1788"/>
  <c r="B1719"/>
  <c r="B2382"/>
  <c r="B2311"/>
  <c r="B2241"/>
  <c r="B2172"/>
  <c r="B2105"/>
  <c r="B2036"/>
  <c r="B1969"/>
  <c r="B1902"/>
  <c r="B1831"/>
  <c r="D11" i="13"/>
  <c r="B2393" i="18"/>
  <c r="B2324"/>
  <c r="B2253"/>
  <c r="B2185"/>
  <c r="B2117"/>
  <c r="B2049"/>
  <c r="B1981"/>
  <c r="B1913"/>
  <c r="B1844"/>
  <c r="B1774"/>
  <c r="B2426"/>
  <c r="B2360"/>
  <c r="B2288"/>
  <c r="B2217"/>
  <c r="B2149"/>
  <c r="B2081"/>
  <c r="B2014"/>
  <c r="B1945"/>
  <c r="B1878"/>
  <c r="B1807"/>
  <c r="B1738"/>
  <c r="B2399"/>
  <c r="B2330"/>
  <c r="B2259"/>
  <c r="B2192"/>
  <c r="B2124"/>
  <c r="B2056"/>
  <c r="B1988"/>
  <c r="B1919"/>
  <c r="B1851"/>
  <c r="B1780"/>
  <c r="B2374"/>
  <c r="B2303"/>
  <c r="B2232"/>
  <c r="B2163"/>
  <c r="B2097"/>
  <c r="B2028"/>
  <c r="B1960"/>
  <c r="B1892"/>
  <c r="B1823"/>
  <c r="B1753"/>
  <c r="B2414"/>
  <c r="B2347"/>
  <c r="B2276"/>
  <c r="B2206"/>
  <c r="B2138"/>
  <c r="B2070"/>
  <c r="B2002"/>
  <c r="B1933"/>
  <c r="B2385"/>
  <c r="B2314"/>
  <c r="B2244"/>
  <c r="B2175"/>
  <c r="B2109"/>
  <c r="B2039"/>
  <c r="B1972"/>
  <c r="B1905"/>
  <c r="B1834"/>
  <c r="B1766"/>
  <c r="B2417"/>
  <c r="B2350"/>
  <c r="B2280"/>
  <c r="B2209"/>
  <c r="B2141"/>
  <c r="B2073"/>
  <c r="B2005"/>
  <c r="B1937"/>
  <c r="B1869"/>
  <c r="B1798"/>
  <c r="B1728"/>
  <c r="B2391"/>
  <c r="B2321"/>
  <c r="B2251"/>
  <c r="B2183"/>
  <c r="B2115"/>
  <c r="B2046"/>
  <c r="B1979"/>
  <c r="B1911"/>
  <c r="B1842"/>
  <c r="B1772"/>
  <c r="B2433"/>
  <c r="B2366"/>
  <c r="B2295"/>
  <c r="B2223"/>
  <c r="B2155"/>
  <c r="B2087"/>
  <c r="B2020"/>
  <c r="B1951"/>
  <c r="B1884"/>
  <c r="B1814"/>
  <c r="B1744"/>
  <c r="B2406"/>
  <c r="B2338"/>
  <c r="B2266"/>
  <c r="B2198"/>
  <c r="B2130"/>
  <c r="B2062"/>
  <c r="B1994"/>
  <c r="B1925"/>
  <c r="B2429"/>
  <c r="B2377"/>
  <c r="B2306"/>
  <c r="B2235"/>
  <c r="B2166"/>
  <c r="B2100"/>
  <c r="B2031"/>
  <c r="B1963"/>
  <c r="B1895"/>
  <c r="B1826"/>
  <c r="B1757"/>
  <c r="B2409"/>
  <c r="B2341"/>
  <c r="B2270"/>
  <c r="B2201"/>
  <c r="B2133"/>
  <c r="B2065"/>
  <c r="B1997"/>
  <c r="B1928"/>
  <c r="B1861"/>
  <c r="B1789"/>
  <c r="B1720"/>
  <c r="B2383"/>
  <c r="B2312"/>
  <c r="B2242"/>
  <c r="B2173"/>
  <c r="B2107"/>
  <c r="B2037"/>
  <c r="B1970"/>
  <c r="B1903"/>
  <c r="B1832"/>
  <c r="B1764"/>
  <c r="B2423"/>
  <c r="B2358"/>
  <c r="B2286"/>
  <c r="B2215"/>
  <c r="B2147"/>
  <c r="B2079"/>
  <c r="B2012"/>
  <c r="B1943"/>
  <c r="B1875"/>
  <c r="B1805"/>
  <c r="B1735"/>
  <c r="B2397"/>
  <c r="B2328"/>
  <c r="B2257"/>
  <c r="B2189"/>
  <c r="B2121"/>
  <c r="B2054"/>
  <c r="B1986"/>
  <c r="B1917"/>
  <c r="B2369"/>
  <c r="B2298"/>
  <c r="B2226"/>
  <c r="B2158"/>
  <c r="B2090"/>
  <c r="B2023"/>
  <c r="B1954"/>
  <c r="B1887"/>
  <c r="B1817"/>
  <c r="B1747"/>
  <c r="B2400"/>
  <c r="B2331"/>
  <c r="B2260"/>
  <c r="B2193"/>
  <c r="B2125"/>
  <c r="B2057"/>
  <c r="B1989"/>
  <c r="B1920"/>
  <c r="B1852"/>
  <c r="B1781"/>
  <c r="B1712"/>
  <c r="B2375"/>
  <c r="B2304"/>
  <c r="B2233"/>
  <c r="B2164"/>
  <c r="B2098"/>
  <c r="B2029"/>
  <c r="B1961"/>
  <c r="B1893"/>
  <c r="B1824"/>
  <c r="B1754"/>
  <c r="B2415"/>
  <c r="B2348"/>
  <c r="B2278"/>
  <c r="B2207"/>
  <c r="B2139"/>
  <c r="B2071"/>
  <c r="B2003"/>
  <c r="B1935"/>
  <c r="B1867"/>
  <c r="B1795"/>
  <c r="B1726"/>
  <c r="B2389"/>
  <c r="B2319"/>
  <c r="B2248"/>
  <c r="B2180"/>
  <c r="B2113"/>
  <c r="B2044"/>
  <c r="B1976"/>
  <c r="B1909"/>
  <c r="B1839"/>
  <c r="B2074"/>
  <c r="B2313"/>
  <c r="B1765"/>
  <c r="B2013"/>
  <c r="B1727"/>
  <c r="B2191"/>
  <c r="B1978"/>
  <c r="B1779"/>
  <c r="B2373"/>
  <c r="B2230"/>
  <c r="B2095"/>
  <c r="B1959"/>
  <c r="B1858"/>
  <c r="B1778"/>
  <c r="B2430"/>
  <c r="B2363"/>
  <c r="B2292"/>
  <c r="B2220"/>
  <c r="B2152"/>
  <c r="B2084"/>
  <c r="B2017"/>
  <c r="B1948"/>
  <c r="B1881"/>
  <c r="B1810"/>
  <c r="B1741"/>
  <c r="B2282"/>
  <c r="B2007"/>
  <c r="B1730"/>
  <c r="B1646"/>
  <c r="B1579"/>
  <c r="B2006"/>
  <c r="B2243"/>
  <c r="B1944"/>
  <c r="B2182"/>
  <c r="B1926"/>
  <c r="B1771"/>
  <c r="B2365"/>
  <c r="B2222"/>
  <c r="B2086"/>
  <c r="B1950"/>
  <c r="B1848"/>
  <c r="B1770"/>
  <c r="B2420"/>
  <c r="B2354"/>
  <c r="B2283"/>
  <c r="B2212"/>
  <c r="B2144"/>
  <c r="B2076"/>
  <c r="B2009"/>
  <c r="B1940"/>
  <c r="B1872"/>
  <c r="B1801"/>
  <c r="B1731"/>
  <c r="B2245"/>
  <c r="B1973"/>
  <c r="B1709"/>
  <c r="B1638"/>
  <c r="B1571"/>
  <c r="B1499"/>
  <c r="B1429"/>
  <c r="B1360"/>
  <c r="B1290"/>
  <c r="B1224"/>
  <c r="B1154"/>
  <c r="B2169"/>
  <c r="B1899"/>
  <c r="B1691"/>
  <c r="B1619"/>
  <c r="B1552"/>
  <c r="B1481"/>
  <c r="B1410"/>
  <c r="B1341"/>
  <c r="B1273"/>
  <c r="B2411"/>
  <c r="B2135"/>
  <c r="B1863"/>
  <c r="B1680"/>
  <c r="B1610"/>
  <c r="B1542"/>
  <c r="B1471"/>
  <c r="B1401"/>
  <c r="B1331"/>
  <c r="B1263"/>
  <c r="B1196"/>
  <c r="B2301"/>
  <c r="B2026"/>
  <c r="B1750"/>
  <c r="B1651"/>
  <c r="B1584"/>
  <c r="B1514"/>
  <c r="B1443"/>
  <c r="B1374"/>
  <c r="B1304"/>
  <c r="B1237"/>
  <c r="B2334"/>
  <c r="B2059"/>
  <c r="B1783"/>
  <c r="B2219"/>
  <c r="B1947"/>
  <c r="B1703"/>
  <c r="B1632"/>
  <c r="B1564"/>
  <c r="B1492"/>
  <c r="B2213"/>
  <c r="B1941"/>
  <c r="B1701"/>
  <c r="B1631"/>
  <c r="B1563"/>
  <c r="B1491"/>
  <c r="B1420"/>
  <c r="B1938"/>
  <c r="B2174"/>
  <c r="B2425"/>
  <c r="B1936"/>
  <c r="B2398"/>
  <c r="B2122"/>
  <c r="B1918"/>
  <c r="B1763"/>
  <c r="B2356"/>
  <c r="B2214"/>
  <c r="B2078"/>
  <c r="B1942"/>
  <c r="B1830"/>
  <c r="B1762"/>
  <c r="B2412"/>
  <c r="B2345"/>
  <c r="B2274"/>
  <c r="B2204"/>
  <c r="B2136"/>
  <c r="B2068"/>
  <c r="B2000"/>
  <c r="B1931"/>
  <c r="B1864"/>
  <c r="B1792"/>
  <c r="B1723"/>
  <c r="B2211"/>
  <c r="B1939"/>
  <c r="B1700"/>
  <c r="B1630"/>
  <c r="B1562"/>
  <c r="B1490"/>
  <c r="B1419"/>
  <c r="B1351"/>
  <c r="B1282"/>
  <c r="B1215"/>
  <c r="B2413"/>
  <c r="B2137"/>
  <c r="B1865"/>
  <c r="B1681"/>
  <c r="B1611"/>
  <c r="B1543"/>
  <c r="B1473"/>
  <c r="B1402"/>
  <c r="B1332"/>
  <c r="B1264"/>
  <c r="B2378"/>
  <c r="B2101"/>
  <c r="B1827"/>
  <c r="B1672"/>
  <c r="B1602"/>
  <c r="B1533"/>
  <c r="B1461"/>
  <c r="B1392"/>
  <c r="B1322"/>
  <c r="B1255"/>
  <c r="B1187"/>
  <c r="B2265"/>
  <c r="B1993"/>
  <c r="B1716"/>
  <c r="B1643"/>
  <c r="B1576"/>
  <c r="B1504"/>
  <c r="B1435"/>
  <c r="B1366"/>
  <c r="B1295"/>
  <c r="B1229"/>
  <c r="B2299"/>
  <c r="B2024"/>
  <c r="B2186"/>
  <c r="B1914"/>
  <c r="B1694"/>
  <c r="B1622"/>
  <c r="B1555"/>
  <c r="B1484"/>
  <c r="B2179"/>
  <c r="B1908"/>
  <c r="B1693"/>
  <c r="B1621"/>
  <c r="B1554"/>
  <c r="B1483"/>
  <c r="B1412"/>
  <c r="B1343"/>
  <c r="B1275"/>
  <c r="B1649"/>
  <c r="B1406"/>
  <c r="B1870"/>
  <c r="B2108"/>
  <c r="B2359"/>
  <c r="B1877"/>
  <c r="B2390"/>
  <c r="B2114"/>
  <c r="B1910"/>
  <c r="B1718"/>
  <c r="B2310"/>
  <c r="B2170"/>
  <c r="B2035"/>
  <c r="B1901"/>
  <c r="B1822"/>
  <c r="B1752"/>
  <c r="B2404"/>
  <c r="B2335"/>
  <c r="B2264"/>
  <c r="B2196"/>
  <c r="B2128"/>
  <c r="B2060"/>
  <c r="B1992"/>
  <c r="B1923"/>
  <c r="B1856"/>
  <c r="B1784"/>
  <c r="B1715"/>
  <c r="B2177"/>
  <c r="B1906"/>
  <c r="B1692"/>
  <c r="B1620"/>
  <c r="B1553"/>
  <c r="B1482"/>
  <c r="B1411"/>
  <c r="B1342"/>
  <c r="B1274"/>
  <c r="B1206"/>
  <c r="B2380"/>
  <c r="B2103"/>
  <c r="B1829"/>
  <c r="B1673"/>
  <c r="B1603"/>
  <c r="B1534"/>
  <c r="B1463"/>
  <c r="B1393"/>
  <c r="B1323"/>
  <c r="B1256"/>
  <c r="B2344"/>
  <c r="B2067"/>
  <c r="B1791"/>
  <c r="B2351"/>
  <c r="B1799"/>
  <c r="B2038"/>
  <c r="B2287"/>
  <c r="B1868"/>
  <c r="B2329"/>
  <c r="B2055"/>
  <c r="B1859"/>
  <c r="B2302"/>
  <c r="B2162"/>
  <c r="B2027"/>
  <c r="B1891"/>
  <c r="B1813"/>
  <c r="B1743"/>
  <c r="B2395"/>
  <c r="B2326"/>
  <c r="B2255"/>
  <c r="B2187"/>
  <c r="B2119"/>
  <c r="B2051"/>
  <c r="B1984"/>
  <c r="B1915"/>
  <c r="B1846"/>
  <c r="B1776"/>
  <c r="B2419"/>
  <c r="B2143"/>
  <c r="B1871"/>
  <c r="B1682"/>
  <c r="B1612"/>
  <c r="B1544"/>
  <c r="B1474"/>
  <c r="B1403"/>
  <c r="B1333"/>
  <c r="B1265"/>
  <c r="B1198"/>
  <c r="B2346"/>
  <c r="B2069"/>
  <c r="B1793"/>
  <c r="B1663"/>
  <c r="B1595"/>
  <c r="B1525"/>
  <c r="B1453"/>
  <c r="B1385"/>
  <c r="B1314"/>
  <c r="B1247"/>
  <c r="B2307"/>
  <c r="B2032"/>
  <c r="B1758"/>
  <c r="B1652"/>
  <c r="B1585"/>
  <c r="B1515"/>
  <c r="B1444"/>
  <c r="B1375"/>
  <c r="B1305"/>
  <c r="B1238"/>
  <c r="B1169"/>
  <c r="B2197"/>
  <c r="B1924"/>
  <c r="B1697"/>
  <c r="B1626"/>
  <c r="B1559"/>
  <c r="B1487"/>
  <c r="B1416"/>
  <c r="B1348"/>
  <c r="B1279"/>
  <c r="B1212"/>
  <c r="B2227"/>
  <c r="B1956"/>
  <c r="B2394"/>
  <c r="B2118"/>
  <c r="B1845"/>
  <c r="B1676"/>
  <c r="B1606"/>
  <c r="B2281"/>
  <c r="B1729"/>
  <c r="B1971"/>
  <c r="B2216"/>
  <c r="B1806"/>
  <c r="B2320"/>
  <c r="B2045"/>
  <c r="B1850"/>
  <c r="B2432"/>
  <c r="B2294"/>
  <c r="B2154"/>
  <c r="B2019"/>
  <c r="B1883"/>
  <c r="B1804"/>
  <c r="B1734"/>
  <c r="B2387"/>
  <c r="B2316"/>
  <c r="B2246"/>
  <c r="B2178"/>
  <c r="B2111"/>
  <c r="B2041"/>
  <c r="B1974"/>
  <c r="B1907"/>
  <c r="B1837"/>
  <c r="B1768"/>
  <c r="B2386"/>
  <c r="B2110"/>
  <c r="B1836"/>
  <c r="B1674"/>
  <c r="B1604"/>
  <c r="B1536"/>
  <c r="B1464"/>
  <c r="B1394"/>
  <c r="B1324"/>
  <c r="B1257"/>
  <c r="B1189"/>
  <c r="B2309"/>
  <c r="B2034"/>
  <c r="B1760"/>
  <c r="B1653"/>
  <c r="B1586"/>
  <c r="B1516"/>
  <c r="B1445"/>
  <c r="B1376"/>
  <c r="B1306"/>
  <c r="B1239"/>
  <c r="B2273"/>
  <c r="B1999"/>
  <c r="B1722"/>
  <c r="B1644"/>
  <c r="B1577"/>
  <c r="B1505"/>
  <c r="B1436"/>
  <c r="B1367"/>
  <c r="B1296"/>
  <c r="B1230"/>
  <c r="B1161"/>
  <c r="B2161"/>
  <c r="B1890"/>
  <c r="B1689"/>
  <c r="B1617"/>
  <c r="B1550"/>
  <c r="B1479"/>
  <c r="B1408"/>
  <c r="B1339"/>
  <c r="B1271"/>
  <c r="B1203"/>
  <c r="B2195"/>
  <c r="B1405"/>
  <c r="B1642"/>
  <c r="B1582"/>
  <c r="B1439"/>
  <c r="B1528"/>
  <c r="B1613"/>
  <c r="B1733"/>
  <c r="B2077"/>
  <c r="B2421"/>
  <c r="B1581"/>
  <c r="B1685"/>
  <c r="B2050"/>
  <c r="B2159"/>
  <c r="B1399"/>
  <c r="B1541"/>
  <c r="B1679"/>
  <c r="B2129"/>
  <c r="B1497"/>
  <c r="B1636"/>
  <c r="B2167"/>
  <c r="B1297"/>
  <c r="B1498"/>
  <c r="B1699"/>
  <c r="B2275"/>
  <c r="B1307"/>
  <c r="B1508"/>
  <c r="B1800"/>
  <c r="B1828"/>
  <c r="B2102"/>
  <c r="B2379"/>
  <c r="B2011"/>
  <c r="B1787"/>
  <c r="B1796"/>
  <c r="B2142"/>
  <c r="B1574"/>
  <c r="B1424"/>
  <c r="B1678"/>
  <c r="B1615"/>
  <c r="B1447"/>
  <c r="B1537"/>
  <c r="B1639"/>
  <c r="B1769"/>
  <c r="B2112"/>
  <c r="B1501"/>
  <c r="B1590"/>
  <c r="B1711"/>
  <c r="B2083"/>
  <c r="B1818"/>
  <c r="B2263"/>
  <c r="B1287"/>
  <c r="B1425"/>
  <c r="B1568"/>
  <c r="B1706"/>
  <c r="B2229"/>
  <c r="B1246"/>
  <c r="B1384"/>
  <c r="B1524"/>
  <c r="B1662"/>
  <c r="B2203"/>
  <c r="B1350"/>
  <c r="B1506"/>
  <c r="B1708"/>
  <c r="B1163"/>
  <c r="B1315"/>
  <c r="B1518"/>
  <c r="B2040"/>
  <c r="B1889"/>
  <c r="B2160"/>
  <c r="B1717"/>
  <c r="B2104"/>
  <c r="B1841"/>
  <c r="B2080"/>
  <c r="B2210"/>
  <c r="B1422"/>
  <c r="B1669"/>
  <c r="B1607"/>
  <c r="B1449"/>
  <c r="B1714"/>
  <c r="B1686"/>
  <c r="B1455"/>
  <c r="B1546"/>
  <c r="B1647"/>
  <c r="B1803"/>
  <c r="B2145"/>
  <c r="B1510"/>
  <c r="B1598"/>
  <c r="B1740"/>
  <c r="B2151"/>
  <c r="B1855"/>
  <c r="B2370"/>
  <c r="B1312"/>
  <c r="B1451"/>
  <c r="B1593"/>
  <c r="B1785"/>
  <c r="B2336"/>
  <c r="B1272"/>
  <c r="B1409"/>
  <c r="B1551"/>
  <c r="B1690"/>
  <c r="B2237"/>
  <c r="B1359"/>
  <c r="B1561"/>
  <c r="B1724"/>
  <c r="B1171"/>
  <c r="B1369"/>
  <c r="B1527"/>
  <c r="B2075"/>
  <c r="B1897"/>
  <c r="B2168"/>
  <c r="B1725"/>
  <c r="B2146"/>
  <c r="B1987"/>
  <c r="B2148"/>
  <c r="B1398"/>
  <c r="B1641"/>
  <c r="B1476"/>
  <c r="B1949"/>
  <c r="B1432"/>
  <c r="B1742"/>
  <c r="B1465"/>
  <c r="B1572"/>
  <c r="B1656"/>
  <c r="B1838"/>
  <c r="B2247"/>
  <c r="B1520"/>
  <c r="B1614"/>
  <c r="B1775"/>
  <c r="B2254"/>
  <c r="B1888"/>
  <c r="B2403"/>
  <c r="B1321"/>
  <c r="B1460"/>
  <c r="B1601"/>
  <c r="B1821"/>
  <c r="B2372"/>
  <c r="B1280"/>
  <c r="B1417"/>
  <c r="B1560"/>
  <c r="B1698"/>
  <c r="B1214"/>
  <c r="B1368"/>
  <c r="B1570"/>
  <c r="B1932"/>
  <c r="B1181"/>
  <c r="B1377"/>
  <c r="B1587"/>
  <c r="B2315"/>
  <c r="B1957"/>
  <c r="B2228"/>
  <c r="B1786"/>
  <c r="B2240"/>
  <c r="B1995"/>
  <c r="B1503"/>
  <c r="B2221"/>
  <c r="B1450"/>
  <c r="B1985"/>
  <c r="B1475"/>
  <c r="B1580"/>
  <c r="B1666"/>
  <c r="B1873"/>
  <c r="B2284"/>
  <c r="B1529"/>
  <c r="B1640"/>
  <c r="B1809"/>
  <c r="B2290"/>
  <c r="B1922"/>
  <c r="B1470"/>
  <c r="B1609"/>
  <c r="B1857"/>
  <c r="B2405"/>
  <c r="B1288"/>
  <c r="B1427"/>
  <c r="B1569"/>
  <c r="B1707"/>
  <c r="B1223"/>
  <c r="B1418"/>
  <c r="B1578"/>
  <c r="B1966"/>
  <c r="B1232"/>
  <c r="B1386"/>
  <c r="B1596"/>
  <c r="B2353"/>
  <c r="B1965"/>
  <c r="B2238"/>
  <c r="B1794"/>
  <c r="B2285"/>
  <c r="B2250"/>
  <c r="B1833"/>
  <c r="B1448"/>
  <c r="B1713"/>
  <c r="B1540"/>
  <c r="B1477"/>
  <c r="B2256"/>
  <c r="B1395"/>
  <c r="B1500"/>
  <c r="B1589"/>
  <c r="B1675"/>
  <c r="B1975"/>
  <c r="B1538"/>
  <c r="B1648"/>
  <c r="B1880"/>
  <c r="B2325"/>
  <c r="B1991"/>
  <c r="B1221"/>
  <c r="B1357"/>
  <c r="B1496"/>
  <c r="B1635"/>
  <c r="B1958"/>
  <c r="B1179"/>
  <c r="B1313"/>
  <c r="B1452"/>
  <c r="B1594"/>
  <c r="B1896"/>
  <c r="B1231"/>
  <c r="B1428"/>
  <c r="B1629"/>
  <c r="B2001"/>
  <c r="B1240"/>
  <c r="B1438"/>
  <c r="B1654"/>
  <c r="B1749"/>
  <c r="B2025"/>
  <c r="B2300"/>
  <c r="B1866"/>
  <c r="B2381"/>
  <c r="B2258"/>
  <c r="B1904"/>
  <c r="R15" i="2"/>
  <c r="R12" s="1"/>
  <c r="D25" i="11" s="1"/>
  <c r="P12" i="2"/>
  <c r="D23" i="11" s="1"/>
  <c r="D30"/>
  <c r="D41" l="1"/>
  <c r="D18" i="13"/>
  <c r="D14"/>
  <c r="D12"/>
  <c r="D16"/>
  <c r="D15"/>
  <c r="D17"/>
  <c r="E11"/>
  <c r="D13"/>
  <c r="F11" l="1"/>
  <c r="E16"/>
  <c r="E15"/>
  <c r="E18"/>
  <c r="E13"/>
  <c r="E17"/>
  <c r="D20"/>
  <c r="E20" l="1"/>
  <c r="F14"/>
  <c r="F12"/>
  <c r="F16"/>
  <c r="F18"/>
  <c r="F15"/>
  <c r="G11"/>
  <c r="F13"/>
  <c r="F17"/>
  <c r="F20" l="1"/>
  <c r="G17"/>
  <c r="G14"/>
  <c r="H11"/>
  <c r="G12"/>
  <c r="G18"/>
  <c r="G16"/>
  <c r="G15"/>
  <c r="G13"/>
  <c r="G20" l="1"/>
  <c r="H12"/>
  <c r="H16"/>
  <c r="H17"/>
  <c r="H14"/>
  <c r="H15"/>
  <c r="H18"/>
  <c r="H13"/>
  <c r="I11"/>
  <c r="H20" l="1"/>
  <c r="I14"/>
  <c r="I17"/>
  <c r="J11"/>
  <c r="I18"/>
  <c r="I13"/>
  <c r="I15"/>
  <c r="I16"/>
  <c r="I12"/>
  <c r="I20" l="1"/>
  <c r="J14"/>
  <c r="J13"/>
  <c r="K11"/>
  <c r="J12"/>
  <c r="J18"/>
  <c r="J17"/>
  <c r="J16"/>
  <c r="J15"/>
  <c r="J20" l="1"/>
  <c r="K15"/>
  <c r="K14"/>
  <c r="K12"/>
  <c r="K18"/>
  <c r="K13"/>
  <c r="L11"/>
  <c r="K17"/>
  <c r="K16"/>
  <c r="K20" l="1"/>
  <c r="L15"/>
  <c r="L14"/>
  <c r="L12"/>
  <c r="L13"/>
  <c r="L18"/>
  <c r="M18" s="1"/>
  <c r="N18" s="1"/>
  <c r="L17"/>
  <c r="L16"/>
  <c r="M14" l="1"/>
  <c r="N14" s="1"/>
  <c r="M16"/>
  <c r="N16" s="1"/>
  <c r="M12"/>
  <c r="L20"/>
  <c r="N12" l="1"/>
  <c r="N20" s="1"/>
  <c r="M20"/>
</calcChain>
</file>

<file path=xl/sharedStrings.xml><?xml version="1.0" encoding="utf-8"?>
<sst xmlns="http://schemas.openxmlformats.org/spreadsheetml/2006/main" count="6647" uniqueCount="1497">
  <si>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</si>
  <si>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</si>
  <si>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</si>
  <si>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</si>
  <si>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</si>
  <si>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</si>
  <si>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</si>
  <si>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</si>
  <si>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</si>
  <si>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</si>
  <si>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</si>
  <si>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</si>
  <si>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</si>
  <si>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</si>
  <si>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</si>
  <si>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</si>
  <si>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</si>
  <si>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</si>
  <si>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</si>
  <si>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</si>
  <si>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</si>
  <si>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</si>
  <si>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</si>
  <si>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</si>
  <si>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</si>
  <si>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</si>
  <si>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</si>
  <si>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</si>
  <si>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</si>
  <si>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</si>
  <si>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</si>
  <si>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</si>
  <si>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</si>
  <si>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</si>
  <si>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</si>
  <si>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</si>
  <si>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</si>
  <si>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</si>
  <si>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</si>
  <si>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</si>
  <si>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</si>
  <si>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</si>
  <si>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</si>
  <si>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</si>
  <si>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</si>
  <si>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</si>
  <si>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</si>
  <si>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</si>
  <si>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</si>
  <si>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</si>
  <si>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</si>
  <si>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</si>
  <si>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</si>
  <si>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</si>
  <si>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</si>
  <si>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</si>
  <si>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</si>
  <si>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</si>
  <si>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</si>
  <si>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</si>
  <si>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</si>
  <si>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</si>
  <si>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</si>
  <si>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</si>
  <si>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</si>
  <si>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</si>
  <si>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</si>
  <si>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</si>
  <si>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</si>
  <si>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</si>
  <si>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</si>
  <si>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</si>
  <si>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</si>
  <si>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</si>
  <si>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</si>
  <si>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</si>
  <si>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</si>
  <si>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</si>
  <si>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</si>
  <si>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</si>
  <si>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</si>
  <si>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</si>
  <si>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</si>
  <si>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</si>
  <si>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</si>
  <si>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</si>
  <si>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</si>
  <si>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</si>
  <si>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</si>
  <si>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</si>
  <si>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</si>
  <si>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</si>
  <si>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</si>
  <si>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</si>
  <si>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</si>
  <si>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</si>
  <si>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</si>
  <si>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</si>
  <si>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</si>
  <si>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</si>
  <si>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</si>
  <si>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</si>
  <si>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</si>
  <si>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</si>
  <si>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</si>
  <si>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</si>
  <si>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</si>
  <si>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</si>
  <si>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</si>
  <si>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</si>
  <si>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</si>
  <si>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</si>
  <si>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</si>
  <si>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</si>
  <si>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</si>
  <si>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</si>
  <si>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</si>
  <si>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</si>
  <si>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</si>
  <si>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</si>
  <si>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</si>
  <si>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</si>
  <si>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</si>
  <si>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</si>
  <si>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</si>
  <si>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</si>
  <si>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</si>
  <si>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</si>
  <si>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</si>
  <si>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</si>
  <si>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</si>
  <si>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</si>
  <si>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</si>
  <si>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</si>
  <si>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</si>
  <si>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</si>
  <si>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</si>
  <si>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</si>
  <si>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</si>
  <si>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</si>
  <si>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</si>
  <si>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</si>
  <si>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</si>
  <si>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</si>
  <si>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</si>
  <si>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</si>
  <si>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</si>
  <si>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</si>
  <si>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</si>
  <si>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</si>
  <si>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</si>
  <si>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</si>
  <si>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</si>
  <si>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</si>
  <si>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</si>
  <si>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</si>
  <si>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</si>
  <si>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</si>
  <si>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</si>
  <si>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</si>
  <si>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</si>
  <si>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</si>
  <si>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</si>
  <si>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</si>
  <si>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</si>
  <si>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</si>
  <si>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</si>
  <si>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</si>
  <si>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</si>
  <si>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</si>
  <si>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</si>
  <si>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</si>
  <si>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</si>
  <si>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</si>
  <si>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</si>
  <si>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</si>
  <si>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</si>
  <si>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</si>
  <si>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</si>
  <si>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</si>
  <si>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</si>
  <si>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</si>
  <si>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</si>
  <si>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</si>
  <si>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</si>
  <si>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</si>
  <si>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</si>
  <si>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</si>
  <si>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</si>
  <si>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</si>
  <si>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</si>
  <si>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</si>
  <si>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</si>
  <si>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</si>
  <si>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</si>
  <si>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</si>
  <si>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</si>
  <si>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</si>
  <si>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</si>
  <si>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</si>
  <si>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</si>
  <si>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</si>
  <si>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</si>
  <si>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</si>
  <si>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</si>
  <si>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</si>
  <si>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</si>
  <si>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</si>
  <si>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</si>
  <si>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</si>
  <si>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</si>
  <si>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</si>
  <si>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</si>
  <si>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</si>
  <si>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</si>
  <si>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</si>
  <si>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</si>
  <si>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</si>
  <si>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</si>
  <si>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</si>
  <si>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</si>
  <si>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</si>
  <si>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</si>
  <si>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</si>
  <si>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</si>
  <si>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</si>
  <si>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</si>
  <si>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</si>
  <si>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</si>
  <si>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</si>
  <si>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</si>
  <si>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</si>
  <si>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</si>
  <si>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</si>
  <si>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</si>
  <si>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</si>
  <si>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</si>
  <si>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</si>
  <si>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</si>
  <si>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</si>
  <si>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</si>
  <si>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</si>
  <si>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</si>
  <si>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</si>
  <si>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</si>
  <si>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</si>
  <si>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</si>
  <si>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</si>
  <si>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</si>
  <si>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</si>
  <si>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</si>
  <si>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</si>
  <si>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</si>
  <si>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</si>
  <si>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</si>
  <si>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</si>
  <si>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</si>
  <si>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</si>
  <si>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</si>
  <si>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</si>
  <si>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</si>
  <si>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</si>
  <si>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</si>
  <si>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</si>
  <si>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</si>
  <si>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</si>
  <si>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</si>
  <si>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</si>
  <si>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</si>
  <si>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</si>
  <si>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</si>
  <si>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</si>
  <si>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</si>
  <si>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</si>
  <si>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</si>
  <si>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</si>
  <si>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</si>
  <si>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</si>
  <si>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</si>
  <si>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</si>
  <si>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</si>
  <si>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</si>
  <si>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</si>
  <si>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</si>
  <si>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</si>
  <si>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</si>
  <si>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</si>
  <si>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</si>
  <si>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</si>
  <si>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</si>
  <si>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</si>
  <si>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</si>
  <si>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</si>
  <si>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</si>
  <si>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</si>
  <si>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</si>
  <si>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</si>
  <si>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</si>
  <si>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</si>
  <si>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</si>
  <si>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</si>
  <si>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</si>
  <si>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</si>
  <si>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</si>
  <si>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</si>
  <si>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</si>
  <si>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</si>
  <si>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</si>
  <si>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</si>
  <si>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</si>
  <si>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</si>
  <si>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</si>
  <si>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</si>
  <si>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</si>
  <si>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</si>
  <si>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</si>
  <si>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</si>
  <si>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</si>
  <si>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</si>
  <si>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</si>
  <si>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</si>
  <si>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</si>
  <si>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</si>
  <si>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</si>
  <si>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</si>
  <si>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</si>
  <si>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</si>
  <si>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</si>
  <si>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</si>
  <si>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</si>
  <si>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</si>
  <si>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</si>
  <si>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</si>
  <si>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</si>
  <si>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</si>
  <si>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</si>
  <si>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</si>
  <si>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</si>
  <si>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</si>
  <si>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</si>
  <si>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</si>
  <si>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</si>
  <si>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</si>
  <si>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</si>
  <si>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</si>
  <si>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</si>
  <si>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</si>
  <si>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</si>
  <si>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</si>
  <si>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</si>
  <si>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</si>
  <si>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</si>
  <si>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</si>
  <si>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</si>
  <si>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</si>
  <si>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</si>
  <si>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</si>
  <si>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</si>
  <si>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</si>
  <si>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</si>
  <si>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</si>
  <si>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</si>
  <si>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</si>
  <si>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</si>
  <si>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</si>
  <si>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</si>
  <si>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</si>
  <si>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</si>
  <si>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</si>
  <si>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</si>
  <si>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</si>
  <si>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</si>
  <si>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</si>
  <si>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</si>
  <si>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</si>
  <si>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</si>
  <si>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</si>
  <si>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</si>
  <si>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</si>
  <si>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</si>
  <si>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</si>
  <si>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</si>
  <si>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</si>
  <si>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</si>
  <si>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</si>
  <si>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</si>
  <si>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</si>
  <si>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</si>
  <si>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</si>
  <si>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</si>
  <si>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</si>
  <si>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</si>
  <si>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</si>
  <si>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</si>
  <si>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</si>
  <si>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</si>
  <si>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</si>
  <si>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</si>
  <si>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</si>
  <si>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</si>
  <si>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</si>
  <si>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</si>
  <si>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</si>
  <si>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</si>
  <si>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</si>
  <si>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</si>
  <si>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</si>
  <si>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</si>
  <si>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</si>
  <si>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</si>
  <si>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</si>
  <si>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</si>
  <si>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</si>
  <si>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</si>
  <si>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</si>
  <si>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</si>
  <si>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</si>
  <si>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</si>
  <si>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</si>
  <si>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</si>
  <si>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</si>
  <si>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</si>
  <si>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</si>
  <si>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</si>
  <si>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</si>
  <si>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</si>
  <si>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</si>
  <si>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</si>
  <si>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</si>
  <si>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</si>
  <si>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</si>
  <si>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</si>
  <si>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</si>
  <si>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</si>
  <si>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</si>
  <si>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</si>
  <si>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</si>
  <si>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</si>
  <si>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</si>
  <si>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</si>
  <si>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</si>
  <si>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</si>
  <si>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</si>
  <si>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</si>
  <si>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</si>
  <si>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</si>
  <si>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</si>
  <si>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</si>
  <si>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</si>
  <si>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</si>
  <si>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</si>
  <si>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</si>
  <si>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</si>
  <si>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</si>
  <si>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</si>
  <si>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</si>
  <si>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</si>
  <si>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</si>
  <si>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</si>
  <si>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</si>
  <si>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</si>
  <si>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</si>
  <si>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</si>
  <si>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</si>
  <si>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</si>
  <si>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</si>
  <si>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</si>
  <si>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</si>
  <si>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</si>
  <si>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</si>
  <si>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</si>
  <si>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</si>
  <si>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</si>
  <si>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</si>
  <si>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</si>
  <si>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</si>
  <si>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</si>
  <si>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</si>
  <si>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</si>
  <si>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</si>
  <si>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</si>
  <si>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</si>
  <si>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</si>
  <si>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</si>
  <si>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</si>
  <si>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</si>
  <si>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</si>
  <si>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</si>
  <si>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</si>
  <si>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</si>
  <si>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</si>
  <si>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</si>
  <si>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</si>
  <si>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</si>
  <si>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</si>
  <si>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</si>
  <si>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</si>
  <si>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</si>
  <si>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</si>
  <si>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</si>
  <si>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</si>
  <si>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</si>
  <si>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</si>
  <si>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</si>
  <si>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</si>
  <si>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</si>
  <si>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</si>
  <si>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</si>
  <si>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</si>
  <si>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</si>
  <si>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</si>
  <si>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</si>
  <si>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</si>
  <si>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</si>
  <si>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</si>
  <si>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</si>
  <si>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</si>
  <si>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</si>
  <si>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</si>
  <si>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</si>
  <si>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</si>
  <si>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</si>
  <si>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</si>
  <si>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</si>
  <si>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</si>
  <si>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</si>
  <si>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</si>
  <si>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</si>
  <si>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</si>
  <si>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</si>
  <si>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</si>
  <si>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</si>
  <si>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</si>
  <si>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</si>
  <si>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</si>
  <si>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</si>
  <si>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</si>
  <si>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</si>
  <si>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</si>
  <si>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</si>
  <si>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</si>
  <si>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</si>
  <si>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</si>
  <si>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</si>
  <si>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</si>
  <si>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</si>
  <si>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</si>
  <si>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</si>
  <si>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</si>
  <si>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</si>
  <si>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</si>
  <si>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</si>
  <si>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</si>
  <si>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</si>
  <si>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</si>
  <si>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</si>
  <si>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</si>
  <si>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</si>
  <si>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</si>
  <si>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</si>
  <si>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</si>
  <si>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</si>
  <si>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</si>
  <si>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</si>
  <si>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</si>
  <si>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</si>
  <si>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</si>
  <si>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</si>
  <si>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</si>
  <si>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</si>
  <si>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</si>
  <si>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</si>
  <si>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</si>
  <si>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</si>
  <si>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</si>
  <si>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</si>
  <si>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</si>
  <si>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</si>
  <si>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</si>
  <si>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</si>
  <si>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</si>
  <si>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</si>
  <si>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</si>
  <si>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</si>
  <si>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</si>
  <si>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</si>
  <si>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</si>
  <si>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</si>
  <si>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</si>
  <si>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</si>
  <si>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</si>
  <si>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</si>
  <si>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</si>
  <si>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</si>
  <si>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</si>
  <si>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</si>
  <si>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</si>
  <si>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</si>
  <si>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</si>
  <si>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</si>
  <si>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</si>
  <si>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</si>
  <si>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</si>
  <si>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</si>
  <si>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</si>
  <si>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</si>
  <si>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</si>
  <si>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</si>
  <si>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</si>
  <si>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</si>
  <si>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</si>
  <si>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</si>
  <si>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</si>
  <si>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</si>
  <si>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</si>
  <si>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</si>
  <si>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</si>
  <si>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</si>
  <si>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</si>
  <si>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</si>
  <si>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</si>
  <si>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</si>
  <si>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</si>
  <si>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</si>
  <si>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</si>
  <si>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</si>
  <si>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</si>
  <si>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</si>
  <si>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</si>
  <si>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</si>
  <si>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</si>
  <si>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</si>
  <si>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</si>
  <si>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</si>
  <si>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</si>
  <si>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</si>
  <si>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</si>
  <si>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</si>
  <si>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</si>
  <si>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</si>
  <si>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</si>
  <si>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</si>
  <si>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</si>
  <si>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</si>
  <si>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</si>
  <si>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</si>
  <si>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</si>
  <si>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</si>
  <si>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</si>
  <si>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</si>
  <si>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</si>
  <si>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</si>
  <si>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</si>
  <si>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</si>
  <si>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</si>
  <si>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</si>
  <si>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</si>
  <si>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</si>
  <si>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</si>
  <si>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</si>
  <si>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</si>
  <si>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</si>
  <si>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</si>
  <si>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</si>
  <si>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</si>
  <si>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</si>
  <si>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</si>
  <si>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</si>
  <si>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</si>
  <si>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</si>
  <si>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</si>
  <si>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</si>
  <si>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</si>
  <si>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</si>
  <si>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</si>
  <si>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</si>
  <si>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</si>
  <si>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</si>
  <si>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</si>
  <si>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</si>
  <si>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</si>
  <si>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</si>
  <si>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</si>
  <si>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</si>
  <si>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</si>
  <si>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</si>
  <si>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</si>
  <si>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</si>
  <si>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</si>
  <si>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</si>
  <si>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</si>
  <si>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</si>
  <si>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</si>
  <si>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</si>
  <si>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</si>
  <si>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</si>
  <si>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</si>
  <si>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</si>
  <si>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</si>
  <si>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</si>
  <si>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</si>
  <si>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</si>
  <si>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</si>
  <si>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</si>
  <si>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</si>
  <si>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</si>
  <si>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</si>
  <si>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</si>
  <si>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</si>
  <si>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</si>
  <si>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</si>
  <si>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</si>
  <si>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</si>
  <si>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</si>
  <si>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</si>
  <si>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</si>
  <si>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</si>
  <si>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</si>
  <si>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</si>
  <si>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</si>
  <si>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</si>
  <si>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</si>
  <si>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</si>
  <si>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</si>
  <si>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</si>
  <si>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</si>
  <si>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</si>
  <si>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</si>
  <si>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</si>
  <si>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</si>
  <si>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</si>
  <si>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</si>
  <si>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</si>
  <si>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</si>
  <si>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</si>
  <si>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</si>
  <si>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</si>
  <si>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</si>
  <si>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</si>
  <si>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</si>
  <si>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</si>
  <si>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</si>
  <si>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</si>
  <si>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</si>
  <si>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</si>
  <si>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</si>
  <si>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</si>
  <si>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</si>
  <si>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</si>
  <si>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</si>
  <si>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</si>
  <si>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</si>
  <si>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</si>
  <si>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</si>
  <si>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</si>
  <si>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</si>
  <si>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</si>
  <si>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</si>
  <si>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</si>
  <si>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</si>
  <si>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</si>
  <si>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</si>
  <si>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</si>
  <si>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</si>
  <si>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</si>
  <si>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</si>
  <si>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</si>
  <si>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</si>
  <si>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</si>
  <si>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</si>
  <si>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</si>
  <si>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</si>
  <si>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</si>
  <si>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</si>
  <si>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</si>
  <si>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</si>
  <si>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</si>
  <si>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</si>
  <si>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</si>
  <si>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</si>
  <si>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</si>
  <si>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</si>
  <si>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</si>
  <si>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</si>
  <si>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</si>
  <si>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</si>
  <si>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</si>
  <si>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</si>
  <si>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</si>
  <si>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</si>
  <si>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</si>
  <si>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</si>
  <si>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</si>
  <si>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</si>
  <si>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</si>
  <si>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</si>
  <si>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</si>
  <si>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</si>
  <si>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</si>
  <si>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</si>
  <si>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</si>
  <si>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</si>
  <si>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</si>
  <si>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</si>
  <si>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</si>
  <si>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</si>
  <si>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</si>
  <si>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</si>
  <si>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</si>
  <si>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</si>
  <si>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</si>
  <si>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</si>
  <si>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</si>
  <si>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</si>
  <si>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</si>
  <si>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</si>
  <si>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</si>
  <si>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</si>
  <si>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</si>
  <si>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</si>
  <si>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</si>
  <si>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</si>
  <si>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</si>
  <si>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</si>
  <si>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</si>
  <si>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</si>
  <si>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</si>
  <si>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</si>
  <si>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</si>
  <si>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</si>
  <si>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</si>
  <si>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</si>
  <si>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</si>
  <si>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</si>
  <si>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</si>
  <si>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</si>
  <si>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</si>
  <si>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</si>
  <si>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</si>
  <si>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</si>
  <si>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</si>
  <si>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</si>
  <si>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</si>
  <si>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</si>
  <si>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</si>
  <si>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</si>
  <si>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</si>
  <si>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</si>
  <si>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</si>
  <si>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</si>
  <si>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</si>
  <si>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</si>
  <si>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</si>
  <si>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</si>
  <si>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</si>
  <si>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</si>
  <si>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</si>
  <si>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</si>
  <si>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</si>
  <si>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</si>
  <si>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</si>
  <si>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</si>
  <si>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</si>
  <si>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</si>
  <si>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</si>
  <si>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</si>
  <si>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</si>
  <si>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</si>
  <si>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</si>
  <si>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</si>
  <si>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</si>
  <si>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</si>
  <si>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</si>
  <si>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</si>
  <si>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</si>
  <si>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</si>
  <si>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</si>
  <si>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</si>
  <si>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</si>
  <si>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</si>
  <si>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</si>
  <si>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</si>
  <si>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</si>
  <si>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</si>
  <si>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</si>
  <si>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</si>
  <si>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</si>
  <si>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</si>
  <si>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</si>
  <si>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</si>
  <si>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</si>
  <si>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</si>
  <si>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</si>
  <si>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</si>
  <si>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</si>
  <si>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</si>
  <si>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</si>
  <si>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</si>
  <si>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</si>
  <si>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</si>
  <si>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</si>
  <si>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</si>
  <si>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</si>
  <si>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</si>
  <si>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</si>
  <si>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</si>
  <si>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</si>
  <si>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</si>
  <si>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</si>
  <si>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</si>
  <si>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</si>
  <si>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</si>
  <si>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</si>
  <si>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</si>
  <si>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</si>
  <si>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</si>
  <si>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</si>
  <si>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</si>
  <si>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</si>
  <si>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</si>
  <si>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</si>
  <si>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</si>
  <si>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</si>
  <si>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</si>
  <si>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</si>
  <si>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</si>
  <si>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</si>
  <si>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</si>
  <si>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</si>
  <si>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</si>
  <si>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</si>
  <si>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</si>
  <si>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</si>
  <si>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</si>
  <si>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</si>
  <si>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</si>
  <si>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</si>
  <si>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</si>
  <si>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</si>
  <si>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</si>
  <si>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</si>
  <si>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</si>
  <si>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</si>
  <si>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</si>
  <si>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</si>
  <si>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</si>
  <si>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</si>
  <si>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</si>
  <si>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</si>
  <si>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</si>
  <si>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</si>
  <si>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</si>
  <si>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</si>
  <si>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</si>
  <si>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</si>
  <si>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</si>
  <si>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</si>
  <si>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</si>
  <si>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</si>
  <si>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</si>
  <si>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</si>
  <si>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</si>
  <si>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</si>
  <si>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</si>
  <si>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</si>
  <si>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</si>
  <si>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</si>
  <si>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</si>
  <si>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</si>
  <si>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</si>
  <si>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</si>
  <si>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</si>
  <si>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</si>
  <si>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</si>
  <si>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</si>
  <si>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</si>
  <si>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</si>
  <si>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</si>
  <si>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</si>
  <si>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</si>
  <si>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</si>
  <si>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</si>
  <si>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</si>
  <si>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</si>
  <si>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</si>
  <si>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</si>
  <si>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</si>
  <si>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</si>
  <si>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</si>
  <si>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</si>
  <si>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</si>
  <si>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</si>
  <si>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</si>
  <si>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</si>
  <si>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</si>
  <si>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</si>
  <si>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</si>
  <si>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</si>
  <si>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</si>
  <si>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</si>
  <si>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</si>
  <si>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</si>
  <si>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</si>
  <si>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</si>
  <si>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</si>
  <si>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</si>
  <si>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</si>
  <si>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</si>
  <si>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</si>
  <si>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</si>
  <si>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</si>
  <si>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</si>
  <si>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</si>
  <si>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</si>
  <si>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</si>
  <si>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</si>
  <si>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</si>
  <si>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</si>
  <si>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</si>
  <si>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</si>
  <si>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</si>
  <si>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</si>
  <si>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</si>
  <si>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</si>
  <si>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</si>
  <si>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</si>
  <si>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</si>
  <si>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</si>
  <si>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</si>
  <si>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</si>
  <si>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</si>
  <si>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</si>
  <si>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</si>
  <si>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</si>
  <si>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</si>
  <si>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</si>
  <si>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</si>
  <si>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</si>
  <si>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</si>
  <si>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</si>
  <si>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</si>
  <si>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</si>
  <si>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</si>
  <si>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</si>
  <si>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</si>
  <si>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</si>
  <si>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</si>
  <si>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</si>
  <si>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</si>
  <si>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</si>
  <si>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</si>
  <si>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</si>
  <si>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</si>
  <si>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</si>
  <si>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</si>
  <si>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</si>
  <si>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</si>
  <si>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</si>
  <si>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</si>
  <si>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</si>
  <si>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</si>
  <si>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</si>
  <si>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</si>
  <si>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</si>
  <si>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</si>
  <si>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</si>
  <si>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</si>
  <si>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</si>
  <si>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</si>
  <si>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</si>
  <si>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</si>
  <si>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</si>
  <si>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</si>
  <si>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</si>
  <si>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</si>
  <si>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</si>
  <si>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</si>
  <si>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</si>
  <si>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</si>
  <si>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</si>
  <si>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</si>
  <si>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</si>
  <si>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</si>
  <si>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</si>
  <si>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</si>
  <si>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</si>
  <si>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</si>
  <si>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</si>
  <si>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</si>
  <si>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</si>
  <si>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</si>
  <si>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</si>
  <si>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</si>
  <si>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</si>
  <si>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</si>
  <si>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</si>
  <si>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</si>
  <si>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</si>
  <si>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</si>
  <si>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</si>
  <si>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</si>
  <si>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</si>
  <si>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</si>
  <si>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</si>
  <si>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</si>
  <si>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</si>
  <si>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</si>
  <si>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</si>
  <si>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</si>
  <si>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</si>
  <si>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</si>
  <si>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</si>
  <si>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</si>
  <si>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</si>
  <si>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</si>
  <si>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</si>
  <si>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</si>
  <si>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</si>
  <si>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</si>
  <si>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</si>
  <si>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</si>
  <si>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</si>
  <si>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</si>
  <si>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</si>
  <si>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</si>
  <si>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</si>
  <si>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</si>
  <si>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</si>
  <si>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</si>
  <si>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</si>
  <si>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</si>
  <si>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</si>
  <si>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</si>
  <si>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</si>
  <si>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</si>
  <si>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</si>
  <si>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</si>
  <si>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</si>
  <si>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</si>
  <si>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</si>
  <si>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</si>
  <si>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</si>
  <si>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</si>
  <si>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</si>
  <si>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</si>
  <si>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</si>
  <si>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</si>
  <si>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</si>
  <si>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</si>
  <si>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</si>
  <si>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</si>
  <si>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</si>
  <si>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</si>
  <si>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</si>
  <si>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</si>
  <si>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</si>
  <si>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</si>
  <si>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</si>
  <si>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</si>
  <si>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</si>
  <si>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</si>
  <si>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</si>
  <si>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</si>
  <si>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</si>
  <si>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</si>
  <si>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</si>
  <si>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</si>
  <si>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</si>
  <si>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</si>
  <si>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</si>
  <si>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</si>
  <si>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</si>
  <si>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</si>
  <si>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</si>
  <si>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</si>
  <si>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</si>
  <si>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</si>
  <si>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</si>
  <si>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</si>
  <si>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</si>
  <si>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</si>
  <si>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</si>
  <si>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</si>
  <si>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</si>
  <si>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</si>
  <si>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</si>
  <si>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</si>
  <si>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</si>
  <si>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</si>
  <si>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</si>
  <si>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</si>
  <si>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</si>
  <si>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</si>
  <si>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</si>
  <si>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</si>
  <si>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</si>
  <si>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</si>
  <si>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</si>
  <si>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</si>
  <si>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</si>
  <si>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</si>
  <si>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</si>
  <si>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</si>
  <si>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</si>
  <si>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</si>
  <si>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</si>
  <si>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</si>
  <si>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</si>
  <si>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</si>
  <si>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</si>
  <si>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</si>
  <si>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</si>
  <si>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</si>
  <si>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</si>
  <si>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</si>
  <si>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</si>
  <si>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</si>
  <si>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</si>
  <si>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</si>
  <si>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</si>
  <si>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</si>
  <si>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</si>
  <si>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</si>
  <si>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</si>
  <si>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</si>
  <si>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</si>
  <si>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</si>
  <si>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</si>
  <si>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</si>
  <si>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</si>
  <si>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</si>
  <si>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</si>
  <si>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</si>
  <si>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</si>
  <si>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</si>
  <si>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</si>
  <si>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</si>
  <si>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</si>
  <si>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</si>
  <si>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</si>
  <si>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</si>
  <si>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</si>
  <si>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</si>
  <si>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</si>
  <si>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</si>
  <si>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</si>
  <si>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</si>
  <si>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</si>
  <si>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</si>
  <si>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</si>
  <si>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</si>
  <si>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</si>
  <si>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</si>
  <si>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</si>
  <si>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</si>
  <si>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</si>
  <si>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</si>
  <si>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</si>
  <si>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</si>
  <si>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</si>
  <si>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</si>
  <si>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</si>
  <si>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</si>
  <si>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</si>
  <si>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</si>
  <si>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</si>
  <si>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</si>
  <si>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</si>
  <si>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</si>
  <si>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</si>
  <si>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</si>
  <si>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</si>
  <si>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</si>
  <si>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</si>
  <si>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</si>
  <si>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</si>
  <si>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</si>
  <si>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</si>
  <si>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</si>
  <si>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</si>
  <si>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</si>
  <si>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</si>
  <si>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</si>
  <si>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</si>
  <si>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</si>
  <si>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</si>
  <si>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</si>
  <si>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</si>
  <si>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</si>
  <si>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</si>
  <si>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</si>
  <si>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</si>
  <si>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</si>
  <si>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</si>
  <si>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</si>
  <si>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</si>
  <si>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</si>
  <si>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</si>
  <si>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</si>
  <si>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</si>
  <si>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</si>
  <si>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</si>
  <si>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</si>
  <si>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</si>
  <si>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</si>
  <si>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</si>
  <si>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</si>
  <si>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</si>
  <si>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</si>
  <si>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</si>
  <si>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</si>
  <si>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</si>
  <si>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</si>
  <si>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</si>
  <si>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</si>
  <si>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</si>
  <si>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</si>
  <si>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</si>
  <si>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</si>
  <si>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</si>
  <si>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</si>
  <si>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</si>
  <si>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</si>
  <si>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</si>
  <si>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</si>
  <si>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</si>
  <si>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</si>
  <si>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</si>
  <si>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</si>
  <si>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</si>
  <si>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</si>
  <si>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</si>
  <si>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</si>
  <si>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</si>
  <si>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</si>
  <si>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</si>
  <si>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</si>
  <si>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</si>
  <si>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</si>
  <si>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</si>
  <si>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</si>
  <si>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</si>
  <si>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</si>
  <si>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</si>
  <si>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</si>
  <si>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</si>
  <si>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</si>
  <si>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</si>
  <si>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</si>
  <si>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</si>
  <si>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</si>
  <si>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</si>
  <si>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</si>
  <si>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</si>
  <si>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</si>
  <si>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</si>
  <si>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</si>
  <si>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</si>
  <si>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</si>
  <si>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</si>
  <si>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</si>
  <si>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</si>
  <si>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</si>
  <si>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</si>
  <si>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</si>
  <si>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</si>
  <si>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</si>
  <si>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</si>
  <si>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</si>
  <si>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</si>
  <si>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</si>
  <si>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</si>
  <si>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</si>
  <si>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</si>
  <si>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</si>
  <si>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</si>
  <si>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</si>
  <si>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</si>
  <si>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</si>
  <si>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</si>
  <si>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</si>
  <si>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</si>
  <si>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Winston</t>
  </si>
  <si>
    <t>Rhodes</t>
  </si>
  <si>
    <t>Planning Manager</t>
  </si>
  <si>
    <t xml:space="preserve">wrhodes@ci.pinole.ca.us </t>
  </si>
  <si>
    <t xml:space="preserve">2131 Pear Street </t>
  </si>
  <si>
    <t>401-120-026</t>
  </si>
  <si>
    <t>ADU</t>
  </si>
  <si>
    <t>R</t>
  </si>
  <si>
    <t>No</t>
  </si>
  <si>
    <t xml:space="preserve">No </t>
  </si>
  <si>
    <t>SFD</t>
  </si>
  <si>
    <t>O</t>
  </si>
  <si>
    <t>Ellerhorst Street</t>
  </si>
  <si>
    <t>401-194-010</t>
  </si>
  <si>
    <t>360-322-040</t>
  </si>
  <si>
    <t>PL18-0040</t>
  </si>
  <si>
    <t>PL17-00096</t>
  </si>
  <si>
    <t>PL18-0087</t>
  </si>
  <si>
    <t>360-363-002</t>
  </si>
  <si>
    <t>PL18-0080</t>
  </si>
  <si>
    <t>2628 Moraga Drive</t>
  </si>
  <si>
    <t>2817 Wright Avenue</t>
  </si>
  <si>
    <t>402-161-023</t>
  </si>
  <si>
    <t xml:space="preserve">806 East Meadow </t>
  </si>
  <si>
    <t>PL17-00053</t>
  </si>
  <si>
    <t>430-411-007</t>
  </si>
  <si>
    <t>2500 Galbreth Rd.</t>
  </si>
  <si>
    <t>PL16-00094</t>
  </si>
  <si>
    <t>430-302-012</t>
  </si>
  <si>
    <t>2529 Lynn Drive</t>
  </si>
  <si>
    <t>BP18-0077</t>
  </si>
  <si>
    <t>2031 Buena Vista Dr.</t>
  </si>
  <si>
    <t>PL17-00096 &amp; BP18-0023</t>
  </si>
  <si>
    <t xml:space="preserve">2628 Moraga Dr. </t>
  </si>
  <si>
    <t xml:space="preserve">2817 Wright Ave. </t>
  </si>
  <si>
    <t xml:space="preserve">2031 Buena Vista Dr. </t>
  </si>
  <si>
    <t>Deemed Complete in 2018</t>
  </si>
  <si>
    <t>Conduct Annual Housing Element Review (HIA-1.1)</t>
  </si>
  <si>
    <t>Annual review per Govt. Code Section 65583(3)</t>
  </si>
  <si>
    <t>Annually</t>
  </si>
  <si>
    <t>Complete for 2017. This report fulfills the obligation for 2017; the City will continue to conduct the annual Housing Element Review in subsequent years.</t>
  </si>
  <si>
    <t>Explore Housing Development Partnerships (HIA-1.2)</t>
  </si>
  <si>
    <t>Seek opportunities to work with public agencies and developers</t>
  </si>
  <si>
    <t>Ongoing</t>
  </si>
  <si>
    <t>The City had several phone calls and meetings with both affordable and market rate housing developers about the possibility of collaborating on multi-family housing development opportunities within the City. The City also met with several market rate developers about potential infill development projects along San Pablo Avenue, Pinole Valley Road and Appian Way.</t>
  </si>
  <si>
    <t>Periodically Review Residential Development Requirements (HIA-1.3)</t>
  </si>
  <si>
    <t>Monitor effectiveness of established regulations needed to streamline housing development</t>
  </si>
  <si>
    <t>Ongoing (as necessary)</t>
  </si>
  <si>
    <t>New residential development requirements were adopted in November 2010 through the General Plan Update, Three Corridors Specific Plan, and Zoning Code Update. The City has adjusted development review requirements for additions and new single family home projects to allow for administrative approval when consistent with established design guidelines.The City amended its Three Corridors Specific Plan in 2018 to allow for exclusively residential development within a mixed use portion of San Pablo Avenue corridor to encourage additional residential development.</t>
  </si>
  <si>
    <t>Apply Design Review Guidelines (HIA-2.1)</t>
  </si>
  <si>
    <t>Apply to new residential development and residential additions to ensure compatibility with surrounding area.</t>
  </si>
  <si>
    <t>The City continues to implement the residential Design Review Guidelines for exisitng residential additions. The City received and approved six applications for residential additions and received ten requests for fourteen new residences during the reporting period.</t>
  </si>
  <si>
    <t>Adequate Sites to Meet Regional Fair Share of Housing Growth (HIA-2.2)</t>
  </si>
  <si>
    <t>Ensure adequate sites are available to developers and provide an inventory of available sites to developers.</t>
  </si>
  <si>
    <t xml:space="preserve">Complete. Three Corridors Specific Plan for San Pablo Avenue, Pinole Valley Road, and Appian Way includes adequate sites available to developers to meet Regional Fair Share of Housing Growth. A detailed inventory of potential residential development sites is included within Table 6.43 and 6.44 of the adopted Housing Element. </t>
  </si>
  <si>
    <t>Rehabilitiation Assistance (HIA-2.3)</t>
  </si>
  <si>
    <t>Continue to share information and explore  funding sources for rehabilitation of existing housing</t>
  </si>
  <si>
    <t>Ongoing (annually)</t>
  </si>
  <si>
    <t>The City, Contra Costa County, and Eden Housing have worked cooperatively to obtain funds needed to rehabilitate the 144-unit East Bluff Apartments development. This process was intiated in 2015, progressed in 2017 and was completed in 2018.    In 2018 the City issued and conducted final building permit inspections  to rehabilitate approximately 549 housing units including 60 roof replacement projects, 19 residential water heater replacement projects, 39 residential furnace replacement  projects, 43 new residential solar panel installation projects, 31 residential window replacement projects, and 10 home addition projects.</t>
  </si>
  <si>
    <t>Acquisition / Rehabilitation of Blighted or Distressed Properties (HIA 2.4)</t>
  </si>
  <si>
    <t>Continue to  explore  funding/partnering opportunities  for rehabiliatation of existing distressed or blighted properties to help create new affordable housing opportunities.</t>
  </si>
  <si>
    <t xml:space="preserve">Ongoing </t>
  </si>
  <si>
    <t>Fee Structure Evaluation (HIA 3.1)</t>
  </si>
  <si>
    <t>Periodically review development impact fees to ensure new development contributes its fair share of service and facilitiy costs</t>
  </si>
  <si>
    <t xml:space="preserve">Development fees for two new residential units were paid in 2018. </t>
  </si>
  <si>
    <t>General Plan Land Uses (HIA 4.1)</t>
  </si>
  <si>
    <t>Evaluate General Plan land use designations and plan programs for consistency with overall goals</t>
  </si>
  <si>
    <t>The City's GP land use designations are applied to provide direction and flexibility to help meet evolving overall land use goals and policy objectives.</t>
  </si>
  <si>
    <t>Housing Construction (HIA 4.2)</t>
  </si>
  <si>
    <t>Encourage housing construction for all economic segments</t>
  </si>
  <si>
    <t xml:space="preserve">City staff meets regularly with property owners and developers to encourage additional housing construction at all affordability levels on available housing opportunity sites. </t>
  </si>
  <si>
    <t>Parcel Consolidation (HIA 4.4.3)</t>
  </si>
  <si>
    <t>Encourage consolidation to encourage housing development</t>
  </si>
  <si>
    <t>City staff meets with property owners and developers to encourage parcel consolidation for housing development. The City is processing a request to merge two separate lots on East Meadow Avenue to encourage additional housing development.</t>
  </si>
  <si>
    <t>Second Unit Ordinance (HIA 4.4.4)</t>
  </si>
  <si>
    <t xml:space="preserve">Encourage development of secondary dwelling units </t>
  </si>
  <si>
    <t xml:space="preserve">The City updated its second unit ordinance to reflect changes in State law.  Information is regularly provided to property owners considering developing accessory dwelling units.  Four requests for new accessory dwelling units were approved in 2018. </t>
  </si>
  <si>
    <t>Homebuyer Program (HIA 4.4.5)</t>
  </si>
  <si>
    <t>Share information about homebuyerprograms from County and State</t>
  </si>
  <si>
    <t xml:space="preserve">Inadequate financial resources available in 2018 to directly assist first-time homebuyers and re-establish City's Homebuyer program. The City refers interested individuals to available County and State programs </t>
  </si>
  <si>
    <t>Below-Market Rate Regulations (HIA 4.4.6)</t>
  </si>
  <si>
    <t>Implement and monitor rental and resale affordability controls for units assisted by former RDA</t>
  </si>
  <si>
    <t>City continues to use a third-party contractor to monitor affordability control compliance for former City Redevelopment Agency (RDA) assisted housing units.</t>
  </si>
  <si>
    <t>Technical Assistance to Housing Developers (HIA 4.4.7)</t>
  </si>
  <si>
    <t>Exchange information to encouagre provision of affordable housing</t>
  </si>
  <si>
    <t xml:space="preserve">City staff continued to meet with prospective housing developers in 2018. Approximately 60 contacts occurred and 3 new housing development applications were received in 2018. </t>
  </si>
  <si>
    <t>Accesible Units For Physically Disabled (HIA 4.4.8)</t>
  </si>
  <si>
    <t xml:space="preserve">Work to provide additional accesible housing for physically disabled </t>
  </si>
  <si>
    <t xml:space="preserve">In 2018 City continued to work with Eden Housing to provide additional accessible housing at East Bluff Apartments to complete the thre-year rehabilitation effort at the exisitng apartment complex. The City also processed several building permit requests to add access ramps or make home accessibility improvements to exisitng single family homes.  </t>
  </si>
  <si>
    <t>Housing For The Homeless (HIA 4.4.9)</t>
  </si>
  <si>
    <t xml:space="preserve">Amend Zoning Ordinance to address provision of emergency shelters and transitional housing for the homeless  </t>
  </si>
  <si>
    <t>By May 2016</t>
  </si>
  <si>
    <t xml:space="preserve">Text amendments were approved in 2016. </t>
  </si>
  <si>
    <t>Employee Housing (HIA 4.4.10)</t>
  </si>
  <si>
    <t xml:space="preserve">Amend Zoning Ordinance to address provision of employee housing </t>
  </si>
  <si>
    <t>Housing Discrimination Prevention (HIA 4.4.11)</t>
  </si>
  <si>
    <t>Exchange information to prevent Housing Discrimination</t>
  </si>
  <si>
    <t>No housing discrimination disputes where brought to the City's attention in 2018.</t>
  </si>
  <si>
    <t>Conservation of Affordable Housing  (HIA 4.4.12)</t>
  </si>
  <si>
    <t>Work to help preserve exisitng affordable housing supply</t>
  </si>
  <si>
    <t>Through 2017</t>
  </si>
  <si>
    <t>City staff has worked with Eden Housing to extend affordability controls at East Bluff Apartments affecting 144 units. The City explored interest from additional property owners to preserve expiring affordability controls and no property owners of property with expiring affordability controls expressed a desire to extend affordability controls.</t>
  </si>
  <si>
    <t>Explore Options For Senior Assistance Programs (HIA 4.4.13)</t>
  </si>
  <si>
    <t>Explore funding to establish Residential Rehabilitation Loan Program to assist Senior Homeowners</t>
  </si>
  <si>
    <t>2015-16</t>
  </si>
  <si>
    <t xml:space="preserve">Insufficient financial resources were available to establish a City program. </t>
  </si>
  <si>
    <t>Energy and Water Conservation (HIA 5.1.1)</t>
  </si>
  <si>
    <t>Encourage energy and water conservation</t>
  </si>
  <si>
    <t>City continued to participate with Property Assessed Clean Energy (PACE) JPA and  Home Energy Renovation Opportuntiy (HERO) Program to help homeowners finance energy upgrades in 2018. The City also verified that energy and water conserving improvements were completed in conjunction with private home improvements projects.</t>
  </si>
  <si>
    <t>Water and Sewer Service Prioritiy Allocation For Affordable Housing (HIA 5.1.2)</t>
  </si>
  <si>
    <t>Adopt a policy and meet State Requirements to priortize allocation of water and sewer services for affordable housing in the event of rationing</t>
  </si>
  <si>
    <t>Completed in 2016.</t>
  </si>
  <si>
    <t>City is working with two existing multi-family property owners to facilitate rehabilitation of approxiamtely 200 units including 144 affordable units.</t>
  </si>
  <si>
    <t>Y</t>
  </si>
  <si>
    <t>N</t>
  </si>
</sst>
</file>

<file path=xl/styles.xml><?xml version="1.0" encoding="utf-8"?>
<styleSheet xmlns="http://schemas.openxmlformats.org/spreadsheetml/2006/main">
  <numFmts count="5">
    <numFmt numFmtId="43" formatCode="_(* #,##0.00_);_(* \(#,##0.00\);_(* &quot;-&quot;??_);_(@_)"/>
    <numFmt numFmtId="164" formatCode="m/d/yy;@"/>
    <numFmt numFmtId="165" formatCode="_(* #,##0_);_(* \(#,##0\);_(* &quot;-&quot;??_);_(@_)"/>
    <numFmt numFmtId="166" formatCode="[&lt;=9999999]###\-####;\(###\)\ ###\-####"/>
    <numFmt numFmtId="167" formatCode="00000"/>
  </numFmts>
  <fonts count="43">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42" fillId="0" borderId="0" xfId="0" applyFo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3" fillId="0" borderId="1" xfId="0" applyNumberFormat="1" applyFont="1" applyBorder="1" applyAlignment="1" applyProtection="1">
      <alignment horizontal="lef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2">
    <tabColor theme="7" tint="0.39997558519241921"/>
    <pageSetUpPr fitToPage="1"/>
  </sheetPr>
  <dimension ref="A1:L34"/>
  <sheetViews>
    <sheetView zoomScaleNormal="100" workbookViewId="0">
      <selection activeCell="B4" sqref="B4:C4"/>
    </sheetView>
  </sheetViews>
  <sheetFormatPr defaultColWidth="0" defaultRowHeight="14.25"/>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c r="A1" s="368" t="s">
        <v>132</v>
      </c>
      <c r="B1" s="369"/>
      <c r="C1" s="369"/>
      <c r="D1" s="369"/>
      <c r="E1" s="369"/>
      <c r="F1" s="370"/>
      <c r="G1" s="22"/>
      <c r="H1" s="22"/>
      <c r="I1" s="22"/>
      <c r="J1" s="22"/>
      <c r="K1" s="22"/>
      <c r="L1" s="22"/>
    </row>
    <row r="2" spans="1:12" ht="21.6" customHeight="1" thickBot="1">
      <c r="A2" s="22"/>
      <c r="B2" s="22"/>
      <c r="C2" s="22"/>
      <c r="D2" s="22"/>
      <c r="E2" s="22"/>
      <c r="F2" s="22"/>
      <c r="G2" s="22"/>
      <c r="H2" s="22"/>
      <c r="I2" s="22"/>
      <c r="J2" s="22"/>
      <c r="K2" s="22"/>
      <c r="L2" s="22"/>
    </row>
    <row r="3" spans="1:12" ht="22.35" customHeight="1">
      <c r="A3" s="377" t="s">
        <v>51</v>
      </c>
      <c r="B3" s="378"/>
      <c r="C3" s="379"/>
      <c r="E3" s="371" t="s">
        <v>133</v>
      </c>
      <c r="F3" s="372"/>
    </row>
    <row r="4" spans="1:12" ht="21.6" customHeight="1">
      <c r="A4" s="31" t="s">
        <v>127</v>
      </c>
      <c r="B4" s="382" t="s">
        <v>1205</v>
      </c>
      <c r="C4" s="383"/>
      <c r="D4" s="24"/>
      <c r="E4" s="373" t="s">
        <v>1380</v>
      </c>
      <c r="F4" s="374"/>
      <c r="G4" s="259"/>
      <c r="H4" s="259"/>
      <c r="I4" s="259"/>
      <c r="J4" s="259"/>
      <c r="K4" s="259"/>
      <c r="L4" s="23"/>
    </row>
    <row r="5" spans="1:12" ht="21.6" customHeight="1" thickBot="1">
      <c r="A5" s="32" t="s">
        <v>128</v>
      </c>
      <c r="B5" s="380">
        <v>2018</v>
      </c>
      <c r="C5" s="381"/>
      <c r="D5" s="25"/>
      <c r="E5" s="373"/>
      <c r="F5" s="374"/>
      <c r="G5" s="25"/>
      <c r="H5" s="25"/>
      <c r="I5" s="25"/>
      <c r="J5" s="25"/>
      <c r="K5" s="25"/>
      <c r="L5" s="23"/>
    </row>
    <row r="6" spans="1:12" ht="21.6" customHeight="1">
      <c r="A6" s="384" t="s">
        <v>126</v>
      </c>
      <c r="B6" s="385"/>
      <c r="C6" s="386"/>
      <c r="D6" s="25"/>
      <c r="E6" s="373"/>
      <c r="F6" s="374"/>
      <c r="G6" s="25"/>
      <c r="H6" s="25"/>
      <c r="I6" s="25"/>
      <c r="J6" s="25"/>
      <c r="K6" s="25"/>
      <c r="L6" s="23"/>
    </row>
    <row r="7" spans="1:12" ht="21.6" customHeight="1">
      <c r="A7" s="30" t="s">
        <v>123</v>
      </c>
      <c r="B7" s="387" t="s">
        <v>1382</v>
      </c>
      <c r="C7" s="388"/>
      <c r="D7" s="26"/>
      <c r="E7" s="373"/>
      <c r="F7" s="374"/>
      <c r="G7" s="25"/>
      <c r="H7" s="25"/>
      <c r="I7" s="25"/>
      <c r="J7" s="25"/>
      <c r="K7" s="25"/>
      <c r="L7" s="23"/>
    </row>
    <row r="8" spans="1:12" ht="21.6" customHeight="1">
      <c r="A8" s="31" t="s">
        <v>124</v>
      </c>
      <c r="B8" s="387" t="s">
        <v>1383</v>
      </c>
      <c r="C8" s="388"/>
      <c r="D8" s="25"/>
      <c r="E8" s="373"/>
      <c r="F8" s="374"/>
      <c r="G8" s="25"/>
      <c r="H8" s="25"/>
      <c r="I8" s="25"/>
      <c r="J8" s="25"/>
      <c r="K8" s="25"/>
      <c r="L8" s="23"/>
    </row>
    <row r="9" spans="1:12" ht="21.6" customHeight="1">
      <c r="A9" s="31" t="s">
        <v>129</v>
      </c>
      <c r="B9" s="387" t="s">
        <v>1384</v>
      </c>
      <c r="C9" s="388"/>
      <c r="D9" s="25"/>
      <c r="E9" s="373"/>
      <c r="F9" s="374"/>
      <c r="G9" s="25"/>
      <c r="H9" s="25"/>
      <c r="I9" s="25"/>
      <c r="J9" s="25"/>
      <c r="K9" s="25"/>
      <c r="L9" s="23"/>
    </row>
    <row r="10" spans="1:12" ht="21.6" customHeight="1">
      <c r="A10" s="31" t="s">
        <v>130</v>
      </c>
      <c r="B10" s="389" t="s">
        <v>1385</v>
      </c>
      <c r="C10" s="388"/>
      <c r="D10" s="25"/>
      <c r="E10" s="373"/>
      <c r="F10" s="374"/>
      <c r="G10" s="25"/>
      <c r="H10" s="25"/>
      <c r="I10" s="25"/>
      <c r="J10" s="25"/>
      <c r="K10" s="25"/>
      <c r="L10" s="23"/>
    </row>
    <row r="11" spans="1:12" ht="21.6" customHeight="1" thickBot="1">
      <c r="A11" s="33" t="s">
        <v>131</v>
      </c>
      <c r="B11" s="390">
        <v>5107249832</v>
      </c>
      <c r="C11" s="391"/>
      <c r="D11" s="25"/>
      <c r="E11" s="373"/>
      <c r="F11" s="374"/>
      <c r="G11" s="25"/>
      <c r="H11" s="25"/>
      <c r="I11" s="25"/>
      <c r="J11" s="25"/>
      <c r="K11" s="25"/>
      <c r="L11" s="23"/>
    </row>
    <row r="12" spans="1:12" ht="21.6" customHeight="1">
      <c r="A12" s="392" t="s">
        <v>125</v>
      </c>
      <c r="B12" s="393"/>
      <c r="C12" s="394"/>
      <c r="D12" s="25"/>
      <c r="E12" s="373"/>
      <c r="F12" s="374"/>
      <c r="G12" s="25"/>
      <c r="H12" s="25"/>
      <c r="I12" s="25"/>
      <c r="J12" s="25"/>
      <c r="K12" s="25"/>
      <c r="L12" s="23"/>
    </row>
    <row r="13" spans="1:12" ht="21.6" customHeight="1">
      <c r="A13" s="29" t="s">
        <v>2</v>
      </c>
      <c r="B13" s="364" t="s">
        <v>1386</v>
      </c>
      <c r="C13" s="365"/>
      <c r="D13" s="27"/>
      <c r="E13" s="373"/>
      <c r="F13" s="374"/>
      <c r="G13" s="27"/>
      <c r="H13" s="27"/>
      <c r="I13" s="27"/>
      <c r="J13" s="27"/>
      <c r="K13" s="27"/>
      <c r="L13" s="23"/>
    </row>
    <row r="14" spans="1:12" ht="21.6" customHeight="1">
      <c r="A14" s="28" t="s">
        <v>121</v>
      </c>
      <c r="B14" s="366" t="s">
        <v>1205</v>
      </c>
      <c r="C14" s="366"/>
      <c r="D14" s="25"/>
      <c r="E14" s="373"/>
      <c r="F14" s="374"/>
      <c r="G14" s="25"/>
      <c r="H14" s="25"/>
      <c r="I14" s="25"/>
      <c r="J14" s="25"/>
      <c r="K14" s="25"/>
      <c r="L14" s="23"/>
    </row>
    <row r="15" spans="1:12" ht="21.6" customHeight="1" thickBot="1">
      <c r="A15" s="28" t="s">
        <v>122</v>
      </c>
      <c r="B15" s="367">
        <v>94564</v>
      </c>
      <c r="C15" s="367"/>
      <c r="D15" s="24"/>
      <c r="E15" s="375"/>
      <c r="F15" s="376"/>
      <c r="G15" s="259"/>
      <c r="H15" s="24"/>
      <c r="I15" s="24"/>
      <c r="J15" s="24"/>
      <c r="K15" s="24"/>
      <c r="L15" s="23"/>
    </row>
    <row r="16" spans="1:12" ht="14.45" customHeight="1">
      <c r="D16" s="20"/>
      <c r="E16" s="362" t="s">
        <v>1381</v>
      </c>
      <c r="F16" s="20"/>
      <c r="G16" s="20"/>
      <c r="H16" s="20"/>
      <c r="I16" s="20"/>
      <c r="J16" s="20"/>
      <c r="K16" s="20"/>
      <c r="L16" s="20"/>
    </row>
    <row r="17" spans="1:12" ht="18">
      <c r="A17" s="26"/>
      <c r="B17" s="26"/>
      <c r="C17" s="26"/>
      <c r="D17" s="18"/>
      <c r="E17" s="18"/>
      <c r="F17" s="18"/>
      <c r="G17" s="18"/>
      <c r="H17" s="18"/>
      <c r="I17" s="18"/>
      <c r="J17" s="18"/>
      <c r="K17" s="18"/>
      <c r="L17" s="18"/>
    </row>
    <row r="18" spans="1:12" ht="46.5" customHeight="1">
      <c r="A18" s="25"/>
      <c r="B18" s="25"/>
      <c r="C18" s="25"/>
      <c r="D18" s="19"/>
      <c r="E18" s="19"/>
      <c r="F18" s="19"/>
      <c r="G18" s="19"/>
      <c r="H18" s="19"/>
      <c r="I18" s="19"/>
      <c r="J18" s="19"/>
      <c r="K18" s="19"/>
      <c r="L18" s="19"/>
    </row>
    <row r="19" spans="1:12" ht="18">
      <c r="A19" s="25"/>
      <c r="B19" s="25"/>
      <c r="C19" s="25"/>
      <c r="D19" s="18"/>
      <c r="E19" s="18"/>
      <c r="F19" s="18"/>
      <c r="G19" s="18"/>
      <c r="H19" s="18"/>
      <c r="I19" s="18"/>
      <c r="J19" s="18"/>
      <c r="K19" s="18"/>
      <c r="L19" s="18"/>
    </row>
    <row r="20" spans="1:12" ht="32.25" customHeight="1">
      <c r="B20" s="122"/>
      <c r="C20" s="25"/>
      <c r="D20" s="21"/>
      <c r="E20" s="21"/>
      <c r="F20" s="21"/>
      <c r="G20" s="21"/>
      <c r="H20" s="21"/>
      <c r="I20" s="21"/>
      <c r="J20" s="21"/>
      <c r="K20" s="21"/>
      <c r="L20" s="21"/>
    </row>
    <row r="21" spans="1:12" ht="18">
      <c r="A21" s="25"/>
      <c r="B21" s="25"/>
      <c r="C21" s="25"/>
      <c r="D21" s="18"/>
      <c r="E21" s="18"/>
      <c r="F21" s="18"/>
      <c r="G21" s="18"/>
      <c r="H21" s="18"/>
      <c r="I21" s="18"/>
      <c r="J21" s="18"/>
      <c r="K21" s="18"/>
      <c r="L21" s="18"/>
    </row>
    <row r="22" spans="1:12" ht="18">
      <c r="A22" s="25"/>
      <c r="B22" s="25"/>
      <c r="C22" s="25"/>
      <c r="D22" s="19"/>
      <c r="E22" s="19"/>
      <c r="F22" s="19"/>
      <c r="G22" s="19"/>
      <c r="H22" s="19"/>
      <c r="I22" s="19"/>
      <c r="J22" s="19"/>
      <c r="K22" s="19"/>
      <c r="L22" s="19"/>
    </row>
    <row r="23" spans="1:12" ht="15">
      <c r="A23" s="162"/>
      <c r="B23" s="162"/>
      <c r="C23" s="161"/>
      <c r="D23" s="18"/>
      <c r="E23" s="18"/>
      <c r="F23" s="18"/>
      <c r="G23" s="18"/>
      <c r="H23" s="18"/>
      <c r="I23" s="18"/>
      <c r="J23" s="18"/>
      <c r="K23" s="18"/>
      <c r="L23" s="18"/>
    </row>
    <row r="24" spans="1:12" ht="15">
      <c r="A24" s="18"/>
      <c r="B24" s="18"/>
      <c r="C24" s="18"/>
      <c r="D24" s="18"/>
      <c r="E24" s="18"/>
      <c r="F24" s="18"/>
      <c r="G24" s="18"/>
      <c r="H24" s="18"/>
      <c r="I24" s="18"/>
      <c r="J24" s="18"/>
      <c r="K24" s="18"/>
      <c r="L24" s="18"/>
    </row>
    <row r="25" spans="1:12" ht="15" customHeight="1">
      <c r="A25" s="260"/>
      <c r="B25" s="21"/>
      <c r="C25" s="21"/>
      <c r="D25" s="21"/>
      <c r="E25" s="21"/>
      <c r="F25" s="21"/>
      <c r="G25" s="21"/>
      <c r="H25" s="18"/>
      <c r="I25" s="18"/>
      <c r="J25" s="18"/>
      <c r="K25" s="18"/>
      <c r="L25" s="18"/>
    </row>
    <row r="26" spans="1:12" ht="15" customHeight="1">
      <c r="A26" s="260"/>
      <c r="B26" s="21"/>
      <c r="C26" s="21"/>
      <c r="D26" s="21"/>
      <c r="E26" s="21"/>
      <c r="F26" s="21"/>
      <c r="G26" s="21"/>
      <c r="H26" s="18"/>
      <c r="I26" s="18"/>
      <c r="J26" s="18"/>
      <c r="K26" s="18"/>
      <c r="L26" s="18"/>
    </row>
    <row r="27" spans="1:12" ht="15">
      <c r="A27" s="20"/>
      <c r="B27" s="21"/>
      <c r="C27" s="21"/>
      <c r="D27" s="21"/>
      <c r="E27" s="21"/>
      <c r="F27" s="21"/>
      <c r="G27" s="21"/>
      <c r="H27" s="18"/>
      <c r="I27" s="18"/>
      <c r="J27" s="18"/>
      <c r="K27" s="18"/>
      <c r="L27" s="18"/>
    </row>
    <row r="28" spans="1:12" ht="15" customHeight="1">
      <c r="A28" s="20"/>
      <c r="B28" s="21"/>
      <c r="C28" s="21"/>
      <c r="D28" s="21"/>
      <c r="E28" s="21"/>
      <c r="F28" s="21"/>
      <c r="G28" s="21"/>
      <c r="H28" s="18"/>
      <c r="I28" s="18"/>
      <c r="J28" s="18"/>
      <c r="K28" s="18"/>
      <c r="L28" s="18"/>
    </row>
    <row r="29" spans="1:12" ht="15">
      <c r="A29" s="18"/>
      <c r="B29" s="18"/>
      <c r="C29" s="18"/>
      <c r="D29" s="18"/>
      <c r="E29" s="18"/>
      <c r="F29" s="18"/>
      <c r="G29" s="18"/>
      <c r="H29" s="18"/>
      <c r="I29" s="18"/>
      <c r="J29" s="18"/>
      <c r="K29" s="18"/>
      <c r="L29" s="18"/>
    </row>
    <row r="30" spans="1:12" ht="15">
      <c r="A30" s="20"/>
      <c r="B30" s="21"/>
      <c r="C30" s="21"/>
      <c r="D30" s="21"/>
      <c r="E30" s="21"/>
      <c r="F30" s="21"/>
      <c r="G30" s="21"/>
      <c r="H30" s="18"/>
      <c r="I30" s="18"/>
      <c r="J30" s="18"/>
      <c r="K30" s="18"/>
      <c r="L30" s="18"/>
    </row>
    <row r="31" spans="1:12" ht="15">
      <c r="A31" s="18"/>
      <c r="B31" s="18"/>
      <c r="C31" s="18"/>
      <c r="D31" s="18"/>
      <c r="E31" s="18"/>
      <c r="F31" s="18"/>
      <c r="G31" s="18"/>
      <c r="H31" s="18"/>
      <c r="I31" s="18"/>
      <c r="J31" s="18"/>
      <c r="K31" s="18"/>
      <c r="L31" s="18"/>
    </row>
    <row r="32" spans="1:12" ht="15" customHeight="1">
      <c r="A32" s="260"/>
      <c r="B32" s="21"/>
      <c r="C32" s="21"/>
      <c r="D32" s="21"/>
      <c r="E32" s="21"/>
      <c r="F32" s="21"/>
      <c r="G32" s="21"/>
      <c r="H32" s="18"/>
      <c r="I32" s="18"/>
      <c r="J32" s="18"/>
      <c r="K32" s="18"/>
      <c r="L32" s="18"/>
    </row>
    <row r="33" spans="1:12" ht="15">
      <c r="A33" s="20"/>
      <c r="B33" s="21"/>
      <c r="C33" s="21"/>
      <c r="D33" s="21"/>
      <c r="E33" s="21"/>
      <c r="F33" s="21"/>
      <c r="G33" s="21"/>
      <c r="H33" s="18"/>
      <c r="I33" s="18"/>
      <c r="J33" s="18"/>
      <c r="K33" s="18"/>
      <c r="L33" s="18"/>
    </row>
    <row r="34" spans="1:12" ht="15" customHeight="1">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3">
    <pageSetUpPr fitToPage="1"/>
  </sheetPr>
  <dimension ref="A1:XFC1011"/>
  <sheetViews>
    <sheetView showZeros="0" zoomScale="55" zoomScaleNormal="55" zoomScaleSheetLayoutView="50" zoomScalePageLayoutView="80" workbookViewId="0">
      <pane ySplit="12" topLeftCell="A13" activePane="bottomLeft" state="frozen"/>
      <selection pane="bottomLeft" activeCell="H27" sqref="H27"/>
    </sheetView>
  </sheetViews>
  <sheetFormatPr defaultColWidth="0" defaultRowHeight="14.25"/>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c r="A1" s="417" t="s">
        <v>8</v>
      </c>
      <c r="B1" s="417"/>
      <c r="C1" s="417"/>
      <c r="D1" s="417"/>
      <c r="E1" s="417"/>
      <c r="F1" s="417"/>
      <c r="G1" s="417"/>
      <c r="H1" s="417"/>
      <c r="I1" s="417"/>
      <c r="J1" s="417"/>
      <c r="K1" s="417"/>
      <c r="L1" s="417"/>
      <c r="M1" s="417"/>
      <c r="N1" s="417"/>
      <c r="O1" s="417"/>
      <c r="P1" s="417"/>
      <c r="Q1" s="417"/>
      <c r="R1" s="417"/>
      <c r="S1" s="417"/>
      <c r="T1" s="417"/>
      <c r="U1" s="74"/>
      <c r="V1" s="74"/>
      <c r="W1" s="74"/>
    </row>
    <row r="2" spans="1:23" s="261" customFormat="1" ht="27.75" customHeight="1">
      <c r="A2" s="417" t="s">
        <v>9</v>
      </c>
      <c r="B2" s="417"/>
      <c r="C2" s="417"/>
      <c r="D2" s="417"/>
      <c r="E2" s="417"/>
      <c r="F2" s="417"/>
      <c r="G2" s="417"/>
      <c r="H2" s="417"/>
      <c r="I2" s="417"/>
      <c r="J2" s="417"/>
      <c r="K2" s="417"/>
      <c r="L2" s="417"/>
      <c r="M2" s="417"/>
      <c r="N2" s="417"/>
      <c r="O2" s="417"/>
      <c r="P2" s="417"/>
      <c r="Q2" s="417"/>
      <c r="R2" s="417"/>
      <c r="S2" s="417"/>
      <c r="T2" s="417"/>
      <c r="U2" s="75"/>
      <c r="V2" s="75"/>
      <c r="W2" s="75"/>
    </row>
    <row r="3" spans="1:23" s="261" customFormat="1" ht="15.75" customHeight="1">
      <c r="A3" s="418" t="s">
        <v>1378</v>
      </c>
      <c r="B3" s="418"/>
      <c r="C3" s="418"/>
      <c r="D3" s="418"/>
      <c r="E3" s="418"/>
      <c r="F3" s="418"/>
      <c r="G3" s="418"/>
      <c r="H3" s="418"/>
      <c r="I3" s="418"/>
      <c r="J3" s="418"/>
      <c r="K3" s="418"/>
      <c r="L3" s="418"/>
      <c r="M3" s="418"/>
      <c r="N3" s="418"/>
      <c r="O3" s="418"/>
      <c r="P3" s="418"/>
      <c r="Q3" s="418"/>
      <c r="R3" s="418"/>
      <c r="S3" s="418"/>
      <c r="T3" s="418"/>
      <c r="U3" s="76"/>
      <c r="V3" s="76"/>
      <c r="W3" s="76"/>
    </row>
    <row r="4" spans="1:23" s="79" customFormat="1" ht="25.5" customHeight="1">
      <c r="A4" s="329" t="s">
        <v>10</v>
      </c>
      <c r="B4" s="242" t="str">
        <f>'Start Here'!B4:D4</f>
        <v>Pinole</v>
      </c>
      <c r="C4" s="330"/>
      <c r="D4" s="78"/>
      <c r="E4" s="78"/>
      <c r="F4" s="78"/>
      <c r="G4" s="78"/>
      <c r="H4" s="78"/>
      <c r="I4" s="78"/>
      <c r="L4" s="411" t="s">
        <v>1376</v>
      </c>
      <c r="M4" s="412"/>
      <c r="N4" s="412"/>
      <c r="O4" s="413"/>
    </row>
    <row r="5" spans="1:23" s="79" customFormat="1" ht="25.5" customHeight="1">
      <c r="A5" s="331" t="s">
        <v>36</v>
      </c>
      <c r="B5" s="243">
        <f>'Start Here'!B5</f>
        <v>2018</v>
      </c>
      <c r="C5" s="333" t="str">
        <f>'Table A2'!C5</f>
        <v>(Jan. 1 - Dec. 31)</v>
      </c>
      <c r="D5" s="7"/>
      <c r="E5" s="78"/>
      <c r="F5" s="78"/>
      <c r="L5" s="414" t="s">
        <v>108</v>
      </c>
      <c r="M5" s="415"/>
      <c r="N5" s="415"/>
      <c r="O5" s="416"/>
    </row>
    <row r="6" spans="1:23" s="261" customFormat="1"/>
    <row r="7" spans="1:23" s="247" customFormat="1" ht="18">
      <c r="A7" s="408" t="s">
        <v>0</v>
      </c>
      <c r="B7" s="409"/>
      <c r="C7" s="409"/>
      <c r="D7" s="409"/>
      <c r="E7" s="409"/>
      <c r="F7" s="409"/>
      <c r="G7" s="409"/>
      <c r="H7" s="409"/>
      <c r="I7" s="409"/>
      <c r="J7" s="409"/>
      <c r="K7" s="409"/>
      <c r="L7" s="409"/>
      <c r="M7" s="409"/>
      <c r="N7" s="409"/>
      <c r="O7" s="409"/>
      <c r="P7" s="409"/>
      <c r="Q7" s="409"/>
      <c r="R7" s="409"/>
      <c r="S7" s="409"/>
      <c r="T7" s="410"/>
    </row>
    <row r="8" spans="1:23" s="247" customFormat="1" ht="24" customHeight="1">
      <c r="A8" s="405" t="s">
        <v>64</v>
      </c>
      <c r="B8" s="406"/>
      <c r="C8" s="406"/>
      <c r="D8" s="406"/>
      <c r="E8" s="406"/>
      <c r="F8" s="406"/>
      <c r="G8" s="406"/>
      <c r="H8" s="406"/>
      <c r="I8" s="406"/>
      <c r="J8" s="406"/>
      <c r="K8" s="406"/>
      <c r="L8" s="406"/>
      <c r="M8" s="406"/>
      <c r="N8" s="406"/>
      <c r="O8" s="406"/>
      <c r="P8" s="406"/>
      <c r="Q8" s="406"/>
      <c r="R8" s="406"/>
      <c r="S8" s="406"/>
      <c r="T8" s="407"/>
    </row>
    <row r="9" spans="1:23" s="247" customFormat="1" ht="63" customHeight="1">
      <c r="A9" s="400" t="s">
        <v>43</v>
      </c>
      <c r="B9" s="401"/>
      <c r="C9" s="401"/>
      <c r="D9" s="401"/>
      <c r="E9" s="402"/>
      <c r="F9" s="400" t="s">
        <v>114</v>
      </c>
      <c r="G9" s="402"/>
      <c r="H9" s="230" t="s">
        <v>63</v>
      </c>
      <c r="I9" s="400" t="s">
        <v>1365</v>
      </c>
      <c r="J9" s="403"/>
      <c r="K9" s="403"/>
      <c r="L9" s="403"/>
      <c r="M9" s="403"/>
      <c r="N9" s="403"/>
      <c r="O9" s="403"/>
      <c r="P9" s="404"/>
      <c r="Q9" s="230" t="s">
        <v>1366</v>
      </c>
      <c r="R9" s="230" t="s">
        <v>1367</v>
      </c>
      <c r="S9" s="230" t="s">
        <v>115</v>
      </c>
      <c r="T9" s="230" t="s">
        <v>58</v>
      </c>
    </row>
    <row r="10" spans="1:23" s="97" customFormat="1">
      <c r="A10" s="396">
        <v>1</v>
      </c>
      <c r="B10" s="397"/>
      <c r="C10" s="397"/>
      <c r="D10" s="398"/>
      <c r="E10" s="399"/>
      <c r="F10" s="227">
        <v>2</v>
      </c>
      <c r="G10" s="222">
        <v>3</v>
      </c>
      <c r="H10" s="229">
        <v>4</v>
      </c>
      <c r="I10" s="395">
        <v>5</v>
      </c>
      <c r="J10" s="395"/>
      <c r="K10" s="395"/>
      <c r="L10" s="395"/>
      <c r="M10" s="395"/>
      <c r="N10" s="395"/>
      <c r="O10" s="395"/>
      <c r="P10" s="222">
        <v>6</v>
      </c>
      <c r="Q10" s="222">
        <v>7</v>
      </c>
      <c r="R10" s="222">
        <v>8</v>
      </c>
      <c r="S10" s="222">
        <v>9</v>
      </c>
      <c r="T10" s="222">
        <v>10</v>
      </c>
    </row>
    <row r="11" spans="1:23" s="97" customFormat="1" ht="121.5" customHeight="1" thickBot="1">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c r="A12" s="317" t="s">
        <v>138</v>
      </c>
      <c r="B12" s="262"/>
      <c r="C12" s="262"/>
      <c r="D12" s="263"/>
      <c r="E12" s="264"/>
      <c r="F12" s="262"/>
      <c r="G12" s="262"/>
      <c r="H12" s="263"/>
      <c r="I12" s="190">
        <f t="shared" ref="I12:O12" si="0">SUM(I13:I1000)</f>
        <v>0</v>
      </c>
      <c r="J12" s="190">
        <f t="shared" si="0"/>
        <v>0</v>
      </c>
      <c r="K12" s="190">
        <f t="shared" si="0"/>
        <v>0</v>
      </c>
      <c r="L12" s="190">
        <f t="shared" si="0"/>
        <v>0</v>
      </c>
      <c r="M12" s="190">
        <f t="shared" si="0"/>
        <v>0</v>
      </c>
      <c r="N12" s="190">
        <f t="shared" si="0"/>
        <v>0</v>
      </c>
      <c r="O12" s="190">
        <f t="shared" si="0"/>
        <v>4</v>
      </c>
      <c r="P12" s="190">
        <f>SUM(P13:P1000)</f>
        <v>4</v>
      </c>
      <c r="Q12" s="190">
        <f>SUM(Q13:Q1000)</f>
        <v>4</v>
      </c>
      <c r="R12" s="190">
        <f>SUM(R13:R1000)</f>
        <v>0</v>
      </c>
      <c r="S12" s="191">
        <f>COUNTIF(S13:S1000,"*Yes*")</f>
        <v>0</v>
      </c>
      <c r="T12" s="265"/>
    </row>
    <row r="13" spans="1:23">
      <c r="A13" s="165"/>
      <c r="B13" s="165"/>
      <c r="C13" s="165"/>
      <c r="D13" s="165"/>
      <c r="E13" s="165"/>
      <c r="F13" s="165"/>
      <c r="G13" s="165"/>
      <c r="H13" s="346"/>
      <c r="I13" s="165"/>
      <c r="J13" s="165"/>
      <c r="K13" s="165"/>
      <c r="L13" s="165"/>
      <c r="M13" s="165"/>
      <c r="N13" s="165"/>
      <c r="O13" s="165"/>
      <c r="P13" s="347">
        <f t="shared" ref="P13:P76" si="1">SUM(I13:O13)</f>
        <v>0</v>
      </c>
      <c r="Q13" s="165"/>
      <c r="R13" s="165">
        <f>P13-Q13</f>
        <v>0</v>
      </c>
      <c r="S13" s="165"/>
      <c r="T13" s="348"/>
    </row>
    <row r="14" spans="1:23">
      <c r="A14" s="165"/>
      <c r="B14" s="165"/>
      <c r="C14" s="165"/>
      <c r="D14" s="165"/>
      <c r="E14" s="165"/>
      <c r="F14" s="165"/>
      <c r="G14" s="165"/>
      <c r="H14" s="346"/>
      <c r="I14" s="165"/>
      <c r="J14" s="165"/>
      <c r="K14" s="165"/>
      <c r="L14" s="165"/>
      <c r="M14" s="165"/>
      <c r="N14" s="165"/>
      <c r="O14" s="165"/>
      <c r="P14" s="347">
        <f>SUM(I14:O14)</f>
        <v>0</v>
      </c>
      <c r="Q14" s="165"/>
      <c r="R14" s="165">
        <f t="shared" ref="R14:R22" si="2">P14-Q14</f>
        <v>0</v>
      </c>
      <c r="S14" s="165"/>
      <c r="T14" s="348"/>
    </row>
    <row r="15" spans="1:23">
      <c r="A15" s="165"/>
      <c r="B15" s="165"/>
      <c r="C15" s="165"/>
      <c r="D15" s="165"/>
      <c r="E15" s="165"/>
      <c r="F15" s="165"/>
      <c r="G15" s="165"/>
      <c r="H15" s="349"/>
      <c r="I15" s="165"/>
      <c r="J15" s="165"/>
      <c r="K15" s="165"/>
      <c r="L15" s="165"/>
      <c r="M15" s="165"/>
      <c r="N15" s="165"/>
      <c r="O15" s="165"/>
      <c r="P15" s="347">
        <f>SUM(I15:O15)</f>
        <v>0</v>
      </c>
      <c r="Q15" s="165"/>
      <c r="R15" s="165">
        <f t="shared" si="2"/>
        <v>0</v>
      </c>
      <c r="S15" s="165"/>
      <c r="T15" s="348"/>
    </row>
    <row r="16" spans="1:23" ht="25.5">
      <c r="A16" s="165" t="s">
        <v>1387</v>
      </c>
      <c r="B16" s="165" t="s">
        <v>1387</v>
      </c>
      <c r="C16" s="165" t="s">
        <v>1417</v>
      </c>
      <c r="D16" s="305"/>
      <c r="E16" s="165" t="s">
        <v>1398</v>
      </c>
      <c r="F16" s="165" t="s">
        <v>1388</v>
      </c>
      <c r="G16" s="165" t="s">
        <v>1389</v>
      </c>
      <c r="H16" s="346">
        <v>43089</v>
      </c>
      <c r="I16" s="165"/>
      <c r="J16" s="165"/>
      <c r="K16" s="165"/>
      <c r="L16" s="165"/>
      <c r="M16" s="165"/>
      <c r="N16" s="165"/>
      <c r="O16" s="165">
        <v>1</v>
      </c>
      <c r="P16" s="347">
        <f t="shared" si="1"/>
        <v>1</v>
      </c>
      <c r="Q16" s="165">
        <v>1</v>
      </c>
      <c r="R16" s="165">
        <f t="shared" si="2"/>
        <v>0</v>
      </c>
      <c r="S16" s="165" t="s">
        <v>1390</v>
      </c>
      <c r="T16" s="348" t="s">
        <v>1418</v>
      </c>
    </row>
    <row r="17" spans="1:20">
      <c r="A17" s="165" t="s">
        <v>1396</v>
      </c>
      <c r="B17" s="165" t="s">
        <v>1396</v>
      </c>
      <c r="C17" s="165" t="s">
        <v>1416</v>
      </c>
      <c r="D17" s="165"/>
      <c r="E17" s="165" t="s">
        <v>1397</v>
      </c>
      <c r="F17" s="165" t="s">
        <v>1388</v>
      </c>
      <c r="G17" s="165" t="s">
        <v>1389</v>
      </c>
      <c r="H17" s="346">
        <v>43208</v>
      </c>
      <c r="I17" s="165"/>
      <c r="J17" s="165"/>
      <c r="K17" s="165"/>
      <c r="L17" s="165"/>
      <c r="M17" s="165"/>
      <c r="N17" s="165"/>
      <c r="O17" s="165">
        <v>1</v>
      </c>
      <c r="P17" s="347">
        <f t="shared" si="1"/>
        <v>1</v>
      </c>
      <c r="Q17" s="165">
        <v>1</v>
      </c>
      <c r="R17" s="165">
        <f t="shared" si="2"/>
        <v>0</v>
      </c>
      <c r="S17" s="165" t="s">
        <v>1390</v>
      </c>
      <c r="T17" s="348"/>
    </row>
    <row r="18" spans="1:20">
      <c r="A18" s="165" t="s">
        <v>1400</v>
      </c>
      <c r="B18" s="165" t="s">
        <v>1400</v>
      </c>
      <c r="C18" s="165" t="s">
        <v>1415</v>
      </c>
      <c r="D18" s="165"/>
      <c r="E18" s="165" t="s">
        <v>1399</v>
      </c>
      <c r="F18" s="165" t="s">
        <v>1388</v>
      </c>
      <c r="G18" s="165" t="s">
        <v>1389</v>
      </c>
      <c r="H18" s="346">
        <v>43376</v>
      </c>
      <c r="I18" s="165"/>
      <c r="J18" s="165"/>
      <c r="K18" s="165"/>
      <c r="L18" s="165"/>
      <c r="M18" s="165"/>
      <c r="N18" s="165"/>
      <c r="O18" s="165">
        <v>1</v>
      </c>
      <c r="P18" s="347">
        <f t="shared" si="1"/>
        <v>1</v>
      </c>
      <c r="Q18" s="165">
        <v>1</v>
      </c>
      <c r="R18" s="165">
        <f t="shared" si="2"/>
        <v>0</v>
      </c>
      <c r="S18" s="165" t="s">
        <v>1391</v>
      </c>
      <c r="T18" s="348"/>
    </row>
    <row r="19" spans="1:20">
      <c r="A19" s="165" t="s">
        <v>1395</v>
      </c>
      <c r="B19" s="165" t="s">
        <v>1395</v>
      </c>
      <c r="C19" s="165" t="s">
        <v>1394</v>
      </c>
      <c r="D19" s="165"/>
      <c r="E19" s="165" t="s">
        <v>1401</v>
      </c>
      <c r="F19" s="165" t="s">
        <v>1392</v>
      </c>
      <c r="G19" s="165" t="s">
        <v>1393</v>
      </c>
      <c r="H19" s="346">
        <v>43353</v>
      </c>
      <c r="I19" s="165"/>
      <c r="J19" s="165"/>
      <c r="K19" s="165"/>
      <c r="L19" s="165"/>
      <c r="M19" s="165"/>
      <c r="N19" s="165"/>
      <c r="O19" s="165">
        <v>1</v>
      </c>
      <c r="P19" s="347">
        <v>1</v>
      </c>
      <c r="Q19" s="165">
        <v>1</v>
      </c>
      <c r="R19" s="165">
        <f t="shared" si="2"/>
        <v>0</v>
      </c>
      <c r="S19" s="165" t="s">
        <v>1390</v>
      </c>
      <c r="T19" s="348"/>
    </row>
    <row r="20" spans="1:20" s="268" customFormat="1">
      <c r="A20" s="165"/>
      <c r="B20" s="165"/>
      <c r="C20" s="165"/>
      <c r="D20" s="165"/>
      <c r="E20" s="165"/>
      <c r="F20" s="165"/>
      <c r="G20" s="165"/>
      <c r="H20" s="346"/>
      <c r="I20" s="165"/>
      <c r="J20" s="165"/>
      <c r="K20" s="165"/>
      <c r="L20" s="165"/>
      <c r="M20" s="165"/>
      <c r="N20" s="165"/>
      <c r="O20" s="165"/>
      <c r="P20" s="347">
        <f t="shared" si="1"/>
        <v>0</v>
      </c>
      <c r="Q20" s="165"/>
      <c r="R20" s="165">
        <f t="shared" si="2"/>
        <v>0</v>
      </c>
      <c r="S20" s="165"/>
      <c r="T20" s="348"/>
    </row>
    <row r="21" spans="1:20" s="268" customFormat="1">
      <c r="A21" s="165"/>
      <c r="B21" s="165"/>
      <c r="C21" s="165"/>
      <c r="D21" s="165"/>
      <c r="E21" s="165"/>
      <c r="F21" s="165"/>
      <c r="G21" s="165"/>
      <c r="H21" s="346"/>
      <c r="I21" s="165"/>
      <c r="J21" s="165"/>
      <c r="K21" s="165"/>
      <c r="L21" s="165"/>
      <c r="M21" s="165"/>
      <c r="N21" s="165"/>
      <c r="O21" s="165"/>
      <c r="P21" s="347">
        <f t="shared" si="1"/>
        <v>0</v>
      </c>
      <c r="Q21" s="165"/>
      <c r="R21" s="165">
        <f t="shared" si="2"/>
        <v>0</v>
      </c>
      <c r="S21" s="165"/>
      <c r="T21" s="348"/>
    </row>
    <row r="22" spans="1:20" s="268" customFormat="1">
      <c r="A22" s="165"/>
      <c r="B22" s="165"/>
      <c r="C22" s="165"/>
      <c r="D22" s="165"/>
      <c r="E22" s="165"/>
      <c r="F22" s="165"/>
      <c r="G22" s="165"/>
      <c r="H22" s="346"/>
      <c r="I22" s="165"/>
      <c r="J22" s="165"/>
      <c r="K22" s="165"/>
      <c r="L22" s="165"/>
      <c r="M22" s="165"/>
      <c r="N22" s="165"/>
      <c r="O22" s="165"/>
      <c r="P22" s="347">
        <f t="shared" si="1"/>
        <v>0</v>
      </c>
      <c r="Q22" s="165"/>
      <c r="R22" s="165">
        <f t="shared" si="2"/>
        <v>0</v>
      </c>
      <c r="S22" s="165"/>
      <c r="T22" s="348"/>
    </row>
    <row r="23" spans="1:20" s="268" customFormat="1">
      <c r="A23" s="165"/>
      <c r="B23" s="165"/>
      <c r="C23" s="165"/>
      <c r="D23" s="165"/>
      <c r="E23" s="165"/>
      <c r="F23" s="165"/>
      <c r="G23" s="165"/>
      <c r="H23" s="346"/>
      <c r="I23" s="165"/>
      <c r="J23" s="165"/>
      <c r="K23" s="165"/>
      <c r="L23" s="165"/>
      <c r="M23" s="165"/>
      <c r="N23" s="165"/>
      <c r="O23" s="165"/>
      <c r="P23" s="347">
        <f t="shared" si="1"/>
        <v>0</v>
      </c>
      <c r="Q23" s="165"/>
      <c r="R23" s="165">
        <f t="shared" ref="R23:R89" si="3">P23-Q23</f>
        <v>0</v>
      </c>
      <c r="S23" s="165"/>
      <c r="T23" s="348"/>
    </row>
    <row r="24" spans="1:20" s="268" customFormat="1">
      <c r="A24" s="165"/>
      <c r="B24" s="165"/>
      <c r="C24" s="165"/>
      <c r="D24" s="165"/>
      <c r="E24" s="165"/>
      <c r="F24" s="165"/>
      <c r="G24" s="165"/>
      <c r="H24" s="346"/>
      <c r="I24" s="165"/>
      <c r="J24" s="165"/>
      <c r="K24" s="165"/>
      <c r="L24" s="165"/>
      <c r="M24" s="165"/>
      <c r="N24" s="165"/>
      <c r="O24" s="165"/>
      <c r="P24" s="347">
        <f t="shared" si="1"/>
        <v>0</v>
      </c>
      <c r="Q24" s="165"/>
      <c r="R24" s="165">
        <f t="shared" si="3"/>
        <v>0</v>
      </c>
      <c r="S24" s="165"/>
      <c r="T24" s="348"/>
    </row>
    <row r="25" spans="1:20" s="268" customFormat="1">
      <c r="A25" s="165"/>
      <c r="B25" s="165"/>
      <c r="C25" s="165"/>
      <c r="D25" s="165"/>
      <c r="E25" s="165"/>
      <c r="F25" s="165"/>
      <c r="G25" s="165"/>
      <c r="H25" s="346"/>
      <c r="I25" s="165"/>
      <c r="J25" s="165"/>
      <c r="K25" s="165"/>
      <c r="L25" s="165"/>
      <c r="M25" s="165"/>
      <c r="N25" s="165"/>
      <c r="O25" s="165"/>
      <c r="P25" s="347">
        <f t="shared" si="1"/>
        <v>0</v>
      </c>
      <c r="Q25" s="165"/>
      <c r="R25" s="165">
        <f t="shared" si="3"/>
        <v>0</v>
      </c>
      <c r="S25" s="165"/>
      <c r="T25" s="348"/>
    </row>
    <row r="26" spans="1:20" s="268" customFormat="1">
      <c r="A26" s="165"/>
      <c r="B26" s="165"/>
      <c r="C26" s="165"/>
      <c r="D26" s="165"/>
      <c r="E26" s="165"/>
      <c r="F26" s="165"/>
      <c r="G26" s="165"/>
      <c r="H26" s="346"/>
      <c r="I26" s="165"/>
      <c r="J26" s="165"/>
      <c r="K26" s="165"/>
      <c r="L26" s="165"/>
      <c r="M26" s="165"/>
      <c r="N26" s="165"/>
      <c r="O26" s="165"/>
      <c r="P26" s="347">
        <f t="shared" si="1"/>
        <v>0</v>
      </c>
      <c r="Q26" s="165"/>
      <c r="R26" s="165">
        <f t="shared" si="3"/>
        <v>0</v>
      </c>
      <c r="S26" s="165"/>
      <c r="T26" s="348"/>
    </row>
    <row r="27" spans="1:20" s="268" customFormat="1">
      <c r="A27" s="165"/>
      <c r="B27" s="165"/>
      <c r="C27" s="165"/>
      <c r="D27" s="165"/>
      <c r="E27" s="165"/>
      <c r="F27" s="165"/>
      <c r="G27" s="165"/>
      <c r="H27" s="346"/>
      <c r="I27" s="165"/>
      <c r="J27" s="165"/>
      <c r="K27" s="165"/>
      <c r="L27" s="165"/>
      <c r="M27" s="165"/>
      <c r="N27" s="165"/>
      <c r="O27" s="165"/>
      <c r="P27" s="347">
        <f t="shared" si="1"/>
        <v>0</v>
      </c>
      <c r="Q27" s="165"/>
      <c r="R27" s="165">
        <f t="shared" si="3"/>
        <v>0</v>
      </c>
      <c r="S27" s="165"/>
      <c r="T27" s="348"/>
    </row>
    <row r="28" spans="1:20" s="268" customFormat="1">
      <c r="A28" s="165"/>
      <c r="B28" s="165"/>
      <c r="C28" s="165"/>
      <c r="D28" s="165"/>
      <c r="E28" s="165"/>
      <c r="F28" s="165"/>
      <c r="G28" s="165"/>
      <c r="H28" s="346"/>
      <c r="I28" s="165"/>
      <c r="J28" s="165"/>
      <c r="K28" s="165"/>
      <c r="L28" s="165"/>
      <c r="M28" s="165"/>
      <c r="N28" s="165"/>
      <c r="O28" s="165"/>
      <c r="P28" s="347">
        <f t="shared" si="1"/>
        <v>0</v>
      </c>
      <c r="Q28" s="165"/>
      <c r="R28" s="165">
        <f t="shared" si="3"/>
        <v>0</v>
      </c>
      <c r="S28" s="165"/>
      <c r="T28" s="348"/>
    </row>
    <row r="29" spans="1:20" s="268" customFormat="1">
      <c r="A29" s="165"/>
      <c r="B29" s="165"/>
      <c r="C29" s="165"/>
      <c r="D29" s="165"/>
      <c r="E29" s="165"/>
      <c r="F29" s="165"/>
      <c r="G29" s="165"/>
      <c r="H29" s="346"/>
      <c r="I29" s="165"/>
      <c r="J29" s="165"/>
      <c r="K29" s="165"/>
      <c r="L29" s="165"/>
      <c r="M29" s="165"/>
      <c r="N29" s="165"/>
      <c r="O29" s="165"/>
      <c r="P29" s="347">
        <f t="shared" si="1"/>
        <v>0</v>
      </c>
      <c r="Q29" s="165"/>
      <c r="R29" s="165">
        <f t="shared" si="3"/>
        <v>0</v>
      </c>
      <c r="S29" s="165"/>
      <c r="T29" s="348"/>
    </row>
    <row r="30" spans="1:20" s="268" customFormat="1">
      <c r="A30" s="165"/>
      <c r="B30" s="165"/>
      <c r="C30" s="165"/>
      <c r="D30" s="165"/>
      <c r="E30" s="165"/>
      <c r="F30" s="165"/>
      <c r="G30" s="165"/>
      <c r="H30" s="346"/>
      <c r="I30" s="165"/>
      <c r="J30" s="165"/>
      <c r="K30" s="165"/>
      <c r="L30" s="165"/>
      <c r="M30" s="165"/>
      <c r="N30" s="165"/>
      <c r="O30" s="165"/>
      <c r="P30" s="347">
        <f t="shared" si="1"/>
        <v>0</v>
      </c>
      <c r="Q30" s="165"/>
      <c r="R30" s="165">
        <f t="shared" si="3"/>
        <v>0</v>
      </c>
      <c r="S30" s="165"/>
      <c r="T30" s="348"/>
    </row>
    <row r="31" spans="1:20" s="268" customFormat="1">
      <c r="A31" s="165"/>
      <c r="B31" s="165"/>
      <c r="C31" s="165"/>
      <c r="D31" s="165"/>
      <c r="E31" s="165"/>
      <c r="F31" s="165"/>
      <c r="G31" s="165"/>
      <c r="H31" s="346"/>
      <c r="I31" s="165"/>
      <c r="J31" s="165"/>
      <c r="K31" s="165"/>
      <c r="L31" s="165"/>
      <c r="M31" s="165"/>
      <c r="N31" s="165"/>
      <c r="O31" s="165"/>
      <c r="P31" s="347">
        <f t="shared" si="1"/>
        <v>0</v>
      </c>
      <c r="Q31" s="165"/>
      <c r="R31" s="165">
        <f t="shared" si="3"/>
        <v>0</v>
      </c>
      <c r="S31" s="165"/>
      <c r="T31" s="348"/>
    </row>
    <row r="32" spans="1:20" s="268" customFormat="1">
      <c r="A32" s="165"/>
      <c r="B32" s="165"/>
      <c r="C32" s="165"/>
      <c r="D32" s="165"/>
      <c r="E32" s="165"/>
      <c r="F32" s="165"/>
      <c r="G32" s="165"/>
      <c r="H32" s="346"/>
      <c r="I32" s="165"/>
      <c r="J32" s="165"/>
      <c r="K32" s="165"/>
      <c r="L32" s="165"/>
      <c r="M32" s="165"/>
      <c r="N32" s="165"/>
      <c r="O32" s="165"/>
      <c r="P32" s="347">
        <f t="shared" si="1"/>
        <v>0</v>
      </c>
      <c r="Q32" s="165"/>
      <c r="R32" s="165">
        <f t="shared" si="3"/>
        <v>0</v>
      </c>
      <c r="S32" s="165"/>
      <c r="T32" s="348"/>
    </row>
    <row r="33" spans="1:20" s="268" customFormat="1">
      <c r="A33" s="165"/>
      <c r="B33" s="165"/>
      <c r="C33" s="165"/>
      <c r="D33" s="165"/>
      <c r="E33" s="165"/>
      <c r="F33" s="165"/>
      <c r="G33" s="165"/>
      <c r="H33" s="346"/>
      <c r="I33" s="165"/>
      <c r="J33" s="165"/>
      <c r="K33" s="165"/>
      <c r="L33" s="165"/>
      <c r="M33" s="165"/>
      <c r="N33" s="165"/>
      <c r="O33" s="165"/>
      <c r="P33" s="347">
        <f t="shared" si="1"/>
        <v>0</v>
      </c>
      <c r="Q33" s="165"/>
      <c r="R33" s="165">
        <f t="shared" si="3"/>
        <v>0</v>
      </c>
      <c r="S33" s="165"/>
      <c r="T33" s="348"/>
    </row>
    <row r="34" spans="1:20" s="268" customFormat="1">
      <c r="A34" s="165"/>
      <c r="B34" s="165"/>
      <c r="C34" s="165"/>
      <c r="D34" s="165"/>
      <c r="E34" s="165"/>
      <c r="F34" s="165"/>
      <c r="G34" s="165"/>
      <c r="H34" s="346"/>
      <c r="I34" s="165"/>
      <c r="J34" s="165"/>
      <c r="K34" s="165"/>
      <c r="L34" s="165"/>
      <c r="M34" s="165"/>
      <c r="N34" s="165"/>
      <c r="O34" s="165"/>
      <c r="P34" s="347">
        <f t="shared" si="1"/>
        <v>0</v>
      </c>
      <c r="Q34" s="165"/>
      <c r="R34" s="165">
        <f t="shared" si="3"/>
        <v>0</v>
      </c>
      <c r="S34" s="165"/>
      <c r="T34" s="348"/>
    </row>
    <row r="35" spans="1:20" s="268" customFormat="1">
      <c r="A35" s="165"/>
      <c r="B35" s="165"/>
      <c r="C35" s="165"/>
      <c r="D35" s="165"/>
      <c r="E35" s="165"/>
      <c r="F35" s="165"/>
      <c r="G35" s="165"/>
      <c r="H35" s="346"/>
      <c r="I35" s="165"/>
      <c r="J35" s="165"/>
      <c r="K35" s="165"/>
      <c r="L35" s="165"/>
      <c r="M35" s="165"/>
      <c r="N35" s="165"/>
      <c r="O35" s="165"/>
      <c r="P35" s="347">
        <f t="shared" si="1"/>
        <v>0</v>
      </c>
      <c r="Q35" s="165"/>
      <c r="R35" s="165">
        <f t="shared" si="3"/>
        <v>0</v>
      </c>
      <c r="S35" s="165"/>
      <c r="T35" s="348"/>
    </row>
    <row r="36" spans="1:20" s="268" customFormat="1">
      <c r="A36" s="165"/>
      <c r="B36" s="165"/>
      <c r="C36" s="165"/>
      <c r="D36" s="165"/>
      <c r="E36" s="165"/>
      <c r="F36" s="165"/>
      <c r="G36" s="165"/>
      <c r="H36" s="346"/>
      <c r="I36" s="165"/>
      <c r="J36" s="165"/>
      <c r="K36" s="165"/>
      <c r="L36" s="165"/>
      <c r="M36" s="165"/>
      <c r="N36" s="165"/>
      <c r="O36" s="165"/>
      <c r="P36" s="347">
        <f t="shared" si="1"/>
        <v>0</v>
      </c>
      <c r="Q36" s="165"/>
      <c r="R36" s="165">
        <f t="shared" si="3"/>
        <v>0</v>
      </c>
      <c r="S36" s="165"/>
      <c r="T36" s="348"/>
    </row>
    <row r="37" spans="1:20" s="269" customFormat="1">
      <c r="A37" s="350"/>
      <c r="B37" s="350"/>
      <c r="C37" s="350"/>
      <c r="D37" s="350"/>
      <c r="E37" s="350"/>
      <c r="F37" s="350"/>
      <c r="G37" s="350"/>
      <c r="H37" s="346"/>
      <c r="I37" s="350"/>
      <c r="J37" s="350"/>
      <c r="K37" s="350"/>
      <c r="L37" s="350"/>
      <c r="M37" s="350"/>
      <c r="N37" s="350"/>
      <c r="O37" s="350"/>
      <c r="P37" s="347">
        <f t="shared" si="1"/>
        <v>0</v>
      </c>
      <c r="Q37" s="350"/>
      <c r="R37" s="165">
        <f t="shared" si="3"/>
        <v>0</v>
      </c>
      <c r="S37" s="350"/>
      <c r="T37" s="351"/>
    </row>
    <row r="38" spans="1:20" s="269" customFormat="1">
      <c r="A38" s="350"/>
      <c r="B38" s="350"/>
      <c r="C38" s="350"/>
      <c r="D38" s="350"/>
      <c r="E38" s="350"/>
      <c r="F38" s="350"/>
      <c r="G38" s="350"/>
      <c r="H38" s="346"/>
      <c r="I38" s="350"/>
      <c r="J38" s="350"/>
      <c r="K38" s="350"/>
      <c r="L38" s="350"/>
      <c r="M38" s="350"/>
      <c r="N38" s="350"/>
      <c r="O38" s="350"/>
      <c r="P38" s="347">
        <f t="shared" si="1"/>
        <v>0</v>
      </c>
      <c r="Q38" s="350"/>
      <c r="R38" s="165">
        <f t="shared" si="3"/>
        <v>0</v>
      </c>
      <c r="S38" s="350"/>
      <c r="T38" s="351"/>
    </row>
    <row r="39" spans="1:20" s="269" customFormat="1">
      <c r="A39" s="350"/>
      <c r="B39" s="350"/>
      <c r="C39" s="350"/>
      <c r="D39" s="350"/>
      <c r="E39" s="350"/>
      <c r="F39" s="350"/>
      <c r="G39" s="350"/>
      <c r="H39" s="346"/>
      <c r="I39" s="350"/>
      <c r="J39" s="350"/>
      <c r="K39" s="350"/>
      <c r="L39" s="350"/>
      <c r="M39" s="350"/>
      <c r="N39" s="350"/>
      <c r="O39" s="350"/>
      <c r="P39" s="347">
        <f t="shared" si="1"/>
        <v>0</v>
      </c>
      <c r="Q39" s="350"/>
      <c r="R39" s="165">
        <f t="shared" si="3"/>
        <v>0</v>
      </c>
      <c r="S39" s="350"/>
      <c r="T39" s="351"/>
    </row>
    <row r="40" spans="1:20" s="269" customFormat="1">
      <c r="A40" s="350"/>
      <c r="B40" s="350"/>
      <c r="C40" s="350"/>
      <c r="D40" s="350"/>
      <c r="E40" s="350"/>
      <c r="F40" s="350"/>
      <c r="G40" s="350"/>
      <c r="H40" s="346"/>
      <c r="I40" s="350"/>
      <c r="J40" s="350"/>
      <c r="K40" s="350"/>
      <c r="L40" s="350"/>
      <c r="M40" s="350"/>
      <c r="N40" s="350"/>
      <c r="O40" s="350"/>
      <c r="P40" s="347">
        <f t="shared" si="1"/>
        <v>0</v>
      </c>
      <c r="Q40" s="350"/>
      <c r="R40" s="165">
        <f t="shared" si="3"/>
        <v>0</v>
      </c>
      <c r="S40" s="350"/>
      <c r="T40" s="351"/>
    </row>
    <row r="41" spans="1:20" s="269" customFormat="1">
      <c r="A41" s="350"/>
      <c r="B41" s="350"/>
      <c r="C41" s="350"/>
      <c r="D41" s="350"/>
      <c r="E41" s="350"/>
      <c r="F41" s="350"/>
      <c r="G41" s="350"/>
      <c r="H41" s="346"/>
      <c r="I41" s="350"/>
      <c r="J41" s="350"/>
      <c r="K41" s="350"/>
      <c r="L41" s="350"/>
      <c r="M41" s="350"/>
      <c r="N41" s="350"/>
      <c r="O41" s="350"/>
      <c r="P41" s="347">
        <f t="shared" si="1"/>
        <v>0</v>
      </c>
      <c r="Q41" s="350"/>
      <c r="R41" s="165">
        <f t="shared" si="3"/>
        <v>0</v>
      </c>
      <c r="S41" s="350"/>
      <c r="T41" s="351"/>
    </row>
    <row r="42" spans="1:20" s="269" customFormat="1">
      <c r="A42" s="350"/>
      <c r="B42" s="350"/>
      <c r="C42" s="350"/>
      <c r="D42" s="350"/>
      <c r="E42" s="350"/>
      <c r="F42" s="350"/>
      <c r="G42" s="350"/>
      <c r="H42" s="346"/>
      <c r="I42" s="350"/>
      <c r="J42" s="350"/>
      <c r="K42" s="350"/>
      <c r="L42" s="350"/>
      <c r="M42" s="350"/>
      <c r="N42" s="350"/>
      <c r="O42" s="350"/>
      <c r="P42" s="347">
        <f t="shared" si="1"/>
        <v>0</v>
      </c>
      <c r="Q42" s="350"/>
      <c r="R42" s="165">
        <f t="shared" si="3"/>
        <v>0</v>
      </c>
      <c r="S42" s="350"/>
      <c r="T42" s="351"/>
    </row>
    <row r="43" spans="1:20" s="269" customFormat="1">
      <c r="A43" s="350"/>
      <c r="B43" s="350"/>
      <c r="C43" s="350"/>
      <c r="D43" s="350"/>
      <c r="E43" s="350"/>
      <c r="F43" s="350"/>
      <c r="G43" s="350"/>
      <c r="H43" s="346"/>
      <c r="I43" s="350"/>
      <c r="J43" s="350"/>
      <c r="K43" s="350"/>
      <c r="L43" s="350"/>
      <c r="M43" s="350"/>
      <c r="N43" s="350"/>
      <c r="O43" s="350"/>
      <c r="P43" s="347">
        <f t="shared" si="1"/>
        <v>0</v>
      </c>
      <c r="Q43" s="350"/>
      <c r="R43" s="165">
        <f t="shared" si="3"/>
        <v>0</v>
      </c>
      <c r="S43" s="350"/>
      <c r="T43" s="351"/>
    </row>
    <row r="44" spans="1:20" s="269" customFormat="1">
      <c r="A44" s="350"/>
      <c r="B44" s="350"/>
      <c r="C44" s="350"/>
      <c r="D44" s="350"/>
      <c r="E44" s="350"/>
      <c r="F44" s="350"/>
      <c r="G44" s="350"/>
      <c r="H44" s="346"/>
      <c r="I44" s="350"/>
      <c r="J44" s="350"/>
      <c r="K44" s="350"/>
      <c r="L44" s="350"/>
      <c r="M44" s="350"/>
      <c r="N44" s="350"/>
      <c r="O44" s="350"/>
      <c r="P44" s="347">
        <f t="shared" si="1"/>
        <v>0</v>
      </c>
      <c r="Q44" s="350"/>
      <c r="R44" s="165">
        <f t="shared" si="3"/>
        <v>0</v>
      </c>
      <c r="S44" s="350"/>
      <c r="T44" s="351"/>
    </row>
    <row r="45" spans="1:20" s="269" customFormat="1">
      <c r="A45" s="350"/>
      <c r="B45" s="350"/>
      <c r="C45" s="350"/>
      <c r="D45" s="350"/>
      <c r="E45" s="350"/>
      <c r="F45" s="350"/>
      <c r="G45" s="350"/>
      <c r="H45" s="346"/>
      <c r="I45" s="350"/>
      <c r="J45" s="350"/>
      <c r="K45" s="350"/>
      <c r="L45" s="350"/>
      <c r="M45" s="350"/>
      <c r="N45" s="350"/>
      <c r="O45" s="350"/>
      <c r="P45" s="347">
        <f t="shared" si="1"/>
        <v>0</v>
      </c>
      <c r="Q45" s="350"/>
      <c r="R45" s="165">
        <f t="shared" si="3"/>
        <v>0</v>
      </c>
      <c r="S45" s="350"/>
      <c r="T45" s="351"/>
    </row>
    <row r="46" spans="1:20" s="269" customFormat="1">
      <c r="A46" s="350"/>
      <c r="B46" s="350"/>
      <c r="C46" s="350"/>
      <c r="D46" s="350"/>
      <c r="E46" s="350"/>
      <c r="F46" s="350"/>
      <c r="G46" s="350"/>
      <c r="H46" s="346"/>
      <c r="I46" s="350"/>
      <c r="J46" s="350"/>
      <c r="K46" s="350"/>
      <c r="L46" s="350"/>
      <c r="M46" s="350"/>
      <c r="N46" s="350"/>
      <c r="O46" s="350"/>
      <c r="P46" s="347">
        <f t="shared" si="1"/>
        <v>0</v>
      </c>
      <c r="Q46" s="350"/>
      <c r="R46" s="165">
        <f t="shared" si="3"/>
        <v>0</v>
      </c>
      <c r="S46" s="350"/>
      <c r="T46" s="351"/>
    </row>
    <row r="47" spans="1:20" s="269" customFormat="1">
      <c r="A47" s="350"/>
      <c r="B47" s="350"/>
      <c r="C47" s="350"/>
      <c r="D47" s="350"/>
      <c r="E47" s="350"/>
      <c r="F47" s="350"/>
      <c r="G47" s="350"/>
      <c r="H47" s="346"/>
      <c r="I47" s="350"/>
      <c r="J47" s="350"/>
      <c r="K47" s="350"/>
      <c r="L47" s="350"/>
      <c r="M47" s="350"/>
      <c r="N47" s="350"/>
      <c r="O47" s="350"/>
      <c r="P47" s="347">
        <f t="shared" si="1"/>
        <v>0</v>
      </c>
      <c r="Q47" s="350"/>
      <c r="R47" s="165">
        <f t="shared" si="3"/>
        <v>0</v>
      </c>
      <c r="S47" s="350"/>
      <c r="T47" s="351"/>
    </row>
    <row r="48" spans="1:20" s="269" customFormat="1">
      <c r="A48" s="350"/>
      <c r="B48" s="350"/>
      <c r="C48" s="350"/>
      <c r="D48" s="350"/>
      <c r="E48" s="350"/>
      <c r="F48" s="350"/>
      <c r="G48" s="350"/>
      <c r="H48" s="346"/>
      <c r="I48" s="350"/>
      <c r="J48" s="350"/>
      <c r="K48" s="350"/>
      <c r="L48" s="350"/>
      <c r="M48" s="350"/>
      <c r="N48" s="350"/>
      <c r="O48" s="350"/>
      <c r="P48" s="347">
        <f t="shared" si="1"/>
        <v>0</v>
      </c>
      <c r="Q48" s="350"/>
      <c r="R48" s="165">
        <f t="shared" si="3"/>
        <v>0</v>
      </c>
      <c r="S48" s="350"/>
      <c r="T48" s="351"/>
    </row>
    <row r="49" spans="1:20" s="269" customFormat="1">
      <c r="A49" s="350"/>
      <c r="B49" s="350"/>
      <c r="C49" s="350"/>
      <c r="D49" s="350"/>
      <c r="E49" s="350"/>
      <c r="F49" s="350"/>
      <c r="G49" s="350"/>
      <c r="H49" s="346"/>
      <c r="I49" s="350"/>
      <c r="J49" s="350"/>
      <c r="K49" s="350"/>
      <c r="L49" s="350"/>
      <c r="M49" s="350"/>
      <c r="N49" s="350"/>
      <c r="O49" s="350"/>
      <c r="P49" s="347">
        <f t="shared" si="1"/>
        <v>0</v>
      </c>
      <c r="Q49" s="350"/>
      <c r="R49" s="165">
        <f t="shared" si="3"/>
        <v>0</v>
      </c>
      <c r="S49" s="350"/>
      <c r="T49" s="351"/>
    </row>
    <row r="50" spans="1:20" s="269" customFormat="1">
      <c r="A50" s="350"/>
      <c r="B50" s="350"/>
      <c r="C50" s="350"/>
      <c r="D50" s="350"/>
      <c r="E50" s="350"/>
      <c r="F50" s="350"/>
      <c r="G50" s="350"/>
      <c r="H50" s="346"/>
      <c r="I50" s="350"/>
      <c r="J50" s="350"/>
      <c r="K50" s="350"/>
      <c r="L50" s="350"/>
      <c r="M50" s="350"/>
      <c r="N50" s="350"/>
      <c r="O50" s="350"/>
      <c r="P50" s="347">
        <f t="shared" si="1"/>
        <v>0</v>
      </c>
      <c r="Q50" s="350"/>
      <c r="R50" s="165">
        <f t="shared" si="3"/>
        <v>0</v>
      </c>
      <c r="S50" s="350"/>
      <c r="T50" s="351"/>
    </row>
    <row r="51" spans="1:20" s="269" customFormat="1">
      <c r="A51" s="350"/>
      <c r="B51" s="350"/>
      <c r="C51" s="350"/>
      <c r="D51" s="350"/>
      <c r="E51" s="350"/>
      <c r="F51" s="350"/>
      <c r="G51" s="350"/>
      <c r="H51" s="346"/>
      <c r="I51" s="350"/>
      <c r="J51" s="350"/>
      <c r="K51" s="350"/>
      <c r="L51" s="350"/>
      <c r="M51" s="350"/>
      <c r="N51" s="350"/>
      <c r="O51" s="350"/>
      <c r="P51" s="347">
        <f t="shared" si="1"/>
        <v>0</v>
      </c>
      <c r="Q51" s="350"/>
      <c r="R51" s="165">
        <f t="shared" si="3"/>
        <v>0</v>
      </c>
      <c r="S51" s="350"/>
      <c r="T51" s="351"/>
    </row>
    <row r="52" spans="1:20" s="269" customFormat="1">
      <c r="A52" s="350"/>
      <c r="B52" s="350"/>
      <c r="C52" s="350"/>
      <c r="D52" s="350"/>
      <c r="E52" s="350"/>
      <c r="F52" s="350"/>
      <c r="G52" s="350"/>
      <c r="H52" s="346"/>
      <c r="I52" s="350"/>
      <c r="J52" s="350"/>
      <c r="K52" s="350"/>
      <c r="L52" s="350"/>
      <c r="M52" s="350"/>
      <c r="N52" s="350"/>
      <c r="O52" s="350"/>
      <c r="P52" s="347">
        <f t="shared" si="1"/>
        <v>0</v>
      </c>
      <c r="Q52" s="350"/>
      <c r="R52" s="165">
        <f t="shared" si="3"/>
        <v>0</v>
      </c>
      <c r="S52" s="350"/>
      <c r="T52" s="351"/>
    </row>
    <row r="53" spans="1:20" s="269" customFormat="1">
      <c r="A53" s="350"/>
      <c r="B53" s="350"/>
      <c r="C53" s="350"/>
      <c r="D53" s="350"/>
      <c r="E53" s="350"/>
      <c r="F53" s="350"/>
      <c r="G53" s="350"/>
      <c r="H53" s="346"/>
      <c r="I53" s="350"/>
      <c r="J53" s="350"/>
      <c r="K53" s="350"/>
      <c r="L53" s="350"/>
      <c r="M53" s="350"/>
      <c r="N53" s="350"/>
      <c r="O53" s="350"/>
      <c r="P53" s="347">
        <f t="shared" si="1"/>
        <v>0</v>
      </c>
      <c r="Q53" s="350"/>
      <c r="R53" s="165">
        <f t="shared" si="3"/>
        <v>0</v>
      </c>
      <c r="S53" s="350"/>
      <c r="T53" s="351"/>
    </row>
    <row r="54" spans="1:20" s="269" customFormat="1">
      <c r="A54" s="350"/>
      <c r="B54" s="350"/>
      <c r="C54" s="350"/>
      <c r="D54" s="350"/>
      <c r="E54" s="350"/>
      <c r="F54" s="350"/>
      <c r="G54" s="350"/>
      <c r="H54" s="346"/>
      <c r="I54" s="350"/>
      <c r="J54" s="350"/>
      <c r="K54" s="350"/>
      <c r="L54" s="350"/>
      <c r="M54" s="350"/>
      <c r="N54" s="350"/>
      <c r="O54" s="350"/>
      <c r="P54" s="347">
        <f t="shared" si="1"/>
        <v>0</v>
      </c>
      <c r="Q54" s="350"/>
      <c r="R54" s="165">
        <f t="shared" si="3"/>
        <v>0</v>
      </c>
      <c r="S54" s="350"/>
      <c r="T54" s="351"/>
    </row>
    <row r="55" spans="1:20" s="269" customFormat="1">
      <c r="A55" s="350"/>
      <c r="B55" s="350"/>
      <c r="C55" s="350"/>
      <c r="D55" s="350"/>
      <c r="E55" s="350"/>
      <c r="F55" s="350"/>
      <c r="G55" s="350"/>
      <c r="H55" s="346"/>
      <c r="I55" s="350"/>
      <c r="J55" s="350"/>
      <c r="K55" s="350"/>
      <c r="L55" s="350"/>
      <c r="M55" s="350"/>
      <c r="N55" s="350"/>
      <c r="O55" s="350"/>
      <c r="P55" s="347">
        <f t="shared" si="1"/>
        <v>0</v>
      </c>
      <c r="Q55" s="350"/>
      <c r="R55" s="165">
        <f t="shared" si="3"/>
        <v>0</v>
      </c>
      <c r="S55" s="350"/>
      <c r="T55" s="351"/>
    </row>
    <row r="56" spans="1:20" s="269" customFormat="1">
      <c r="A56" s="350"/>
      <c r="B56" s="350"/>
      <c r="C56" s="350"/>
      <c r="D56" s="350"/>
      <c r="E56" s="350"/>
      <c r="F56" s="350"/>
      <c r="G56" s="350"/>
      <c r="H56" s="346"/>
      <c r="I56" s="350"/>
      <c r="J56" s="350"/>
      <c r="K56" s="350"/>
      <c r="L56" s="350"/>
      <c r="M56" s="350"/>
      <c r="N56" s="350"/>
      <c r="O56" s="350"/>
      <c r="P56" s="347">
        <f t="shared" si="1"/>
        <v>0</v>
      </c>
      <c r="Q56" s="350"/>
      <c r="R56" s="165">
        <f t="shared" si="3"/>
        <v>0</v>
      </c>
      <c r="S56" s="350"/>
      <c r="T56" s="351"/>
    </row>
    <row r="57" spans="1:20" s="269" customFormat="1">
      <c r="A57" s="350"/>
      <c r="B57" s="350"/>
      <c r="C57" s="350"/>
      <c r="D57" s="350"/>
      <c r="E57" s="350"/>
      <c r="F57" s="350"/>
      <c r="G57" s="350"/>
      <c r="H57" s="346"/>
      <c r="I57" s="350"/>
      <c r="J57" s="350"/>
      <c r="K57" s="350"/>
      <c r="L57" s="350"/>
      <c r="M57" s="350"/>
      <c r="N57" s="350"/>
      <c r="O57" s="350"/>
      <c r="P57" s="347">
        <f t="shared" si="1"/>
        <v>0</v>
      </c>
      <c r="Q57" s="350"/>
      <c r="R57" s="165">
        <f t="shared" si="3"/>
        <v>0</v>
      </c>
      <c r="S57" s="350"/>
      <c r="T57" s="351"/>
    </row>
    <row r="58" spans="1:20" s="269" customFormat="1">
      <c r="A58" s="350"/>
      <c r="B58" s="350"/>
      <c r="C58" s="350"/>
      <c r="D58" s="350"/>
      <c r="E58" s="350"/>
      <c r="F58" s="350"/>
      <c r="G58" s="350"/>
      <c r="H58" s="346"/>
      <c r="I58" s="350"/>
      <c r="J58" s="350"/>
      <c r="K58" s="350"/>
      <c r="L58" s="350"/>
      <c r="M58" s="350"/>
      <c r="N58" s="350"/>
      <c r="O58" s="350"/>
      <c r="P58" s="347">
        <f t="shared" si="1"/>
        <v>0</v>
      </c>
      <c r="Q58" s="350"/>
      <c r="R58" s="165">
        <f t="shared" si="3"/>
        <v>0</v>
      </c>
      <c r="S58" s="350"/>
      <c r="T58" s="351"/>
    </row>
    <row r="59" spans="1:20" s="269" customFormat="1">
      <c r="A59" s="350"/>
      <c r="B59" s="350"/>
      <c r="C59" s="350"/>
      <c r="D59" s="350"/>
      <c r="E59" s="350"/>
      <c r="F59" s="350"/>
      <c r="G59" s="350"/>
      <c r="H59" s="346"/>
      <c r="I59" s="350"/>
      <c r="J59" s="350"/>
      <c r="K59" s="350"/>
      <c r="L59" s="350"/>
      <c r="M59" s="350"/>
      <c r="N59" s="350"/>
      <c r="O59" s="350"/>
      <c r="P59" s="347">
        <f t="shared" si="1"/>
        <v>0</v>
      </c>
      <c r="Q59" s="350"/>
      <c r="R59" s="165">
        <f t="shared" si="3"/>
        <v>0</v>
      </c>
      <c r="S59" s="350"/>
      <c r="T59" s="351"/>
    </row>
    <row r="60" spans="1:20" s="269" customFormat="1">
      <c r="A60" s="350"/>
      <c r="B60" s="350"/>
      <c r="C60" s="350"/>
      <c r="D60" s="350"/>
      <c r="E60" s="350"/>
      <c r="F60" s="350"/>
      <c r="G60" s="350"/>
      <c r="H60" s="346"/>
      <c r="I60" s="350"/>
      <c r="J60" s="350"/>
      <c r="K60" s="350"/>
      <c r="L60" s="350"/>
      <c r="M60" s="350"/>
      <c r="N60" s="350"/>
      <c r="O60" s="350"/>
      <c r="P60" s="347">
        <f t="shared" si="1"/>
        <v>0</v>
      </c>
      <c r="Q60" s="350"/>
      <c r="R60" s="165">
        <f t="shared" si="3"/>
        <v>0</v>
      </c>
      <c r="S60" s="350"/>
      <c r="T60" s="351"/>
    </row>
    <row r="61" spans="1:20" s="269" customFormat="1">
      <c r="A61" s="350"/>
      <c r="B61" s="350"/>
      <c r="C61" s="350"/>
      <c r="D61" s="350"/>
      <c r="E61" s="350"/>
      <c r="F61" s="350"/>
      <c r="G61" s="350"/>
      <c r="H61" s="346"/>
      <c r="I61" s="350"/>
      <c r="J61" s="350"/>
      <c r="K61" s="350"/>
      <c r="L61" s="350"/>
      <c r="M61" s="350"/>
      <c r="N61" s="350"/>
      <c r="O61" s="350"/>
      <c r="P61" s="347">
        <f t="shared" si="1"/>
        <v>0</v>
      </c>
      <c r="Q61" s="350"/>
      <c r="R61" s="165">
        <f t="shared" si="3"/>
        <v>0</v>
      </c>
      <c r="S61" s="350"/>
      <c r="T61" s="351"/>
    </row>
    <row r="62" spans="1:20" s="269" customFormat="1">
      <c r="A62" s="350"/>
      <c r="B62" s="350"/>
      <c r="C62" s="350"/>
      <c r="D62" s="350"/>
      <c r="E62" s="350"/>
      <c r="F62" s="350"/>
      <c r="G62" s="350"/>
      <c r="H62" s="346"/>
      <c r="I62" s="350"/>
      <c r="J62" s="350"/>
      <c r="K62" s="350"/>
      <c r="L62" s="350"/>
      <c r="M62" s="350"/>
      <c r="N62" s="350"/>
      <c r="O62" s="350"/>
      <c r="P62" s="347">
        <f t="shared" si="1"/>
        <v>0</v>
      </c>
      <c r="Q62" s="350"/>
      <c r="R62" s="165">
        <f t="shared" si="3"/>
        <v>0</v>
      </c>
      <c r="S62" s="350"/>
      <c r="T62" s="351"/>
    </row>
    <row r="63" spans="1:20" s="269" customFormat="1">
      <c r="A63" s="350"/>
      <c r="B63" s="350"/>
      <c r="C63" s="350"/>
      <c r="D63" s="350"/>
      <c r="E63" s="350"/>
      <c r="F63" s="350"/>
      <c r="G63" s="350"/>
      <c r="H63" s="346"/>
      <c r="I63" s="350"/>
      <c r="J63" s="350"/>
      <c r="K63" s="350"/>
      <c r="L63" s="350"/>
      <c r="M63" s="350"/>
      <c r="N63" s="350"/>
      <c r="O63" s="350"/>
      <c r="P63" s="347">
        <f t="shared" si="1"/>
        <v>0</v>
      </c>
      <c r="Q63" s="350"/>
      <c r="R63" s="165">
        <f t="shared" si="3"/>
        <v>0</v>
      </c>
      <c r="S63" s="350"/>
      <c r="T63" s="351"/>
    </row>
    <row r="64" spans="1:20" s="269" customFormat="1">
      <c r="A64" s="350"/>
      <c r="B64" s="350"/>
      <c r="C64" s="350"/>
      <c r="D64" s="350"/>
      <c r="E64" s="350"/>
      <c r="F64" s="350"/>
      <c r="G64" s="350"/>
      <c r="H64" s="346"/>
      <c r="I64" s="350"/>
      <c r="J64" s="350"/>
      <c r="K64" s="350"/>
      <c r="L64" s="350"/>
      <c r="M64" s="350"/>
      <c r="N64" s="350"/>
      <c r="O64" s="350"/>
      <c r="P64" s="347">
        <f t="shared" si="1"/>
        <v>0</v>
      </c>
      <c r="Q64" s="350"/>
      <c r="R64" s="165">
        <f t="shared" si="3"/>
        <v>0</v>
      </c>
      <c r="S64" s="350"/>
      <c r="T64" s="351"/>
    </row>
    <row r="65" spans="1:20" s="269" customFormat="1">
      <c r="A65" s="350"/>
      <c r="B65" s="350"/>
      <c r="C65" s="350"/>
      <c r="D65" s="350"/>
      <c r="E65" s="350"/>
      <c r="F65" s="350"/>
      <c r="G65" s="350"/>
      <c r="H65" s="346"/>
      <c r="I65" s="350"/>
      <c r="J65" s="350"/>
      <c r="K65" s="350"/>
      <c r="L65" s="350"/>
      <c r="M65" s="350"/>
      <c r="N65" s="350"/>
      <c r="O65" s="350"/>
      <c r="P65" s="347">
        <f t="shared" si="1"/>
        <v>0</v>
      </c>
      <c r="Q65" s="350"/>
      <c r="R65" s="165">
        <f t="shared" si="3"/>
        <v>0</v>
      </c>
      <c r="S65" s="350"/>
      <c r="T65" s="351"/>
    </row>
    <row r="66" spans="1:20" s="269" customFormat="1">
      <c r="A66" s="350"/>
      <c r="B66" s="350"/>
      <c r="C66" s="350"/>
      <c r="D66" s="350"/>
      <c r="E66" s="350"/>
      <c r="F66" s="350"/>
      <c r="G66" s="350"/>
      <c r="H66" s="346"/>
      <c r="I66" s="350"/>
      <c r="J66" s="350"/>
      <c r="K66" s="350"/>
      <c r="L66" s="350"/>
      <c r="M66" s="350"/>
      <c r="N66" s="350"/>
      <c r="O66" s="350"/>
      <c r="P66" s="347">
        <f t="shared" si="1"/>
        <v>0</v>
      </c>
      <c r="Q66" s="350"/>
      <c r="R66" s="165">
        <f t="shared" si="3"/>
        <v>0</v>
      </c>
      <c r="S66" s="350"/>
      <c r="T66" s="351"/>
    </row>
    <row r="67" spans="1:20" s="269" customFormat="1">
      <c r="A67" s="350"/>
      <c r="B67" s="350"/>
      <c r="C67" s="350"/>
      <c r="D67" s="350"/>
      <c r="E67" s="350"/>
      <c r="F67" s="350"/>
      <c r="G67" s="350"/>
      <c r="H67" s="346"/>
      <c r="I67" s="350"/>
      <c r="J67" s="350"/>
      <c r="K67" s="350"/>
      <c r="L67" s="350"/>
      <c r="M67" s="350"/>
      <c r="N67" s="350"/>
      <c r="O67" s="350"/>
      <c r="P67" s="347">
        <f t="shared" si="1"/>
        <v>0</v>
      </c>
      <c r="Q67" s="350"/>
      <c r="R67" s="165">
        <f t="shared" si="3"/>
        <v>0</v>
      </c>
      <c r="S67" s="350"/>
      <c r="T67" s="351"/>
    </row>
    <row r="68" spans="1:20" s="269" customFormat="1">
      <c r="A68" s="350"/>
      <c r="B68" s="350"/>
      <c r="C68" s="350"/>
      <c r="D68" s="350"/>
      <c r="E68" s="350"/>
      <c r="F68" s="350"/>
      <c r="G68" s="350"/>
      <c r="H68" s="346"/>
      <c r="I68" s="350"/>
      <c r="J68" s="350"/>
      <c r="K68" s="350"/>
      <c r="L68" s="350"/>
      <c r="M68" s="350"/>
      <c r="N68" s="350"/>
      <c r="O68" s="350"/>
      <c r="P68" s="347">
        <f t="shared" si="1"/>
        <v>0</v>
      </c>
      <c r="Q68" s="350"/>
      <c r="R68" s="165">
        <f t="shared" si="3"/>
        <v>0</v>
      </c>
      <c r="S68" s="350"/>
      <c r="T68" s="351"/>
    </row>
    <row r="69" spans="1:20" s="269" customFormat="1">
      <c r="A69" s="350"/>
      <c r="B69" s="350"/>
      <c r="C69" s="350"/>
      <c r="D69" s="350"/>
      <c r="E69" s="350"/>
      <c r="F69" s="350"/>
      <c r="G69" s="350"/>
      <c r="H69" s="346"/>
      <c r="I69" s="350"/>
      <c r="J69" s="350"/>
      <c r="K69" s="350"/>
      <c r="L69" s="350"/>
      <c r="M69" s="350"/>
      <c r="N69" s="350"/>
      <c r="O69" s="350"/>
      <c r="P69" s="347">
        <f t="shared" si="1"/>
        <v>0</v>
      </c>
      <c r="Q69" s="350"/>
      <c r="R69" s="165">
        <f t="shared" si="3"/>
        <v>0</v>
      </c>
      <c r="S69" s="350"/>
      <c r="T69" s="351"/>
    </row>
    <row r="70" spans="1:20" s="269" customFormat="1">
      <c r="A70" s="350"/>
      <c r="B70" s="350"/>
      <c r="C70" s="350"/>
      <c r="D70" s="350"/>
      <c r="E70" s="350"/>
      <c r="F70" s="350"/>
      <c r="G70" s="350"/>
      <c r="H70" s="346"/>
      <c r="I70" s="350"/>
      <c r="J70" s="350"/>
      <c r="K70" s="350"/>
      <c r="L70" s="350"/>
      <c r="M70" s="350"/>
      <c r="N70" s="350"/>
      <c r="O70" s="350"/>
      <c r="P70" s="347">
        <f t="shared" si="1"/>
        <v>0</v>
      </c>
      <c r="Q70" s="350"/>
      <c r="R70" s="165">
        <f t="shared" si="3"/>
        <v>0</v>
      </c>
      <c r="S70" s="350"/>
      <c r="T70" s="351"/>
    </row>
    <row r="71" spans="1:20" s="269" customFormat="1">
      <c r="A71" s="350"/>
      <c r="B71" s="350"/>
      <c r="C71" s="350"/>
      <c r="D71" s="350"/>
      <c r="E71" s="350"/>
      <c r="F71" s="350"/>
      <c r="G71" s="350"/>
      <c r="H71" s="346"/>
      <c r="I71" s="350"/>
      <c r="J71" s="350"/>
      <c r="K71" s="350"/>
      <c r="L71" s="350"/>
      <c r="M71" s="350"/>
      <c r="N71" s="350"/>
      <c r="O71" s="350"/>
      <c r="P71" s="347">
        <f t="shared" si="1"/>
        <v>0</v>
      </c>
      <c r="Q71" s="350"/>
      <c r="R71" s="165">
        <f t="shared" si="3"/>
        <v>0</v>
      </c>
      <c r="S71" s="350"/>
      <c r="T71" s="351"/>
    </row>
    <row r="72" spans="1:20" s="269" customFormat="1">
      <c r="A72" s="350"/>
      <c r="B72" s="350"/>
      <c r="C72" s="350"/>
      <c r="D72" s="350"/>
      <c r="E72" s="350"/>
      <c r="F72" s="350"/>
      <c r="G72" s="350"/>
      <c r="H72" s="346"/>
      <c r="I72" s="350"/>
      <c r="J72" s="350"/>
      <c r="K72" s="350"/>
      <c r="L72" s="350"/>
      <c r="M72" s="350"/>
      <c r="N72" s="350"/>
      <c r="O72" s="350"/>
      <c r="P72" s="347">
        <f t="shared" si="1"/>
        <v>0</v>
      </c>
      <c r="Q72" s="350"/>
      <c r="R72" s="165">
        <f t="shared" si="3"/>
        <v>0</v>
      </c>
      <c r="S72" s="350"/>
      <c r="T72" s="351"/>
    </row>
    <row r="73" spans="1:20" s="269" customFormat="1">
      <c r="A73" s="350"/>
      <c r="B73" s="350"/>
      <c r="C73" s="350"/>
      <c r="D73" s="350"/>
      <c r="E73" s="350"/>
      <c r="F73" s="350"/>
      <c r="G73" s="350"/>
      <c r="H73" s="346"/>
      <c r="I73" s="350"/>
      <c r="J73" s="350"/>
      <c r="K73" s="350"/>
      <c r="L73" s="350"/>
      <c r="M73" s="350"/>
      <c r="N73" s="350"/>
      <c r="O73" s="350"/>
      <c r="P73" s="347">
        <f t="shared" si="1"/>
        <v>0</v>
      </c>
      <c r="Q73" s="350"/>
      <c r="R73" s="165">
        <f t="shared" si="3"/>
        <v>0</v>
      </c>
      <c r="S73" s="350"/>
      <c r="T73" s="351"/>
    </row>
    <row r="74" spans="1:20" s="269" customFormat="1">
      <c r="A74" s="350"/>
      <c r="B74" s="350"/>
      <c r="C74" s="350"/>
      <c r="D74" s="350"/>
      <c r="E74" s="350"/>
      <c r="F74" s="350"/>
      <c r="G74" s="350"/>
      <c r="H74" s="346"/>
      <c r="I74" s="350"/>
      <c r="J74" s="350"/>
      <c r="K74" s="350"/>
      <c r="L74" s="350"/>
      <c r="M74" s="350"/>
      <c r="N74" s="350"/>
      <c r="O74" s="350"/>
      <c r="P74" s="347">
        <f t="shared" si="1"/>
        <v>0</v>
      </c>
      <c r="Q74" s="350"/>
      <c r="R74" s="165">
        <f t="shared" si="3"/>
        <v>0</v>
      </c>
      <c r="S74" s="350"/>
      <c r="T74" s="351"/>
    </row>
    <row r="75" spans="1:20" s="269" customFormat="1">
      <c r="A75" s="350"/>
      <c r="B75" s="350"/>
      <c r="C75" s="350"/>
      <c r="D75" s="350"/>
      <c r="E75" s="350"/>
      <c r="F75" s="350"/>
      <c r="G75" s="350"/>
      <c r="H75" s="346"/>
      <c r="I75" s="350"/>
      <c r="J75" s="350"/>
      <c r="K75" s="350"/>
      <c r="L75" s="350"/>
      <c r="M75" s="350"/>
      <c r="N75" s="350"/>
      <c r="O75" s="350"/>
      <c r="P75" s="347">
        <f t="shared" si="1"/>
        <v>0</v>
      </c>
      <c r="Q75" s="350"/>
      <c r="R75" s="165">
        <f t="shared" si="3"/>
        <v>0</v>
      </c>
      <c r="S75" s="350"/>
      <c r="T75" s="351"/>
    </row>
    <row r="76" spans="1:20" s="269" customFormat="1">
      <c r="A76" s="350"/>
      <c r="B76" s="350"/>
      <c r="C76" s="350"/>
      <c r="D76" s="350"/>
      <c r="E76" s="350"/>
      <c r="F76" s="350"/>
      <c r="G76" s="350"/>
      <c r="H76" s="346"/>
      <c r="I76" s="350"/>
      <c r="J76" s="350"/>
      <c r="K76" s="350"/>
      <c r="L76" s="350"/>
      <c r="M76" s="350"/>
      <c r="N76" s="350"/>
      <c r="O76" s="350"/>
      <c r="P76" s="347">
        <f t="shared" si="1"/>
        <v>0</v>
      </c>
      <c r="Q76" s="350"/>
      <c r="R76" s="165">
        <f t="shared" si="3"/>
        <v>0</v>
      </c>
      <c r="S76" s="350"/>
      <c r="T76" s="351"/>
    </row>
    <row r="77" spans="1:20" s="269" customFormat="1">
      <c r="A77" s="350"/>
      <c r="B77" s="350"/>
      <c r="C77" s="350"/>
      <c r="D77" s="350"/>
      <c r="E77" s="350"/>
      <c r="F77" s="350"/>
      <c r="G77" s="350"/>
      <c r="H77" s="346"/>
      <c r="I77" s="350"/>
      <c r="J77" s="350"/>
      <c r="K77" s="350"/>
      <c r="L77" s="350"/>
      <c r="M77" s="350"/>
      <c r="N77" s="350"/>
      <c r="O77" s="350"/>
      <c r="P77" s="347">
        <f t="shared" ref="P77:P140" si="4">SUM(I77:O77)</f>
        <v>0</v>
      </c>
      <c r="Q77" s="350"/>
      <c r="R77" s="165">
        <f t="shared" si="3"/>
        <v>0</v>
      </c>
      <c r="S77" s="350"/>
      <c r="T77" s="351"/>
    </row>
    <row r="78" spans="1:20" s="269" customFormat="1">
      <c r="A78" s="350"/>
      <c r="B78" s="350"/>
      <c r="C78" s="350"/>
      <c r="D78" s="350"/>
      <c r="E78" s="350"/>
      <c r="F78" s="350"/>
      <c r="G78" s="350"/>
      <c r="H78" s="346"/>
      <c r="I78" s="350"/>
      <c r="J78" s="350"/>
      <c r="K78" s="350"/>
      <c r="L78" s="350"/>
      <c r="M78" s="350"/>
      <c r="N78" s="350"/>
      <c r="O78" s="350"/>
      <c r="P78" s="347">
        <f t="shared" si="4"/>
        <v>0</v>
      </c>
      <c r="Q78" s="350"/>
      <c r="R78" s="165">
        <f t="shared" si="3"/>
        <v>0</v>
      </c>
      <c r="S78" s="350"/>
      <c r="T78" s="351"/>
    </row>
    <row r="79" spans="1:20" s="269" customFormat="1">
      <c r="A79" s="350"/>
      <c r="B79" s="350"/>
      <c r="C79" s="350"/>
      <c r="D79" s="350"/>
      <c r="E79" s="350"/>
      <c r="F79" s="350"/>
      <c r="G79" s="350"/>
      <c r="H79" s="346"/>
      <c r="I79" s="350"/>
      <c r="J79" s="350"/>
      <c r="K79" s="350"/>
      <c r="L79" s="350"/>
      <c r="M79" s="350"/>
      <c r="N79" s="350"/>
      <c r="O79" s="350"/>
      <c r="P79" s="347">
        <f t="shared" si="4"/>
        <v>0</v>
      </c>
      <c r="Q79" s="350"/>
      <c r="R79" s="165">
        <f t="shared" si="3"/>
        <v>0</v>
      </c>
      <c r="S79" s="350"/>
      <c r="T79" s="351"/>
    </row>
    <row r="80" spans="1:20" s="269" customFormat="1">
      <c r="A80" s="350"/>
      <c r="B80" s="350"/>
      <c r="C80" s="350"/>
      <c r="D80" s="350"/>
      <c r="E80" s="350"/>
      <c r="F80" s="350"/>
      <c r="G80" s="350"/>
      <c r="H80" s="346"/>
      <c r="I80" s="350"/>
      <c r="J80" s="350"/>
      <c r="K80" s="350"/>
      <c r="L80" s="350"/>
      <c r="M80" s="350"/>
      <c r="N80" s="350"/>
      <c r="O80" s="350"/>
      <c r="P80" s="347">
        <f t="shared" si="4"/>
        <v>0</v>
      </c>
      <c r="Q80" s="350"/>
      <c r="R80" s="165">
        <f t="shared" si="3"/>
        <v>0</v>
      </c>
      <c r="S80" s="350"/>
      <c r="T80" s="351"/>
    </row>
    <row r="81" spans="1:20" s="269" customFormat="1">
      <c r="A81" s="350"/>
      <c r="B81" s="350"/>
      <c r="C81" s="350"/>
      <c r="D81" s="350"/>
      <c r="E81" s="350"/>
      <c r="F81" s="350"/>
      <c r="G81" s="350"/>
      <c r="H81" s="346"/>
      <c r="I81" s="350"/>
      <c r="J81" s="350"/>
      <c r="K81" s="350"/>
      <c r="L81" s="350"/>
      <c r="M81" s="350"/>
      <c r="N81" s="350"/>
      <c r="O81" s="350"/>
      <c r="P81" s="347">
        <f t="shared" si="4"/>
        <v>0</v>
      </c>
      <c r="Q81" s="350"/>
      <c r="R81" s="165">
        <f t="shared" si="3"/>
        <v>0</v>
      </c>
      <c r="S81" s="350"/>
      <c r="T81" s="351"/>
    </row>
    <row r="82" spans="1:20" s="269" customFormat="1">
      <c r="A82" s="350"/>
      <c r="B82" s="350"/>
      <c r="C82" s="350"/>
      <c r="D82" s="350"/>
      <c r="E82" s="350"/>
      <c r="F82" s="350"/>
      <c r="G82" s="350"/>
      <c r="H82" s="346"/>
      <c r="I82" s="350"/>
      <c r="J82" s="350"/>
      <c r="K82" s="350"/>
      <c r="L82" s="350"/>
      <c r="M82" s="350"/>
      <c r="N82" s="350"/>
      <c r="O82" s="350"/>
      <c r="P82" s="347">
        <f t="shared" si="4"/>
        <v>0</v>
      </c>
      <c r="Q82" s="350"/>
      <c r="R82" s="165">
        <f t="shared" si="3"/>
        <v>0</v>
      </c>
      <c r="S82" s="350"/>
      <c r="T82" s="351"/>
    </row>
    <row r="83" spans="1:20" s="269" customFormat="1">
      <c r="A83" s="350"/>
      <c r="B83" s="350"/>
      <c r="C83" s="350"/>
      <c r="D83" s="350"/>
      <c r="E83" s="350"/>
      <c r="F83" s="350"/>
      <c r="G83" s="350"/>
      <c r="H83" s="346"/>
      <c r="I83" s="350"/>
      <c r="J83" s="350"/>
      <c r="K83" s="350"/>
      <c r="L83" s="350"/>
      <c r="M83" s="350"/>
      <c r="N83" s="350"/>
      <c r="O83" s="350"/>
      <c r="P83" s="347">
        <f t="shared" si="4"/>
        <v>0</v>
      </c>
      <c r="Q83" s="350"/>
      <c r="R83" s="165">
        <f t="shared" si="3"/>
        <v>0</v>
      </c>
      <c r="S83" s="350"/>
      <c r="T83" s="351"/>
    </row>
    <row r="84" spans="1:20" s="269" customFormat="1">
      <c r="A84" s="350"/>
      <c r="B84" s="350"/>
      <c r="C84" s="350"/>
      <c r="D84" s="350"/>
      <c r="E84" s="350"/>
      <c r="F84" s="350"/>
      <c r="G84" s="350"/>
      <c r="H84" s="346"/>
      <c r="I84" s="350"/>
      <c r="J84" s="350"/>
      <c r="K84" s="350"/>
      <c r="L84" s="350"/>
      <c r="M84" s="350"/>
      <c r="N84" s="350"/>
      <c r="O84" s="350"/>
      <c r="P84" s="347">
        <f t="shared" si="4"/>
        <v>0</v>
      </c>
      <c r="Q84" s="350"/>
      <c r="R84" s="165">
        <f t="shared" si="3"/>
        <v>0</v>
      </c>
      <c r="S84" s="350"/>
      <c r="T84" s="351"/>
    </row>
    <row r="85" spans="1:20" s="269" customFormat="1">
      <c r="A85" s="350"/>
      <c r="B85" s="350"/>
      <c r="C85" s="350"/>
      <c r="D85" s="350"/>
      <c r="E85" s="350"/>
      <c r="F85" s="350"/>
      <c r="G85" s="350"/>
      <c r="H85" s="346"/>
      <c r="I85" s="350"/>
      <c r="J85" s="350"/>
      <c r="K85" s="350"/>
      <c r="L85" s="350"/>
      <c r="M85" s="350"/>
      <c r="N85" s="350"/>
      <c r="O85" s="350"/>
      <c r="P85" s="347">
        <f t="shared" si="4"/>
        <v>0</v>
      </c>
      <c r="Q85" s="350"/>
      <c r="R85" s="165">
        <f t="shared" si="3"/>
        <v>0</v>
      </c>
      <c r="S85" s="350"/>
      <c r="T85" s="351"/>
    </row>
    <row r="86" spans="1:20" s="269" customFormat="1">
      <c r="A86" s="350"/>
      <c r="B86" s="350"/>
      <c r="C86" s="350"/>
      <c r="D86" s="350"/>
      <c r="E86" s="350"/>
      <c r="F86" s="350"/>
      <c r="G86" s="350"/>
      <c r="H86" s="346"/>
      <c r="I86" s="350"/>
      <c r="J86" s="350"/>
      <c r="K86" s="350"/>
      <c r="L86" s="350"/>
      <c r="M86" s="350"/>
      <c r="N86" s="350"/>
      <c r="O86" s="350"/>
      <c r="P86" s="347">
        <f t="shared" si="4"/>
        <v>0</v>
      </c>
      <c r="Q86" s="350"/>
      <c r="R86" s="165">
        <f t="shared" si="3"/>
        <v>0</v>
      </c>
      <c r="S86" s="350"/>
      <c r="T86" s="351"/>
    </row>
    <row r="87" spans="1:20" s="269" customFormat="1">
      <c r="A87" s="350"/>
      <c r="B87" s="350"/>
      <c r="C87" s="350"/>
      <c r="D87" s="350"/>
      <c r="E87" s="350"/>
      <c r="F87" s="350"/>
      <c r="G87" s="350"/>
      <c r="H87" s="346"/>
      <c r="I87" s="350"/>
      <c r="J87" s="350"/>
      <c r="K87" s="350"/>
      <c r="L87" s="350"/>
      <c r="M87" s="350"/>
      <c r="N87" s="350"/>
      <c r="O87" s="350"/>
      <c r="P87" s="347">
        <f t="shared" si="4"/>
        <v>0</v>
      </c>
      <c r="Q87" s="350"/>
      <c r="R87" s="165">
        <f t="shared" si="3"/>
        <v>0</v>
      </c>
      <c r="S87" s="350"/>
      <c r="T87" s="351"/>
    </row>
    <row r="88" spans="1:20" s="269" customFormat="1">
      <c r="A88" s="350"/>
      <c r="B88" s="350"/>
      <c r="C88" s="350"/>
      <c r="D88" s="350"/>
      <c r="E88" s="350"/>
      <c r="F88" s="350"/>
      <c r="G88" s="350"/>
      <c r="H88" s="346"/>
      <c r="I88" s="350"/>
      <c r="J88" s="350"/>
      <c r="K88" s="350"/>
      <c r="L88" s="350"/>
      <c r="M88" s="350"/>
      <c r="N88" s="350"/>
      <c r="O88" s="350"/>
      <c r="P88" s="347">
        <f t="shared" si="4"/>
        <v>0</v>
      </c>
      <c r="Q88" s="350"/>
      <c r="R88" s="165">
        <f t="shared" si="3"/>
        <v>0</v>
      </c>
      <c r="S88" s="350"/>
      <c r="T88" s="351"/>
    </row>
    <row r="89" spans="1:20" s="269" customFormat="1">
      <c r="A89" s="350"/>
      <c r="B89" s="350"/>
      <c r="C89" s="350"/>
      <c r="D89" s="350"/>
      <c r="E89" s="350"/>
      <c r="F89" s="350"/>
      <c r="G89" s="350"/>
      <c r="H89" s="346"/>
      <c r="I89" s="350"/>
      <c r="J89" s="350"/>
      <c r="K89" s="350"/>
      <c r="L89" s="350"/>
      <c r="M89" s="350"/>
      <c r="N89" s="350"/>
      <c r="O89" s="350"/>
      <c r="P89" s="347">
        <f t="shared" si="4"/>
        <v>0</v>
      </c>
      <c r="Q89" s="350"/>
      <c r="R89" s="165">
        <f t="shared" si="3"/>
        <v>0</v>
      </c>
      <c r="S89" s="350"/>
      <c r="T89" s="351"/>
    </row>
    <row r="90" spans="1:20" s="269" customFormat="1">
      <c r="A90" s="350"/>
      <c r="B90" s="350"/>
      <c r="C90" s="350"/>
      <c r="D90" s="350"/>
      <c r="E90" s="350"/>
      <c r="F90" s="350"/>
      <c r="G90" s="350"/>
      <c r="H90" s="346"/>
      <c r="I90" s="350"/>
      <c r="J90" s="350"/>
      <c r="K90" s="350"/>
      <c r="L90" s="350"/>
      <c r="M90" s="350"/>
      <c r="N90" s="350"/>
      <c r="O90" s="350"/>
      <c r="P90" s="347">
        <f t="shared" si="4"/>
        <v>0</v>
      </c>
      <c r="Q90" s="350"/>
      <c r="R90" s="165">
        <f t="shared" ref="R90:R153" si="5">P90-Q90</f>
        <v>0</v>
      </c>
      <c r="S90" s="350"/>
      <c r="T90" s="351"/>
    </row>
    <row r="91" spans="1:20" s="269" customFormat="1">
      <c r="A91" s="350"/>
      <c r="B91" s="350"/>
      <c r="C91" s="350"/>
      <c r="D91" s="350"/>
      <c r="E91" s="350"/>
      <c r="F91" s="350"/>
      <c r="G91" s="350"/>
      <c r="H91" s="346"/>
      <c r="I91" s="350"/>
      <c r="J91" s="350"/>
      <c r="K91" s="350"/>
      <c r="L91" s="350"/>
      <c r="M91" s="350"/>
      <c r="N91" s="350"/>
      <c r="O91" s="350"/>
      <c r="P91" s="347">
        <f t="shared" si="4"/>
        <v>0</v>
      </c>
      <c r="Q91" s="350"/>
      <c r="R91" s="165">
        <f t="shared" si="5"/>
        <v>0</v>
      </c>
      <c r="S91" s="350"/>
      <c r="T91" s="351"/>
    </row>
    <row r="92" spans="1:20" s="269" customFormat="1">
      <c r="A92" s="350"/>
      <c r="B92" s="350"/>
      <c r="C92" s="350"/>
      <c r="D92" s="350"/>
      <c r="E92" s="350"/>
      <c r="F92" s="350"/>
      <c r="G92" s="350"/>
      <c r="H92" s="346"/>
      <c r="I92" s="350"/>
      <c r="J92" s="350"/>
      <c r="K92" s="350"/>
      <c r="L92" s="350"/>
      <c r="M92" s="350"/>
      <c r="N92" s="350"/>
      <c r="O92" s="350"/>
      <c r="P92" s="347">
        <f t="shared" si="4"/>
        <v>0</v>
      </c>
      <c r="Q92" s="350"/>
      <c r="R92" s="165">
        <f t="shared" si="5"/>
        <v>0</v>
      </c>
      <c r="S92" s="350"/>
      <c r="T92" s="351"/>
    </row>
    <row r="93" spans="1:20" s="269" customFormat="1">
      <c r="A93" s="350"/>
      <c r="B93" s="350"/>
      <c r="C93" s="350"/>
      <c r="D93" s="350"/>
      <c r="E93" s="350"/>
      <c r="F93" s="350"/>
      <c r="G93" s="350"/>
      <c r="H93" s="346"/>
      <c r="I93" s="350"/>
      <c r="J93" s="350"/>
      <c r="K93" s="350"/>
      <c r="L93" s="350"/>
      <c r="M93" s="350"/>
      <c r="N93" s="350"/>
      <c r="O93" s="350"/>
      <c r="P93" s="347">
        <f t="shared" si="4"/>
        <v>0</v>
      </c>
      <c r="Q93" s="350"/>
      <c r="R93" s="165">
        <f t="shared" si="5"/>
        <v>0</v>
      </c>
      <c r="S93" s="350"/>
      <c r="T93" s="351"/>
    </row>
    <row r="94" spans="1:20" s="269" customFormat="1">
      <c r="A94" s="350"/>
      <c r="B94" s="350"/>
      <c r="C94" s="350"/>
      <c r="D94" s="350"/>
      <c r="E94" s="350"/>
      <c r="F94" s="350"/>
      <c r="G94" s="350"/>
      <c r="H94" s="346"/>
      <c r="I94" s="350"/>
      <c r="J94" s="350"/>
      <c r="K94" s="350"/>
      <c r="L94" s="350"/>
      <c r="M94" s="350"/>
      <c r="N94" s="350"/>
      <c r="O94" s="350"/>
      <c r="P94" s="347">
        <f t="shared" si="4"/>
        <v>0</v>
      </c>
      <c r="Q94" s="350"/>
      <c r="R94" s="165">
        <f t="shared" si="5"/>
        <v>0</v>
      </c>
      <c r="S94" s="350"/>
      <c r="T94" s="351"/>
    </row>
    <row r="95" spans="1:20" s="269" customFormat="1">
      <c r="A95" s="350"/>
      <c r="B95" s="350"/>
      <c r="C95" s="350"/>
      <c r="D95" s="350"/>
      <c r="E95" s="350"/>
      <c r="F95" s="350"/>
      <c r="G95" s="350"/>
      <c r="H95" s="346"/>
      <c r="I95" s="350"/>
      <c r="J95" s="350"/>
      <c r="K95" s="350"/>
      <c r="L95" s="350"/>
      <c r="M95" s="350"/>
      <c r="N95" s="350"/>
      <c r="O95" s="350"/>
      <c r="P95" s="347">
        <f t="shared" si="4"/>
        <v>0</v>
      </c>
      <c r="Q95" s="350"/>
      <c r="R95" s="165">
        <f t="shared" si="5"/>
        <v>0</v>
      </c>
      <c r="S95" s="350"/>
      <c r="T95" s="351"/>
    </row>
    <row r="96" spans="1:20" s="269" customFormat="1">
      <c r="A96" s="350"/>
      <c r="B96" s="350"/>
      <c r="C96" s="350"/>
      <c r="D96" s="350"/>
      <c r="E96" s="350"/>
      <c r="F96" s="350"/>
      <c r="G96" s="350"/>
      <c r="H96" s="346"/>
      <c r="I96" s="350"/>
      <c r="J96" s="350"/>
      <c r="K96" s="350"/>
      <c r="L96" s="350"/>
      <c r="M96" s="350"/>
      <c r="N96" s="350"/>
      <c r="O96" s="350"/>
      <c r="P96" s="347">
        <f t="shared" si="4"/>
        <v>0</v>
      </c>
      <c r="Q96" s="350"/>
      <c r="R96" s="165">
        <f t="shared" si="5"/>
        <v>0</v>
      </c>
      <c r="S96" s="350"/>
      <c r="T96" s="351"/>
    </row>
    <row r="97" spans="1:20" s="269" customFormat="1">
      <c r="A97" s="350"/>
      <c r="B97" s="350"/>
      <c r="C97" s="350"/>
      <c r="D97" s="350"/>
      <c r="E97" s="350"/>
      <c r="F97" s="350"/>
      <c r="G97" s="350"/>
      <c r="H97" s="346"/>
      <c r="I97" s="350"/>
      <c r="J97" s="350"/>
      <c r="K97" s="350"/>
      <c r="L97" s="350"/>
      <c r="M97" s="350"/>
      <c r="N97" s="350"/>
      <c r="O97" s="350"/>
      <c r="P97" s="347">
        <f t="shared" si="4"/>
        <v>0</v>
      </c>
      <c r="Q97" s="350"/>
      <c r="R97" s="165">
        <f t="shared" si="5"/>
        <v>0</v>
      </c>
      <c r="S97" s="350"/>
      <c r="T97" s="351"/>
    </row>
    <row r="98" spans="1:20" s="269" customFormat="1">
      <c r="A98" s="350"/>
      <c r="B98" s="350"/>
      <c r="C98" s="350"/>
      <c r="D98" s="350"/>
      <c r="E98" s="350"/>
      <c r="F98" s="350"/>
      <c r="G98" s="350"/>
      <c r="H98" s="346"/>
      <c r="I98" s="350"/>
      <c r="J98" s="350"/>
      <c r="K98" s="350"/>
      <c r="L98" s="350"/>
      <c r="M98" s="350"/>
      <c r="N98" s="350"/>
      <c r="O98" s="350"/>
      <c r="P98" s="347">
        <f t="shared" si="4"/>
        <v>0</v>
      </c>
      <c r="Q98" s="350"/>
      <c r="R98" s="165">
        <f t="shared" si="5"/>
        <v>0</v>
      </c>
      <c r="S98" s="350"/>
      <c r="T98" s="351"/>
    </row>
    <row r="99" spans="1:20" s="269" customFormat="1">
      <c r="A99" s="350"/>
      <c r="B99" s="350"/>
      <c r="C99" s="350"/>
      <c r="D99" s="350"/>
      <c r="E99" s="350"/>
      <c r="F99" s="350"/>
      <c r="G99" s="350"/>
      <c r="H99" s="346"/>
      <c r="I99" s="350"/>
      <c r="J99" s="350"/>
      <c r="K99" s="350"/>
      <c r="L99" s="350"/>
      <c r="M99" s="350"/>
      <c r="N99" s="350"/>
      <c r="O99" s="350"/>
      <c r="P99" s="347">
        <f t="shared" si="4"/>
        <v>0</v>
      </c>
      <c r="Q99" s="350"/>
      <c r="R99" s="165">
        <f t="shared" si="5"/>
        <v>0</v>
      </c>
      <c r="S99" s="350"/>
      <c r="T99" s="351"/>
    </row>
    <row r="100" spans="1:20" s="269" customFormat="1">
      <c r="A100" s="350"/>
      <c r="B100" s="350"/>
      <c r="C100" s="350"/>
      <c r="D100" s="350"/>
      <c r="E100" s="350"/>
      <c r="F100" s="350"/>
      <c r="G100" s="350"/>
      <c r="H100" s="346"/>
      <c r="I100" s="350"/>
      <c r="J100" s="350"/>
      <c r="K100" s="350"/>
      <c r="L100" s="350"/>
      <c r="M100" s="350"/>
      <c r="N100" s="350"/>
      <c r="O100" s="350"/>
      <c r="P100" s="347">
        <f t="shared" si="4"/>
        <v>0</v>
      </c>
      <c r="Q100" s="350"/>
      <c r="R100" s="165">
        <f t="shared" si="5"/>
        <v>0</v>
      </c>
      <c r="S100" s="350"/>
      <c r="T100" s="351"/>
    </row>
    <row r="101" spans="1:20" s="269" customFormat="1">
      <c r="A101" s="350"/>
      <c r="B101" s="350"/>
      <c r="C101" s="350"/>
      <c r="D101" s="350"/>
      <c r="E101" s="350"/>
      <c r="F101" s="350"/>
      <c r="G101" s="350"/>
      <c r="H101" s="346"/>
      <c r="I101" s="350"/>
      <c r="J101" s="350"/>
      <c r="K101" s="350"/>
      <c r="L101" s="350"/>
      <c r="M101" s="350"/>
      <c r="N101" s="350"/>
      <c r="O101" s="350"/>
      <c r="P101" s="347">
        <f t="shared" si="4"/>
        <v>0</v>
      </c>
      <c r="Q101" s="350"/>
      <c r="R101" s="165">
        <f t="shared" si="5"/>
        <v>0</v>
      </c>
      <c r="S101" s="350"/>
      <c r="T101" s="351"/>
    </row>
    <row r="102" spans="1:20" s="269" customFormat="1">
      <c r="A102" s="350"/>
      <c r="B102" s="350"/>
      <c r="C102" s="350"/>
      <c r="D102" s="350"/>
      <c r="E102" s="350"/>
      <c r="F102" s="350"/>
      <c r="G102" s="350"/>
      <c r="H102" s="346"/>
      <c r="I102" s="350"/>
      <c r="J102" s="350"/>
      <c r="K102" s="350"/>
      <c r="L102" s="350"/>
      <c r="M102" s="350"/>
      <c r="N102" s="350"/>
      <c r="O102" s="350"/>
      <c r="P102" s="347">
        <f t="shared" si="4"/>
        <v>0</v>
      </c>
      <c r="Q102" s="350"/>
      <c r="R102" s="165">
        <f t="shared" si="5"/>
        <v>0</v>
      </c>
      <c r="S102" s="350"/>
      <c r="T102" s="351"/>
    </row>
    <row r="103" spans="1:20" s="269" customFormat="1">
      <c r="A103" s="350"/>
      <c r="B103" s="350"/>
      <c r="C103" s="350"/>
      <c r="D103" s="350"/>
      <c r="E103" s="350"/>
      <c r="F103" s="350"/>
      <c r="G103" s="350"/>
      <c r="H103" s="346"/>
      <c r="I103" s="350"/>
      <c r="J103" s="350"/>
      <c r="K103" s="350"/>
      <c r="L103" s="350"/>
      <c r="M103" s="350"/>
      <c r="N103" s="350"/>
      <c r="O103" s="350"/>
      <c r="P103" s="347">
        <f t="shared" si="4"/>
        <v>0</v>
      </c>
      <c r="Q103" s="350"/>
      <c r="R103" s="165">
        <f t="shared" si="5"/>
        <v>0</v>
      </c>
      <c r="S103" s="350"/>
      <c r="T103" s="351"/>
    </row>
    <row r="104" spans="1:20" s="269" customFormat="1">
      <c r="A104" s="350"/>
      <c r="B104" s="350"/>
      <c r="C104" s="350"/>
      <c r="D104" s="350"/>
      <c r="E104" s="350"/>
      <c r="F104" s="350"/>
      <c r="G104" s="350"/>
      <c r="H104" s="346"/>
      <c r="I104" s="350"/>
      <c r="J104" s="350"/>
      <c r="K104" s="350"/>
      <c r="L104" s="350"/>
      <c r="M104" s="350"/>
      <c r="N104" s="350"/>
      <c r="O104" s="350"/>
      <c r="P104" s="347">
        <f t="shared" si="4"/>
        <v>0</v>
      </c>
      <c r="Q104" s="350"/>
      <c r="R104" s="165">
        <f t="shared" si="5"/>
        <v>0</v>
      </c>
      <c r="S104" s="350"/>
      <c r="T104" s="351"/>
    </row>
    <row r="105" spans="1:20" s="269" customFormat="1">
      <c r="A105" s="350"/>
      <c r="B105" s="350"/>
      <c r="C105" s="350"/>
      <c r="D105" s="350"/>
      <c r="E105" s="350"/>
      <c r="F105" s="350"/>
      <c r="G105" s="350"/>
      <c r="H105" s="346"/>
      <c r="I105" s="350"/>
      <c r="J105" s="350"/>
      <c r="K105" s="350"/>
      <c r="L105" s="350"/>
      <c r="M105" s="350"/>
      <c r="N105" s="350"/>
      <c r="O105" s="350"/>
      <c r="P105" s="347">
        <f t="shared" si="4"/>
        <v>0</v>
      </c>
      <c r="Q105" s="350"/>
      <c r="R105" s="165">
        <f t="shared" si="5"/>
        <v>0</v>
      </c>
      <c r="S105" s="350"/>
      <c r="T105" s="351"/>
    </row>
    <row r="106" spans="1:20" s="269" customFormat="1">
      <c r="A106" s="350"/>
      <c r="B106" s="350"/>
      <c r="C106" s="350"/>
      <c r="D106" s="350"/>
      <c r="E106" s="350"/>
      <c r="F106" s="350"/>
      <c r="G106" s="350"/>
      <c r="H106" s="346"/>
      <c r="I106" s="350"/>
      <c r="J106" s="350"/>
      <c r="K106" s="350"/>
      <c r="L106" s="350"/>
      <c r="M106" s="350"/>
      <c r="N106" s="350"/>
      <c r="O106" s="350"/>
      <c r="P106" s="347">
        <f t="shared" si="4"/>
        <v>0</v>
      </c>
      <c r="Q106" s="350"/>
      <c r="R106" s="165">
        <f t="shared" si="5"/>
        <v>0</v>
      </c>
      <c r="S106" s="350"/>
      <c r="T106" s="351"/>
    </row>
    <row r="107" spans="1:20" s="269" customFormat="1">
      <c r="A107" s="350"/>
      <c r="B107" s="350"/>
      <c r="C107" s="350"/>
      <c r="D107" s="350"/>
      <c r="E107" s="350"/>
      <c r="F107" s="350"/>
      <c r="G107" s="350"/>
      <c r="H107" s="346"/>
      <c r="I107" s="350"/>
      <c r="J107" s="350"/>
      <c r="K107" s="350"/>
      <c r="L107" s="350"/>
      <c r="M107" s="350"/>
      <c r="N107" s="350"/>
      <c r="O107" s="350"/>
      <c r="P107" s="347">
        <f t="shared" si="4"/>
        <v>0</v>
      </c>
      <c r="Q107" s="350"/>
      <c r="R107" s="165">
        <f t="shared" si="5"/>
        <v>0</v>
      </c>
      <c r="S107" s="350"/>
      <c r="T107" s="351"/>
    </row>
    <row r="108" spans="1:20" s="269" customFormat="1">
      <c r="A108" s="350"/>
      <c r="B108" s="350"/>
      <c r="C108" s="350"/>
      <c r="D108" s="350"/>
      <c r="E108" s="350"/>
      <c r="F108" s="350"/>
      <c r="G108" s="350"/>
      <c r="H108" s="346"/>
      <c r="I108" s="350"/>
      <c r="J108" s="350"/>
      <c r="K108" s="350"/>
      <c r="L108" s="350"/>
      <c r="M108" s="350"/>
      <c r="N108" s="350"/>
      <c r="O108" s="350"/>
      <c r="P108" s="347">
        <f t="shared" si="4"/>
        <v>0</v>
      </c>
      <c r="Q108" s="350"/>
      <c r="R108" s="165">
        <f t="shared" si="5"/>
        <v>0</v>
      </c>
      <c r="S108" s="350"/>
      <c r="T108" s="351"/>
    </row>
    <row r="109" spans="1:20" s="269" customFormat="1">
      <c r="A109" s="350"/>
      <c r="B109" s="350"/>
      <c r="C109" s="350"/>
      <c r="D109" s="350"/>
      <c r="E109" s="350"/>
      <c r="F109" s="350"/>
      <c r="G109" s="350"/>
      <c r="H109" s="346"/>
      <c r="I109" s="350"/>
      <c r="J109" s="350"/>
      <c r="K109" s="350"/>
      <c r="L109" s="350"/>
      <c r="M109" s="350"/>
      <c r="N109" s="350"/>
      <c r="O109" s="350"/>
      <c r="P109" s="347">
        <f t="shared" si="4"/>
        <v>0</v>
      </c>
      <c r="Q109" s="350"/>
      <c r="R109" s="165">
        <f t="shared" si="5"/>
        <v>0</v>
      </c>
      <c r="S109" s="350"/>
      <c r="T109" s="351"/>
    </row>
    <row r="110" spans="1:20" s="269" customFormat="1">
      <c r="A110" s="350"/>
      <c r="B110" s="350"/>
      <c r="C110" s="350"/>
      <c r="D110" s="350"/>
      <c r="E110" s="350"/>
      <c r="F110" s="350"/>
      <c r="G110" s="350"/>
      <c r="H110" s="346"/>
      <c r="I110" s="350"/>
      <c r="J110" s="350"/>
      <c r="K110" s="350"/>
      <c r="L110" s="350"/>
      <c r="M110" s="350"/>
      <c r="N110" s="350"/>
      <c r="O110" s="350"/>
      <c r="P110" s="347">
        <f t="shared" si="4"/>
        <v>0</v>
      </c>
      <c r="Q110" s="350"/>
      <c r="R110" s="165">
        <f t="shared" si="5"/>
        <v>0</v>
      </c>
      <c r="S110" s="350"/>
      <c r="T110" s="351"/>
    </row>
    <row r="111" spans="1:20" s="269" customFormat="1">
      <c r="A111" s="350"/>
      <c r="B111" s="350"/>
      <c r="C111" s="350"/>
      <c r="D111" s="350"/>
      <c r="E111" s="350"/>
      <c r="F111" s="350"/>
      <c r="G111" s="350"/>
      <c r="H111" s="346"/>
      <c r="I111" s="350"/>
      <c r="J111" s="350"/>
      <c r="K111" s="350"/>
      <c r="L111" s="350"/>
      <c r="M111" s="350"/>
      <c r="N111" s="350"/>
      <c r="O111" s="350"/>
      <c r="P111" s="347">
        <f t="shared" si="4"/>
        <v>0</v>
      </c>
      <c r="Q111" s="350"/>
      <c r="R111" s="165">
        <f t="shared" si="5"/>
        <v>0</v>
      </c>
      <c r="S111" s="350"/>
      <c r="T111" s="351"/>
    </row>
    <row r="112" spans="1:20" s="269" customFormat="1">
      <c r="A112" s="350"/>
      <c r="B112" s="350"/>
      <c r="C112" s="350"/>
      <c r="D112" s="350"/>
      <c r="E112" s="350"/>
      <c r="F112" s="350"/>
      <c r="G112" s="350"/>
      <c r="H112" s="346"/>
      <c r="I112" s="350"/>
      <c r="J112" s="350"/>
      <c r="K112" s="350"/>
      <c r="L112" s="350"/>
      <c r="M112" s="350"/>
      <c r="N112" s="350"/>
      <c r="O112" s="350"/>
      <c r="P112" s="347">
        <f t="shared" si="4"/>
        <v>0</v>
      </c>
      <c r="Q112" s="350"/>
      <c r="R112" s="165">
        <f t="shared" si="5"/>
        <v>0</v>
      </c>
      <c r="S112" s="350"/>
      <c r="T112" s="351"/>
    </row>
    <row r="113" spans="1:20" s="269" customFormat="1">
      <c r="A113" s="350"/>
      <c r="B113" s="350"/>
      <c r="C113" s="350"/>
      <c r="D113" s="350"/>
      <c r="E113" s="350"/>
      <c r="F113" s="350"/>
      <c r="G113" s="350"/>
      <c r="H113" s="346"/>
      <c r="I113" s="350"/>
      <c r="J113" s="350"/>
      <c r="K113" s="350"/>
      <c r="L113" s="350"/>
      <c r="M113" s="350"/>
      <c r="N113" s="350"/>
      <c r="O113" s="350"/>
      <c r="P113" s="347">
        <f t="shared" si="4"/>
        <v>0</v>
      </c>
      <c r="Q113" s="350"/>
      <c r="R113" s="165">
        <f t="shared" si="5"/>
        <v>0</v>
      </c>
      <c r="S113" s="350"/>
      <c r="T113" s="351"/>
    </row>
    <row r="114" spans="1:20" s="269" customFormat="1">
      <c r="A114" s="350"/>
      <c r="B114" s="350"/>
      <c r="C114" s="350"/>
      <c r="D114" s="350"/>
      <c r="E114" s="350"/>
      <c r="F114" s="350"/>
      <c r="G114" s="350"/>
      <c r="H114" s="346"/>
      <c r="I114" s="350"/>
      <c r="J114" s="350"/>
      <c r="K114" s="350"/>
      <c r="L114" s="350"/>
      <c r="M114" s="350"/>
      <c r="N114" s="350"/>
      <c r="O114" s="350"/>
      <c r="P114" s="347">
        <f t="shared" si="4"/>
        <v>0</v>
      </c>
      <c r="Q114" s="350"/>
      <c r="R114" s="165">
        <f t="shared" si="5"/>
        <v>0</v>
      </c>
      <c r="S114" s="350"/>
      <c r="T114" s="351"/>
    </row>
    <row r="115" spans="1:20" s="269" customFormat="1">
      <c r="A115" s="350"/>
      <c r="B115" s="350"/>
      <c r="C115" s="350"/>
      <c r="D115" s="350"/>
      <c r="E115" s="350"/>
      <c r="F115" s="350"/>
      <c r="G115" s="350"/>
      <c r="H115" s="346"/>
      <c r="I115" s="350"/>
      <c r="J115" s="350"/>
      <c r="K115" s="350"/>
      <c r="L115" s="350"/>
      <c r="M115" s="350"/>
      <c r="N115" s="350"/>
      <c r="O115" s="350"/>
      <c r="P115" s="347">
        <f t="shared" si="4"/>
        <v>0</v>
      </c>
      <c r="Q115" s="350"/>
      <c r="R115" s="165">
        <f t="shared" si="5"/>
        <v>0</v>
      </c>
      <c r="S115" s="350"/>
      <c r="T115" s="351"/>
    </row>
    <row r="116" spans="1:20" s="269" customFormat="1">
      <c r="A116" s="350"/>
      <c r="B116" s="350"/>
      <c r="C116" s="350"/>
      <c r="D116" s="350"/>
      <c r="E116" s="350"/>
      <c r="F116" s="350"/>
      <c r="G116" s="350"/>
      <c r="H116" s="346"/>
      <c r="I116" s="350"/>
      <c r="J116" s="350"/>
      <c r="K116" s="350"/>
      <c r="L116" s="350"/>
      <c r="M116" s="350"/>
      <c r="N116" s="350"/>
      <c r="O116" s="350"/>
      <c r="P116" s="347">
        <f t="shared" si="4"/>
        <v>0</v>
      </c>
      <c r="Q116" s="350"/>
      <c r="R116" s="165">
        <f t="shared" si="5"/>
        <v>0</v>
      </c>
      <c r="S116" s="350"/>
      <c r="T116" s="351"/>
    </row>
    <row r="117" spans="1:20" s="269" customFormat="1">
      <c r="A117" s="350"/>
      <c r="B117" s="350"/>
      <c r="C117" s="350"/>
      <c r="D117" s="350"/>
      <c r="E117" s="350"/>
      <c r="F117" s="350"/>
      <c r="G117" s="350"/>
      <c r="H117" s="346"/>
      <c r="I117" s="350"/>
      <c r="J117" s="350"/>
      <c r="K117" s="350"/>
      <c r="L117" s="350"/>
      <c r="M117" s="350"/>
      <c r="N117" s="350"/>
      <c r="O117" s="350"/>
      <c r="P117" s="347">
        <f t="shared" si="4"/>
        <v>0</v>
      </c>
      <c r="Q117" s="350"/>
      <c r="R117" s="165">
        <f t="shared" si="5"/>
        <v>0</v>
      </c>
      <c r="S117" s="350"/>
      <c r="T117" s="351"/>
    </row>
    <row r="118" spans="1:20" s="269" customFormat="1">
      <c r="A118" s="350"/>
      <c r="B118" s="350"/>
      <c r="C118" s="350"/>
      <c r="D118" s="350"/>
      <c r="E118" s="350"/>
      <c r="F118" s="350"/>
      <c r="G118" s="350"/>
      <c r="H118" s="346"/>
      <c r="I118" s="350"/>
      <c r="J118" s="350"/>
      <c r="K118" s="350"/>
      <c r="L118" s="350"/>
      <c r="M118" s="350"/>
      <c r="N118" s="350"/>
      <c r="O118" s="350"/>
      <c r="P118" s="347">
        <f t="shared" si="4"/>
        <v>0</v>
      </c>
      <c r="Q118" s="350"/>
      <c r="R118" s="165">
        <f t="shared" si="5"/>
        <v>0</v>
      </c>
      <c r="S118" s="350"/>
      <c r="T118" s="351"/>
    </row>
    <row r="119" spans="1:20" s="269" customFormat="1">
      <c r="A119" s="350"/>
      <c r="B119" s="350"/>
      <c r="C119" s="350"/>
      <c r="D119" s="350"/>
      <c r="E119" s="350"/>
      <c r="F119" s="350"/>
      <c r="G119" s="350"/>
      <c r="H119" s="346"/>
      <c r="I119" s="350"/>
      <c r="J119" s="350"/>
      <c r="K119" s="350"/>
      <c r="L119" s="350"/>
      <c r="M119" s="350"/>
      <c r="N119" s="350"/>
      <c r="O119" s="350"/>
      <c r="P119" s="347">
        <f t="shared" si="4"/>
        <v>0</v>
      </c>
      <c r="Q119" s="350"/>
      <c r="R119" s="165">
        <f t="shared" si="5"/>
        <v>0</v>
      </c>
      <c r="S119" s="350"/>
      <c r="T119" s="351"/>
    </row>
    <row r="120" spans="1:20" s="269" customFormat="1">
      <c r="A120" s="350"/>
      <c r="B120" s="350"/>
      <c r="C120" s="350"/>
      <c r="D120" s="350"/>
      <c r="E120" s="350"/>
      <c r="F120" s="350"/>
      <c r="G120" s="350"/>
      <c r="H120" s="346"/>
      <c r="I120" s="350"/>
      <c r="J120" s="350"/>
      <c r="K120" s="350"/>
      <c r="L120" s="350"/>
      <c r="M120" s="350"/>
      <c r="N120" s="350"/>
      <c r="O120" s="350"/>
      <c r="P120" s="347">
        <f t="shared" si="4"/>
        <v>0</v>
      </c>
      <c r="Q120" s="350"/>
      <c r="R120" s="165">
        <f t="shared" si="5"/>
        <v>0</v>
      </c>
      <c r="S120" s="350"/>
      <c r="T120" s="351"/>
    </row>
    <row r="121" spans="1:20" s="269" customFormat="1">
      <c r="A121" s="350"/>
      <c r="B121" s="350"/>
      <c r="C121" s="350"/>
      <c r="D121" s="350"/>
      <c r="E121" s="350"/>
      <c r="F121" s="350"/>
      <c r="G121" s="350"/>
      <c r="H121" s="346"/>
      <c r="I121" s="350"/>
      <c r="J121" s="350"/>
      <c r="K121" s="350"/>
      <c r="L121" s="350"/>
      <c r="M121" s="350"/>
      <c r="N121" s="350"/>
      <c r="O121" s="350"/>
      <c r="P121" s="347">
        <f t="shared" si="4"/>
        <v>0</v>
      </c>
      <c r="Q121" s="350"/>
      <c r="R121" s="165">
        <f t="shared" si="5"/>
        <v>0</v>
      </c>
      <c r="S121" s="350"/>
      <c r="T121" s="351"/>
    </row>
    <row r="122" spans="1:20" s="269" customFormat="1">
      <c r="A122" s="350"/>
      <c r="B122" s="350"/>
      <c r="C122" s="350"/>
      <c r="D122" s="350"/>
      <c r="E122" s="350"/>
      <c r="F122" s="350"/>
      <c r="G122" s="350"/>
      <c r="H122" s="346"/>
      <c r="I122" s="350"/>
      <c r="J122" s="350"/>
      <c r="K122" s="350"/>
      <c r="L122" s="350"/>
      <c r="M122" s="350"/>
      <c r="N122" s="350"/>
      <c r="O122" s="350"/>
      <c r="P122" s="347">
        <f t="shared" si="4"/>
        <v>0</v>
      </c>
      <c r="Q122" s="350"/>
      <c r="R122" s="165">
        <f t="shared" si="5"/>
        <v>0</v>
      </c>
      <c r="S122" s="350"/>
      <c r="T122" s="351"/>
    </row>
    <row r="123" spans="1:20" s="269" customFormat="1">
      <c r="A123" s="350"/>
      <c r="B123" s="350"/>
      <c r="C123" s="350"/>
      <c r="D123" s="350"/>
      <c r="E123" s="350"/>
      <c r="F123" s="350"/>
      <c r="G123" s="350"/>
      <c r="H123" s="346"/>
      <c r="I123" s="350"/>
      <c r="J123" s="350"/>
      <c r="K123" s="350"/>
      <c r="L123" s="350"/>
      <c r="M123" s="350"/>
      <c r="N123" s="350"/>
      <c r="O123" s="350"/>
      <c r="P123" s="347">
        <f t="shared" si="4"/>
        <v>0</v>
      </c>
      <c r="Q123" s="350"/>
      <c r="R123" s="165">
        <f t="shared" si="5"/>
        <v>0</v>
      </c>
      <c r="S123" s="350"/>
      <c r="T123" s="351"/>
    </row>
    <row r="124" spans="1:20" s="269" customFormat="1">
      <c r="A124" s="350"/>
      <c r="B124" s="350"/>
      <c r="C124" s="350"/>
      <c r="D124" s="350"/>
      <c r="E124" s="350"/>
      <c r="F124" s="350"/>
      <c r="G124" s="350"/>
      <c r="H124" s="346"/>
      <c r="I124" s="350"/>
      <c r="J124" s="350"/>
      <c r="K124" s="350"/>
      <c r="L124" s="350"/>
      <c r="M124" s="350"/>
      <c r="N124" s="350"/>
      <c r="O124" s="350"/>
      <c r="P124" s="347">
        <f t="shared" si="4"/>
        <v>0</v>
      </c>
      <c r="Q124" s="350"/>
      <c r="R124" s="165">
        <f t="shared" si="5"/>
        <v>0</v>
      </c>
      <c r="S124" s="350"/>
      <c r="T124" s="351"/>
    </row>
    <row r="125" spans="1:20" s="269" customFormat="1">
      <c r="A125" s="350"/>
      <c r="B125" s="350"/>
      <c r="C125" s="350"/>
      <c r="D125" s="350"/>
      <c r="E125" s="350"/>
      <c r="F125" s="350"/>
      <c r="G125" s="350"/>
      <c r="H125" s="346"/>
      <c r="I125" s="350"/>
      <c r="J125" s="350"/>
      <c r="K125" s="350"/>
      <c r="L125" s="350"/>
      <c r="M125" s="350"/>
      <c r="N125" s="350"/>
      <c r="O125" s="350"/>
      <c r="P125" s="347">
        <f t="shared" si="4"/>
        <v>0</v>
      </c>
      <c r="Q125" s="350"/>
      <c r="R125" s="165">
        <f t="shared" si="5"/>
        <v>0</v>
      </c>
      <c r="S125" s="350"/>
      <c r="T125" s="351"/>
    </row>
    <row r="126" spans="1:20" s="269" customFormat="1">
      <c r="A126" s="350"/>
      <c r="B126" s="350"/>
      <c r="C126" s="350"/>
      <c r="D126" s="350"/>
      <c r="E126" s="350"/>
      <c r="F126" s="350"/>
      <c r="G126" s="350"/>
      <c r="H126" s="346"/>
      <c r="I126" s="350"/>
      <c r="J126" s="350"/>
      <c r="K126" s="350"/>
      <c r="L126" s="350"/>
      <c r="M126" s="350"/>
      <c r="N126" s="350"/>
      <c r="O126" s="350"/>
      <c r="P126" s="347">
        <f t="shared" si="4"/>
        <v>0</v>
      </c>
      <c r="Q126" s="350"/>
      <c r="R126" s="165">
        <f t="shared" si="5"/>
        <v>0</v>
      </c>
      <c r="S126" s="350"/>
      <c r="T126" s="351"/>
    </row>
    <row r="127" spans="1:20" s="269" customFormat="1">
      <c r="A127" s="350"/>
      <c r="B127" s="350"/>
      <c r="C127" s="350"/>
      <c r="D127" s="350"/>
      <c r="E127" s="350"/>
      <c r="F127" s="350"/>
      <c r="G127" s="350"/>
      <c r="H127" s="346"/>
      <c r="I127" s="350"/>
      <c r="J127" s="350"/>
      <c r="K127" s="350"/>
      <c r="L127" s="350"/>
      <c r="M127" s="350"/>
      <c r="N127" s="350"/>
      <c r="O127" s="350"/>
      <c r="P127" s="347">
        <f t="shared" si="4"/>
        <v>0</v>
      </c>
      <c r="Q127" s="350"/>
      <c r="R127" s="165">
        <f t="shared" si="5"/>
        <v>0</v>
      </c>
      <c r="S127" s="350"/>
      <c r="T127" s="351"/>
    </row>
    <row r="128" spans="1:20" s="269" customFormat="1">
      <c r="A128" s="350"/>
      <c r="B128" s="350"/>
      <c r="C128" s="350"/>
      <c r="D128" s="350"/>
      <c r="E128" s="350"/>
      <c r="F128" s="350"/>
      <c r="G128" s="350"/>
      <c r="H128" s="346"/>
      <c r="I128" s="350"/>
      <c r="J128" s="350"/>
      <c r="K128" s="350"/>
      <c r="L128" s="350"/>
      <c r="M128" s="350"/>
      <c r="N128" s="350"/>
      <c r="O128" s="350"/>
      <c r="P128" s="347">
        <f t="shared" si="4"/>
        <v>0</v>
      </c>
      <c r="Q128" s="350"/>
      <c r="R128" s="165">
        <f t="shared" si="5"/>
        <v>0</v>
      </c>
      <c r="S128" s="350"/>
      <c r="T128" s="351"/>
    </row>
    <row r="129" spans="1:20" s="269" customFormat="1">
      <c r="A129" s="350"/>
      <c r="B129" s="350"/>
      <c r="C129" s="350"/>
      <c r="D129" s="350"/>
      <c r="E129" s="350"/>
      <c r="F129" s="350"/>
      <c r="G129" s="350"/>
      <c r="H129" s="346"/>
      <c r="I129" s="350"/>
      <c r="J129" s="350"/>
      <c r="K129" s="350"/>
      <c r="L129" s="350"/>
      <c r="M129" s="350"/>
      <c r="N129" s="350"/>
      <c r="O129" s="350"/>
      <c r="P129" s="347">
        <f t="shared" si="4"/>
        <v>0</v>
      </c>
      <c r="Q129" s="350"/>
      <c r="R129" s="165">
        <f t="shared" si="5"/>
        <v>0</v>
      </c>
      <c r="S129" s="350"/>
      <c r="T129" s="351"/>
    </row>
    <row r="130" spans="1:20" s="269" customFormat="1">
      <c r="A130" s="350"/>
      <c r="B130" s="350"/>
      <c r="C130" s="350"/>
      <c r="D130" s="350"/>
      <c r="E130" s="350"/>
      <c r="F130" s="350"/>
      <c r="G130" s="350"/>
      <c r="H130" s="346"/>
      <c r="I130" s="350"/>
      <c r="J130" s="350"/>
      <c r="K130" s="350"/>
      <c r="L130" s="350"/>
      <c r="M130" s="350"/>
      <c r="N130" s="350"/>
      <c r="O130" s="350"/>
      <c r="P130" s="347">
        <f t="shared" si="4"/>
        <v>0</v>
      </c>
      <c r="Q130" s="350"/>
      <c r="R130" s="165">
        <f t="shared" si="5"/>
        <v>0</v>
      </c>
      <c r="S130" s="350"/>
      <c r="T130" s="351"/>
    </row>
    <row r="131" spans="1:20" s="269" customFormat="1">
      <c r="A131" s="350"/>
      <c r="B131" s="350"/>
      <c r="C131" s="350"/>
      <c r="D131" s="350"/>
      <c r="E131" s="350"/>
      <c r="F131" s="350"/>
      <c r="G131" s="350"/>
      <c r="H131" s="346"/>
      <c r="I131" s="350"/>
      <c r="J131" s="350"/>
      <c r="K131" s="350"/>
      <c r="L131" s="350"/>
      <c r="M131" s="350"/>
      <c r="N131" s="350"/>
      <c r="O131" s="350"/>
      <c r="P131" s="347">
        <f t="shared" si="4"/>
        <v>0</v>
      </c>
      <c r="Q131" s="350"/>
      <c r="R131" s="165">
        <f t="shared" si="5"/>
        <v>0</v>
      </c>
      <c r="S131" s="350"/>
      <c r="T131" s="351"/>
    </row>
    <row r="132" spans="1:20" s="269" customFormat="1">
      <c r="A132" s="350"/>
      <c r="B132" s="350"/>
      <c r="C132" s="350"/>
      <c r="D132" s="350"/>
      <c r="E132" s="350"/>
      <c r="F132" s="350"/>
      <c r="G132" s="350"/>
      <c r="H132" s="346"/>
      <c r="I132" s="350"/>
      <c r="J132" s="350"/>
      <c r="K132" s="350"/>
      <c r="L132" s="350"/>
      <c r="M132" s="350"/>
      <c r="N132" s="350"/>
      <c r="O132" s="350"/>
      <c r="P132" s="347">
        <f t="shared" si="4"/>
        <v>0</v>
      </c>
      <c r="Q132" s="350"/>
      <c r="R132" s="165">
        <f t="shared" si="5"/>
        <v>0</v>
      </c>
      <c r="S132" s="350"/>
      <c r="T132" s="351"/>
    </row>
    <row r="133" spans="1:20" s="269" customFormat="1">
      <c r="A133" s="350"/>
      <c r="B133" s="350"/>
      <c r="C133" s="350"/>
      <c r="D133" s="350"/>
      <c r="E133" s="350"/>
      <c r="F133" s="350"/>
      <c r="G133" s="350"/>
      <c r="H133" s="346"/>
      <c r="I133" s="350"/>
      <c r="J133" s="350"/>
      <c r="K133" s="350"/>
      <c r="L133" s="350"/>
      <c r="M133" s="350"/>
      <c r="N133" s="350"/>
      <c r="O133" s="350"/>
      <c r="P133" s="347">
        <f t="shared" si="4"/>
        <v>0</v>
      </c>
      <c r="Q133" s="350"/>
      <c r="R133" s="165">
        <f t="shared" si="5"/>
        <v>0</v>
      </c>
      <c r="S133" s="350"/>
      <c r="T133" s="351"/>
    </row>
    <row r="134" spans="1:20" s="269" customFormat="1">
      <c r="A134" s="350"/>
      <c r="B134" s="350"/>
      <c r="C134" s="350"/>
      <c r="D134" s="350"/>
      <c r="E134" s="350"/>
      <c r="F134" s="350"/>
      <c r="G134" s="350"/>
      <c r="H134" s="346"/>
      <c r="I134" s="350"/>
      <c r="J134" s="350"/>
      <c r="K134" s="350"/>
      <c r="L134" s="350"/>
      <c r="M134" s="350"/>
      <c r="N134" s="350"/>
      <c r="O134" s="350"/>
      <c r="P134" s="347">
        <f t="shared" si="4"/>
        <v>0</v>
      </c>
      <c r="Q134" s="350"/>
      <c r="R134" s="165">
        <f t="shared" si="5"/>
        <v>0</v>
      </c>
      <c r="S134" s="350"/>
      <c r="T134" s="351"/>
    </row>
    <row r="135" spans="1:20" s="269" customFormat="1">
      <c r="A135" s="350"/>
      <c r="B135" s="350"/>
      <c r="C135" s="350"/>
      <c r="D135" s="350"/>
      <c r="E135" s="350"/>
      <c r="F135" s="350"/>
      <c r="G135" s="350"/>
      <c r="H135" s="346"/>
      <c r="I135" s="350"/>
      <c r="J135" s="350"/>
      <c r="K135" s="350"/>
      <c r="L135" s="350"/>
      <c r="M135" s="350"/>
      <c r="N135" s="350"/>
      <c r="O135" s="350"/>
      <c r="P135" s="347">
        <f t="shared" si="4"/>
        <v>0</v>
      </c>
      <c r="Q135" s="350"/>
      <c r="R135" s="165">
        <f t="shared" si="5"/>
        <v>0</v>
      </c>
      <c r="S135" s="350"/>
      <c r="T135" s="351"/>
    </row>
    <row r="136" spans="1:20" s="269" customFormat="1">
      <c r="A136" s="350"/>
      <c r="B136" s="350"/>
      <c r="C136" s="350"/>
      <c r="D136" s="350"/>
      <c r="E136" s="350"/>
      <c r="F136" s="350"/>
      <c r="G136" s="350"/>
      <c r="H136" s="346"/>
      <c r="I136" s="350"/>
      <c r="J136" s="350"/>
      <c r="K136" s="350"/>
      <c r="L136" s="350"/>
      <c r="M136" s="350"/>
      <c r="N136" s="350"/>
      <c r="O136" s="350"/>
      <c r="P136" s="347">
        <f t="shared" si="4"/>
        <v>0</v>
      </c>
      <c r="Q136" s="350"/>
      <c r="R136" s="165">
        <f t="shared" si="5"/>
        <v>0</v>
      </c>
      <c r="S136" s="350"/>
      <c r="T136" s="351"/>
    </row>
    <row r="137" spans="1:20" s="269" customFormat="1">
      <c r="A137" s="350"/>
      <c r="B137" s="350"/>
      <c r="C137" s="350"/>
      <c r="D137" s="350"/>
      <c r="E137" s="350"/>
      <c r="F137" s="350"/>
      <c r="G137" s="350"/>
      <c r="H137" s="346"/>
      <c r="I137" s="350"/>
      <c r="J137" s="350"/>
      <c r="K137" s="350"/>
      <c r="L137" s="350"/>
      <c r="M137" s="350"/>
      <c r="N137" s="350"/>
      <c r="O137" s="350"/>
      <c r="P137" s="347">
        <f t="shared" si="4"/>
        <v>0</v>
      </c>
      <c r="Q137" s="350"/>
      <c r="R137" s="165">
        <f t="shared" si="5"/>
        <v>0</v>
      </c>
      <c r="S137" s="350"/>
      <c r="T137" s="351"/>
    </row>
    <row r="138" spans="1:20" s="269" customFormat="1">
      <c r="A138" s="350"/>
      <c r="B138" s="350"/>
      <c r="C138" s="350"/>
      <c r="D138" s="350"/>
      <c r="E138" s="350"/>
      <c r="F138" s="350"/>
      <c r="G138" s="350"/>
      <c r="H138" s="346"/>
      <c r="I138" s="350"/>
      <c r="J138" s="350"/>
      <c r="K138" s="350"/>
      <c r="L138" s="350"/>
      <c r="M138" s="350"/>
      <c r="N138" s="350"/>
      <c r="O138" s="350"/>
      <c r="P138" s="347">
        <f t="shared" si="4"/>
        <v>0</v>
      </c>
      <c r="Q138" s="350"/>
      <c r="R138" s="165">
        <f t="shared" si="5"/>
        <v>0</v>
      </c>
      <c r="S138" s="350"/>
      <c r="T138" s="351"/>
    </row>
    <row r="139" spans="1:20" s="269" customFormat="1">
      <c r="A139" s="350"/>
      <c r="B139" s="350"/>
      <c r="C139" s="350"/>
      <c r="D139" s="350"/>
      <c r="E139" s="350"/>
      <c r="F139" s="350"/>
      <c r="G139" s="350"/>
      <c r="H139" s="346"/>
      <c r="I139" s="350"/>
      <c r="J139" s="350"/>
      <c r="K139" s="350"/>
      <c r="L139" s="350"/>
      <c r="M139" s="350"/>
      <c r="N139" s="350"/>
      <c r="O139" s="350"/>
      <c r="P139" s="347">
        <f t="shared" si="4"/>
        <v>0</v>
      </c>
      <c r="Q139" s="350"/>
      <c r="R139" s="165">
        <f t="shared" si="5"/>
        <v>0</v>
      </c>
      <c r="S139" s="350"/>
      <c r="T139" s="351"/>
    </row>
    <row r="140" spans="1:20" s="269" customFormat="1">
      <c r="A140" s="350"/>
      <c r="B140" s="350"/>
      <c r="C140" s="350"/>
      <c r="D140" s="350"/>
      <c r="E140" s="350"/>
      <c r="F140" s="350"/>
      <c r="G140" s="350"/>
      <c r="H140" s="346"/>
      <c r="I140" s="350"/>
      <c r="J140" s="350"/>
      <c r="K140" s="350"/>
      <c r="L140" s="350"/>
      <c r="M140" s="350"/>
      <c r="N140" s="350"/>
      <c r="O140" s="350"/>
      <c r="P140" s="347">
        <f t="shared" si="4"/>
        <v>0</v>
      </c>
      <c r="Q140" s="350"/>
      <c r="R140" s="165">
        <f t="shared" si="5"/>
        <v>0</v>
      </c>
      <c r="S140" s="350"/>
      <c r="T140" s="351"/>
    </row>
    <row r="141" spans="1:20" s="269" customFormat="1">
      <c r="A141" s="350"/>
      <c r="B141" s="350"/>
      <c r="C141" s="350"/>
      <c r="D141" s="350"/>
      <c r="E141" s="350"/>
      <c r="F141" s="350"/>
      <c r="G141" s="350"/>
      <c r="H141" s="346"/>
      <c r="I141" s="350"/>
      <c r="J141" s="350"/>
      <c r="K141" s="350"/>
      <c r="L141" s="350"/>
      <c r="M141" s="350"/>
      <c r="N141" s="350"/>
      <c r="O141" s="350"/>
      <c r="P141" s="347">
        <f t="shared" ref="P141:P204" si="6">SUM(I141:O141)</f>
        <v>0</v>
      </c>
      <c r="Q141" s="350"/>
      <c r="R141" s="165">
        <f t="shared" si="5"/>
        <v>0</v>
      </c>
      <c r="S141" s="350"/>
      <c r="T141" s="351"/>
    </row>
    <row r="142" spans="1:20" s="269" customFormat="1">
      <c r="A142" s="350"/>
      <c r="B142" s="350"/>
      <c r="C142" s="350"/>
      <c r="D142" s="350"/>
      <c r="E142" s="350"/>
      <c r="F142" s="350"/>
      <c r="G142" s="350"/>
      <c r="H142" s="346"/>
      <c r="I142" s="350"/>
      <c r="J142" s="350"/>
      <c r="K142" s="350"/>
      <c r="L142" s="350"/>
      <c r="M142" s="350"/>
      <c r="N142" s="350"/>
      <c r="O142" s="350"/>
      <c r="P142" s="347">
        <f t="shared" si="6"/>
        <v>0</v>
      </c>
      <c r="Q142" s="350"/>
      <c r="R142" s="165">
        <f t="shared" si="5"/>
        <v>0</v>
      </c>
      <c r="S142" s="350"/>
      <c r="T142" s="351"/>
    </row>
    <row r="143" spans="1:20" s="269" customFormat="1">
      <c r="A143" s="350"/>
      <c r="B143" s="350"/>
      <c r="C143" s="350"/>
      <c r="D143" s="350"/>
      <c r="E143" s="350"/>
      <c r="F143" s="350"/>
      <c r="G143" s="350"/>
      <c r="H143" s="346"/>
      <c r="I143" s="350"/>
      <c r="J143" s="350"/>
      <c r="K143" s="350"/>
      <c r="L143" s="350"/>
      <c r="M143" s="350"/>
      <c r="N143" s="350"/>
      <c r="O143" s="350"/>
      <c r="P143" s="347">
        <f t="shared" si="6"/>
        <v>0</v>
      </c>
      <c r="Q143" s="350"/>
      <c r="R143" s="165">
        <f t="shared" si="5"/>
        <v>0</v>
      </c>
      <c r="S143" s="350"/>
      <c r="T143" s="351"/>
    </row>
    <row r="144" spans="1:20" s="269" customFormat="1">
      <c r="A144" s="350"/>
      <c r="B144" s="350"/>
      <c r="C144" s="350"/>
      <c r="D144" s="350"/>
      <c r="E144" s="350"/>
      <c r="F144" s="350"/>
      <c r="G144" s="350"/>
      <c r="H144" s="346"/>
      <c r="I144" s="350"/>
      <c r="J144" s="350"/>
      <c r="K144" s="350"/>
      <c r="L144" s="350"/>
      <c r="M144" s="350"/>
      <c r="N144" s="350"/>
      <c r="O144" s="350"/>
      <c r="P144" s="347">
        <f t="shared" si="6"/>
        <v>0</v>
      </c>
      <c r="Q144" s="350"/>
      <c r="R144" s="165">
        <f t="shared" si="5"/>
        <v>0</v>
      </c>
      <c r="S144" s="350"/>
      <c r="T144" s="351"/>
    </row>
    <row r="145" spans="1:20" s="269" customFormat="1">
      <c r="A145" s="350"/>
      <c r="B145" s="350"/>
      <c r="C145" s="350"/>
      <c r="D145" s="350"/>
      <c r="E145" s="350"/>
      <c r="F145" s="350"/>
      <c r="G145" s="350"/>
      <c r="H145" s="346"/>
      <c r="I145" s="350"/>
      <c r="J145" s="350"/>
      <c r="K145" s="350"/>
      <c r="L145" s="350"/>
      <c r="M145" s="350"/>
      <c r="N145" s="350"/>
      <c r="O145" s="350"/>
      <c r="P145" s="347">
        <f t="shared" si="6"/>
        <v>0</v>
      </c>
      <c r="Q145" s="350"/>
      <c r="R145" s="165">
        <f t="shared" si="5"/>
        <v>0</v>
      </c>
      <c r="S145" s="350"/>
      <c r="T145" s="351"/>
    </row>
    <row r="146" spans="1:20" s="269" customFormat="1">
      <c r="A146" s="350"/>
      <c r="B146" s="350"/>
      <c r="C146" s="350"/>
      <c r="D146" s="350"/>
      <c r="E146" s="350"/>
      <c r="F146" s="350"/>
      <c r="G146" s="350"/>
      <c r="H146" s="346"/>
      <c r="I146" s="350"/>
      <c r="J146" s="350"/>
      <c r="K146" s="350"/>
      <c r="L146" s="350"/>
      <c r="M146" s="350"/>
      <c r="N146" s="350"/>
      <c r="O146" s="350"/>
      <c r="P146" s="347">
        <f t="shared" si="6"/>
        <v>0</v>
      </c>
      <c r="Q146" s="350"/>
      <c r="R146" s="165">
        <f t="shared" si="5"/>
        <v>0</v>
      </c>
      <c r="S146" s="350"/>
      <c r="T146" s="351"/>
    </row>
    <row r="147" spans="1:20" s="269" customFormat="1">
      <c r="A147" s="350"/>
      <c r="B147" s="350"/>
      <c r="C147" s="350"/>
      <c r="D147" s="350"/>
      <c r="E147" s="350"/>
      <c r="F147" s="350"/>
      <c r="G147" s="350"/>
      <c r="H147" s="346"/>
      <c r="I147" s="350"/>
      <c r="J147" s="350"/>
      <c r="K147" s="350"/>
      <c r="L147" s="350"/>
      <c r="M147" s="350"/>
      <c r="N147" s="350"/>
      <c r="O147" s="350"/>
      <c r="P147" s="347">
        <f t="shared" si="6"/>
        <v>0</v>
      </c>
      <c r="Q147" s="350"/>
      <c r="R147" s="165">
        <f t="shared" si="5"/>
        <v>0</v>
      </c>
      <c r="S147" s="350"/>
      <c r="T147" s="351"/>
    </row>
    <row r="148" spans="1:20" s="269" customFormat="1">
      <c r="A148" s="350"/>
      <c r="B148" s="350"/>
      <c r="C148" s="350"/>
      <c r="D148" s="350"/>
      <c r="E148" s="350"/>
      <c r="F148" s="350"/>
      <c r="G148" s="350"/>
      <c r="H148" s="346"/>
      <c r="I148" s="350"/>
      <c r="J148" s="350"/>
      <c r="K148" s="350"/>
      <c r="L148" s="350"/>
      <c r="M148" s="350"/>
      <c r="N148" s="350"/>
      <c r="O148" s="350"/>
      <c r="P148" s="347">
        <f t="shared" si="6"/>
        <v>0</v>
      </c>
      <c r="Q148" s="350"/>
      <c r="R148" s="165">
        <f t="shared" si="5"/>
        <v>0</v>
      </c>
      <c r="S148" s="350"/>
      <c r="T148" s="351"/>
    </row>
    <row r="149" spans="1:20" s="269" customFormat="1">
      <c r="A149" s="350"/>
      <c r="B149" s="350"/>
      <c r="C149" s="350"/>
      <c r="D149" s="350"/>
      <c r="E149" s="350"/>
      <c r="F149" s="350"/>
      <c r="G149" s="350"/>
      <c r="H149" s="346"/>
      <c r="I149" s="350"/>
      <c r="J149" s="350"/>
      <c r="K149" s="350"/>
      <c r="L149" s="350"/>
      <c r="M149" s="350"/>
      <c r="N149" s="350"/>
      <c r="O149" s="350"/>
      <c r="P149" s="347">
        <f t="shared" si="6"/>
        <v>0</v>
      </c>
      <c r="Q149" s="350"/>
      <c r="R149" s="165">
        <f t="shared" si="5"/>
        <v>0</v>
      </c>
      <c r="S149" s="350"/>
      <c r="T149" s="351"/>
    </row>
    <row r="150" spans="1:20" s="269" customFormat="1">
      <c r="A150" s="350"/>
      <c r="B150" s="350"/>
      <c r="C150" s="350"/>
      <c r="D150" s="350"/>
      <c r="E150" s="350"/>
      <c r="F150" s="350"/>
      <c r="G150" s="350"/>
      <c r="H150" s="346"/>
      <c r="I150" s="350"/>
      <c r="J150" s="350"/>
      <c r="K150" s="350"/>
      <c r="L150" s="350"/>
      <c r="M150" s="350"/>
      <c r="N150" s="350"/>
      <c r="O150" s="350"/>
      <c r="P150" s="347">
        <f t="shared" si="6"/>
        <v>0</v>
      </c>
      <c r="Q150" s="350"/>
      <c r="R150" s="165">
        <f t="shared" si="5"/>
        <v>0</v>
      </c>
      <c r="S150" s="350"/>
      <c r="T150" s="351"/>
    </row>
    <row r="151" spans="1:20" s="269" customFormat="1">
      <c r="A151" s="350"/>
      <c r="B151" s="350"/>
      <c r="C151" s="350"/>
      <c r="D151" s="350"/>
      <c r="E151" s="350"/>
      <c r="F151" s="350"/>
      <c r="G151" s="350"/>
      <c r="H151" s="346"/>
      <c r="I151" s="350"/>
      <c r="J151" s="350"/>
      <c r="K151" s="350"/>
      <c r="L151" s="350"/>
      <c r="M151" s="350"/>
      <c r="N151" s="350"/>
      <c r="O151" s="350"/>
      <c r="P151" s="347">
        <f t="shared" si="6"/>
        <v>0</v>
      </c>
      <c r="Q151" s="350"/>
      <c r="R151" s="165">
        <f t="shared" si="5"/>
        <v>0</v>
      </c>
      <c r="S151" s="350"/>
      <c r="T151" s="351"/>
    </row>
    <row r="152" spans="1:20" s="269" customFormat="1">
      <c r="A152" s="350"/>
      <c r="B152" s="350"/>
      <c r="C152" s="350"/>
      <c r="D152" s="350"/>
      <c r="E152" s="350"/>
      <c r="F152" s="350"/>
      <c r="G152" s="350"/>
      <c r="H152" s="346"/>
      <c r="I152" s="350"/>
      <c r="J152" s="350"/>
      <c r="K152" s="350"/>
      <c r="L152" s="350"/>
      <c r="M152" s="350"/>
      <c r="N152" s="350"/>
      <c r="O152" s="350"/>
      <c r="P152" s="347">
        <f t="shared" si="6"/>
        <v>0</v>
      </c>
      <c r="Q152" s="350"/>
      <c r="R152" s="165">
        <f t="shared" si="5"/>
        <v>0</v>
      </c>
      <c r="S152" s="350"/>
      <c r="T152" s="351"/>
    </row>
    <row r="153" spans="1:20" s="269" customFormat="1">
      <c r="A153" s="350"/>
      <c r="B153" s="350"/>
      <c r="C153" s="350"/>
      <c r="D153" s="350"/>
      <c r="E153" s="350"/>
      <c r="F153" s="350"/>
      <c r="G153" s="350"/>
      <c r="H153" s="346"/>
      <c r="I153" s="350"/>
      <c r="J153" s="350"/>
      <c r="K153" s="350"/>
      <c r="L153" s="350"/>
      <c r="M153" s="350"/>
      <c r="N153" s="350"/>
      <c r="O153" s="350"/>
      <c r="P153" s="347">
        <f t="shared" si="6"/>
        <v>0</v>
      </c>
      <c r="Q153" s="350"/>
      <c r="R153" s="165">
        <f t="shared" si="5"/>
        <v>0</v>
      </c>
      <c r="S153" s="350"/>
      <c r="T153" s="351"/>
    </row>
    <row r="154" spans="1:20" s="269" customFormat="1">
      <c r="A154" s="350"/>
      <c r="B154" s="350"/>
      <c r="C154" s="350"/>
      <c r="D154" s="350"/>
      <c r="E154" s="350"/>
      <c r="F154" s="350"/>
      <c r="G154" s="350"/>
      <c r="H154" s="346"/>
      <c r="I154" s="350"/>
      <c r="J154" s="350"/>
      <c r="K154" s="350"/>
      <c r="L154" s="350"/>
      <c r="M154" s="350"/>
      <c r="N154" s="350"/>
      <c r="O154" s="350"/>
      <c r="P154" s="347">
        <f t="shared" si="6"/>
        <v>0</v>
      </c>
      <c r="Q154" s="350"/>
      <c r="R154" s="165">
        <f t="shared" ref="R154:R217" si="7">P154-Q154</f>
        <v>0</v>
      </c>
      <c r="S154" s="350"/>
      <c r="T154" s="351"/>
    </row>
    <row r="155" spans="1:20" s="269" customFormat="1">
      <c r="A155" s="350"/>
      <c r="B155" s="350"/>
      <c r="C155" s="350"/>
      <c r="D155" s="350"/>
      <c r="E155" s="350"/>
      <c r="F155" s="350"/>
      <c r="G155" s="350"/>
      <c r="H155" s="346"/>
      <c r="I155" s="350"/>
      <c r="J155" s="350"/>
      <c r="K155" s="350"/>
      <c r="L155" s="350"/>
      <c r="M155" s="350"/>
      <c r="N155" s="350"/>
      <c r="O155" s="350"/>
      <c r="P155" s="347">
        <f t="shared" si="6"/>
        <v>0</v>
      </c>
      <c r="Q155" s="350"/>
      <c r="R155" s="165">
        <f t="shared" si="7"/>
        <v>0</v>
      </c>
      <c r="S155" s="350"/>
      <c r="T155" s="351"/>
    </row>
    <row r="156" spans="1:20" s="269" customFormat="1">
      <c r="A156" s="350"/>
      <c r="B156" s="350"/>
      <c r="C156" s="350"/>
      <c r="D156" s="350"/>
      <c r="E156" s="350"/>
      <c r="F156" s="350"/>
      <c r="G156" s="350"/>
      <c r="H156" s="346"/>
      <c r="I156" s="350"/>
      <c r="J156" s="350"/>
      <c r="K156" s="350"/>
      <c r="L156" s="350"/>
      <c r="M156" s="350"/>
      <c r="N156" s="350"/>
      <c r="O156" s="350"/>
      <c r="P156" s="347">
        <f t="shared" si="6"/>
        <v>0</v>
      </c>
      <c r="Q156" s="350"/>
      <c r="R156" s="165">
        <f t="shared" si="7"/>
        <v>0</v>
      </c>
      <c r="S156" s="350"/>
      <c r="T156" s="351"/>
    </row>
    <row r="157" spans="1:20" s="269" customFormat="1">
      <c r="A157" s="350"/>
      <c r="B157" s="350"/>
      <c r="C157" s="350"/>
      <c r="D157" s="350"/>
      <c r="E157" s="350"/>
      <c r="F157" s="350"/>
      <c r="G157" s="350"/>
      <c r="H157" s="346"/>
      <c r="I157" s="350"/>
      <c r="J157" s="350"/>
      <c r="K157" s="350"/>
      <c r="L157" s="350"/>
      <c r="M157" s="350"/>
      <c r="N157" s="350"/>
      <c r="O157" s="350"/>
      <c r="P157" s="347">
        <f t="shared" si="6"/>
        <v>0</v>
      </c>
      <c r="Q157" s="350"/>
      <c r="R157" s="165">
        <f t="shared" si="7"/>
        <v>0</v>
      </c>
      <c r="S157" s="350"/>
      <c r="T157" s="351"/>
    </row>
    <row r="158" spans="1:20" s="269" customFormat="1">
      <c r="A158" s="350"/>
      <c r="B158" s="350"/>
      <c r="C158" s="350"/>
      <c r="D158" s="350"/>
      <c r="E158" s="350"/>
      <c r="F158" s="350"/>
      <c r="G158" s="350"/>
      <c r="H158" s="346"/>
      <c r="I158" s="350"/>
      <c r="J158" s="350"/>
      <c r="K158" s="350"/>
      <c r="L158" s="350"/>
      <c r="M158" s="350"/>
      <c r="N158" s="350"/>
      <c r="O158" s="350"/>
      <c r="P158" s="347">
        <f t="shared" si="6"/>
        <v>0</v>
      </c>
      <c r="Q158" s="350"/>
      <c r="R158" s="165">
        <f t="shared" si="7"/>
        <v>0</v>
      </c>
      <c r="S158" s="350"/>
      <c r="T158" s="351"/>
    </row>
    <row r="159" spans="1:20" s="269" customFormat="1">
      <c r="A159" s="350"/>
      <c r="B159" s="350"/>
      <c r="C159" s="350"/>
      <c r="D159" s="350"/>
      <c r="E159" s="350"/>
      <c r="F159" s="350"/>
      <c r="G159" s="350"/>
      <c r="H159" s="346"/>
      <c r="I159" s="350"/>
      <c r="J159" s="350"/>
      <c r="K159" s="350"/>
      <c r="L159" s="350"/>
      <c r="M159" s="350"/>
      <c r="N159" s="350"/>
      <c r="O159" s="350"/>
      <c r="P159" s="347">
        <f t="shared" si="6"/>
        <v>0</v>
      </c>
      <c r="Q159" s="350"/>
      <c r="R159" s="165">
        <f t="shared" si="7"/>
        <v>0</v>
      </c>
      <c r="S159" s="350"/>
      <c r="T159" s="351"/>
    </row>
    <row r="160" spans="1:20" s="269" customFormat="1">
      <c r="A160" s="350"/>
      <c r="B160" s="350"/>
      <c r="C160" s="350"/>
      <c r="D160" s="350"/>
      <c r="E160" s="350"/>
      <c r="F160" s="350"/>
      <c r="G160" s="350"/>
      <c r="H160" s="346"/>
      <c r="I160" s="350"/>
      <c r="J160" s="350"/>
      <c r="K160" s="350"/>
      <c r="L160" s="350"/>
      <c r="M160" s="350"/>
      <c r="N160" s="350"/>
      <c r="O160" s="350"/>
      <c r="P160" s="347">
        <f t="shared" si="6"/>
        <v>0</v>
      </c>
      <c r="Q160" s="350"/>
      <c r="R160" s="165">
        <f t="shared" si="7"/>
        <v>0</v>
      </c>
      <c r="S160" s="350"/>
      <c r="T160" s="351"/>
    </row>
    <row r="161" spans="1:20" s="269" customFormat="1">
      <c r="A161" s="350"/>
      <c r="B161" s="350"/>
      <c r="C161" s="350"/>
      <c r="D161" s="350"/>
      <c r="E161" s="350"/>
      <c r="F161" s="350"/>
      <c r="G161" s="350"/>
      <c r="H161" s="346"/>
      <c r="I161" s="350"/>
      <c r="J161" s="350"/>
      <c r="K161" s="350"/>
      <c r="L161" s="350"/>
      <c r="M161" s="350"/>
      <c r="N161" s="350"/>
      <c r="O161" s="350"/>
      <c r="P161" s="347">
        <f t="shared" si="6"/>
        <v>0</v>
      </c>
      <c r="Q161" s="350"/>
      <c r="R161" s="165">
        <f t="shared" si="7"/>
        <v>0</v>
      </c>
      <c r="S161" s="350"/>
      <c r="T161" s="351"/>
    </row>
    <row r="162" spans="1:20" s="269" customFormat="1">
      <c r="A162" s="350"/>
      <c r="B162" s="350"/>
      <c r="C162" s="350"/>
      <c r="D162" s="350"/>
      <c r="E162" s="350"/>
      <c r="F162" s="350"/>
      <c r="G162" s="350"/>
      <c r="H162" s="346"/>
      <c r="I162" s="350"/>
      <c r="J162" s="350"/>
      <c r="K162" s="350"/>
      <c r="L162" s="350"/>
      <c r="M162" s="350"/>
      <c r="N162" s="350"/>
      <c r="O162" s="350"/>
      <c r="P162" s="347">
        <f t="shared" si="6"/>
        <v>0</v>
      </c>
      <c r="Q162" s="350"/>
      <c r="R162" s="165">
        <f t="shared" si="7"/>
        <v>0</v>
      </c>
      <c r="S162" s="350"/>
      <c r="T162" s="351"/>
    </row>
    <row r="163" spans="1:20" s="269" customFormat="1">
      <c r="A163" s="350"/>
      <c r="B163" s="350"/>
      <c r="C163" s="350"/>
      <c r="D163" s="350"/>
      <c r="E163" s="350"/>
      <c r="F163" s="350"/>
      <c r="G163" s="350"/>
      <c r="H163" s="346"/>
      <c r="I163" s="350"/>
      <c r="J163" s="350"/>
      <c r="K163" s="350"/>
      <c r="L163" s="350"/>
      <c r="M163" s="350"/>
      <c r="N163" s="350"/>
      <c r="O163" s="350"/>
      <c r="P163" s="347">
        <f t="shared" si="6"/>
        <v>0</v>
      </c>
      <c r="Q163" s="350"/>
      <c r="R163" s="165">
        <f t="shared" si="7"/>
        <v>0</v>
      </c>
      <c r="S163" s="350"/>
      <c r="T163" s="351"/>
    </row>
    <row r="164" spans="1:20" s="269" customFormat="1">
      <c r="A164" s="350"/>
      <c r="B164" s="350"/>
      <c r="C164" s="350"/>
      <c r="D164" s="350"/>
      <c r="E164" s="350"/>
      <c r="F164" s="350"/>
      <c r="G164" s="350"/>
      <c r="H164" s="346"/>
      <c r="I164" s="350"/>
      <c r="J164" s="350"/>
      <c r="K164" s="350"/>
      <c r="L164" s="350"/>
      <c r="M164" s="350"/>
      <c r="N164" s="350"/>
      <c r="O164" s="350"/>
      <c r="P164" s="347">
        <f t="shared" si="6"/>
        <v>0</v>
      </c>
      <c r="Q164" s="350"/>
      <c r="R164" s="165">
        <f t="shared" si="7"/>
        <v>0</v>
      </c>
      <c r="S164" s="350"/>
      <c r="T164" s="351"/>
    </row>
    <row r="165" spans="1:20" s="269" customFormat="1">
      <c r="A165" s="350"/>
      <c r="B165" s="350"/>
      <c r="C165" s="350"/>
      <c r="D165" s="350"/>
      <c r="E165" s="350"/>
      <c r="F165" s="350"/>
      <c r="G165" s="350"/>
      <c r="H165" s="346"/>
      <c r="I165" s="350"/>
      <c r="J165" s="350"/>
      <c r="K165" s="350"/>
      <c r="L165" s="350"/>
      <c r="M165" s="350"/>
      <c r="N165" s="350"/>
      <c r="O165" s="350"/>
      <c r="P165" s="347">
        <f t="shared" si="6"/>
        <v>0</v>
      </c>
      <c r="Q165" s="350"/>
      <c r="R165" s="165">
        <f t="shared" si="7"/>
        <v>0</v>
      </c>
      <c r="S165" s="350"/>
      <c r="T165" s="351"/>
    </row>
    <row r="166" spans="1:20" s="269" customFormat="1">
      <c r="A166" s="350"/>
      <c r="B166" s="350"/>
      <c r="C166" s="350"/>
      <c r="D166" s="350"/>
      <c r="E166" s="350"/>
      <c r="F166" s="350"/>
      <c r="G166" s="350"/>
      <c r="H166" s="346"/>
      <c r="I166" s="350"/>
      <c r="J166" s="350"/>
      <c r="K166" s="350"/>
      <c r="L166" s="350"/>
      <c r="M166" s="350"/>
      <c r="N166" s="350"/>
      <c r="O166" s="350"/>
      <c r="P166" s="347">
        <f t="shared" si="6"/>
        <v>0</v>
      </c>
      <c r="Q166" s="350"/>
      <c r="R166" s="165">
        <f t="shared" si="7"/>
        <v>0</v>
      </c>
      <c r="S166" s="350"/>
      <c r="T166" s="351"/>
    </row>
    <row r="167" spans="1:20" s="269" customFormat="1">
      <c r="A167" s="350"/>
      <c r="B167" s="350"/>
      <c r="C167" s="350"/>
      <c r="D167" s="350"/>
      <c r="E167" s="350"/>
      <c r="F167" s="350"/>
      <c r="G167" s="350"/>
      <c r="H167" s="346"/>
      <c r="I167" s="350"/>
      <c r="J167" s="350"/>
      <c r="K167" s="350"/>
      <c r="L167" s="350"/>
      <c r="M167" s="350"/>
      <c r="N167" s="350"/>
      <c r="O167" s="350"/>
      <c r="P167" s="347">
        <f t="shared" si="6"/>
        <v>0</v>
      </c>
      <c r="Q167" s="350"/>
      <c r="R167" s="165">
        <f t="shared" si="7"/>
        <v>0</v>
      </c>
      <c r="S167" s="350"/>
      <c r="T167" s="351"/>
    </row>
    <row r="168" spans="1:20" s="269" customFormat="1">
      <c r="A168" s="350"/>
      <c r="B168" s="350"/>
      <c r="C168" s="350"/>
      <c r="D168" s="350"/>
      <c r="E168" s="350"/>
      <c r="F168" s="350"/>
      <c r="G168" s="350"/>
      <c r="H168" s="346"/>
      <c r="I168" s="350"/>
      <c r="J168" s="350"/>
      <c r="K168" s="350"/>
      <c r="L168" s="350"/>
      <c r="M168" s="350"/>
      <c r="N168" s="350"/>
      <c r="O168" s="350"/>
      <c r="P168" s="347">
        <f t="shared" si="6"/>
        <v>0</v>
      </c>
      <c r="Q168" s="350"/>
      <c r="R168" s="165">
        <f t="shared" si="7"/>
        <v>0</v>
      </c>
      <c r="S168" s="350"/>
      <c r="T168" s="351"/>
    </row>
    <row r="169" spans="1:20" s="269" customFormat="1">
      <c r="A169" s="350"/>
      <c r="B169" s="350"/>
      <c r="C169" s="350"/>
      <c r="D169" s="350"/>
      <c r="E169" s="350"/>
      <c r="F169" s="350"/>
      <c r="G169" s="350"/>
      <c r="H169" s="346"/>
      <c r="I169" s="350"/>
      <c r="J169" s="350"/>
      <c r="K169" s="350"/>
      <c r="L169" s="350"/>
      <c r="M169" s="350"/>
      <c r="N169" s="350"/>
      <c r="O169" s="350"/>
      <c r="P169" s="347">
        <f t="shared" si="6"/>
        <v>0</v>
      </c>
      <c r="Q169" s="350"/>
      <c r="R169" s="165">
        <f t="shared" si="7"/>
        <v>0</v>
      </c>
      <c r="S169" s="350"/>
      <c r="T169" s="351"/>
    </row>
    <row r="170" spans="1:20" s="269" customFormat="1">
      <c r="A170" s="350"/>
      <c r="B170" s="350"/>
      <c r="C170" s="350"/>
      <c r="D170" s="350"/>
      <c r="E170" s="350"/>
      <c r="F170" s="350"/>
      <c r="G170" s="350"/>
      <c r="H170" s="346"/>
      <c r="I170" s="350"/>
      <c r="J170" s="350"/>
      <c r="K170" s="350"/>
      <c r="L170" s="350"/>
      <c r="M170" s="350"/>
      <c r="N170" s="350"/>
      <c r="O170" s="350"/>
      <c r="P170" s="347">
        <f t="shared" si="6"/>
        <v>0</v>
      </c>
      <c r="Q170" s="350"/>
      <c r="R170" s="165">
        <f t="shared" si="7"/>
        <v>0</v>
      </c>
      <c r="S170" s="350"/>
      <c r="T170" s="351"/>
    </row>
    <row r="171" spans="1:20" s="269" customFormat="1">
      <c r="A171" s="350"/>
      <c r="B171" s="350"/>
      <c r="C171" s="350"/>
      <c r="D171" s="350"/>
      <c r="E171" s="350"/>
      <c r="F171" s="350"/>
      <c r="G171" s="350"/>
      <c r="H171" s="346"/>
      <c r="I171" s="350"/>
      <c r="J171" s="350"/>
      <c r="K171" s="350"/>
      <c r="L171" s="350"/>
      <c r="M171" s="350"/>
      <c r="N171" s="350"/>
      <c r="O171" s="350"/>
      <c r="P171" s="347">
        <f t="shared" si="6"/>
        <v>0</v>
      </c>
      <c r="Q171" s="350"/>
      <c r="R171" s="165">
        <f t="shared" si="7"/>
        <v>0</v>
      </c>
      <c r="S171" s="350"/>
      <c r="T171" s="351"/>
    </row>
    <row r="172" spans="1:20" s="269" customFormat="1">
      <c r="A172" s="350"/>
      <c r="B172" s="350"/>
      <c r="C172" s="350"/>
      <c r="D172" s="350"/>
      <c r="E172" s="350"/>
      <c r="F172" s="350"/>
      <c r="G172" s="350"/>
      <c r="H172" s="346"/>
      <c r="I172" s="350"/>
      <c r="J172" s="350"/>
      <c r="K172" s="350"/>
      <c r="L172" s="350"/>
      <c r="M172" s="350"/>
      <c r="N172" s="350"/>
      <c r="O172" s="350"/>
      <c r="P172" s="347">
        <f t="shared" si="6"/>
        <v>0</v>
      </c>
      <c r="Q172" s="350"/>
      <c r="R172" s="165">
        <f t="shared" si="7"/>
        <v>0</v>
      </c>
      <c r="S172" s="350"/>
      <c r="T172" s="351"/>
    </row>
    <row r="173" spans="1:20" s="269" customFormat="1">
      <c r="A173" s="350"/>
      <c r="B173" s="350"/>
      <c r="C173" s="350"/>
      <c r="D173" s="350"/>
      <c r="E173" s="350"/>
      <c r="F173" s="350"/>
      <c r="G173" s="350"/>
      <c r="H173" s="346"/>
      <c r="I173" s="350"/>
      <c r="J173" s="350"/>
      <c r="K173" s="350"/>
      <c r="L173" s="350"/>
      <c r="M173" s="350"/>
      <c r="N173" s="350"/>
      <c r="O173" s="350"/>
      <c r="P173" s="347">
        <f t="shared" si="6"/>
        <v>0</v>
      </c>
      <c r="Q173" s="350"/>
      <c r="R173" s="165">
        <f t="shared" si="7"/>
        <v>0</v>
      </c>
      <c r="S173" s="350"/>
      <c r="T173" s="351"/>
    </row>
    <row r="174" spans="1:20" s="269" customFormat="1">
      <c r="A174" s="350"/>
      <c r="B174" s="350"/>
      <c r="C174" s="350"/>
      <c r="D174" s="350"/>
      <c r="E174" s="350"/>
      <c r="F174" s="350"/>
      <c r="G174" s="350"/>
      <c r="H174" s="346"/>
      <c r="I174" s="350"/>
      <c r="J174" s="350"/>
      <c r="K174" s="350"/>
      <c r="L174" s="350"/>
      <c r="M174" s="350"/>
      <c r="N174" s="350"/>
      <c r="O174" s="350"/>
      <c r="P174" s="347">
        <f t="shared" si="6"/>
        <v>0</v>
      </c>
      <c r="Q174" s="350"/>
      <c r="R174" s="165">
        <f t="shared" si="7"/>
        <v>0</v>
      </c>
      <c r="S174" s="350"/>
      <c r="T174" s="351"/>
    </row>
    <row r="175" spans="1:20" s="269" customFormat="1">
      <c r="A175" s="350"/>
      <c r="B175" s="350"/>
      <c r="C175" s="350"/>
      <c r="D175" s="350"/>
      <c r="E175" s="350"/>
      <c r="F175" s="350"/>
      <c r="G175" s="350"/>
      <c r="H175" s="346"/>
      <c r="I175" s="350"/>
      <c r="J175" s="350"/>
      <c r="K175" s="350"/>
      <c r="L175" s="350"/>
      <c r="M175" s="350"/>
      <c r="N175" s="350"/>
      <c r="O175" s="350"/>
      <c r="P175" s="347">
        <f t="shared" si="6"/>
        <v>0</v>
      </c>
      <c r="Q175" s="350"/>
      <c r="R175" s="165">
        <f t="shared" si="7"/>
        <v>0</v>
      </c>
      <c r="S175" s="350"/>
      <c r="T175" s="351"/>
    </row>
    <row r="176" spans="1:20" s="269" customFormat="1">
      <c r="A176" s="350"/>
      <c r="B176" s="350"/>
      <c r="C176" s="350"/>
      <c r="D176" s="350"/>
      <c r="E176" s="350"/>
      <c r="F176" s="350"/>
      <c r="G176" s="350"/>
      <c r="H176" s="346"/>
      <c r="I176" s="350"/>
      <c r="J176" s="350"/>
      <c r="K176" s="350"/>
      <c r="L176" s="350"/>
      <c r="M176" s="350"/>
      <c r="N176" s="350"/>
      <c r="O176" s="350"/>
      <c r="P176" s="347">
        <f t="shared" si="6"/>
        <v>0</v>
      </c>
      <c r="Q176" s="350"/>
      <c r="R176" s="165">
        <f t="shared" si="7"/>
        <v>0</v>
      </c>
      <c r="S176" s="350"/>
      <c r="T176" s="351"/>
    </row>
    <row r="177" spans="1:20" s="269" customFormat="1">
      <c r="A177" s="350"/>
      <c r="B177" s="350"/>
      <c r="C177" s="350"/>
      <c r="D177" s="350"/>
      <c r="E177" s="350"/>
      <c r="F177" s="350"/>
      <c r="G177" s="350"/>
      <c r="H177" s="346"/>
      <c r="I177" s="350"/>
      <c r="J177" s="350"/>
      <c r="K177" s="350"/>
      <c r="L177" s="350"/>
      <c r="M177" s="350"/>
      <c r="N177" s="350"/>
      <c r="O177" s="350"/>
      <c r="P177" s="347">
        <f t="shared" si="6"/>
        <v>0</v>
      </c>
      <c r="Q177" s="350"/>
      <c r="R177" s="165">
        <f t="shared" si="7"/>
        <v>0</v>
      </c>
      <c r="S177" s="350"/>
      <c r="T177" s="351"/>
    </row>
    <row r="178" spans="1:20" s="269" customFormat="1">
      <c r="A178" s="350"/>
      <c r="B178" s="350"/>
      <c r="C178" s="350"/>
      <c r="D178" s="350"/>
      <c r="E178" s="350"/>
      <c r="F178" s="350"/>
      <c r="G178" s="350"/>
      <c r="H178" s="346"/>
      <c r="I178" s="350"/>
      <c r="J178" s="350"/>
      <c r="K178" s="350"/>
      <c r="L178" s="350"/>
      <c r="M178" s="350"/>
      <c r="N178" s="350"/>
      <c r="O178" s="350"/>
      <c r="P178" s="347">
        <f t="shared" si="6"/>
        <v>0</v>
      </c>
      <c r="Q178" s="350"/>
      <c r="R178" s="165">
        <f t="shared" si="7"/>
        <v>0</v>
      </c>
      <c r="S178" s="350"/>
      <c r="T178" s="351"/>
    </row>
    <row r="179" spans="1:20" s="269" customFormat="1">
      <c r="A179" s="350"/>
      <c r="B179" s="350"/>
      <c r="C179" s="350"/>
      <c r="D179" s="350"/>
      <c r="E179" s="350"/>
      <c r="F179" s="350"/>
      <c r="G179" s="350"/>
      <c r="H179" s="346"/>
      <c r="I179" s="350"/>
      <c r="J179" s="350"/>
      <c r="K179" s="350"/>
      <c r="L179" s="350"/>
      <c r="M179" s="350"/>
      <c r="N179" s="350"/>
      <c r="O179" s="350"/>
      <c r="P179" s="347">
        <f t="shared" si="6"/>
        <v>0</v>
      </c>
      <c r="Q179" s="350"/>
      <c r="R179" s="165">
        <f t="shared" si="7"/>
        <v>0</v>
      </c>
      <c r="S179" s="350"/>
      <c r="T179" s="351"/>
    </row>
    <row r="180" spans="1:20" s="269" customFormat="1">
      <c r="A180" s="350"/>
      <c r="B180" s="350"/>
      <c r="C180" s="350"/>
      <c r="D180" s="350"/>
      <c r="E180" s="350"/>
      <c r="F180" s="350"/>
      <c r="G180" s="350"/>
      <c r="H180" s="346"/>
      <c r="I180" s="350"/>
      <c r="J180" s="350"/>
      <c r="K180" s="350"/>
      <c r="L180" s="350"/>
      <c r="M180" s="350"/>
      <c r="N180" s="350"/>
      <c r="O180" s="350"/>
      <c r="P180" s="347">
        <f t="shared" si="6"/>
        <v>0</v>
      </c>
      <c r="Q180" s="350"/>
      <c r="R180" s="165">
        <f t="shared" si="7"/>
        <v>0</v>
      </c>
      <c r="S180" s="350"/>
      <c r="T180" s="351"/>
    </row>
    <row r="181" spans="1:20" s="269" customFormat="1">
      <c r="A181" s="350"/>
      <c r="B181" s="350"/>
      <c r="C181" s="350"/>
      <c r="D181" s="350"/>
      <c r="E181" s="350"/>
      <c r="F181" s="350"/>
      <c r="G181" s="350"/>
      <c r="H181" s="346"/>
      <c r="I181" s="350"/>
      <c r="J181" s="350"/>
      <c r="K181" s="350"/>
      <c r="L181" s="350"/>
      <c r="M181" s="350"/>
      <c r="N181" s="350"/>
      <c r="O181" s="350"/>
      <c r="P181" s="347">
        <f t="shared" si="6"/>
        <v>0</v>
      </c>
      <c r="Q181" s="350"/>
      <c r="R181" s="165">
        <f t="shared" si="7"/>
        <v>0</v>
      </c>
      <c r="S181" s="350"/>
      <c r="T181" s="351"/>
    </row>
    <row r="182" spans="1:20" s="269" customFormat="1">
      <c r="A182" s="350"/>
      <c r="B182" s="350"/>
      <c r="C182" s="350"/>
      <c r="D182" s="350"/>
      <c r="E182" s="350"/>
      <c r="F182" s="350"/>
      <c r="G182" s="350"/>
      <c r="H182" s="346"/>
      <c r="I182" s="350"/>
      <c r="J182" s="350"/>
      <c r="K182" s="350"/>
      <c r="L182" s="350"/>
      <c r="M182" s="350"/>
      <c r="N182" s="350"/>
      <c r="O182" s="350"/>
      <c r="P182" s="347">
        <f t="shared" si="6"/>
        <v>0</v>
      </c>
      <c r="Q182" s="350"/>
      <c r="R182" s="165">
        <f t="shared" si="7"/>
        <v>0</v>
      </c>
      <c r="S182" s="350"/>
      <c r="T182" s="351"/>
    </row>
    <row r="183" spans="1:20" s="269" customFormat="1">
      <c r="A183" s="350"/>
      <c r="B183" s="350"/>
      <c r="C183" s="350"/>
      <c r="D183" s="350"/>
      <c r="E183" s="350"/>
      <c r="F183" s="350"/>
      <c r="G183" s="350"/>
      <c r="H183" s="346"/>
      <c r="I183" s="350"/>
      <c r="J183" s="350"/>
      <c r="K183" s="350"/>
      <c r="L183" s="350"/>
      <c r="M183" s="350"/>
      <c r="N183" s="350"/>
      <c r="O183" s="350"/>
      <c r="P183" s="347">
        <f t="shared" si="6"/>
        <v>0</v>
      </c>
      <c r="Q183" s="350"/>
      <c r="R183" s="165">
        <f t="shared" si="7"/>
        <v>0</v>
      </c>
      <c r="S183" s="350"/>
      <c r="T183" s="351"/>
    </row>
    <row r="184" spans="1:20" s="269" customFormat="1">
      <c r="A184" s="350"/>
      <c r="B184" s="350"/>
      <c r="C184" s="350"/>
      <c r="D184" s="350"/>
      <c r="E184" s="350"/>
      <c r="F184" s="350"/>
      <c r="G184" s="350"/>
      <c r="H184" s="346"/>
      <c r="I184" s="350"/>
      <c r="J184" s="350"/>
      <c r="K184" s="350"/>
      <c r="L184" s="350"/>
      <c r="M184" s="350"/>
      <c r="N184" s="350"/>
      <c r="O184" s="350"/>
      <c r="P184" s="347">
        <f t="shared" si="6"/>
        <v>0</v>
      </c>
      <c r="Q184" s="350"/>
      <c r="R184" s="165">
        <f t="shared" si="7"/>
        <v>0</v>
      </c>
      <c r="S184" s="350"/>
      <c r="T184" s="351"/>
    </row>
    <row r="185" spans="1:20" s="269" customFormat="1">
      <c r="A185" s="350"/>
      <c r="B185" s="350"/>
      <c r="C185" s="350"/>
      <c r="D185" s="350"/>
      <c r="E185" s="350"/>
      <c r="F185" s="350"/>
      <c r="G185" s="350"/>
      <c r="H185" s="346"/>
      <c r="I185" s="350"/>
      <c r="J185" s="350"/>
      <c r="K185" s="350"/>
      <c r="L185" s="350"/>
      <c r="M185" s="350"/>
      <c r="N185" s="350"/>
      <c r="O185" s="350"/>
      <c r="P185" s="347">
        <f t="shared" si="6"/>
        <v>0</v>
      </c>
      <c r="Q185" s="350"/>
      <c r="R185" s="165">
        <f t="shared" si="7"/>
        <v>0</v>
      </c>
      <c r="S185" s="350"/>
      <c r="T185" s="351"/>
    </row>
    <row r="186" spans="1:20" s="269" customFormat="1">
      <c r="A186" s="350"/>
      <c r="B186" s="350"/>
      <c r="C186" s="350"/>
      <c r="D186" s="350"/>
      <c r="E186" s="350"/>
      <c r="F186" s="350"/>
      <c r="G186" s="350"/>
      <c r="H186" s="346"/>
      <c r="I186" s="350"/>
      <c r="J186" s="350"/>
      <c r="K186" s="350"/>
      <c r="L186" s="350"/>
      <c r="M186" s="350"/>
      <c r="N186" s="350"/>
      <c r="O186" s="350"/>
      <c r="P186" s="347">
        <f t="shared" si="6"/>
        <v>0</v>
      </c>
      <c r="Q186" s="350"/>
      <c r="R186" s="165">
        <f t="shared" si="7"/>
        <v>0</v>
      </c>
      <c r="S186" s="350"/>
      <c r="T186" s="351"/>
    </row>
    <row r="187" spans="1:20" s="269" customFormat="1">
      <c r="A187" s="350"/>
      <c r="B187" s="350"/>
      <c r="C187" s="350"/>
      <c r="D187" s="350"/>
      <c r="E187" s="350"/>
      <c r="F187" s="350"/>
      <c r="G187" s="350"/>
      <c r="H187" s="346"/>
      <c r="I187" s="350"/>
      <c r="J187" s="350"/>
      <c r="K187" s="350"/>
      <c r="L187" s="350"/>
      <c r="M187" s="350"/>
      <c r="N187" s="350"/>
      <c r="O187" s="350"/>
      <c r="P187" s="347">
        <f t="shared" si="6"/>
        <v>0</v>
      </c>
      <c r="Q187" s="350"/>
      <c r="R187" s="165">
        <f t="shared" si="7"/>
        <v>0</v>
      </c>
      <c r="S187" s="350"/>
      <c r="T187" s="351"/>
    </row>
    <row r="188" spans="1:20" s="269" customFormat="1">
      <c r="A188" s="350"/>
      <c r="B188" s="350"/>
      <c r="C188" s="350"/>
      <c r="D188" s="350"/>
      <c r="E188" s="350"/>
      <c r="F188" s="350"/>
      <c r="G188" s="350"/>
      <c r="H188" s="346"/>
      <c r="I188" s="350"/>
      <c r="J188" s="350"/>
      <c r="K188" s="350"/>
      <c r="L188" s="350"/>
      <c r="M188" s="350"/>
      <c r="N188" s="350"/>
      <c r="O188" s="350"/>
      <c r="P188" s="347">
        <f t="shared" si="6"/>
        <v>0</v>
      </c>
      <c r="Q188" s="350"/>
      <c r="R188" s="165">
        <f t="shared" si="7"/>
        <v>0</v>
      </c>
      <c r="S188" s="350"/>
      <c r="T188" s="351"/>
    </row>
    <row r="189" spans="1:20" s="269" customFormat="1">
      <c r="A189" s="350"/>
      <c r="B189" s="350"/>
      <c r="C189" s="350"/>
      <c r="D189" s="350"/>
      <c r="E189" s="350"/>
      <c r="F189" s="350"/>
      <c r="G189" s="350"/>
      <c r="H189" s="346"/>
      <c r="I189" s="350"/>
      <c r="J189" s="350"/>
      <c r="K189" s="350"/>
      <c r="L189" s="350"/>
      <c r="M189" s="350"/>
      <c r="N189" s="350"/>
      <c r="O189" s="350"/>
      <c r="P189" s="347">
        <f t="shared" si="6"/>
        <v>0</v>
      </c>
      <c r="Q189" s="350"/>
      <c r="R189" s="165">
        <f t="shared" si="7"/>
        <v>0</v>
      </c>
      <c r="S189" s="350"/>
      <c r="T189" s="351"/>
    </row>
    <row r="190" spans="1:20" s="269" customFormat="1">
      <c r="A190" s="350"/>
      <c r="B190" s="350"/>
      <c r="C190" s="350"/>
      <c r="D190" s="350"/>
      <c r="E190" s="350"/>
      <c r="F190" s="350"/>
      <c r="G190" s="350"/>
      <c r="H190" s="346"/>
      <c r="I190" s="350"/>
      <c r="J190" s="350"/>
      <c r="K190" s="350"/>
      <c r="L190" s="350"/>
      <c r="M190" s="350"/>
      <c r="N190" s="350"/>
      <c r="O190" s="350"/>
      <c r="P190" s="347">
        <f t="shared" si="6"/>
        <v>0</v>
      </c>
      <c r="Q190" s="350"/>
      <c r="R190" s="165">
        <f t="shared" si="7"/>
        <v>0</v>
      </c>
      <c r="S190" s="350"/>
      <c r="T190" s="351"/>
    </row>
    <row r="191" spans="1:20" s="269" customFormat="1">
      <c r="A191" s="350"/>
      <c r="B191" s="350"/>
      <c r="C191" s="350"/>
      <c r="D191" s="350"/>
      <c r="E191" s="350"/>
      <c r="F191" s="350"/>
      <c r="G191" s="350"/>
      <c r="H191" s="346"/>
      <c r="I191" s="350"/>
      <c r="J191" s="350"/>
      <c r="K191" s="350"/>
      <c r="L191" s="350"/>
      <c r="M191" s="350"/>
      <c r="N191" s="350"/>
      <c r="O191" s="350"/>
      <c r="P191" s="347">
        <f t="shared" si="6"/>
        <v>0</v>
      </c>
      <c r="Q191" s="350"/>
      <c r="R191" s="165">
        <f t="shared" si="7"/>
        <v>0</v>
      </c>
      <c r="S191" s="350"/>
      <c r="T191" s="351"/>
    </row>
    <row r="192" spans="1:20" s="269" customFormat="1">
      <c r="A192" s="350"/>
      <c r="B192" s="350"/>
      <c r="C192" s="350"/>
      <c r="D192" s="350"/>
      <c r="E192" s="350"/>
      <c r="F192" s="350"/>
      <c r="G192" s="350"/>
      <c r="H192" s="346"/>
      <c r="I192" s="350"/>
      <c r="J192" s="350"/>
      <c r="K192" s="350"/>
      <c r="L192" s="350"/>
      <c r="M192" s="350"/>
      <c r="N192" s="350"/>
      <c r="O192" s="350"/>
      <c r="P192" s="347">
        <f t="shared" si="6"/>
        <v>0</v>
      </c>
      <c r="Q192" s="350"/>
      <c r="R192" s="165">
        <f t="shared" si="7"/>
        <v>0</v>
      </c>
      <c r="S192" s="350"/>
      <c r="T192" s="351"/>
    </row>
    <row r="193" spans="1:20" s="269" customFormat="1">
      <c r="A193" s="350"/>
      <c r="B193" s="350"/>
      <c r="C193" s="350"/>
      <c r="D193" s="350"/>
      <c r="E193" s="350"/>
      <c r="F193" s="350"/>
      <c r="G193" s="350"/>
      <c r="H193" s="346"/>
      <c r="I193" s="350"/>
      <c r="J193" s="350"/>
      <c r="K193" s="350"/>
      <c r="L193" s="350"/>
      <c r="M193" s="350"/>
      <c r="N193" s="350"/>
      <c r="O193" s="350"/>
      <c r="P193" s="347">
        <f t="shared" si="6"/>
        <v>0</v>
      </c>
      <c r="Q193" s="350"/>
      <c r="R193" s="165">
        <f t="shared" si="7"/>
        <v>0</v>
      </c>
      <c r="S193" s="350"/>
      <c r="T193" s="351"/>
    </row>
    <row r="194" spans="1:20" s="269" customFormat="1">
      <c r="A194" s="350"/>
      <c r="B194" s="350"/>
      <c r="C194" s="350"/>
      <c r="D194" s="350"/>
      <c r="E194" s="350"/>
      <c r="F194" s="350"/>
      <c r="G194" s="350"/>
      <c r="H194" s="346"/>
      <c r="I194" s="350"/>
      <c r="J194" s="350"/>
      <c r="K194" s="350"/>
      <c r="L194" s="350"/>
      <c r="M194" s="350"/>
      <c r="N194" s="350"/>
      <c r="O194" s="350"/>
      <c r="P194" s="347">
        <f t="shared" si="6"/>
        <v>0</v>
      </c>
      <c r="Q194" s="350"/>
      <c r="R194" s="165">
        <f t="shared" si="7"/>
        <v>0</v>
      </c>
      <c r="S194" s="350"/>
      <c r="T194" s="351"/>
    </row>
    <row r="195" spans="1:20" s="269" customFormat="1">
      <c r="A195" s="350"/>
      <c r="B195" s="350"/>
      <c r="C195" s="350"/>
      <c r="D195" s="350"/>
      <c r="E195" s="350"/>
      <c r="F195" s="350"/>
      <c r="G195" s="350"/>
      <c r="H195" s="346"/>
      <c r="I195" s="350"/>
      <c r="J195" s="350"/>
      <c r="K195" s="350"/>
      <c r="L195" s="350"/>
      <c r="M195" s="350"/>
      <c r="N195" s="350"/>
      <c r="O195" s="350"/>
      <c r="P195" s="347">
        <f t="shared" si="6"/>
        <v>0</v>
      </c>
      <c r="Q195" s="350"/>
      <c r="R195" s="165">
        <f t="shared" si="7"/>
        <v>0</v>
      </c>
      <c r="S195" s="350"/>
      <c r="T195" s="351"/>
    </row>
    <row r="196" spans="1:20" s="269" customFormat="1">
      <c r="A196" s="350"/>
      <c r="B196" s="350"/>
      <c r="C196" s="350"/>
      <c r="D196" s="350"/>
      <c r="E196" s="350"/>
      <c r="F196" s="350"/>
      <c r="G196" s="350"/>
      <c r="H196" s="346"/>
      <c r="I196" s="350"/>
      <c r="J196" s="350"/>
      <c r="K196" s="350"/>
      <c r="L196" s="350"/>
      <c r="M196" s="350"/>
      <c r="N196" s="350"/>
      <c r="O196" s="350"/>
      <c r="P196" s="347">
        <f t="shared" si="6"/>
        <v>0</v>
      </c>
      <c r="Q196" s="350"/>
      <c r="R196" s="165">
        <f t="shared" si="7"/>
        <v>0</v>
      </c>
      <c r="S196" s="350"/>
      <c r="T196" s="351"/>
    </row>
    <row r="197" spans="1:20" s="269" customFormat="1">
      <c r="A197" s="350"/>
      <c r="B197" s="350"/>
      <c r="C197" s="350"/>
      <c r="D197" s="350"/>
      <c r="E197" s="350"/>
      <c r="F197" s="350"/>
      <c r="G197" s="350"/>
      <c r="H197" s="346"/>
      <c r="I197" s="350"/>
      <c r="J197" s="350"/>
      <c r="K197" s="350"/>
      <c r="L197" s="350"/>
      <c r="M197" s="350"/>
      <c r="N197" s="350"/>
      <c r="O197" s="350"/>
      <c r="P197" s="347">
        <f t="shared" si="6"/>
        <v>0</v>
      </c>
      <c r="Q197" s="350"/>
      <c r="R197" s="165">
        <f t="shared" si="7"/>
        <v>0</v>
      </c>
      <c r="S197" s="350"/>
      <c r="T197" s="351"/>
    </row>
    <row r="198" spans="1:20" s="269" customFormat="1">
      <c r="A198" s="350"/>
      <c r="B198" s="350"/>
      <c r="C198" s="350"/>
      <c r="D198" s="350"/>
      <c r="E198" s="350"/>
      <c r="F198" s="350"/>
      <c r="G198" s="350"/>
      <c r="H198" s="346"/>
      <c r="I198" s="350"/>
      <c r="J198" s="350"/>
      <c r="K198" s="350"/>
      <c r="L198" s="350"/>
      <c r="M198" s="350"/>
      <c r="N198" s="350"/>
      <c r="O198" s="350"/>
      <c r="P198" s="347">
        <f t="shared" si="6"/>
        <v>0</v>
      </c>
      <c r="Q198" s="350"/>
      <c r="R198" s="165">
        <f t="shared" si="7"/>
        <v>0</v>
      </c>
      <c r="S198" s="350"/>
      <c r="T198" s="351"/>
    </row>
    <row r="199" spans="1:20" s="269" customFormat="1">
      <c r="A199" s="350"/>
      <c r="B199" s="350"/>
      <c r="C199" s="350"/>
      <c r="D199" s="350"/>
      <c r="E199" s="350"/>
      <c r="F199" s="350"/>
      <c r="G199" s="350"/>
      <c r="H199" s="346"/>
      <c r="I199" s="350"/>
      <c r="J199" s="350"/>
      <c r="K199" s="350"/>
      <c r="L199" s="350"/>
      <c r="M199" s="350"/>
      <c r="N199" s="350"/>
      <c r="O199" s="350"/>
      <c r="P199" s="347">
        <f t="shared" si="6"/>
        <v>0</v>
      </c>
      <c r="Q199" s="350"/>
      <c r="R199" s="165">
        <f t="shared" si="7"/>
        <v>0</v>
      </c>
      <c r="S199" s="350"/>
      <c r="T199" s="351"/>
    </row>
    <row r="200" spans="1:20" s="269" customFormat="1">
      <c r="A200" s="350"/>
      <c r="B200" s="350"/>
      <c r="C200" s="350"/>
      <c r="D200" s="350"/>
      <c r="E200" s="350"/>
      <c r="F200" s="350"/>
      <c r="G200" s="350"/>
      <c r="H200" s="346"/>
      <c r="I200" s="350"/>
      <c r="J200" s="350"/>
      <c r="K200" s="350"/>
      <c r="L200" s="350"/>
      <c r="M200" s="350"/>
      <c r="N200" s="350"/>
      <c r="O200" s="350"/>
      <c r="P200" s="347">
        <f t="shared" si="6"/>
        <v>0</v>
      </c>
      <c r="Q200" s="350"/>
      <c r="R200" s="165">
        <f t="shared" si="7"/>
        <v>0</v>
      </c>
      <c r="S200" s="350"/>
      <c r="T200" s="351"/>
    </row>
    <row r="201" spans="1:20" s="269" customFormat="1">
      <c r="A201" s="350"/>
      <c r="B201" s="350"/>
      <c r="C201" s="350"/>
      <c r="D201" s="350"/>
      <c r="E201" s="350"/>
      <c r="F201" s="350"/>
      <c r="G201" s="350"/>
      <c r="H201" s="346"/>
      <c r="I201" s="350"/>
      <c r="J201" s="350"/>
      <c r="K201" s="350"/>
      <c r="L201" s="350"/>
      <c r="M201" s="350"/>
      <c r="N201" s="350"/>
      <c r="O201" s="350"/>
      <c r="P201" s="347">
        <f t="shared" si="6"/>
        <v>0</v>
      </c>
      <c r="Q201" s="350"/>
      <c r="R201" s="165">
        <f t="shared" si="7"/>
        <v>0</v>
      </c>
      <c r="S201" s="350"/>
      <c r="T201" s="351"/>
    </row>
    <row r="202" spans="1:20" s="269" customFormat="1">
      <c r="A202" s="350"/>
      <c r="B202" s="350"/>
      <c r="C202" s="350"/>
      <c r="D202" s="350"/>
      <c r="E202" s="350"/>
      <c r="F202" s="350"/>
      <c r="G202" s="350"/>
      <c r="H202" s="346"/>
      <c r="I202" s="350"/>
      <c r="J202" s="350"/>
      <c r="K202" s="350"/>
      <c r="L202" s="350"/>
      <c r="M202" s="350"/>
      <c r="N202" s="350"/>
      <c r="O202" s="350"/>
      <c r="P202" s="347">
        <f t="shared" si="6"/>
        <v>0</v>
      </c>
      <c r="Q202" s="350"/>
      <c r="R202" s="165">
        <f t="shared" si="7"/>
        <v>0</v>
      </c>
      <c r="S202" s="350"/>
      <c r="T202" s="351"/>
    </row>
    <row r="203" spans="1:20" s="269" customFormat="1">
      <c r="A203" s="350"/>
      <c r="B203" s="350"/>
      <c r="C203" s="350"/>
      <c r="D203" s="350"/>
      <c r="E203" s="350"/>
      <c r="F203" s="350"/>
      <c r="G203" s="350"/>
      <c r="H203" s="346"/>
      <c r="I203" s="350"/>
      <c r="J203" s="350"/>
      <c r="K203" s="350"/>
      <c r="L203" s="350"/>
      <c r="M203" s="350"/>
      <c r="N203" s="350"/>
      <c r="O203" s="350"/>
      <c r="P203" s="347">
        <f t="shared" si="6"/>
        <v>0</v>
      </c>
      <c r="Q203" s="350"/>
      <c r="R203" s="165">
        <f t="shared" si="7"/>
        <v>0</v>
      </c>
      <c r="S203" s="350"/>
      <c r="T203" s="351"/>
    </row>
    <row r="204" spans="1:20" s="269" customFormat="1">
      <c r="A204" s="350"/>
      <c r="B204" s="350"/>
      <c r="C204" s="350"/>
      <c r="D204" s="350"/>
      <c r="E204" s="350"/>
      <c r="F204" s="350"/>
      <c r="G204" s="350"/>
      <c r="H204" s="346"/>
      <c r="I204" s="350"/>
      <c r="J204" s="350"/>
      <c r="K204" s="350"/>
      <c r="L204" s="350"/>
      <c r="M204" s="350"/>
      <c r="N204" s="350"/>
      <c r="O204" s="350"/>
      <c r="P204" s="347">
        <f t="shared" si="6"/>
        <v>0</v>
      </c>
      <c r="Q204" s="350"/>
      <c r="R204" s="165">
        <f t="shared" si="7"/>
        <v>0</v>
      </c>
      <c r="S204" s="350"/>
      <c r="T204" s="351"/>
    </row>
    <row r="205" spans="1:20" s="269" customFormat="1">
      <c r="A205" s="350"/>
      <c r="B205" s="350"/>
      <c r="C205" s="350"/>
      <c r="D205" s="350"/>
      <c r="E205" s="350"/>
      <c r="F205" s="350"/>
      <c r="G205" s="350"/>
      <c r="H205" s="346"/>
      <c r="I205" s="350"/>
      <c r="J205" s="350"/>
      <c r="K205" s="350"/>
      <c r="L205" s="350"/>
      <c r="M205" s="350"/>
      <c r="N205" s="350"/>
      <c r="O205" s="350"/>
      <c r="P205" s="347">
        <f t="shared" ref="P205:P268" si="8">SUM(I205:O205)</f>
        <v>0</v>
      </c>
      <c r="Q205" s="350"/>
      <c r="R205" s="165">
        <f t="shared" si="7"/>
        <v>0</v>
      </c>
      <c r="S205" s="350"/>
      <c r="T205" s="351"/>
    </row>
    <row r="206" spans="1:20" s="269" customFormat="1">
      <c r="A206" s="350"/>
      <c r="B206" s="350"/>
      <c r="C206" s="350"/>
      <c r="D206" s="350"/>
      <c r="E206" s="350"/>
      <c r="F206" s="350"/>
      <c r="G206" s="350"/>
      <c r="H206" s="346"/>
      <c r="I206" s="350"/>
      <c r="J206" s="350"/>
      <c r="K206" s="350"/>
      <c r="L206" s="350"/>
      <c r="M206" s="350"/>
      <c r="N206" s="350"/>
      <c r="O206" s="350"/>
      <c r="P206" s="347">
        <f t="shared" si="8"/>
        <v>0</v>
      </c>
      <c r="Q206" s="350"/>
      <c r="R206" s="165">
        <f t="shared" si="7"/>
        <v>0</v>
      </c>
      <c r="S206" s="350"/>
      <c r="T206" s="351"/>
    </row>
    <row r="207" spans="1:20" s="269" customFormat="1">
      <c r="A207" s="350"/>
      <c r="B207" s="350"/>
      <c r="C207" s="350"/>
      <c r="D207" s="350"/>
      <c r="E207" s="350"/>
      <c r="F207" s="350"/>
      <c r="G207" s="350"/>
      <c r="H207" s="346"/>
      <c r="I207" s="350"/>
      <c r="J207" s="350"/>
      <c r="K207" s="350"/>
      <c r="L207" s="350"/>
      <c r="M207" s="350"/>
      <c r="N207" s="350"/>
      <c r="O207" s="350"/>
      <c r="P207" s="347">
        <f t="shared" si="8"/>
        <v>0</v>
      </c>
      <c r="Q207" s="350"/>
      <c r="R207" s="165">
        <f t="shared" si="7"/>
        <v>0</v>
      </c>
      <c r="S207" s="350"/>
      <c r="T207" s="351"/>
    </row>
    <row r="208" spans="1:20" s="269" customFormat="1">
      <c r="A208" s="350"/>
      <c r="B208" s="350"/>
      <c r="C208" s="350"/>
      <c r="D208" s="350"/>
      <c r="E208" s="350"/>
      <c r="F208" s="350"/>
      <c r="G208" s="350"/>
      <c r="H208" s="346"/>
      <c r="I208" s="350"/>
      <c r="J208" s="350"/>
      <c r="K208" s="350"/>
      <c r="L208" s="350"/>
      <c r="M208" s="350"/>
      <c r="N208" s="350"/>
      <c r="O208" s="350"/>
      <c r="P208" s="347">
        <f t="shared" si="8"/>
        <v>0</v>
      </c>
      <c r="Q208" s="350"/>
      <c r="R208" s="165">
        <f t="shared" si="7"/>
        <v>0</v>
      </c>
      <c r="S208" s="350"/>
      <c r="T208" s="351"/>
    </row>
    <row r="209" spans="1:20" s="269" customFormat="1">
      <c r="A209" s="350"/>
      <c r="B209" s="350"/>
      <c r="C209" s="350"/>
      <c r="D209" s="350"/>
      <c r="E209" s="350"/>
      <c r="F209" s="350"/>
      <c r="G209" s="350"/>
      <c r="H209" s="346"/>
      <c r="I209" s="350"/>
      <c r="J209" s="350"/>
      <c r="K209" s="350"/>
      <c r="L209" s="350"/>
      <c r="M209" s="350"/>
      <c r="N209" s="350"/>
      <c r="O209" s="350"/>
      <c r="P209" s="347">
        <f t="shared" si="8"/>
        <v>0</v>
      </c>
      <c r="Q209" s="350"/>
      <c r="R209" s="165">
        <f t="shared" si="7"/>
        <v>0</v>
      </c>
      <c r="S209" s="350"/>
      <c r="T209" s="351"/>
    </row>
    <row r="210" spans="1:20" s="269" customFormat="1">
      <c r="A210" s="350"/>
      <c r="B210" s="350"/>
      <c r="C210" s="350"/>
      <c r="D210" s="350"/>
      <c r="E210" s="350"/>
      <c r="F210" s="350"/>
      <c r="G210" s="350"/>
      <c r="H210" s="346"/>
      <c r="I210" s="350"/>
      <c r="J210" s="350"/>
      <c r="K210" s="350"/>
      <c r="L210" s="350"/>
      <c r="M210" s="350"/>
      <c r="N210" s="350"/>
      <c r="O210" s="350"/>
      <c r="P210" s="347">
        <f t="shared" si="8"/>
        <v>0</v>
      </c>
      <c r="Q210" s="350"/>
      <c r="R210" s="165">
        <f t="shared" si="7"/>
        <v>0</v>
      </c>
      <c r="S210" s="350"/>
      <c r="T210" s="351"/>
    </row>
    <row r="211" spans="1:20" s="269" customFormat="1">
      <c r="A211" s="350"/>
      <c r="B211" s="350"/>
      <c r="C211" s="350"/>
      <c r="D211" s="350"/>
      <c r="E211" s="350"/>
      <c r="F211" s="350"/>
      <c r="G211" s="350"/>
      <c r="H211" s="346"/>
      <c r="I211" s="350"/>
      <c r="J211" s="350"/>
      <c r="K211" s="350"/>
      <c r="L211" s="350"/>
      <c r="M211" s="350"/>
      <c r="N211" s="350"/>
      <c r="O211" s="350"/>
      <c r="P211" s="347">
        <f t="shared" si="8"/>
        <v>0</v>
      </c>
      <c r="Q211" s="350"/>
      <c r="R211" s="165">
        <f t="shared" si="7"/>
        <v>0</v>
      </c>
      <c r="S211" s="350"/>
      <c r="T211" s="351"/>
    </row>
    <row r="212" spans="1:20" s="269" customFormat="1">
      <c r="A212" s="350"/>
      <c r="B212" s="350"/>
      <c r="C212" s="350"/>
      <c r="D212" s="350"/>
      <c r="E212" s="350"/>
      <c r="F212" s="350"/>
      <c r="G212" s="350"/>
      <c r="H212" s="346"/>
      <c r="I212" s="350"/>
      <c r="J212" s="350"/>
      <c r="K212" s="350"/>
      <c r="L212" s="350"/>
      <c r="M212" s="350"/>
      <c r="N212" s="350"/>
      <c r="O212" s="350"/>
      <c r="P212" s="347">
        <f t="shared" si="8"/>
        <v>0</v>
      </c>
      <c r="Q212" s="350"/>
      <c r="R212" s="165">
        <f t="shared" si="7"/>
        <v>0</v>
      </c>
      <c r="S212" s="350"/>
      <c r="T212" s="351"/>
    </row>
    <row r="213" spans="1:20" s="269" customFormat="1">
      <c r="A213" s="350"/>
      <c r="B213" s="350"/>
      <c r="C213" s="350"/>
      <c r="D213" s="350"/>
      <c r="E213" s="350"/>
      <c r="F213" s="350"/>
      <c r="G213" s="350"/>
      <c r="H213" s="346"/>
      <c r="I213" s="350"/>
      <c r="J213" s="350"/>
      <c r="K213" s="350"/>
      <c r="L213" s="350"/>
      <c r="M213" s="350"/>
      <c r="N213" s="350"/>
      <c r="O213" s="350"/>
      <c r="P213" s="347">
        <f t="shared" si="8"/>
        <v>0</v>
      </c>
      <c r="Q213" s="350"/>
      <c r="R213" s="165">
        <f t="shared" si="7"/>
        <v>0</v>
      </c>
      <c r="S213" s="350"/>
      <c r="T213" s="351"/>
    </row>
    <row r="214" spans="1:20" s="269" customFormat="1">
      <c r="A214" s="350"/>
      <c r="B214" s="350"/>
      <c r="C214" s="350"/>
      <c r="D214" s="350"/>
      <c r="E214" s="350"/>
      <c r="F214" s="350"/>
      <c r="G214" s="350"/>
      <c r="H214" s="346"/>
      <c r="I214" s="350"/>
      <c r="J214" s="350"/>
      <c r="K214" s="350"/>
      <c r="L214" s="350"/>
      <c r="M214" s="350"/>
      <c r="N214" s="350"/>
      <c r="O214" s="350"/>
      <c r="P214" s="347">
        <f t="shared" si="8"/>
        <v>0</v>
      </c>
      <c r="Q214" s="350"/>
      <c r="R214" s="165">
        <f t="shared" si="7"/>
        <v>0</v>
      </c>
      <c r="S214" s="350"/>
      <c r="T214" s="351"/>
    </row>
    <row r="215" spans="1:20" s="269" customFormat="1">
      <c r="A215" s="350"/>
      <c r="B215" s="350"/>
      <c r="C215" s="350"/>
      <c r="D215" s="350"/>
      <c r="E215" s="350"/>
      <c r="F215" s="350"/>
      <c r="G215" s="350"/>
      <c r="H215" s="346"/>
      <c r="I215" s="350"/>
      <c r="J215" s="350"/>
      <c r="K215" s="350"/>
      <c r="L215" s="350"/>
      <c r="M215" s="350"/>
      <c r="N215" s="350"/>
      <c r="O215" s="350"/>
      <c r="P215" s="347">
        <f t="shared" si="8"/>
        <v>0</v>
      </c>
      <c r="Q215" s="350"/>
      <c r="R215" s="165">
        <f t="shared" si="7"/>
        <v>0</v>
      </c>
      <c r="S215" s="350"/>
      <c r="T215" s="351"/>
    </row>
    <row r="216" spans="1:20" s="269" customFormat="1">
      <c r="A216" s="350"/>
      <c r="B216" s="350"/>
      <c r="C216" s="350"/>
      <c r="D216" s="350"/>
      <c r="E216" s="350"/>
      <c r="F216" s="350"/>
      <c r="G216" s="350"/>
      <c r="H216" s="346"/>
      <c r="I216" s="350"/>
      <c r="J216" s="350"/>
      <c r="K216" s="350"/>
      <c r="L216" s="350"/>
      <c r="M216" s="350"/>
      <c r="N216" s="350"/>
      <c r="O216" s="350"/>
      <c r="P216" s="347">
        <f t="shared" si="8"/>
        <v>0</v>
      </c>
      <c r="Q216" s="350"/>
      <c r="R216" s="165">
        <f t="shared" si="7"/>
        <v>0</v>
      </c>
      <c r="S216" s="350"/>
      <c r="T216" s="351"/>
    </row>
    <row r="217" spans="1:20" s="269" customFormat="1">
      <c r="A217" s="350"/>
      <c r="B217" s="350"/>
      <c r="C217" s="350"/>
      <c r="D217" s="350"/>
      <c r="E217" s="350"/>
      <c r="F217" s="350"/>
      <c r="G217" s="350"/>
      <c r="H217" s="346"/>
      <c r="I217" s="350"/>
      <c r="J217" s="350"/>
      <c r="K217" s="350"/>
      <c r="L217" s="350"/>
      <c r="M217" s="350"/>
      <c r="N217" s="350"/>
      <c r="O217" s="350"/>
      <c r="P217" s="347">
        <f t="shared" si="8"/>
        <v>0</v>
      </c>
      <c r="Q217" s="350"/>
      <c r="R217" s="165">
        <f t="shared" si="7"/>
        <v>0</v>
      </c>
      <c r="S217" s="350"/>
      <c r="T217" s="351"/>
    </row>
    <row r="218" spans="1:20" s="269" customFormat="1">
      <c r="A218" s="350"/>
      <c r="B218" s="350"/>
      <c r="C218" s="350"/>
      <c r="D218" s="350"/>
      <c r="E218" s="350"/>
      <c r="F218" s="350"/>
      <c r="G218" s="350"/>
      <c r="H218" s="346"/>
      <c r="I218" s="350"/>
      <c r="J218" s="350"/>
      <c r="K218" s="350"/>
      <c r="L218" s="350"/>
      <c r="M218" s="350"/>
      <c r="N218" s="350"/>
      <c r="O218" s="350"/>
      <c r="P218" s="347">
        <f t="shared" si="8"/>
        <v>0</v>
      </c>
      <c r="Q218" s="350"/>
      <c r="R218" s="165">
        <f t="shared" ref="R218:R281" si="9">P218-Q218</f>
        <v>0</v>
      </c>
      <c r="S218" s="350"/>
      <c r="T218" s="351"/>
    </row>
    <row r="219" spans="1:20" s="269" customFormat="1">
      <c r="A219" s="350"/>
      <c r="B219" s="350"/>
      <c r="C219" s="350"/>
      <c r="D219" s="350"/>
      <c r="E219" s="350"/>
      <c r="F219" s="350"/>
      <c r="G219" s="350"/>
      <c r="H219" s="346"/>
      <c r="I219" s="350"/>
      <c r="J219" s="350"/>
      <c r="K219" s="350"/>
      <c r="L219" s="350"/>
      <c r="M219" s="350"/>
      <c r="N219" s="350"/>
      <c r="O219" s="350"/>
      <c r="P219" s="347">
        <f t="shared" si="8"/>
        <v>0</v>
      </c>
      <c r="Q219" s="350"/>
      <c r="R219" s="165">
        <f t="shared" si="9"/>
        <v>0</v>
      </c>
      <c r="S219" s="350"/>
      <c r="T219" s="351"/>
    </row>
    <row r="220" spans="1:20" s="269" customFormat="1">
      <c r="A220" s="350"/>
      <c r="B220" s="350"/>
      <c r="C220" s="350"/>
      <c r="D220" s="350"/>
      <c r="E220" s="350"/>
      <c r="F220" s="350"/>
      <c r="G220" s="350"/>
      <c r="H220" s="346"/>
      <c r="I220" s="350"/>
      <c r="J220" s="350"/>
      <c r="K220" s="350"/>
      <c r="L220" s="350"/>
      <c r="M220" s="350"/>
      <c r="N220" s="350"/>
      <c r="O220" s="350"/>
      <c r="P220" s="347">
        <f t="shared" si="8"/>
        <v>0</v>
      </c>
      <c r="Q220" s="350"/>
      <c r="R220" s="165">
        <f t="shared" si="9"/>
        <v>0</v>
      </c>
      <c r="S220" s="350"/>
      <c r="T220" s="351"/>
    </row>
    <row r="221" spans="1:20" s="269" customFormat="1">
      <c r="A221" s="350"/>
      <c r="B221" s="350"/>
      <c r="C221" s="350"/>
      <c r="D221" s="350"/>
      <c r="E221" s="350"/>
      <c r="F221" s="350"/>
      <c r="G221" s="350"/>
      <c r="H221" s="346"/>
      <c r="I221" s="350"/>
      <c r="J221" s="350"/>
      <c r="K221" s="350"/>
      <c r="L221" s="350"/>
      <c r="M221" s="350"/>
      <c r="N221" s="350"/>
      <c r="O221" s="350"/>
      <c r="P221" s="347">
        <f t="shared" si="8"/>
        <v>0</v>
      </c>
      <c r="Q221" s="350"/>
      <c r="R221" s="165">
        <f t="shared" si="9"/>
        <v>0</v>
      </c>
      <c r="S221" s="350"/>
      <c r="T221" s="351"/>
    </row>
    <row r="222" spans="1:20" s="269" customFormat="1">
      <c r="A222" s="350"/>
      <c r="B222" s="350"/>
      <c r="C222" s="350"/>
      <c r="D222" s="350"/>
      <c r="E222" s="350"/>
      <c r="F222" s="350"/>
      <c r="G222" s="350"/>
      <c r="H222" s="346"/>
      <c r="I222" s="350"/>
      <c r="J222" s="350"/>
      <c r="K222" s="350"/>
      <c r="L222" s="350"/>
      <c r="M222" s="350"/>
      <c r="N222" s="350"/>
      <c r="O222" s="350"/>
      <c r="P222" s="347">
        <f t="shared" si="8"/>
        <v>0</v>
      </c>
      <c r="Q222" s="350"/>
      <c r="R222" s="165">
        <f t="shared" si="9"/>
        <v>0</v>
      </c>
      <c r="S222" s="350"/>
      <c r="T222" s="351"/>
    </row>
    <row r="223" spans="1:20" s="269" customFormat="1">
      <c r="A223" s="350"/>
      <c r="B223" s="350"/>
      <c r="C223" s="350"/>
      <c r="D223" s="350"/>
      <c r="E223" s="350"/>
      <c r="F223" s="350"/>
      <c r="G223" s="350"/>
      <c r="H223" s="346"/>
      <c r="I223" s="350"/>
      <c r="J223" s="350"/>
      <c r="K223" s="350"/>
      <c r="L223" s="350"/>
      <c r="M223" s="350"/>
      <c r="N223" s="350"/>
      <c r="O223" s="350"/>
      <c r="P223" s="347">
        <f t="shared" si="8"/>
        <v>0</v>
      </c>
      <c r="Q223" s="350"/>
      <c r="R223" s="165">
        <f t="shared" si="9"/>
        <v>0</v>
      </c>
      <c r="S223" s="350"/>
      <c r="T223" s="351"/>
    </row>
    <row r="224" spans="1:20" s="269" customFormat="1">
      <c r="A224" s="350"/>
      <c r="B224" s="350"/>
      <c r="C224" s="350"/>
      <c r="D224" s="350"/>
      <c r="E224" s="350"/>
      <c r="F224" s="350"/>
      <c r="G224" s="350"/>
      <c r="H224" s="346"/>
      <c r="I224" s="350"/>
      <c r="J224" s="350"/>
      <c r="K224" s="350"/>
      <c r="L224" s="350"/>
      <c r="M224" s="350"/>
      <c r="N224" s="350"/>
      <c r="O224" s="350"/>
      <c r="P224" s="347">
        <f t="shared" si="8"/>
        <v>0</v>
      </c>
      <c r="Q224" s="350"/>
      <c r="R224" s="165">
        <f t="shared" si="9"/>
        <v>0</v>
      </c>
      <c r="S224" s="350"/>
      <c r="T224" s="351"/>
    </row>
    <row r="225" spans="1:20" s="269" customFormat="1">
      <c r="A225" s="350"/>
      <c r="B225" s="350"/>
      <c r="C225" s="350"/>
      <c r="D225" s="350"/>
      <c r="E225" s="350"/>
      <c r="F225" s="350"/>
      <c r="G225" s="350"/>
      <c r="H225" s="346"/>
      <c r="I225" s="350"/>
      <c r="J225" s="350"/>
      <c r="K225" s="350"/>
      <c r="L225" s="350"/>
      <c r="M225" s="350"/>
      <c r="N225" s="350"/>
      <c r="O225" s="350"/>
      <c r="P225" s="347">
        <f t="shared" si="8"/>
        <v>0</v>
      </c>
      <c r="Q225" s="350"/>
      <c r="R225" s="165">
        <f t="shared" si="9"/>
        <v>0</v>
      </c>
      <c r="S225" s="350"/>
      <c r="T225" s="351"/>
    </row>
    <row r="226" spans="1:20" s="269" customFormat="1">
      <c r="A226" s="350"/>
      <c r="B226" s="350"/>
      <c r="C226" s="350"/>
      <c r="D226" s="350"/>
      <c r="E226" s="350"/>
      <c r="F226" s="350"/>
      <c r="G226" s="350"/>
      <c r="H226" s="346"/>
      <c r="I226" s="350"/>
      <c r="J226" s="350"/>
      <c r="K226" s="350"/>
      <c r="L226" s="350"/>
      <c r="M226" s="350"/>
      <c r="N226" s="350"/>
      <c r="O226" s="350"/>
      <c r="P226" s="347">
        <f t="shared" si="8"/>
        <v>0</v>
      </c>
      <c r="Q226" s="350"/>
      <c r="R226" s="165">
        <f t="shared" si="9"/>
        <v>0</v>
      </c>
      <c r="S226" s="350"/>
      <c r="T226" s="351"/>
    </row>
    <row r="227" spans="1:20" s="269" customFormat="1">
      <c r="A227" s="350"/>
      <c r="B227" s="350"/>
      <c r="C227" s="350"/>
      <c r="D227" s="350"/>
      <c r="E227" s="350"/>
      <c r="F227" s="350"/>
      <c r="G227" s="350"/>
      <c r="H227" s="346"/>
      <c r="I227" s="350"/>
      <c r="J227" s="350"/>
      <c r="K227" s="350"/>
      <c r="L227" s="350"/>
      <c r="M227" s="350"/>
      <c r="N227" s="350"/>
      <c r="O227" s="350"/>
      <c r="P227" s="347">
        <f t="shared" si="8"/>
        <v>0</v>
      </c>
      <c r="Q227" s="350"/>
      <c r="R227" s="165">
        <f t="shared" si="9"/>
        <v>0</v>
      </c>
      <c r="S227" s="350"/>
      <c r="T227" s="351"/>
    </row>
    <row r="228" spans="1:20" s="269" customFormat="1">
      <c r="A228" s="350"/>
      <c r="B228" s="350"/>
      <c r="C228" s="350"/>
      <c r="D228" s="350"/>
      <c r="E228" s="350"/>
      <c r="F228" s="350"/>
      <c r="G228" s="350"/>
      <c r="H228" s="346"/>
      <c r="I228" s="350"/>
      <c r="J228" s="350"/>
      <c r="K228" s="350"/>
      <c r="L228" s="350"/>
      <c r="M228" s="350"/>
      <c r="N228" s="350"/>
      <c r="O228" s="350"/>
      <c r="P228" s="347">
        <f t="shared" si="8"/>
        <v>0</v>
      </c>
      <c r="Q228" s="350"/>
      <c r="R228" s="165">
        <f t="shared" si="9"/>
        <v>0</v>
      </c>
      <c r="S228" s="350"/>
      <c r="T228" s="351"/>
    </row>
    <row r="229" spans="1:20" s="269" customFormat="1">
      <c r="A229" s="350"/>
      <c r="B229" s="350"/>
      <c r="C229" s="350"/>
      <c r="D229" s="350"/>
      <c r="E229" s="350"/>
      <c r="F229" s="350"/>
      <c r="G229" s="350"/>
      <c r="H229" s="346"/>
      <c r="I229" s="350"/>
      <c r="J229" s="350"/>
      <c r="K229" s="350"/>
      <c r="L229" s="350"/>
      <c r="M229" s="350"/>
      <c r="N229" s="350"/>
      <c r="O229" s="350"/>
      <c r="P229" s="347">
        <f t="shared" si="8"/>
        <v>0</v>
      </c>
      <c r="Q229" s="350"/>
      <c r="R229" s="165">
        <f t="shared" si="9"/>
        <v>0</v>
      </c>
      <c r="S229" s="350"/>
      <c r="T229" s="351"/>
    </row>
    <row r="230" spans="1:20" s="269" customFormat="1">
      <c r="A230" s="350"/>
      <c r="B230" s="350"/>
      <c r="C230" s="350"/>
      <c r="D230" s="350"/>
      <c r="E230" s="350"/>
      <c r="F230" s="350"/>
      <c r="G230" s="350"/>
      <c r="H230" s="346"/>
      <c r="I230" s="350"/>
      <c r="J230" s="350"/>
      <c r="K230" s="350"/>
      <c r="L230" s="350"/>
      <c r="M230" s="350"/>
      <c r="N230" s="350"/>
      <c r="O230" s="350"/>
      <c r="P230" s="347">
        <f t="shared" si="8"/>
        <v>0</v>
      </c>
      <c r="Q230" s="350"/>
      <c r="R230" s="165">
        <f t="shared" si="9"/>
        <v>0</v>
      </c>
      <c r="S230" s="350"/>
      <c r="T230" s="351"/>
    </row>
    <row r="231" spans="1:20" s="269" customFormat="1">
      <c r="A231" s="350"/>
      <c r="B231" s="350"/>
      <c r="C231" s="350"/>
      <c r="D231" s="350"/>
      <c r="E231" s="350"/>
      <c r="F231" s="350"/>
      <c r="G231" s="350"/>
      <c r="H231" s="346"/>
      <c r="I231" s="350"/>
      <c r="J231" s="350"/>
      <c r="K231" s="350"/>
      <c r="L231" s="350"/>
      <c r="M231" s="350"/>
      <c r="N231" s="350"/>
      <c r="O231" s="350"/>
      <c r="P231" s="347">
        <f t="shared" si="8"/>
        <v>0</v>
      </c>
      <c r="Q231" s="350"/>
      <c r="R231" s="165">
        <f t="shared" si="9"/>
        <v>0</v>
      </c>
      <c r="S231" s="350"/>
      <c r="T231" s="351"/>
    </row>
    <row r="232" spans="1:20" s="269" customFormat="1">
      <c r="A232" s="350"/>
      <c r="B232" s="350"/>
      <c r="C232" s="350"/>
      <c r="D232" s="350"/>
      <c r="E232" s="350"/>
      <c r="F232" s="350"/>
      <c r="G232" s="350"/>
      <c r="H232" s="346"/>
      <c r="I232" s="350"/>
      <c r="J232" s="350"/>
      <c r="K232" s="350"/>
      <c r="L232" s="350"/>
      <c r="M232" s="350"/>
      <c r="N232" s="350"/>
      <c r="O232" s="350"/>
      <c r="P232" s="347">
        <f t="shared" si="8"/>
        <v>0</v>
      </c>
      <c r="Q232" s="350"/>
      <c r="R232" s="165">
        <f t="shared" si="9"/>
        <v>0</v>
      </c>
      <c r="S232" s="350"/>
      <c r="T232" s="351"/>
    </row>
    <row r="233" spans="1:20" s="269" customFormat="1">
      <c r="A233" s="350"/>
      <c r="B233" s="350"/>
      <c r="C233" s="350"/>
      <c r="D233" s="350"/>
      <c r="E233" s="350"/>
      <c r="F233" s="350"/>
      <c r="G233" s="350"/>
      <c r="H233" s="346"/>
      <c r="I233" s="350"/>
      <c r="J233" s="350"/>
      <c r="K233" s="350"/>
      <c r="L233" s="350"/>
      <c r="M233" s="350"/>
      <c r="N233" s="350"/>
      <c r="O233" s="350"/>
      <c r="P233" s="347">
        <f t="shared" si="8"/>
        <v>0</v>
      </c>
      <c r="Q233" s="350"/>
      <c r="R233" s="165">
        <f t="shared" si="9"/>
        <v>0</v>
      </c>
      <c r="S233" s="350"/>
      <c r="T233" s="351"/>
    </row>
    <row r="234" spans="1:20" s="269" customFormat="1">
      <c r="A234" s="350"/>
      <c r="B234" s="350"/>
      <c r="C234" s="350"/>
      <c r="D234" s="350"/>
      <c r="E234" s="350"/>
      <c r="F234" s="350"/>
      <c r="G234" s="350"/>
      <c r="H234" s="346"/>
      <c r="I234" s="350"/>
      <c r="J234" s="350"/>
      <c r="K234" s="350"/>
      <c r="L234" s="350"/>
      <c r="M234" s="350"/>
      <c r="N234" s="350"/>
      <c r="O234" s="350"/>
      <c r="P234" s="347">
        <f t="shared" si="8"/>
        <v>0</v>
      </c>
      <c r="Q234" s="350"/>
      <c r="R234" s="165">
        <f t="shared" si="9"/>
        <v>0</v>
      </c>
      <c r="S234" s="350"/>
      <c r="T234" s="351"/>
    </row>
    <row r="235" spans="1:20" s="269" customFormat="1">
      <c r="A235" s="350"/>
      <c r="B235" s="350"/>
      <c r="C235" s="350"/>
      <c r="D235" s="350"/>
      <c r="E235" s="350"/>
      <c r="F235" s="350"/>
      <c r="G235" s="350"/>
      <c r="H235" s="346"/>
      <c r="I235" s="350"/>
      <c r="J235" s="350"/>
      <c r="K235" s="350"/>
      <c r="L235" s="350"/>
      <c r="M235" s="350"/>
      <c r="N235" s="350"/>
      <c r="O235" s="350"/>
      <c r="P235" s="347">
        <f t="shared" si="8"/>
        <v>0</v>
      </c>
      <c r="Q235" s="350"/>
      <c r="R235" s="165">
        <f t="shared" si="9"/>
        <v>0</v>
      </c>
      <c r="S235" s="350"/>
      <c r="T235" s="351"/>
    </row>
    <row r="236" spans="1:20" s="269" customFormat="1">
      <c r="A236" s="350"/>
      <c r="B236" s="350"/>
      <c r="C236" s="350"/>
      <c r="D236" s="350"/>
      <c r="E236" s="350"/>
      <c r="F236" s="350"/>
      <c r="G236" s="350"/>
      <c r="H236" s="346"/>
      <c r="I236" s="350"/>
      <c r="J236" s="350"/>
      <c r="K236" s="350"/>
      <c r="L236" s="350"/>
      <c r="M236" s="350"/>
      <c r="N236" s="350"/>
      <c r="O236" s="350"/>
      <c r="P236" s="347">
        <f t="shared" si="8"/>
        <v>0</v>
      </c>
      <c r="Q236" s="350"/>
      <c r="R236" s="165">
        <f t="shared" si="9"/>
        <v>0</v>
      </c>
      <c r="S236" s="350"/>
      <c r="T236" s="351"/>
    </row>
    <row r="237" spans="1:20" s="269" customFormat="1">
      <c r="A237" s="350"/>
      <c r="B237" s="350"/>
      <c r="C237" s="350"/>
      <c r="D237" s="350"/>
      <c r="E237" s="350"/>
      <c r="F237" s="350"/>
      <c r="G237" s="350"/>
      <c r="H237" s="346"/>
      <c r="I237" s="350"/>
      <c r="J237" s="350"/>
      <c r="K237" s="350"/>
      <c r="L237" s="350"/>
      <c r="M237" s="350"/>
      <c r="N237" s="350"/>
      <c r="O237" s="350"/>
      <c r="P237" s="347">
        <f t="shared" si="8"/>
        <v>0</v>
      </c>
      <c r="Q237" s="350"/>
      <c r="R237" s="165">
        <f t="shared" si="9"/>
        <v>0</v>
      </c>
      <c r="S237" s="350"/>
      <c r="T237" s="351"/>
    </row>
    <row r="238" spans="1:20" s="269" customFormat="1">
      <c r="A238" s="350"/>
      <c r="B238" s="350"/>
      <c r="C238" s="350"/>
      <c r="D238" s="350"/>
      <c r="E238" s="350"/>
      <c r="F238" s="350"/>
      <c r="G238" s="350"/>
      <c r="H238" s="346"/>
      <c r="I238" s="350"/>
      <c r="J238" s="350"/>
      <c r="K238" s="350"/>
      <c r="L238" s="350"/>
      <c r="M238" s="350"/>
      <c r="N238" s="350"/>
      <c r="O238" s="350"/>
      <c r="P238" s="347">
        <f t="shared" si="8"/>
        <v>0</v>
      </c>
      <c r="Q238" s="350"/>
      <c r="R238" s="165">
        <f t="shared" si="9"/>
        <v>0</v>
      </c>
      <c r="S238" s="350"/>
      <c r="T238" s="351"/>
    </row>
    <row r="239" spans="1:20" s="269" customFormat="1">
      <c r="A239" s="350"/>
      <c r="B239" s="350"/>
      <c r="C239" s="350"/>
      <c r="D239" s="350"/>
      <c r="E239" s="350"/>
      <c r="F239" s="350"/>
      <c r="G239" s="350"/>
      <c r="H239" s="346"/>
      <c r="I239" s="350"/>
      <c r="J239" s="350"/>
      <c r="K239" s="350"/>
      <c r="L239" s="350"/>
      <c r="M239" s="350"/>
      <c r="N239" s="350"/>
      <c r="O239" s="350"/>
      <c r="P239" s="347">
        <f t="shared" si="8"/>
        <v>0</v>
      </c>
      <c r="Q239" s="350"/>
      <c r="R239" s="165">
        <f t="shared" si="9"/>
        <v>0</v>
      </c>
      <c r="S239" s="350"/>
      <c r="T239" s="351"/>
    </row>
    <row r="240" spans="1:20" s="269" customFormat="1">
      <c r="A240" s="350"/>
      <c r="B240" s="350"/>
      <c r="C240" s="350"/>
      <c r="D240" s="350"/>
      <c r="E240" s="350"/>
      <c r="F240" s="350"/>
      <c r="G240" s="350"/>
      <c r="H240" s="346"/>
      <c r="I240" s="350"/>
      <c r="J240" s="350"/>
      <c r="K240" s="350"/>
      <c r="L240" s="350"/>
      <c r="M240" s="350"/>
      <c r="N240" s="350"/>
      <c r="O240" s="350"/>
      <c r="P240" s="347">
        <f t="shared" si="8"/>
        <v>0</v>
      </c>
      <c r="Q240" s="350"/>
      <c r="R240" s="165">
        <f t="shared" si="9"/>
        <v>0</v>
      </c>
      <c r="S240" s="350"/>
      <c r="T240" s="351"/>
    </row>
    <row r="241" spans="1:20" s="269" customFormat="1">
      <c r="A241" s="350"/>
      <c r="B241" s="350"/>
      <c r="C241" s="350"/>
      <c r="D241" s="350"/>
      <c r="E241" s="350"/>
      <c r="F241" s="350"/>
      <c r="G241" s="350"/>
      <c r="H241" s="346"/>
      <c r="I241" s="350"/>
      <c r="J241" s="350"/>
      <c r="K241" s="350"/>
      <c r="L241" s="350"/>
      <c r="M241" s="350"/>
      <c r="N241" s="350"/>
      <c r="O241" s="350"/>
      <c r="P241" s="347">
        <f t="shared" si="8"/>
        <v>0</v>
      </c>
      <c r="Q241" s="350"/>
      <c r="R241" s="165">
        <f t="shared" si="9"/>
        <v>0</v>
      </c>
      <c r="S241" s="350"/>
      <c r="T241" s="351"/>
    </row>
    <row r="242" spans="1:20" s="269" customFormat="1">
      <c r="A242" s="350"/>
      <c r="B242" s="350"/>
      <c r="C242" s="350"/>
      <c r="D242" s="350"/>
      <c r="E242" s="350"/>
      <c r="F242" s="350"/>
      <c r="G242" s="350"/>
      <c r="H242" s="346"/>
      <c r="I242" s="350"/>
      <c r="J242" s="350"/>
      <c r="K242" s="350"/>
      <c r="L242" s="350"/>
      <c r="M242" s="350"/>
      <c r="N242" s="350"/>
      <c r="O242" s="350"/>
      <c r="P242" s="347">
        <f t="shared" si="8"/>
        <v>0</v>
      </c>
      <c r="Q242" s="350"/>
      <c r="R242" s="165">
        <f t="shared" si="9"/>
        <v>0</v>
      </c>
      <c r="S242" s="350"/>
      <c r="T242" s="351"/>
    </row>
    <row r="243" spans="1:20" s="269" customFormat="1">
      <c r="A243" s="350"/>
      <c r="B243" s="350"/>
      <c r="C243" s="350"/>
      <c r="D243" s="350"/>
      <c r="E243" s="350"/>
      <c r="F243" s="350"/>
      <c r="G243" s="350"/>
      <c r="H243" s="346"/>
      <c r="I243" s="350"/>
      <c r="J243" s="350"/>
      <c r="K243" s="350"/>
      <c r="L243" s="350"/>
      <c r="M243" s="350"/>
      <c r="N243" s="350"/>
      <c r="O243" s="350"/>
      <c r="P243" s="347">
        <f t="shared" si="8"/>
        <v>0</v>
      </c>
      <c r="Q243" s="350"/>
      <c r="R243" s="165">
        <f t="shared" si="9"/>
        <v>0</v>
      </c>
      <c r="S243" s="350"/>
      <c r="T243" s="351"/>
    </row>
    <row r="244" spans="1:20" s="269" customFormat="1">
      <c r="A244" s="350"/>
      <c r="B244" s="350"/>
      <c r="C244" s="350"/>
      <c r="D244" s="350"/>
      <c r="E244" s="350"/>
      <c r="F244" s="350"/>
      <c r="G244" s="350"/>
      <c r="H244" s="346"/>
      <c r="I244" s="350"/>
      <c r="J244" s="350"/>
      <c r="K244" s="350"/>
      <c r="L244" s="350"/>
      <c r="M244" s="350"/>
      <c r="N244" s="350"/>
      <c r="O244" s="350"/>
      <c r="P244" s="347">
        <f t="shared" si="8"/>
        <v>0</v>
      </c>
      <c r="Q244" s="350"/>
      <c r="R244" s="165">
        <f t="shared" si="9"/>
        <v>0</v>
      </c>
      <c r="S244" s="350"/>
      <c r="T244" s="351"/>
    </row>
    <row r="245" spans="1:20" s="269" customFormat="1">
      <c r="A245" s="350"/>
      <c r="B245" s="350"/>
      <c r="C245" s="350"/>
      <c r="D245" s="350"/>
      <c r="E245" s="350"/>
      <c r="F245" s="350"/>
      <c r="G245" s="350"/>
      <c r="H245" s="346"/>
      <c r="I245" s="350"/>
      <c r="J245" s="350"/>
      <c r="K245" s="350"/>
      <c r="L245" s="350"/>
      <c r="M245" s="350"/>
      <c r="N245" s="350"/>
      <c r="O245" s="350"/>
      <c r="P245" s="347">
        <f t="shared" si="8"/>
        <v>0</v>
      </c>
      <c r="Q245" s="350"/>
      <c r="R245" s="165">
        <f t="shared" si="9"/>
        <v>0</v>
      </c>
      <c r="S245" s="350"/>
      <c r="T245" s="351"/>
    </row>
    <row r="246" spans="1:20" s="269" customFormat="1">
      <c r="A246" s="350"/>
      <c r="B246" s="350"/>
      <c r="C246" s="350"/>
      <c r="D246" s="350"/>
      <c r="E246" s="350"/>
      <c r="F246" s="350"/>
      <c r="G246" s="350"/>
      <c r="H246" s="346"/>
      <c r="I246" s="350"/>
      <c r="J246" s="350"/>
      <c r="K246" s="350"/>
      <c r="L246" s="350"/>
      <c r="M246" s="350"/>
      <c r="N246" s="350"/>
      <c r="O246" s="350"/>
      <c r="P246" s="347">
        <f t="shared" si="8"/>
        <v>0</v>
      </c>
      <c r="Q246" s="350"/>
      <c r="R246" s="165">
        <f t="shared" si="9"/>
        <v>0</v>
      </c>
      <c r="S246" s="350"/>
      <c r="T246" s="351"/>
    </row>
    <row r="247" spans="1:20" s="269" customFormat="1">
      <c r="A247" s="350"/>
      <c r="B247" s="350"/>
      <c r="C247" s="350"/>
      <c r="D247" s="350"/>
      <c r="E247" s="350"/>
      <c r="F247" s="350"/>
      <c r="G247" s="350"/>
      <c r="H247" s="346"/>
      <c r="I247" s="350"/>
      <c r="J247" s="350"/>
      <c r="K247" s="350"/>
      <c r="L247" s="350"/>
      <c r="M247" s="350"/>
      <c r="N247" s="350"/>
      <c r="O247" s="350"/>
      <c r="P247" s="347">
        <f t="shared" si="8"/>
        <v>0</v>
      </c>
      <c r="Q247" s="350"/>
      <c r="R247" s="165">
        <f t="shared" si="9"/>
        <v>0</v>
      </c>
      <c r="S247" s="350"/>
      <c r="T247" s="351"/>
    </row>
    <row r="248" spans="1:20" s="269" customFormat="1">
      <c r="A248" s="350"/>
      <c r="B248" s="350"/>
      <c r="C248" s="350"/>
      <c r="D248" s="350"/>
      <c r="E248" s="350"/>
      <c r="F248" s="350"/>
      <c r="G248" s="350"/>
      <c r="H248" s="346"/>
      <c r="I248" s="350"/>
      <c r="J248" s="350"/>
      <c r="K248" s="350"/>
      <c r="L248" s="350"/>
      <c r="M248" s="350"/>
      <c r="N248" s="350"/>
      <c r="O248" s="350"/>
      <c r="P248" s="347">
        <f t="shared" si="8"/>
        <v>0</v>
      </c>
      <c r="Q248" s="350"/>
      <c r="R248" s="165">
        <f t="shared" si="9"/>
        <v>0</v>
      </c>
      <c r="S248" s="350"/>
      <c r="T248" s="351"/>
    </row>
    <row r="249" spans="1:20" s="269" customFormat="1">
      <c r="A249" s="350"/>
      <c r="B249" s="350"/>
      <c r="C249" s="350"/>
      <c r="D249" s="350"/>
      <c r="E249" s="350"/>
      <c r="F249" s="350"/>
      <c r="G249" s="350"/>
      <c r="H249" s="346"/>
      <c r="I249" s="350"/>
      <c r="J249" s="350"/>
      <c r="K249" s="350"/>
      <c r="L249" s="350"/>
      <c r="M249" s="350"/>
      <c r="N249" s="350"/>
      <c r="O249" s="350"/>
      <c r="P249" s="347">
        <f t="shared" si="8"/>
        <v>0</v>
      </c>
      <c r="Q249" s="350"/>
      <c r="R249" s="165">
        <f t="shared" si="9"/>
        <v>0</v>
      </c>
      <c r="S249" s="350"/>
      <c r="T249" s="351"/>
    </row>
    <row r="250" spans="1:20" s="269" customFormat="1">
      <c r="A250" s="350"/>
      <c r="B250" s="350"/>
      <c r="C250" s="350"/>
      <c r="D250" s="350"/>
      <c r="E250" s="350"/>
      <c r="F250" s="350"/>
      <c r="G250" s="350"/>
      <c r="H250" s="346"/>
      <c r="I250" s="350"/>
      <c r="J250" s="350"/>
      <c r="K250" s="350"/>
      <c r="L250" s="350"/>
      <c r="M250" s="350"/>
      <c r="N250" s="350"/>
      <c r="O250" s="350"/>
      <c r="P250" s="347">
        <f t="shared" si="8"/>
        <v>0</v>
      </c>
      <c r="Q250" s="350"/>
      <c r="R250" s="165">
        <f t="shared" si="9"/>
        <v>0</v>
      </c>
      <c r="S250" s="350"/>
      <c r="T250" s="351"/>
    </row>
    <row r="251" spans="1:20" s="269" customFormat="1">
      <c r="A251" s="350"/>
      <c r="B251" s="350"/>
      <c r="C251" s="350"/>
      <c r="D251" s="350"/>
      <c r="E251" s="350"/>
      <c r="F251" s="350"/>
      <c r="G251" s="350"/>
      <c r="H251" s="346"/>
      <c r="I251" s="350"/>
      <c r="J251" s="350"/>
      <c r="K251" s="350"/>
      <c r="L251" s="350"/>
      <c r="M251" s="350"/>
      <c r="N251" s="350"/>
      <c r="O251" s="350"/>
      <c r="P251" s="347">
        <f t="shared" si="8"/>
        <v>0</v>
      </c>
      <c r="Q251" s="350"/>
      <c r="R251" s="165">
        <f t="shared" si="9"/>
        <v>0</v>
      </c>
      <c r="S251" s="350"/>
      <c r="T251" s="351"/>
    </row>
    <row r="252" spans="1:20" s="269" customFormat="1">
      <c r="A252" s="350"/>
      <c r="B252" s="350"/>
      <c r="C252" s="350"/>
      <c r="D252" s="350"/>
      <c r="E252" s="350"/>
      <c r="F252" s="350"/>
      <c r="G252" s="350"/>
      <c r="H252" s="346"/>
      <c r="I252" s="350"/>
      <c r="J252" s="350"/>
      <c r="K252" s="350"/>
      <c r="L252" s="350"/>
      <c r="M252" s="350"/>
      <c r="N252" s="350"/>
      <c r="O252" s="350"/>
      <c r="P252" s="347">
        <f t="shared" si="8"/>
        <v>0</v>
      </c>
      <c r="Q252" s="350"/>
      <c r="R252" s="165">
        <f t="shared" si="9"/>
        <v>0</v>
      </c>
      <c r="S252" s="350"/>
      <c r="T252" s="351"/>
    </row>
    <row r="253" spans="1:20" s="269" customFormat="1">
      <c r="A253" s="350"/>
      <c r="B253" s="350"/>
      <c r="C253" s="350"/>
      <c r="D253" s="350"/>
      <c r="E253" s="350"/>
      <c r="F253" s="350"/>
      <c r="G253" s="350"/>
      <c r="H253" s="346"/>
      <c r="I253" s="350"/>
      <c r="J253" s="350"/>
      <c r="K253" s="350"/>
      <c r="L253" s="350"/>
      <c r="M253" s="350"/>
      <c r="N253" s="350"/>
      <c r="O253" s="350"/>
      <c r="P253" s="347">
        <f t="shared" si="8"/>
        <v>0</v>
      </c>
      <c r="Q253" s="350"/>
      <c r="R253" s="165">
        <f t="shared" si="9"/>
        <v>0</v>
      </c>
      <c r="S253" s="350"/>
      <c r="T253" s="351"/>
    </row>
    <row r="254" spans="1:20" s="269" customFormat="1">
      <c r="A254" s="350"/>
      <c r="B254" s="350"/>
      <c r="C254" s="350"/>
      <c r="D254" s="350"/>
      <c r="E254" s="350"/>
      <c r="F254" s="350"/>
      <c r="G254" s="350"/>
      <c r="H254" s="346"/>
      <c r="I254" s="350"/>
      <c r="J254" s="350"/>
      <c r="K254" s="350"/>
      <c r="L254" s="350"/>
      <c r="M254" s="350"/>
      <c r="N254" s="350"/>
      <c r="O254" s="350"/>
      <c r="P254" s="347">
        <f t="shared" si="8"/>
        <v>0</v>
      </c>
      <c r="Q254" s="350"/>
      <c r="R254" s="165">
        <f t="shared" si="9"/>
        <v>0</v>
      </c>
      <c r="S254" s="350"/>
      <c r="T254" s="351"/>
    </row>
    <row r="255" spans="1:20" s="269" customFormat="1">
      <c r="A255" s="350"/>
      <c r="B255" s="350"/>
      <c r="C255" s="350"/>
      <c r="D255" s="350"/>
      <c r="E255" s="350"/>
      <c r="F255" s="350"/>
      <c r="G255" s="350"/>
      <c r="H255" s="346"/>
      <c r="I255" s="350"/>
      <c r="J255" s="350"/>
      <c r="K255" s="350"/>
      <c r="L255" s="350"/>
      <c r="M255" s="350"/>
      <c r="N255" s="350"/>
      <c r="O255" s="350"/>
      <c r="P255" s="347">
        <f t="shared" si="8"/>
        <v>0</v>
      </c>
      <c r="Q255" s="350"/>
      <c r="R255" s="165">
        <f t="shared" si="9"/>
        <v>0</v>
      </c>
      <c r="S255" s="350"/>
      <c r="T255" s="351"/>
    </row>
    <row r="256" spans="1:20" s="269" customFormat="1">
      <c r="A256" s="350"/>
      <c r="B256" s="350"/>
      <c r="C256" s="350"/>
      <c r="D256" s="350"/>
      <c r="E256" s="350"/>
      <c r="F256" s="350"/>
      <c r="G256" s="350"/>
      <c r="H256" s="346"/>
      <c r="I256" s="350"/>
      <c r="J256" s="350"/>
      <c r="K256" s="350"/>
      <c r="L256" s="350"/>
      <c r="M256" s="350"/>
      <c r="N256" s="350"/>
      <c r="O256" s="350"/>
      <c r="P256" s="347">
        <f t="shared" si="8"/>
        <v>0</v>
      </c>
      <c r="Q256" s="350"/>
      <c r="R256" s="165">
        <f t="shared" si="9"/>
        <v>0</v>
      </c>
      <c r="S256" s="350"/>
      <c r="T256" s="351"/>
    </row>
    <row r="257" spans="1:20" s="269" customFormat="1">
      <c r="A257" s="350"/>
      <c r="B257" s="350"/>
      <c r="C257" s="350"/>
      <c r="D257" s="350"/>
      <c r="E257" s="350"/>
      <c r="F257" s="350"/>
      <c r="G257" s="350"/>
      <c r="H257" s="346"/>
      <c r="I257" s="350"/>
      <c r="J257" s="350"/>
      <c r="K257" s="350"/>
      <c r="L257" s="350"/>
      <c r="M257" s="350"/>
      <c r="N257" s="350"/>
      <c r="O257" s="350"/>
      <c r="P257" s="347">
        <f t="shared" si="8"/>
        <v>0</v>
      </c>
      <c r="Q257" s="350"/>
      <c r="R257" s="165">
        <f t="shared" si="9"/>
        <v>0</v>
      </c>
      <c r="S257" s="350"/>
      <c r="T257" s="351"/>
    </row>
    <row r="258" spans="1:20" s="269" customFormat="1">
      <c r="A258" s="350"/>
      <c r="B258" s="350"/>
      <c r="C258" s="350"/>
      <c r="D258" s="350"/>
      <c r="E258" s="350"/>
      <c r="F258" s="350"/>
      <c r="G258" s="350"/>
      <c r="H258" s="346"/>
      <c r="I258" s="350"/>
      <c r="J258" s="350"/>
      <c r="K258" s="350"/>
      <c r="L258" s="350"/>
      <c r="M258" s="350"/>
      <c r="N258" s="350"/>
      <c r="O258" s="350"/>
      <c r="P258" s="347">
        <f t="shared" si="8"/>
        <v>0</v>
      </c>
      <c r="Q258" s="350"/>
      <c r="R258" s="165">
        <f t="shared" si="9"/>
        <v>0</v>
      </c>
      <c r="S258" s="350"/>
      <c r="T258" s="351"/>
    </row>
    <row r="259" spans="1:20" s="269" customFormat="1">
      <c r="A259" s="350"/>
      <c r="B259" s="350"/>
      <c r="C259" s="350"/>
      <c r="D259" s="350"/>
      <c r="E259" s="350"/>
      <c r="F259" s="350"/>
      <c r="G259" s="350"/>
      <c r="H259" s="346"/>
      <c r="I259" s="350"/>
      <c r="J259" s="350"/>
      <c r="K259" s="350"/>
      <c r="L259" s="350"/>
      <c r="M259" s="350"/>
      <c r="N259" s="350"/>
      <c r="O259" s="350"/>
      <c r="P259" s="347">
        <f t="shared" si="8"/>
        <v>0</v>
      </c>
      <c r="Q259" s="350"/>
      <c r="R259" s="165">
        <f t="shared" si="9"/>
        <v>0</v>
      </c>
      <c r="S259" s="350"/>
      <c r="T259" s="351"/>
    </row>
    <row r="260" spans="1:20" s="269" customFormat="1">
      <c r="A260" s="350"/>
      <c r="B260" s="350"/>
      <c r="C260" s="350"/>
      <c r="D260" s="350"/>
      <c r="E260" s="350"/>
      <c r="F260" s="350"/>
      <c r="G260" s="350"/>
      <c r="H260" s="346"/>
      <c r="I260" s="350"/>
      <c r="J260" s="350"/>
      <c r="K260" s="350"/>
      <c r="L260" s="350"/>
      <c r="M260" s="350"/>
      <c r="N260" s="350"/>
      <c r="O260" s="350"/>
      <c r="P260" s="347">
        <f t="shared" si="8"/>
        <v>0</v>
      </c>
      <c r="Q260" s="350"/>
      <c r="R260" s="165">
        <f t="shared" si="9"/>
        <v>0</v>
      </c>
      <c r="S260" s="350"/>
      <c r="T260" s="351"/>
    </row>
    <row r="261" spans="1:20" s="269" customFormat="1">
      <c r="A261" s="350"/>
      <c r="B261" s="350"/>
      <c r="C261" s="350"/>
      <c r="D261" s="350"/>
      <c r="E261" s="350"/>
      <c r="F261" s="350"/>
      <c r="G261" s="350"/>
      <c r="H261" s="346"/>
      <c r="I261" s="350"/>
      <c r="J261" s="350"/>
      <c r="K261" s="350"/>
      <c r="L261" s="350"/>
      <c r="M261" s="350"/>
      <c r="N261" s="350"/>
      <c r="O261" s="350"/>
      <c r="P261" s="347">
        <f t="shared" si="8"/>
        <v>0</v>
      </c>
      <c r="Q261" s="350"/>
      <c r="R261" s="165">
        <f t="shared" si="9"/>
        <v>0</v>
      </c>
      <c r="S261" s="350"/>
      <c r="T261" s="351"/>
    </row>
    <row r="262" spans="1:20" s="269" customFormat="1">
      <c r="A262" s="350"/>
      <c r="B262" s="350"/>
      <c r="C262" s="350"/>
      <c r="D262" s="350"/>
      <c r="E262" s="350"/>
      <c r="F262" s="350"/>
      <c r="G262" s="350"/>
      <c r="H262" s="346"/>
      <c r="I262" s="350"/>
      <c r="J262" s="350"/>
      <c r="K262" s="350"/>
      <c r="L262" s="350"/>
      <c r="M262" s="350"/>
      <c r="N262" s="350"/>
      <c r="O262" s="350"/>
      <c r="P262" s="347">
        <f t="shared" si="8"/>
        <v>0</v>
      </c>
      <c r="Q262" s="350"/>
      <c r="R262" s="165">
        <f t="shared" si="9"/>
        <v>0</v>
      </c>
      <c r="S262" s="350"/>
      <c r="T262" s="351"/>
    </row>
    <row r="263" spans="1:20" s="269" customFormat="1">
      <c r="A263" s="350"/>
      <c r="B263" s="350"/>
      <c r="C263" s="350"/>
      <c r="D263" s="350"/>
      <c r="E263" s="350"/>
      <c r="F263" s="350"/>
      <c r="G263" s="350"/>
      <c r="H263" s="346"/>
      <c r="I263" s="350"/>
      <c r="J263" s="350"/>
      <c r="K263" s="350"/>
      <c r="L263" s="350"/>
      <c r="M263" s="350"/>
      <c r="N263" s="350"/>
      <c r="O263" s="350"/>
      <c r="P263" s="347">
        <f t="shared" si="8"/>
        <v>0</v>
      </c>
      <c r="Q263" s="350"/>
      <c r="R263" s="165">
        <f t="shared" si="9"/>
        <v>0</v>
      </c>
      <c r="S263" s="350"/>
      <c r="T263" s="351"/>
    </row>
    <row r="264" spans="1:20" s="269" customFormat="1">
      <c r="A264" s="350"/>
      <c r="B264" s="350"/>
      <c r="C264" s="350"/>
      <c r="D264" s="350"/>
      <c r="E264" s="350"/>
      <c r="F264" s="350"/>
      <c r="G264" s="350"/>
      <c r="H264" s="346"/>
      <c r="I264" s="350"/>
      <c r="J264" s="350"/>
      <c r="K264" s="350"/>
      <c r="L264" s="350"/>
      <c r="M264" s="350"/>
      <c r="N264" s="350"/>
      <c r="O264" s="350"/>
      <c r="P264" s="347">
        <f t="shared" si="8"/>
        <v>0</v>
      </c>
      <c r="Q264" s="350"/>
      <c r="R264" s="165">
        <f t="shared" si="9"/>
        <v>0</v>
      </c>
      <c r="S264" s="350"/>
      <c r="T264" s="351"/>
    </row>
    <row r="265" spans="1:20" s="269" customFormat="1">
      <c r="A265" s="350"/>
      <c r="B265" s="350"/>
      <c r="C265" s="350"/>
      <c r="D265" s="350"/>
      <c r="E265" s="350"/>
      <c r="F265" s="350"/>
      <c r="G265" s="350"/>
      <c r="H265" s="346"/>
      <c r="I265" s="350"/>
      <c r="J265" s="350"/>
      <c r="K265" s="350"/>
      <c r="L265" s="350"/>
      <c r="M265" s="350"/>
      <c r="N265" s="350"/>
      <c r="O265" s="350"/>
      <c r="P265" s="347">
        <f t="shared" si="8"/>
        <v>0</v>
      </c>
      <c r="Q265" s="350"/>
      <c r="R265" s="165">
        <f t="shared" si="9"/>
        <v>0</v>
      </c>
      <c r="S265" s="350"/>
      <c r="T265" s="351"/>
    </row>
    <row r="266" spans="1:20" s="269" customFormat="1">
      <c r="A266" s="350"/>
      <c r="B266" s="350"/>
      <c r="C266" s="350"/>
      <c r="D266" s="350"/>
      <c r="E266" s="350"/>
      <c r="F266" s="350"/>
      <c r="G266" s="350"/>
      <c r="H266" s="346"/>
      <c r="I266" s="350"/>
      <c r="J266" s="350"/>
      <c r="K266" s="350"/>
      <c r="L266" s="350"/>
      <c r="M266" s="350"/>
      <c r="N266" s="350"/>
      <c r="O266" s="350"/>
      <c r="P266" s="347">
        <f t="shared" si="8"/>
        <v>0</v>
      </c>
      <c r="Q266" s="350"/>
      <c r="R266" s="165">
        <f t="shared" si="9"/>
        <v>0</v>
      </c>
      <c r="S266" s="350"/>
      <c r="T266" s="351"/>
    </row>
    <row r="267" spans="1:20" s="269" customFormat="1">
      <c r="A267" s="350"/>
      <c r="B267" s="350"/>
      <c r="C267" s="350"/>
      <c r="D267" s="350"/>
      <c r="E267" s="350"/>
      <c r="F267" s="350"/>
      <c r="G267" s="350"/>
      <c r="H267" s="346"/>
      <c r="I267" s="350"/>
      <c r="J267" s="350"/>
      <c r="K267" s="350"/>
      <c r="L267" s="350"/>
      <c r="M267" s="350"/>
      <c r="N267" s="350"/>
      <c r="O267" s="350"/>
      <c r="P267" s="347">
        <f t="shared" si="8"/>
        <v>0</v>
      </c>
      <c r="Q267" s="350"/>
      <c r="R267" s="165">
        <f t="shared" si="9"/>
        <v>0</v>
      </c>
      <c r="S267" s="350"/>
      <c r="T267" s="351"/>
    </row>
    <row r="268" spans="1:20" s="269" customFormat="1">
      <c r="A268" s="350"/>
      <c r="B268" s="350"/>
      <c r="C268" s="350"/>
      <c r="D268" s="350"/>
      <c r="E268" s="350"/>
      <c r="F268" s="350"/>
      <c r="G268" s="350"/>
      <c r="H268" s="346"/>
      <c r="I268" s="350"/>
      <c r="J268" s="350"/>
      <c r="K268" s="350"/>
      <c r="L268" s="350"/>
      <c r="M268" s="350"/>
      <c r="N268" s="350"/>
      <c r="O268" s="350"/>
      <c r="P268" s="347">
        <f t="shared" si="8"/>
        <v>0</v>
      </c>
      <c r="Q268" s="350"/>
      <c r="R268" s="165">
        <f t="shared" si="9"/>
        <v>0</v>
      </c>
      <c r="S268" s="350"/>
      <c r="T268" s="351"/>
    </row>
    <row r="269" spans="1:20" s="269" customFormat="1">
      <c r="A269" s="350"/>
      <c r="B269" s="350"/>
      <c r="C269" s="350"/>
      <c r="D269" s="350"/>
      <c r="E269" s="350"/>
      <c r="F269" s="350"/>
      <c r="G269" s="350"/>
      <c r="H269" s="346"/>
      <c r="I269" s="350"/>
      <c r="J269" s="350"/>
      <c r="K269" s="350"/>
      <c r="L269" s="350"/>
      <c r="M269" s="350"/>
      <c r="N269" s="350"/>
      <c r="O269" s="350"/>
      <c r="P269" s="347">
        <f t="shared" ref="P269:P332" si="10">SUM(I269:O269)</f>
        <v>0</v>
      </c>
      <c r="Q269" s="350"/>
      <c r="R269" s="165">
        <f t="shared" si="9"/>
        <v>0</v>
      </c>
      <c r="S269" s="350"/>
      <c r="T269" s="351"/>
    </row>
    <row r="270" spans="1:20" s="269" customFormat="1">
      <c r="A270" s="350"/>
      <c r="B270" s="350"/>
      <c r="C270" s="350"/>
      <c r="D270" s="350"/>
      <c r="E270" s="350"/>
      <c r="F270" s="350"/>
      <c r="G270" s="350"/>
      <c r="H270" s="346"/>
      <c r="I270" s="350"/>
      <c r="J270" s="350"/>
      <c r="K270" s="350"/>
      <c r="L270" s="350"/>
      <c r="M270" s="350"/>
      <c r="N270" s="350"/>
      <c r="O270" s="350"/>
      <c r="P270" s="347">
        <f t="shared" si="10"/>
        <v>0</v>
      </c>
      <c r="Q270" s="350"/>
      <c r="R270" s="165">
        <f t="shared" si="9"/>
        <v>0</v>
      </c>
      <c r="S270" s="350"/>
      <c r="T270" s="351"/>
    </row>
    <row r="271" spans="1:20" s="269" customFormat="1">
      <c r="A271" s="350"/>
      <c r="B271" s="350"/>
      <c r="C271" s="350"/>
      <c r="D271" s="350"/>
      <c r="E271" s="350"/>
      <c r="F271" s="350"/>
      <c r="G271" s="350"/>
      <c r="H271" s="346"/>
      <c r="I271" s="350"/>
      <c r="J271" s="350"/>
      <c r="K271" s="350"/>
      <c r="L271" s="350"/>
      <c r="M271" s="350"/>
      <c r="N271" s="350"/>
      <c r="O271" s="350"/>
      <c r="P271" s="347">
        <f t="shared" si="10"/>
        <v>0</v>
      </c>
      <c r="Q271" s="350"/>
      <c r="R271" s="165">
        <f t="shared" si="9"/>
        <v>0</v>
      </c>
      <c r="S271" s="350"/>
      <c r="T271" s="351"/>
    </row>
    <row r="272" spans="1:20" s="269" customFormat="1">
      <c r="A272" s="350"/>
      <c r="B272" s="350"/>
      <c r="C272" s="350"/>
      <c r="D272" s="350"/>
      <c r="E272" s="350"/>
      <c r="F272" s="350"/>
      <c r="G272" s="350"/>
      <c r="H272" s="346"/>
      <c r="I272" s="350"/>
      <c r="J272" s="350"/>
      <c r="K272" s="350"/>
      <c r="L272" s="350"/>
      <c r="M272" s="350"/>
      <c r="N272" s="350"/>
      <c r="O272" s="350"/>
      <c r="P272" s="347">
        <f t="shared" si="10"/>
        <v>0</v>
      </c>
      <c r="Q272" s="350"/>
      <c r="R272" s="165">
        <f t="shared" si="9"/>
        <v>0</v>
      </c>
      <c r="S272" s="350"/>
      <c r="T272" s="351"/>
    </row>
    <row r="273" spans="1:20" s="269" customFormat="1">
      <c r="A273" s="350"/>
      <c r="B273" s="350"/>
      <c r="C273" s="350"/>
      <c r="D273" s="350"/>
      <c r="E273" s="350"/>
      <c r="F273" s="350"/>
      <c r="G273" s="350"/>
      <c r="H273" s="346"/>
      <c r="I273" s="350"/>
      <c r="J273" s="350"/>
      <c r="K273" s="350"/>
      <c r="L273" s="350"/>
      <c r="M273" s="350"/>
      <c r="N273" s="350"/>
      <c r="O273" s="350"/>
      <c r="P273" s="347">
        <f t="shared" si="10"/>
        <v>0</v>
      </c>
      <c r="Q273" s="350"/>
      <c r="R273" s="165">
        <f t="shared" si="9"/>
        <v>0</v>
      </c>
      <c r="S273" s="350"/>
      <c r="T273" s="351"/>
    </row>
    <row r="274" spans="1:20" s="269" customFormat="1">
      <c r="A274" s="350"/>
      <c r="B274" s="350"/>
      <c r="C274" s="350"/>
      <c r="D274" s="350"/>
      <c r="E274" s="350"/>
      <c r="F274" s="350"/>
      <c r="G274" s="350"/>
      <c r="H274" s="346"/>
      <c r="I274" s="350"/>
      <c r="J274" s="350"/>
      <c r="K274" s="350"/>
      <c r="L274" s="350"/>
      <c r="M274" s="350"/>
      <c r="N274" s="350"/>
      <c r="O274" s="350"/>
      <c r="P274" s="347">
        <f t="shared" si="10"/>
        <v>0</v>
      </c>
      <c r="Q274" s="350"/>
      <c r="R274" s="165">
        <f t="shared" si="9"/>
        <v>0</v>
      </c>
      <c r="S274" s="350"/>
      <c r="T274" s="351"/>
    </row>
    <row r="275" spans="1:20" s="269" customFormat="1">
      <c r="A275" s="350"/>
      <c r="B275" s="350"/>
      <c r="C275" s="350"/>
      <c r="D275" s="350"/>
      <c r="E275" s="350"/>
      <c r="F275" s="350"/>
      <c r="G275" s="350"/>
      <c r="H275" s="346"/>
      <c r="I275" s="350"/>
      <c r="J275" s="350"/>
      <c r="K275" s="350"/>
      <c r="L275" s="350"/>
      <c r="M275" s="350"/>
      <c r="N275" s="350"/>
      <c r="O275" s="350"/>
      <c r="P275" s="347">
        <f t="shared" si="10"/>
        <v>0</v>
      </c>
      <c r="Q275" s="350"/>
      <c r="R275" s="165">
        <f t="shared" si="9"/>
        <v>0</v>
      </c>
      <c r="S275" s="350"/>
      <c r="T275" s="351"/>
    </row>
    <row r="276" spans="1:20" s="269" customFormat="1">
      <c r="A276" s="350"/>
      <c r="B276" s="350"/>
      <c r="C276" s="350"/>
      <c r="D276" s="350"/>
      <c r="E276" s="350"/>
      <c r="F276" s="350"/>
      <c r="G276" s="350"/>
      <c r="H276" s="346"/>
      <c r="I276" s="350"/>
      <c r="J276" s="350"/>
      <c r="K276" s="350"/>
      <c r="L276" s="350"/>
      <c r="M276" s="350"/>
      <c r="N276" s="350"/>
      <c r="O276" s="350"/>
      <c r="P276" s="347">
        <f t="shared" si="10"/>
        <v>0</v>
      </c>
      <c r="Q276" s="350"/>
      <c r="R276" s="165">
        <f t="shared" si="9"/>
        <v>0</v>
      </c>
      <c r="S276" s="350"/>
      <c r="T276" s="351"/>
    </row>
    <row r="277" spans="1:20" s="269" customFormat="1">
      <c r="A277" s="350"/>
      <c r="B277" s="350"/>
      <c r="C277" s="350"/>
      <c r="D277" s="350"/>
      <c r="E277" s="350"/>
      <c r="F277" s="350"/>
      <c r="G277" s="350"/>
      <c r="H277" s="346"/>
      <c r="I277" s="350"/>
      <c r="J277" s="350"/>
      <c r="K277" s="350"/>
      <c r="L277" s="350"/>
      <c r="M277" s="350"/>
      <c r="N277" s="350"/>
      <c r="O277" s="350"/>
      <c r="P277" s="347">
        <f t="shared" si="10"/>
        <v>0</v>
      </c>
      <c r="Q277" s="350"/>
      <c r="R277" s="165">
        <f t="shared" si="9"/>
        <v>0</v>
      </c>
      <c r="S277" s="350"/>
      <c r="T277" s="351"/>
    </row>
    <row r="278" spans="1:20" s="269" customFormat="1">
      <c r="A278" s="350"/>
      <c r="B278" s="350"/>
      <c r="C278" s="350"/>
      <c r="D278" s="350"/>
      <c r="E278" s="350"/>
      <c r="F278" s="350"/>
      <c r="G278" s="350"/>
      <c r="H278" s="346"/>
      <c r="I278" s="350"/>
      <c r="J278" s="350"/>
      <c r="K278" s="350"/>
      <c r="L278" s="350"/>
      <c r="M278" s="350"/>
      <c r="N278" s="350"/>
      <c r="O278" s="350"/>
      <c r="P278" s="347">
        <f t="shared" si="10"/>
        <v>0</v>
      </c>
      <c r="Q278" s="350"/>
      <c r="R278" s="165">
        <f t="shared" si="9"/>
        <v>0</v>
      </c>
      <c r="S278" s="350"/>
      <c r="T278" s="351"/>
    </row>
    <row r="279" spans="1:20" s="269" customFormat="1">
      <c r="A279" s="350"/>
      <c r="B279" s="350"/>
      <c r="C279" s="350"/>
      <c r="D279" s="350"/>
      <c r="E279" s="350"/>
      <c r="F279" s="350"/>
      <c r="G279" s="350"/>
      <c r="H279" s="346"/>
      <c r="I279" s="350"/>
      <c r="J279" s="350"/>
      <c r="K279" s="350"/>
      <c r="L279" s="350"/>
      <c r="M279" s="350"/>
      <c r="N279" s="350"/>
      <c r="O279" s="350"/>
      <c r="P279" s="347">
        <f t="shared" si="10"/>
        <v>0</v>
      </c>
      <c r="Q279" s="350"/>
      <c r="R279" s="165">
        <f t="shared" si="9"/>
        <v>0</v>
      </c>
      <c r="S279" s="350"/>
      <c r="T279" s="351"/>
    </row>
    <row r="280" spans="1:20" s="269" customFormat="1">
      <c r="A280" s="350"/>
      <c r="B280" s="350"/>
      <c r="C280" s="350"/>
      <c r="D280" s="350"/>
      <c r="E280" s="350"/>
      <c r="F280" s="350"/>
      <c r="G280" s="350"/>
      <c r="H280" s="346"/>
      <c r="I280" s="350"/>
      <c r="J280" s="350"/>
      <c r="K280" s="350"/>
      <c r="L280" s="350"/>
      <c r="M280" s="350"/>
      <c r="N280" s="350"/>
      <c r="O280" s="350"/>
      <c r="P280" s="347">
        <f t="shared" si="10"/>
        <v>0</v>
      </c>
      <c r="Q280" s="350"/>
      <c r="R280" s="165">
        <f t="shared" si="9"/>
        <v>0</v>
      </c>
      <c r="S280" s="350"/>
      <c r="T280" s="351"/>
    </row>
    <row r="281" spans="1:20" s="269" customFormat="1">
      <c r="A281" s="350"/>
      <c r="B281" s="350"/>
      <c r="C281" s="350"/>
      <c r="D281" s="350"/>
      <c r="E281" s="350"/>
      <c r="F281" s="350"/>
      <c r="G281" s="350"/>
      <c r="H281" s="346"/>
      <c r="I281" s="350"/>
      <c r="J281" s="350"/>
      <c r="K281" s="350"/>
      <c r="L281" s="350"/>
      <c r="M281" s="350"/>
      <c r="N281" s="350"/>
      <c r="O281" s="350"/>
      <c r="P281" s="347">
        <f t="shared" si="10"/>
        <v>0</v>
      </c>
      <c r="Q281" s="350"/>
      <c r="R281" s="165">
        <f t="shared" si="9"/>
        <v>0</v>
      </c>
      <c r="S281" s="350"/>
      <c r="T281" s="351"/>
    </row>
    <row r="282" spans="1:20" s="269" customFormat="1">
      <c r="A282" s="350"/>
      <c r="B282" s="350"/>
      <c r="C282" s="350"/>
      <c r="D282" s="350"/>
      <c r="E282" s="350"/>
      <c r="F282" s="350"/>
      <c r="G282" s="350"/>
      <c r="H282" s="346"/>
      <c r="I282" s="350"/>
      <c r="J282" s="350"/>
      <c r="K282" s="350"/>
      <c r="L282" s="350"/>
      <c r="M282" s="350"/>
      <c r="N282" s="350"/>
      <c r="O282" s="350"/>
      <c r="P282" s="347">
        <f t="shared" si="10"/>
        <v>0</v>
      </c>
      <c r="Q282" s="350"/>
      <c r="R282" s="165">
        <f t="shared" ref="R282:R345" si="11">P282-Q282</f>
        <v>0</v>
      </c>
      <c r="S282" s="350"/>
      <c r="T282" s="351"/>
    </row>
    <row r="283" spans="1:20" s="269" customFormat="1">
      <c r="A283" s="350"/>
      <c r="B283" s="350"/>
      <c r="C283" s="350"/>
      <c r="D283" s="350"/>
      <c r="E283" s="350"/>
      <c r="F283" s="350"/>
      <c r="G283" s="350"/>
      <c r="H283" s="346"/>
      <c r="I283" s="350"/>
      <c r="J283" s="350"/>
      <c r="K283" s="350"/>
      <c r="L283" s="350"/>
      <c r="M283" s="350"/>
      <c r="N283" s="350"/>
      <c r="O283" s="350"/>
      <c r="P283" s="347">
        <f t="shared" si="10"/>
        <v>0</v>
      </c>
      <c r="Q283" s="350"/>
      <c r="R283" s="165">
        <f t="shared" si="11"/>
        <v>0</v>
      </c>
      <c r="S283" s="350"/>
      <c r="T283" s="351"/>
    </row>
    <row r="284" spans="1:20" s="269" customFormat="1">
      <c r="A284" s="350"/>
      <c r="B284" s="350"/>
      <c r="C284" s="350"/>
      <c r="D284" s="350"/>
      <c r="E284" s="350"/>
      <c r="F284" s="350"/>
      <c r="G284" s="350"/>
      <c r="H284" s="346"/>
      <c r="I284" s="350"/>
      <c r="J284" s="350"/>
      <c r="K284" s="350"/>
      <c r="L284" s="350"/>
      <c r="M284" s="350"/>
      <c r="N284" s="350"/>
      <c r="O284" s="350"/>
      <c r="P284" s="347">
        <f t="shared" si="10"/>
        <v>0</v>
      </c>
      <c r="Q284" s="350"/>
      <c r="R284" s="165">
        <f t="shared" si="11"/>
        <v>0</v>
      </c>
      <c r="S284" s="350"/>
      <c r="T284" s="351"/>
    </row>
    <row r="285" spans="1:20" s="269" customFormat="1">
      <c r="A285" s="350"/>
      <c r="B285" s="350"/>
      <c r="C285" s="350"/>
      <c r="D285" s="350"/>
      <c r="E285" s="350"/>
      <c r="F285" s="350"/>
      <c r="G285" s="350"/>
      <c r="H285" s="346"/>
      <c r="I285" s="350"/>
      <c r="J285" s="350"/>
      <c r="K285" s="350"/>
      <c r="L285" s="350"/>
      <c r="M285" s="350"/>
      <c r="N285" s="350"/>
      <c r="O285" s="350"/>
      <c r="P285" s="347">
        <f t="shared" si="10"/>
        <v>0</v>
      </c>
      <c r="Q285" s="350"/>
      <c r="R285" s="165">
        <f t="shared" si="11"/>
        <v>0</v>
      </c>
      <c r="S285" s="350"/>
      <c r="T285" s="351"/>
    </row>
    <row r="286" spans="1:20" s="269" customFormat="1">
      <c r="A286" s="350"/>
      <c r="B286" s="350"/>
      <c r="C286" s="350"/>
      <c r="D286" s="350"/>
      <c r="E286" s="350"/>
      <c r="F286" s="350"/>
      <c r="G286" s="350"/>
      <c r="H286" s="346"/>
      <c r="I286" s="350"/>
      <c r="J286" s="350"/>
      <c r="K286" s="350"/>
      <c r="L286" s="350"/>
      <c r="M286" s="350"/>
      <c r="N286" s="350"/>
      <c r="O286" s="350"/>
      <c r="P286" s="347">
        <f t="shared" si="10"/>
        <v>0</v>
      </c>
      <c r="Q286" s="350"/>
      <c r="R286" s="165">
        <f t="shared" si="11"/>
        <v>0</v>
      </c>
      <c r="S286" s="350"/>
      <c r="T286" s="351"/>
    </row>
    <row r="287" spans="1:20" s="269" customFormat="1">
      <c r="A287" s="350"/>
      <c r="B287" s="350"/>
      <c r="C287" s="350"/>
      <c r="D287" s="350"/>
      <c r="E287" s="350"/>
      <c r="F287" s="350"/>
      <c r="G287" s="350"/>
      <c r="H287" s="346"/>
      <c r="I287" s="350"/>
      <c r="J287" s="350"/>
      <c r="K287" s="350"/>
      <c r="L287" s="350"/>
      <c r="M287" s="350"/>
      <c r="N287" s="350"/>
      <c r="O287" s="350"/>
      <c r="P287" s="347">
        <f t="shared" si="10"/>
        <v>0</v>
      </c>
      <c r="Q287" s="350"/>
      <c r="R287" s="165">
        <f t="shared" si="11"/>
        <v>0</v>
      </c>
      <c r="S287" s="350"/>
      <c r="T287" s="351"/>
    </row>
    <row r="288" spans="1:20" s="269" customFormat="1">
      <c r="A288" s="350"/>
      <c r="B288" s="350"/>
      <c r="C288" s="350"/>
      <c r="D288" s="350"/>
      <c r="E288" s="350"/>
      <c r="F288" s="350"/>
      <c r="G288" s="350"/>
      <c r="H288" s="346"/>
      <c r="I288" s="350"/>
      <c r="J288" s="350"/>
      <c r="K288" s="350"/>
      <c r="L288" s="350"/>
      <c r="M288" s="350"/>
      <c r="N288" s="350"/>
      <c r="O288" s="350"/>
      <c r="P288" s="347">
        <f t="shared" si="10"/>
        <v>0</v>
      </c>
      <c r="Q288" s="350"/>
      <c r="R288" s="165">
        <f t="shared" si="11"/>
        <v>0</v>
      </c>
      <c r="S288" s="350"/>
      <c r="T288" s="351"/>
    </row>
    <row r="289" spans="1:20" s="269" customFormat="1">
      <c r="A289" s="350"/>
      <c r="B289" s="350"/>
      <c r="C289" s="350"/>
      <c r="D289" s="350"/>
      <c r="E289" s="350"/>
      <c r="F289" s="350"/>
      <c r="G289" s="350"/>
      <c r="H289" s="346"/>
      <c r="I289" s="350"/>
      <c r="J289" s="350"/>
      <c r="K289" s="350"/>
      <c r="L289" s="350"/>
      <c r="M289" s="350"/>
      <c r="N289" s="350"/>
      <c r="O289" s="350"/>
      <c r="P289" s="347">
        <f t="shared" si="10"/>
        <v>0</v>
      </c>
      <c r="Q289" s="350"/>
      <c r="R289" s="165">
        <f t="shared" si="11"/>
        <v>0</v>
      </c>
      <c r="S289" s="350"/>
      <c r="T289" s="351"/>
    </row>
    <row r="290" spans="1:20" s="269" customFormat="1">
      <c r="A290" s="350"/>
      <c r="B290" s="350"/>
      <c r="C290" s="350"/>
      <c r="D290" s="350"/>
      <c r="E290" s="350"/>
      <c r="F290" s="350"/>
      <c r="G290" s="350"/>
      <c r="H290" s="346"/>
      <c r="I290" s="350"/>
      <c r="J290" s="350"/>
      <c r="K290" s="350"/>
      <c r="L290" s="350"/>
      <c r="M290" s="350"/>
      <c r="N290" s="350"/>
      <c r="O290" s="350"/>
      <c r="P290" s="347">
        <f t="shared" si="10"/>
        <v>0</v>
      </c>
      <c r="Q290" s="350"/>
      <c r="R290" s="165">
        <f t="shared" si="11"/>
        <v>0</v>
      </c>
      <c r="S290" s="350"/>
      <c r="T290" s="351"/>
    </row>
    <row r="291" spans="1:20" s="269" customFormat="1">
      <c r="A291" s="350"/>
      <c r="B291" s="350"/>
      <c r="C291" s="350"/>
      <c r="D291" s="350"/>
      <c r="E291" s="350"/>
      <c r="F291" s="350"/>
      <c r="G291" s="350"/>
      <c r="H291" s="346"/>
      <c r="I291" s="350"/>
      <c r="J291" s="350"/>
      <c r="K291" s="350"/>
      <c r="L291" s="350"/>
      <c r="M291" s="350"/>
      <c r="N291" s="350"/>
      <c r="O291" s="350"/>
      <c r="P291" s="347">
        <f t="shared" si="10"/>
        <v>0</v>
      </c>
      <c r="Q291" s="350"/>
      <c r="R291" s="165">
        <f t="shared" si="11"/>
        <v>0</v>
      </c>
      <c r="S291" s="350"/>
      <c r="T291" s="351"/>
    </row>
    <row r="292" spans="1:20" s="269" customFormat="1">
      <c r="A292" s="350"/>
      <c r="B292" s="350"/>
      <c r="C292" s="350"/>
      <c r="D292" s="350"/>
      <c r="E292" s="350"/>
      <c r="F292" s="350"/>
      <c r="G292" s="350"/>
      <c r="H292" s="346"/>
      <c r="I292" s="350"/>
      <c r="J292" s="350"/>
      <c r="K292" s="350"/>
      <c r="L292" s="350"/>
      <c r="M292" s="350"/>
      <c r="N292" s="350"/>
      <c r="O292" s="350"/>
      <c r="P292" s="347">
        <f t="shared" si="10"/>
        <v>0</v>
      </c>
      <c r="Q292" s="350"/>
      <c r="R292" s="165">
        <f t="shared" si="11"/>
        <v>0</v>
      </c>
      <c r="S292" s="350"/>
      <c r="T292" s="351"/>
    </row>
    <row r="293" spans="1:20" s="269" customFormat="1">
      <c r="A293" s="350"/>
      <c r="B293" s="350"/>
      <c r="C293" s="350"/>
      <c r="D293" s="350"/>
      <c r="E293" s="350"/>
      <c r="F293" s="350"/>
      <c r="G293" s="350"/>
      <c r="H293" s="346"/>
      <c r="I293" s="350"/>
      <c r="J293" s="350"/>
      <c r="K293" s="350"/>
      <c r="L293" s="350"/>
      <c r="M293" s="350"/>
      <c r="N293" s="350"/>
      <c r="O293" s="350"/>
      <c r="P293" s="347">
        <f t="shared" si="10"/>
        <v>0</v>
      </c>
      <c r="Q293" s="350"/>
      <c r="R293" s="165">
        <f t="shared" si="11"/>
        <v>0</v>
      </c>
      <c r="S293" s="350"/>
      <c r="T293" s="351"/>
    </row>
    <row r="294" spans="1:20" s="269" customFormat="1">
      <c r="A294" s="350"/>
      <c r="B294" s="350"/>
      <c r="C294" s="350"/>
      <c r="D294" s="350"/>
      <c r="E294" s="350"/>
      <c r="F294" s="350"/>
      <c r="G294" s="350"/>
      <c r="H294" s="346"/>
      <c r="I294" s="350"/>
      <c r="J294" s="350"/>
      <c r="K294" s="350"/>
      <c r="L294" s="350"/>
      <c r="M294" s="350"/>
      <c r="N294" s="350"/>
      <c r="O294" s="350"/>
      <c r="P294" s="347">
        <f t="shared" si="10"/>
        <v>0</v>
      </c>
      <c r="Q294" s="350"/>
      <c r="R294" s="165">
        <f t="shared" si="11"/>
        <v>0</v>
      </c>
      <c r="S294" s="350"/>
      <c r="T294" s="351"/>
    </row>
    <row r="295" spans="1:20" s="269" customFormat="1">
      <c r="A295" s="350"/>
      <c r="B295" s="350"/>
      <c r="C295" s="350"/>
      <c r="D295" s="350"/>
      <c r="E295" s="350"/>
      <c r="F295" s="350"/>
      <c r="G295" s="350"/>
      <c r="H295" s="346"/>
      <c r="I295" s="350"/>
      <c r="J295" s="350"/>
      <c r="K295" s="350"/>
      <c r="L295" s="350"/>
      <c r="M295" s="350"/>
      <c r="N295" s="350"/>
      <c r="O295" s="350"/>
      <c r="P295" s="347">
        <f t="shared" si="10"/>
        <v>0</v>
      </c>
      <c r="Q295" s="350"/>
      <c r="R295" s="165">
        <f t="shared" si="11"/>
        <v>0</v>
      </c>
      <c r="S295" s="350"/>
      <c r="T295" s="351"/>
    </row>
    <row r="296" spans="1:20" s="269" customFormat="1">
      <c r="A296" s="350"/>
      <c r="B296" s="350"/>
      <c r="C296" s="350"/>
      <c r="D296" s="350"/>
      <c r="E296" s="350"/>
      <c r="F296" s="350"/>
      <c r="G296" s="350"/>
      <c r="H296" s="346"/>
      <c r="I296" s="350"/>
      <c r="J296" s="350"/>
      <c r="K296" s="350"/>
      <c r="L296" s="350"/>
      <c r="M296" s="350"/>
      <c r="N296" s="350"/>
      <c r="O296" s="350"/>
      <c r="P296" s="347">
        <f t="shared" si="10"/>
        <v>0</v>
      </c>
      <c r="Q296" s="350"/>
      <c r="R296" s="165">
        <f t="shared" si="11"/>
        <v>0</v>
      </c>
      <c r="S296" s="350"/>
      <c r="T296" s="351"/>
    </row>
    <row r="297" spans="1:20" s="269" customFormat="1">
      <c r="A297" s="350"/>
      <c r="B297" s="350"/>
      <c r="C297" s="350"/>
      <c r="D297" s="350"/>
      <c r="E297" s="350"/>
      <c r="F297" s="350"/>
      <c r="G297" s="350"/>
      <c r="H297" s="346"/>
      <c r="I297" s="350"/>
      <c r="J297" s="350"/>
      <c r="K297" s="350"/>
      <c r="L297" s="350"/>
      <c r="M297" s="350"/>
      <c r="N297" s="350"/>
      <c r="O297" s="350"/>
      <c r="P297" s="347">
        <f t="shared" si="10"/>
        <v>0</v>
      </c>
      <c r="Q297" s="350"/>
      <c r="R297" s="165">
        <f t="shared" si="11"/>
        <v>0</v>
      </c>
      <c r="S297" s="350"/>
      <c r="T297" s="351"/>
    </row>
    <row r="298" spans="1:20" s="269" customFormat="1">
      <c r="A298" s="350"/>
      <c r="B298" s="350"/>
      <c r="C298" s="350"/>
      <c r="D298" s="350"/>
      <c r="E298" s="350"/>
      <c r="F298" s="350"/>
      <c r="G298" s="350"/>
      <c r="H298" s="346"/>
      <c r="I298" s="350"/>
      <c r="J298" s="350"/>
      <c r="K298" s="350"/>
      <c r="L298" s="350"/>
      <c r="M298" s="350"/>
      <c r="N298" s="350"/>
      <c r="O298" s="350"/>
      <c r="P298" s="347">
        <f t="shared" si="10"/>
        <v>0</v>
      </c>
      <c r="Q298" s="350"/>
      <c r="R298" s="165">
        <f t="shared" si="11"/>
        <v>0</v>
      </c>
      <c r="S298" s="350"/>
      <c r="T298" s="351"/>
    </row>
    <row r="299" spans="1:20" s="269" customFormat="1">
      <c r="A299" s="350"/>
      <c r="B299" s="350"/>
      <c r="C299" s="350"/>
      <c r="D299" s="350"/>
      <c r="E299" s="350"/>
      <c r="F299" s="350"/>
      <c r="G299" s="350"/>
      <c r="H299" s="346"/>
      <c r="I299" s="350"/>
      <c r="J299" s="350"/>
      <c r="K299" s="350"/>
      <c r="L299" s="350"/>
      <c r="M299" s="350"/>
      <c r="N299" s="350"/>
      <c r="O299" s="350"/>
      <c r="P299" s="347">
        <f t="shared" si="10"/>
        <v>0</v>
      </c>
      <c r="Q299" s="350"/>
      <c r="R299" s="165">
        <f t="shared" si="11"/>
        <v>0</v>
      </c>
      <c r="S299" s="350"/>
      <c r="T299" s="351"/>
    </row>
    <row r="300" spans="1:20" s="269" customFormat="1">
      <c r="A300" s="350"/>
      <c r="B300" s="350"/>
      <c r="C300" s="350"/>
      <c r="D300" s="350"/>
      <c r="E300" s="350"/>
      <c r="F300" s="350"/>
      <c r="G300" s="350"/>
      <c r="H300" s="346"/>
      <c r="I300" s="350"/>
      <c r="J300" s="350"/>
      <c r="K300" s="350"/>
      <c r="L300" s="350"/>
      <c r="M300" s="350"/>
      <c r="N300" s="350"/>
      <c r="O300" s="350"/>
      <c r="P300" s="347">
        <f t="shared" si="10"/>
        <v>0</v>
      </c>
      <c r="Q300" s="350"/>
      <c r="R300" s="165">
        <f t="shared" si="11"/>
        <v>0</v>
      </c>
      <c r="S300" s="350"/>
      <c r="T300" s="351"/>
    </row>
    <row r="301" spans="1:20" s="269" customFormat="1">
      <c r="A301" s="350"/>
      <c r="B301" s="350"/>
      <c r="C301" s="350"/>
      <c r="D301" s="350"/>
      <c r="E301" s="350"/>
      <c r="F301" s="350"/>
      <c r="G301" s="350"/>
      <c r="H301" s="346"/>
      <c r="I301" s="350"/>
      <c r="J301" s="350"/>
      <c r="K301" s="350"/>
      <c r="L301" s="350"/>
      <c r="M301" s="350"/>
      <c r="N301" s="350"/>
      <c r="O301" s="350"/>
      <c r="P301" s="347">
        <f t="shared" si="10"/>
        <v>0</v>
      </c>
      <c r="Q301" s="350"/>
      <c r="R301" s="165">
        <f t="shared" si="11"/>
        <v>0</v>
      </c>
      <c r="S301" s="350"/>
      <c r="T301" s="351"/>
    </row>
    <row r="302" spans="1:20" s="269" customFormat="1">
      <c r="A302" s="350"/>
      <c r="B302" s="350"/>
      <c r="C302" s="350"/>
      <c r="D302" s="350"/>
      <c r="E302" s="350"/>
      <c r="F302" s="350"/>
      <c r="G302" s="350"/>
      <c r="H302" s="346"/>
      <c r="I302" s="350"/>
      <c r="J302" s="350"/>
      <c r="K302" s="350"/>
      <c r="L302" s="350"/>
      <c r="M302" s="350"/>
      <c r="N302" s="350"/>
      <c r="O302" s="350"/>
      <c r="P302" s="347">
        <f t="shared" si="10"/>
        <v>0</v>
      </c>
      <c r="Q302" s="350"/>
      <c r="R302" s="165">
        <f t="shared" si="11"/>
        <v>0</v>
      </c>
      <c r="S302" s="350"/>
      <c r="T302" s="351"/>
    </row>
    <row r="303" spans="1:20" s="269" customFormat="1">
      <c r="A303" s="350"/>
      <c r="B303" s="350"/>
      <c r="C303" s="350"/>
      <c r="D303" s="350"/>
      <c r="E303" s="350"/>
      <c r="F303" s="350"/>
      <c r="G303" s="350"/>
      <c r="H303" s="346"/>
      <c r="I303" s="350"/>
      <c r="J303" s="350"/>
      <c r="K303" s="350"/>
      <c r="L303" s="350"/>
      <c r="M303" s="350"/>
      <c r="N303" s="350"/>
      <c r="O303" s="350"/>
      <c r="P303" s="347">
        <f t="shared" si="10"/>
        <v>0</v>
      </c>
      <c r="Q303" s="350"/>
      <c r="R303" s="165">
        <f t="shared" si="11"/>
        <v>0</v>
      </c>
      <c r="S303" s="350"/>
      <c r="T303" s="351"/>
    </row>
    <row r="304" spans="1:20" s="269" customFormat="1">
      <c r="A304" s="350"/>
      <c r="B304" s="350"/>
      <c r="C304" s="350"/>
      <c r="D304" s="350"/>
      <c r="E304" s="350"/>
      <c r="F304" s="350"/>
      <c r="G304" s="350"/>
      <c r="H304" s="346"/>
      <c r="I304" s="350"/>
      <c r="J304" s="350"/>
      <c r="K304" s="350"/>
      <c r="L304" s="350"/>
      <c r="M304" s="350"/>
      <c r="N304" s="350"/>
      <c r="O304" s="350"/>
      <c r="P304" s="347">
        <f t="shared" si="10"/>
        <v>0</v>
      </c>
      <c r="Q304" s="350"/>
      <c r="R304" s="165">
        <f t="shared" si="11"/>
        <v>0</v>
      </c>
      <c r="S304" s="350"/>
      <c r="T304" s="351"/>
    </row>
    <row r="305" spans="1:20" s="269" customFormat="1">
      <c r="A305" s="350"/>
      <c r="B305" s="350"/>
      <c r="C305" s="350"/>
      <c r="D305" s="350"/>
      <c r="E305" s="350"/>
      <c r="F305" s="350"/>
      <c r="G305" s="350"/>
      <c r="H305" s="346"/>
      <c r="I305" s="350"/>
      <c r="J305" s="350"/>
      <c r="K305" s="350"/>
      <c r="L305" s="350"/>
      <c r="M305" s="350"/>
      <c r="N305" s="350"/>
      <c r="O305" s="350"/>
      <c r="P305" s="347">
        <f t="shared" si="10"/>
        <v>0</v>
      </c>
      <c r="Q305" s="350"/>
      <c r="R305" s="165">
        <f t="shared" si="11"/>
        <v>0</v>
      </c>
      <c r="S305" s="350"/>
      <c r="T305" s="351"/>
    </row>
    <row r="306" spans="1:20" s="269" customFormat="1">
      <c r="A306" s="350"/>
      <c r="B306" s="350"/>
      <c r="C306" s="350"/>
      <c r="D306" s="350"/>
      <c r="E306" s="350"/>
      <c r="F306" s="350"/>
      <c r="G306" s="350"/>
      <c r="H306" s="346"/>
      <c r="I306" s="350"/>
      <c r="J306" s="350"/>
      <c r="K306" s="350"/>
      <c r="L306" s="350"/>
      <c r="M306" s="350"/>
      <c r="N306" s="350"/>
      <c r="O306" s="350"/>
      <c r="P306" s="347">
        <f t="shared" si="10"/>
        <v>0</v>
      </c>
      <c r="Q306" s="350"/>
      <c r="R306" s="165">
        <f t="shared" si="11"/>
        <v>0</v>
      </c>
      <c r="S306" s="350"/>
      <c r="T306" s="351"/>
    </row>
    <row r="307" spans="1:20" s="269" customFormat="1">
      <c r="A307" s="350"/>
      <c r="B307" s="350"/>
      <c r="C307" s="350"/>
      <c r="D307" s="350"/>
      <c r="E307" s="350"/>
      <c r="F307" s="350"/>
      <c r="G307" s="350"/>
      <c r="H307" s="346"/>
      <c r="I307" s="350"/>
      <c r="J307" s="350"/>
      <c r="K307" s="350"/>
      <c r="L307" s="350"/>
      <c r="M307" s="350"/>
      <c r="N307" s="350"/>
      <c r="O307" s="350"/>
      <c r="P307" s="347">
        <f t="shared" si="10"/>
        <v>0</v>
      </c>
      <c r="Q307" s="350"/>
      <c r="R307" s="165">
        <f t="shared" si="11"/>
        <v>0</v>
      </c>
      <c r="S307" s="350"/>
      <c r="T307" s="351"/>
    </row>
    <row r="308" spans="1:20" s="269" customFormat="1">
      <c r="A308" s="350"/>
      <c r="B308" s="350"/>
      <c r="C308" s="350"/>
      <c r="D308" s="350"/>
      <c r="E308" s="350"/>
      <c r="F308" s="350"/>
      <c r="G308" s="350"/>
      <c r="H308" s="346"/>
      <c r="I308" s="350"/>
      <c r="J308" s="350"/>
      <c r="K308" s="350"/>
      <c r="L308" s="350"/>
      <c r="M308" s="350"/>
      <c r="N308" s="350"/>
      <c r="O308" s="350"/>
      <c r="P308" s="347">
        <f t="shared" si="10"/>
        <v>0</v>
      </c>
      <c r="Q308" s="350"/>
      <c r="R308" s="165">
        <f t="shared" si="11"/>
        <v>0</v>
      </c>
      <c r="S308" s="350"/>
      <c r="T308" s="351"/>
    </row>
    <row r="309" spans="1:20" s="269" customFormat="1">
      <c r="A309" s="350"/>
      <c r="B309" s="350"/>
      <c r="C309" s="350"/>
      <c r="D309" s="350"/>
      <c r="E309" s="350"/>
      <c r="F309" s="350"/>
      <c r="G309" s="350"/>
      <c r="H309" s="346"/>
      <c r="I309" s="350"/>
      <c r="J309" s="350"/>
      <c r="K309" s="350"/>
      <c r="L309" s="350"/>
      <c r="M309" s="350"/>
      <c r="N309" s="350"/>
      <c r="O309" s="350"/>
      <c r="P309" s="347">
        <f t="shared" si="10"/>
        <v>0</v>
      </c>
      <c r="Q309" s="350"/>
      <c r="R309" s="165">
        <f t="shared" si="11"/>
        <v>0</v>
      </c>
      <c r="S309" s="350"/>
      <c r="T309" s="351"/>
    </row>
    <row r="310" spans="1:20" s="269" customFormat="1">
      <c r="A310" s="350"/>
      <c r="B310" s="350"/>
      <c r="C310" s="350"/>
      <c r="D310" s="350"/>
      <c r="E310" s="350"/>
      <c r="F310" s="350"/>
      <c r="G310" s="350"/>
      <c r="H310" s="346"/>
      <c r="I310" s="350"/>
      <c r="J310" s="350"/>
      <c r="K310" s="350"/>
      <c r="L310" s="350"/>
      <c r="M310" s="350"/>
      <c r="N310" s="350"/>
      <c r="O310" s="350"/>
      <c r="P310" s="347">
        <f t="shared" si="10"/>
        <v>0</v>
      </c>
      <c r="Q310" s="350"/>
      <c r="R310" s="165">
        <f t="shared" si="11"/>
        <v>0</v>
      </c>
      <c r="S310" s="350"/>
      <c r="T310" s="351"/>
    </row>
    <row r="311" spans="1:20" s="269" customFormat="1">
      <c r="A311" s="350"/>
      <c r="B311" s="350"/>
      <c r="C311" s="350"/>
      <c r="D311" s="350"/>
      <c r="E311" s="350"/>
      <c r="F311" s="350"/>
      <c r="G311" s="350"/>
      <c r="H311" s="346"/>
      <c r="I311" s="350"/>
      <c r="J311" s="350"/>
      <c r="K311" s="350"/>
      <c r="L311" s="350"/>
      <c r="M311" s="350"/>
      <c r="N311" s="350"/>
      <c r="O311" s="350"/>
      <c r="P311" s="347">
        <f t="shared" si="10"/>
        <v>0</v>
      </c>
      <c r="Q311" s="350"/>
      <c r="R311" s="165">
        <f t="shared" si="11"/>
        <v>0</v>
      </c>
      <c r="S311" s="350"/>
      <c r="T311" s="351"/>
    </row>
    <row r="312" spans="1:20" s="269" customFormat="1">
      <c r="A312" s="350"/>
      <c r="B312" s="350"/>
      <c r="C312" s="350"/>
      <c r="D312" s="350"/>
      <c r="E312" s="350"/>
      <c r="F312" s="350"/>
      <c r="G312" s="350"/>
      <c r="H312" s="346"/>
      <c r="I312" s="350"/>
      <c r="J312" s="350"/>
      <c r="K312" s="350"/>
      <c r="L312" s="350"/>
      <c r="M312" s="350"/>
      <c r="N312" s="350"/>
      <c r="O312" s="350"/>
      <c r="P312" s="347">
        <f t="shared" si="10"/>
        <v>0</v>
      </c>
      <c r="Q312" s="350"/>
      <c r="R312" s="165">
        <f t="shared" si="11"/>
        <v>0</v>
      </c>
      <c r="S312" s="350"/>
      <c r="T312" s="351"/>
    </row>
    <row r="313" spans="1:20" s="269" customFormat="1">
      <c r="A313" s="350"/>
      <c r="B313" s="350"/>
      <c r="C313" s="350"/>
      <c r="D313" s="350"/>
      <c r="E313" s="350"/>
      <c r="F313" s="350"/>
      <c r="G313" s="350"/>
      <c r="H313" s="346"/>
      <c r="I313" s="350"/>
      <c r="J313" s="350"/>
      <c r="K313" s="350"/>
      <c r="L313" s="350"/>
      <c r="M313" s="350"/>
      <c r="N313" s="350"/>
      <c r="O313" s="350"/>
      <c r="P313" s="347">
        <f t="shared" si="10"/>
        <v>0</v>
      </c>
      <c r="Q313" s="350"/>
      <c r="R313" s="165">
        <f t="shared" si="11"/>
        <v>0</v>
      </c>
      <c r="S313" s="350"/>
      <c r="T313" s="351"/>
    </row>
    <row r="314" spans="1:20" s="269" customFormat="1">
      <c r="A314" s="350"/>
      <c r="B314" s="350"/>
      <c r="C314" s="350"/>
      <c r="D314" s="350"/>
      <c r="E314" s="350"/>
      <c r="F314" s="350"/>
      <c r="G314" s="350"/>
      <c r="H314" s="346"/>
      <c r="I314" s="350"/>
      <c r="J314" s="350"/>
      <c r="K314" s="350"/>
      <c r="L314" s="350"/>
      <c r="M314" s="350"/>
      <c r="N314" s="350"/>
      <c r="O314" s="350"/>
      <c r="P314" s="347">
        <f t="shared" si="10"/>
        <v>0</v>
      </c>
      <c r="Q314" s="350"/>
      <c r="R314" s="165">
        <f t="shared" si="11"/>
        <v>0</v>
      </c>
      <c r="S314" s="350"/>
      <c r="T314" s="351"/>
    </row>
    <row r="315" spans="1:20" s="269" customFormat="1">
      <c r="A315" s="350"/>
      <c r="B315" s="350"/>
      <c r="C315" s="350"/>
      <c r="D315" s="350"/>
      <c r="E315" s="350"/>
      <c r="F315" s="350"/>
      <c r="G315" s="350"/>
      <c r="H315" s="346"/>
      <c r="I315" s="350"/>
      <c r="J315" s="350"/>
      <c r="K315" s="350"/>
      <c r="L315" s="350"/>
      <c r="M315" s="350"/>
      <c r="N315" s="350"/>
      <c r="O315" s="350"/>
      <c r="P315" s="347">
        <f t="shared" si="10"/>
        <v>0</v>
      </c>
      <c r="Q315" s="350"/>
      <c r="R315" s="165">
        <f t="shared" si="11"/>
        <v>0</v>
      </c>
      <c r="S315" s="350"/>
      <c r="T315" s="351"/>
    </row>
    <row r="316" spans="1:20" s="269" customFormat="1">
      <c r="A316" s="350"/>
      <c r="B316" s="350"/>
      <c r="C316" s="350"/>
      <c r="D316" s="350"/>
      <c r="E316" s="350"/>
      <c r="F316" s="350"/>
      <c r="G316" s="350"/>
      <c r="H316" s="346"/>
      <c r="I316" s="350"/>
      <c r="J316" s="350"/>
      <c r="K316" s="350"/>
      <c r="L316" s="350"/>
      <c r="M316" s="350"/>
      <c r="N316" s="350"/>
      <c r="O316" s="350"/>
      <c r="P316" s="347">
        <f t="shared" si="10"/>
        <v>0</v>
      </c>
      <c r="Q316" s="350"/>
      <c r="R316" s="165">
        <f t="shared" si="11"/>
        <v>0</v>
      </c>
      <c r="S316" s="350"/>
      <c r="T316" s="351"/>
    </row>
    <row r="317" spans="1:20" s="269" customFormat="1">
      <c r="A317" s="350"/>
      <c r="B317" s="350"/>
      <c r="C317" s="350"/>
      <c r="D317" s="350"/>
      <c r="E317" s="350"/>
      <c r="F317" s="350"/>
      <c r="G317" s="350"/>
      <c r="H317" s="346"/>
      <c r="I317" s="350"/>
      <c r="J317" s="350"/>
      <c r="K317" s="350"/>
      <c r="L317" s="350"/>
      <c r="M317" s="350"/>
      <c r="N317" s="350"/>
      <c r="O317" s="350"/>
      <c r="P317" s="347">
        <f t="shared" si="10"/>
        <v>0</v>
      </c>
      <c r="Q317" s="350"/>
      <c r="R317" s="165">
        <f t="shared" si="11"/>
        <v>0</v>
      </c>
      <c r="S317" s="350"/>
      <c r="T317" s="351"/>
    </row>
    <row r="318" spans="1:20" s="269" customFormat="1">
      <c r="A318" s="350"/>
      <c r="B318" s="350"/>
      <c r="C318" s="350"/>
      <c r="D318" s="350"/>
      <c r="E318" s="350"/>
      <c r="F318" s="350"/>
      <c r="G318" s="350"/>
      <c r="H318" s="346"/>
      <c r="I318" s="350"/>
      <c r="J318" s="350"/>
      <c r="K318" s="350"/>
      <c r="L318" s="350"/>
      <c r="M318" s="350"/>
      <c r="N318" s="350"/>
      <c r="O318" s="350"/>
      <c r="P318" s="347">
        <f t="shared" si="10"/>
        <v>0</v>
      </c>
      <c r="Q318" s="350"/>
      <c r="R318" s="165">
        <f t="shared" si="11"/>
        <v>0</v>
      </c>
      <c r="S318" s="350"/>
      <c r="T318" s="351"/>
    </row>
    <row r="319" spans="1:20" s="269" customFormat="1">
      <c r="A319" s="350"/>
      <c r="B319" s="350"/>
      <c r="C319" s="350"/>
      <c r="D319" s="350"/>
      <c r="E319" s="350"/>
      <c r="F319" s="350"/>
      <c r="G319" s="350"/>
      <c r="H319" s="346"/>
      <c r="I319" s="350"/>
      <c r="J319" s="350"/>
      <c r="K319" s="350"/>
      <c r="L319" s="350"/>
      <c r="M319" s="350"/>
      <c r="N319" s="350"/>
      <c r="O319" s="350"/>
      <c r="P319" s="347">
        <f t="shared" si="10"/>
        <v>0</v>
      </c>
      <c r="Q319" s="350"/>
      <c r="R319" s="165">
        <f t="shared" si="11"/>
        <v>0</v>
      </c>
      <c r="S319" s="350"/>
      <c r="T319" s="351"/>
    </row>
    <row r="320" spans="1:20" s="269" customFormat="1">
      <c r="A320" s="350"/>
      <c r="B320" s="350"/>
      <c r="C320" s="350"/>
      <c r="D320" s="350"/>
      <c r="E320" s="350"/>
      <c r="F320" s="350"/>
      <c r="G320" s="350"/>
      <c r="H320" s="346"/>
      <c r="I320" s="350"/>
      <c r="J320" s="350"/>
      <c r="K320" s="350"/>
      <c r="L320" s="350"/>
      <c r="M320" s="350"/>
      <c r="N320" s="350"/>
      <c r="O320" s="350"/>
      <c r="P320" s="347">
        <f t="shared" si="10"/>
        <v>0</v>
      </c>
      <c r="Q320" s="350"/>
      <c r="R320" s="165">
        <f t="shared" si="11"/>
        <v>0</v>
      </c>
      <c r="S320" s="350"/>
      <c r="T320" s="351"/>
    </row>
    <row r="321" spans="1:20" s="269" customFormat="1">
      <c r="A321" s="350"/>
      <c r="B321" s="350"/>
      <c r="C321" s="350"/>
      <c r="D321" s="350"/>
      <c r="E321" s="350"/>
      <c r="F321" s="350"/>
      <c r="G321" s="350"/>
      <c r="H321" s="346"/>
      <c r="I321" s="350"/>
      <c r="J321" s="350"/>
      <c r="K321" s="350"/>
      <c r="L321" s="350"/>
      <c r="M321" s="350"/>
      <c r="N321" s="350"/>
      <c r="O321" s="350"/>
      <c r="P321" s="347">
        <f t="shared" si="10"/>
        <v>0</v>
      </c>
      <c r="Q321" s="350"/>
      <c r="R321" s="165">
        <f t="shared" si="11"/>
        <v>0</v>
      </c>
      <c r="S321" s="350"/>
      <c r="T321" s="351"/>
    </row>
    <row r="322" spans="1:20" s="269" customFormat="1">
      <c r="A322" s="350"/>
      <c r="B322" s="350"/>
      <c r="C322" s="350"/>
      <c r="D322" s="350"/>
      <c r="E322" s="350"/>
      <c r="F322" s="350"/>
      <c r="G322" s="350"/>
      <c r="H322" s="346"/>
      <c r="I322" s="350"/>
      <c r="J322" s="350"/>
      <c r="K322" s="350"/>
      <c r="L322" s="350"/>
      <c r="M322" s="350"/>
      <c r="N322" s="350"/>
      <c r="O322" s="350"/>
      <c r="P322" s="347">
        <f t="shared" si="10"/>
        <v>0</v>
      </c>
      <c r="Q322" s="350"/>
      <c r="R322" s="165">
        <f t="shared" si="11"/>
        <v>0</v>
      </c>
      <c r="S322" s="350"/>
      <c r="T322" s="351"/>
    </row>
    <row r="323" spans="1:20" s="269" customFormat="1">
      <c r="A323" s="350"/>
      <c r="B323" s="350"/>
      <c r="C323" s="350"/>
      <c r="D323" s="350"/>
      <c r="E323" s="350"/>
      <c r="F323" s="350"/>
      <c r="G323" s="350"/>
      <c r="H323" s="346"/>
      <c r="I323" s="350"/>
      <c r="J323" s="350"/>
      <c r="K323" s="350"/>
      <c r="L323" s="350"/>
      <c r="M323" s="350"/>
      <c r="N323" s="350"/>
      <c r="O323" s="350"/>
      <c r="P323" s="347">
        <f t="shared" si="10"/>
        <v>0</v>
      </c>
      <c r="Q323" s="350"/>
      <c r="R323" s="165">
        <f t="shared" si="11"/>
        <v>0</v>
      </c>
      <c r="S323" s="350"/>
      <c r="T323" s="351"/>
    </row>
    <row r="324" spans="1:20" s="269" customFormat="1">
      <c r="A324" s="350"/>
      <c r="B324" s="350"/>
      <c r="C324" s="350"/>
      <c r="D324" s="350"/>
      <c r="E324" s="350"/>
      <c r="F324" s="350"/>
      <c r="G324" s="350"/>
      <c r="H324" s="346"/>
      <c r="I324" s="350"/>
      <c r="J324" s="350"/>
      <c r="K324" s="350"/>
      <c r="L324" s="350"/>
      <c r="M324" s="350"/>
      <c r="N324" s="350"/>
      <c r="O324" s="350"/>
      <c r="P324" s="347">
        <f t="shared" si="10"/>
        <v>0</v>
      </c>
      <c r="Q324" s="350"/>
      <c r="R324" s="165">
        <f t="shared" si="11"/>
        <v>0</v>
      </c>
      <c r="S324" s="350"/>
      <c r="T324" s="351"/>
    </row>
    <row r="325" spans="1:20" s="269" customFormat="1">
      <c r="A325" s="350"/>
      <c r="B325" s="350"/>
      <c r="C325" s="350"/>
      <c r="D325" s="350"/>
      <c r="E325" s="350"/>
      <c r="F325" s="350"/>
      <c r="G325" s="350"/>
      <c r="H325" s="346"/>
      <c r="I325" s="350"/>
      <c r="J325" s="350"/>
      <c r="K325" s="350"/>
      <c r="L325" s="350"/>
      <c r="M325" s="350"/>
      <c r="N325" s="350"/>
      <c r="O325" s="350"/>
      <c r="P325" s="347">
        <f t="shared" si="10"/>
        <v>0</v>
      </c>
      <c r="Q325" s="350"/>
      <c r="R325" s="165">
        <f t="shared" si="11"/>
        <v>0</v>
      </c>
      <c r="S325" s="350"/>
      <c r="T325" s="351"/>
    </row>
    <row r="326" spans="1:20" s="269" customFormat="1">
      <c r="A326" s="350"/>
      <c r="B326" s="350"/>
      <c r="C326" s="350"/>
      <c r="D326" s="350"/>
      <c r="E326" s="350"/>
      <c r="F326" s="350"/>
      <c r="G326" s="350"/>
      <c r="H326" s="346"/>
      <c r="I326" s="350"/>
      <c r="J326" s="350"/>
      <c r="K326" s="350"/>
      <c r="L326" s="350"/>
      <c r="M326" s="350"/>
      <c r="N326" s="350"/>
      <c r="O326" s="350"/>
      <c r="P326" s="347">
        <f t="shared" si="10"/>
        <v>0</v>
      </c>
      <c r="Q326" s="350"/>
      <c r="R326" s="165">
        <f t="shared" si="11"/>
        <v>0</v>
      </c>
      <c r="S326" s="350"/>
      <c r="T326" s="351"/>
    </row>
    <row r="327" spans="1:20" s="269" customFormat="1">
      <c r="A327" s="350"/>
      <c r="B327" s="350"/>
      <c r="C327" s="350"/>
      <c r="D327" s="350"/>
      <c r="E327" s="350"/>
      <c r="F327" s="350"/>
      <c r="G327" s="350"/>
      <c r="H327" s="346"/>
      <c r="I327" s="350"/>
      <c r="J327" s="350"/>
      <c r="K327" s="350"/>
      <c r="L327" s="350"/>
      <c r="M327" s="350"/>
      <c r="N327" s="350"/>
      <c r="O327" s="350"/>
      <c r="P327" s="347">
        <f t="shared" si="10"/>
        <v>0</v>
      </c>
      <c r="Q327" s="350"/>
      <c r="R327" s="165">
        <f t="shared" si="11"/>
        <v>0</v>
      </c>
      <c r="S327" s="350"/>
      <c r="T327" s="351"/>
    </row>
    <row r="328" spans="1:20" s="269" customFormat="1">
      <c r="A328" s="350"/>
      <c r="B328" s="350"/>
      <c r="C328" s="350"/>
      <c r="D328" s="350"/>
      <c r="E328" s="350"/>
      <c r="F328" s="350"/>
      <c r="G328" s="350"/>
      <c r="H328" s="346"/>
      <c r="I328" s="350"/>
      <c r="J328" s="350"/>
      <c r="K328" s="350"/>
      <c r="L328" s="350"/>
      <c r="M328" s="350"/>
      <c r="N328" s="350"/>
      <c r="O328" s="350"/>
      <c r="P328" s="347">
        <f t="shared" si="10"/>
        <v>0</v>
      </c>
      <c r="Q328" s="350"/>
      <c r="R328" s="165">
        <f t="shared" si="11"/>
        <v>0</v>
      </c>
      <c r="S328" s="350"/>
      <c r="T328" s="351"/>
    </row>
    <row r="329" spans="1:20" s="269" customFormat="1">
      <c r="A329" s="350"/>
      <c r="B329" s="350"/>
      <c r="C329" s="350"/>
      <c r="D329" s="350"/>
      <c r="E329" s="350"/>
      <c r="F329" s="350"/>
      <c r="G329" s="350"/>
      <c r="H329" s="346"/>
      <c r="I329" s="350"/>
      <c r="J329" s="350"/>
      <c r="K329" s="350"/>
      <c r="L329" s="350"/>
      <c r="M329" s="350"/>
      <c r="N329" s="350"/>
      <c r="O329" s="350"/>
      <c r="P329" s="347">
        <f t="shared" si="10"/>
        <v>0</v>
      </c>
      <c r="Q329" s="350"/>
      <c r="R329" s="165">
        <f t="shared" si="11"/>
        <v>0</v>
      </c>
      <c r="S329" s="350"/>
      <c r="T329" s="351"/>
    </row>
    <row r="330" spans="1:20" s="269" customFormat="1">
      <c r="A330" s="350"/>
      <c r="B330" s="350"/>
      <c r="C330" s="350"/>
      <c r="D330" s="350"/>
      <c r="E330" s="350"/>
      <c r="F330" s="350"/>
      <c r="G330" s="350"/>
      <c r="H330" s="346"/>
      <c r="I330" s="350"/>
      <c r="J330" s="350"/>
      <c r="K330" s="350"/>
      <c r="L330" s="350"/>
      <c r="M330" s="350"/>
      <c r="N330" s="350"/>
      <c r="O330" s="350"/>
      <c r="P330" s="347">
        <f t="shared" si="10"/>
        <v>0</v>
      </c>
      <c r="Q330" s="350"/>
      <c r="R330" s="165">
        <f t="shared" si="11"/>
        <v>0</v>
      </c>
      <c r="S330" s="350"/>
      <c r="T330" s="351"/>
    </row>
    <row r="331" spans="1:20" s="269" customFormat="1">
      <c r="A331" s="350"/>
      <c r="B331" s="350"/>
      <c r="C331" s="350"/>
      <c r="D331" s="350"/>
      <c r="E331" s="350"/>
      <c r="F331" s="350"/>
      <c r="G331" s="350"/>
      <c r="H331" s="346"/>
      <c r="I331" s="350"/>
      <c r="J331" s="350"/>
      <c r="K331" s="350"/>
      <c r="L331" s="350"/>
      <c r="M331" s="350"/>
      <c r="N331" s="350"/>
      <c r="O331" s="350"/>
      <c r="P331" s="347">
        <f t="shared" si="10"/>
        <v>0</v>
      </c>
      <c r="Q331" s="350"/>
      <c r="R331" s="165">
        <f t="shared" si="11"/>
        <v>0</v>
      </c>
      <c r="S331" s="350"/>
      <c r="T331" s="351"/>
    </row>
    <row r="332" spans="1:20" s="269" customFormat="1">
      <c r="A332" s="350"/>
      <c r="B332" s="350"/>
      <c r="C332" s="350"/>
      <c r="D332" s="350"/>
      <c r="E332" s="350"/>
      <c r="F332" s="350"/>
      <c r="G332" s="350"/>
      <c r="H332" s="346"/>
      <c r="I332" s="350"/>
      <c r="J332" s="350"/>
      <c r="K332" s="350"/>
      <c r="L332" s="350"/>
      <c r="M332" s="350"/>
      <c r="N332" s="350"/>
      <c r="O332" s="350"/>
      <c r="P332" s="347">
        <f t="shared" si="10"/>
        <v>0</v>
      </c>
      <c r="Q332" s="350"/>
      <c r="R332" s="165">
        <f t="shared" si="11"/>
        <v>0</v>
      </c>
      <c r="S332" s="350"/>
      <c r="T332" s="351"/>
    </row>
    <row r="333" spans="1:20" s="269" customFormat="1">
      <c r="A333" s="350"/>
      <c r="B333" s="350"/>
      <c r="C333" s="350"/>
      <c r="D333" s="350"/>
      <c r="E333" s="350"/>
      <c r="F333" s="350"/>
      <c r="G333" s="350"/>
      <c r="H333" s="346"/>
      <c r="I333" s="350"/>
      <c r="J333" s="350"/>
      <c r="K333" s="350"/>
      <c r="L333" s="350"/>
      <c r="M333" s="350"/>
      <c r="N333" s="350"/>
      <c r="O333" s="350"/>
      <c r="P333" s="347">
        <f t="shared" ref="P333:P396" si="12">SUM(I333:O333)</f>
        <v>0</v>
      </c>
      <c r="Q333" s="350"/>
      <c r="R333" s="165">
        <f t="shared" si="11"/>
        <v>0</v>
      </c>
      <c r="S333" s="350"/>
      <c r="T333" s="351"/>
    </row>
    <row r="334" spans="1:20" s="269" customFormat="1">
      <c r="A334" s="350"/>
      <c r="B334" s="350"/>
      <c r="C334" s="350"/>
      <c r="D334" s="350"/>
      <c r="E334" s="350"/>
      <c r="F334" s="350"/>
      <c r="G334" s="350"/>
      <c r="H334" s="346"/>
      <c r="I334" s="350"/>
      <c r="J334" s="350"/>
      <c r="K334" s="350"/>
      <c r="L334" s="350"/>
      <c r="M334" s="350"/>
      <c r="N334" s="350"/>
      <c r="O334" s="350"/>
      <c r="P334" s="347">
        <f t="shared" si="12"/>
        <v>0</v>
      </c>
      <c r="Q334" s="350"/>
      <c r="R334" s="165">
        <f t="shared" si="11"/>
        <v>0</v>
      </c>
      <c r="S334" s="350"/>
      <c r="T334" s="351"/>
    </row>
    <row r="335" spans="1:20" s="269" customFormat="1">
      <c r="A335" s="350"/>
      <c r="B335" s="350"/>
      <c r="C335" s="350"/>
      <c r="D335" s="350"/>
      <c r="E335" s="350"/>
      <c r="F335" s="350"/>
      <c r="G335" s="350"/>
      <c r="H335" s="346"/>
      <c r="I335" s="350"/>
      <c r="J335" s="350"/>
      <c r="K335" s="350"/>
      <c r="L335" s="350"/>
      <c r="M335" s="350"/>
      <c r="N335" s="350"/>
      <c r="O335" s="350"/>
      <c r="P335" s="347">
        <f t="shared" si="12"/>
        <v>0</v>
      </c>
      <c r="Q335" s="350"/>
      <c r="R335" s="165">
        <f t="shared" si="11"/>
        <v>0</v>
      </c>
      <c r="S335" s="350"/>
      <c r="T335" s="351"/>
    </row>
    <row r="336" spans="1:20" s="269" customFormat="1">
      <c r="A336" s="350"/>
      <c r="B336" s="350"/>
      <c r="C336" s="350"/>
      <c r="D336" s="350"/>
      <c r="E336" s="350"/>
      <c r="F336" s="350"/>
      <c r="G336" s="350"/>
      <c r="H336" s="346"/>
      <c r="I336" s="350"/>
      <c r="J336" s="350"/>
      <c r="K336" s="350"/>
      <c r="L336" s="350"/>
      <c r="M336" s="350"/>
      <c r="N336" s="350"/>
      <c r="O336" s="350"/>
      <c r="P336" s="347">
        <f t="shared" si="12"/>
        <v>0</v>
      </c>
      <c r="Q336" s="350"/>
      <c r="R336" s="165">
        <f t="shared" si="11"/>
        <v>0</v>
      </c>
      <c r="S336" s="350"/>
      <c r="T336" s="351"/>
    </row>
    <row r="337" spans="1:20" s="269" customFormat="1">
      <c r="A337" s="350"/>
      <c r="B337" s="350"/>
      <c r="C337" s="350"/>
      <c r="D337" s="350"/>
      <c r="E337" s="350"/>
      <c r="F337" s="350"/>
      <c r="G337" s="350"/>
      <c r="H337" s="346"/>
      <c r="I337" s="350"/>
      <c r="J337" s="350"/>
      <c r="K337" s="350"/>
      <c r="L337" s="350"/>
      <c r="M337" s="350"/>
      <c r="N337" s="350"/>
      <c r="O337" s="350"/>
      <c r="P337" s="347">
        <f t="shared" si="12"/>
        <v>0</v>
      </c>
      <c r="Q337" s="350"/>
      <c r="R337" s="165">
        <f t="shared" si="11"/>
        <v>0</v>
      </c>
      <c r="S337" s="350"/>
      <c r="T337" s="351"/>
    </row>
    <row r="338" spans="1:20" s="269" customFormat="1">
      <c r="A338" s="350"/>
      <c r="B338" s="350"/>
      <c r="C338" s="350"/>
      <c r="D338" s="350"/>
      <c r="E338" s="350"/>
      <c r="F338" s="350"/>
      <c r="G338" s="350"/>
      <c r="H338" s="346"/>
      <c r="I338" s="350"/>
      <c r="J338" s="350"/>
      <c r="K338" s="350"/>
      <c r="L338" s="350"/>
      <c r="M338" s="350"/>
      <c r="N338" s="350"/>
      <c r="O338" s="350"/>
      <c r="P338" s="347">
        <f t="shared" si="12"/>
        <v>0</v>
      </c>
      <c r="Q338" s="350"/>
      <c r="R338" s="165">
        <f t="shared" si="11"/>
        <v>0</v>
      </c>
      <c r="S338" s="350"/>
      <c r="T338" s="351"/>
    </row>
    <row r="339" spans="1:20" s="269" customFormat="1">
      <c r="A339" s="350"/>
      <c r="B339" s="350"/>
      <c r="C339" s="350"/>
      <c r="D339" s="350"/>
      <c r="E339" s="350"/>
      <c r="F339" s="350"/>
      <c r="G339" s="350"/>
      <c r="H339" s="346"/>
      <c r="I339" s="350"/>
      <c r="J339" s="350"/>
      <c r="K339" s="350"/>
      <c r="L339" s="350"/>
      <c r="M339" s="350"/>
      <c r="N339" s="350"/>
      <c r="O339" s="350"/>
      <c r="P339" s="347">
        <f t="shared" si="12"/>
        <v>0</v>
      </c>
      <c r="Q339" s="350"/>
      <c r="R339" s="165">
        <f t="shared" si="11"/>
        <v>0</v>
      </c>
      <c r="S339" s="350"/>
      <c r="T339" s="351"/>
    </row>
    <row r="340" spans="1:20" s="269" customFormat="1">
      <c r="A340" s="350"/>
      <c r="B340" s="350"/>
      <c r="C340" s="350"/>
      <c r="D340" s="350"/>
      <c r="E340" s="350"/>
      <c r="F340" s="350"/>
      <c r="G340" s="350"/>
      <c r="H340" s="346"/>
      <c r="I340" s="350"/>
      <c r="J340" s="350"/>
      <c r="K340" s="350"/>
      <c r="L340" s="350"/>
      <c r="M340" s="350"/>
      <c r="N340" s="350"/>
      <c r="O340" s="350"/>
      <c r="P340" s="347">
        <f t="shared" si="12"/>
        <v>0</v>
      </c>
      <c r="Q340" s="350"/>
      <c r="R340" s="165">
        <f t="shared" si="11"/>
        <v>0</v>
      </c>
      <c r="S340" s="350"/>
      <c r="T340" s="351"/>
    </row>
    <row r="341" spans="1:20" s="269" customFormat="1">
      <c r="A341" s="350"/>
      <c r="B341" s="350"/>
      <c r="C341" s="350"/>
      <c r="D341" s="350"/>
      <c r="E341" s="350"/>
      <c r="F341" s="350"/>
      <c r="G341" s="350"/>
      <c r="H341" s="346"/>
      <c r="I341" s="350"/>
      <c r="J341" s="350"/>
      <c r="K341" s="350"/>
      <c r="L341" s="350"/>
      <c r="M341" s="350"/>
      <c r="N341" s="350"/>
      <c r="O341" s="350"/>
      <c r="P341" s="347">
        <f t="shared" si="12"/>
        <v>0</v>
      </c>
      <c r="Q341" s="350"/>
      <c r="R341" s="165">
        <f t="shared" si="11"/>
        <v>0</v>
      </c>
      <c r="S341" s="350"/>
      <c r="T341" s="351"/>
    </row>
    <row r="342" spans="1:20" s="269" customFormat="1">
      <c r="A342" s="350"/>
      <c r="B342" s="350"/>
      <c r="C342" s="350"/>
      <c r="D342" s="350"/>
      <c r="E342" s="350"/>
      <c r="F342" s="350"/>
      <c r="G342" s="350"/>
      <c r="H342" s="346"/>
      <c r="I342" s="350"/>
      <c r="J342" s="350"/>
      <c r="K342" s="350"/>
      <c r="L342" s="350"/>
      <c r="M342" s="350"/>
      <c r="N342" s="350"/>
      <c r="O342" s="350"/>
      <c r="P342" s="347">
        <f t="shared" si="12"/>
        <v>0</v>
      </c>
      <c r="Q342" s="350"/>
      <c r="R342" s="165">
        <f t="shared" si="11"/>
        <v>0</v>
      </c>
      <c r="S342" s="350"/>
      <c r="T342" s="351"/>
    </row>
    <row r="343" spans="1:20" s="269" customFormat="1">
      <c r="A343" s="350"/>
      <c r="B343" s="350"/>
      <c r="C343" s="350"/>
      <c r="D343" s="350"/>
      <c r="E343" s="350"/>
      <c r="F343" s="350"/>
      <c r="G343" s="350"/>
      <c r="H343" s="346"/>
      <c r="I343" s="350"/>
      <c r="J343" s="350"/>
      <c r="K343" s="350"/>
      <c r="L343" s="350"/>
      <c r="M343" s="350"/>
      <c r="N343" s="350"/>
      <c r="O343" s="350"/>
      <c r="P343" s="347">
        <f t="shared" si="12"/>
        <v>0</v>
      </c>
      <c r="Q343" s="350"/>
      <c r="R343" s="165">
        <f t="shared" si="11"/>
        <v>0</v>
      </c>
      <c r="S343" s="350"/>
      <c r="T343" s="351"/>
    </row>
    <row r="344" spans="1:20" s="269" customFormat="1">
      <c r="A344" s="350"/>
      <c r="B344" s="350"/>
      <c r="C344" s="350"/>
      <c r="D344" s="350"/>
      <c r="E344" s="350"/>
      <c r="F344" s="350"/>
      <c r="G344" s="350"/>
      <c r="H344" s="346"/>
      <c r="I344" s="350"/>
      <c r="J344" s="350"/>
      <c r="K344" s="350"/>
      <c r="L344" s="350"/>
      <c r="M344" s="350"/>
      <c r="N344" s="350"/>
      <c r="O344" s="350"/>
      <c r="P344" s="347">
        <f t="shared" si="12"/>
        <v>0</v>
      </c>
      <c r="Q344" s="350"/>
      <c r="R344" s="165">
        <f t="shared" si="11"/>
        <v>0</v>
      </c>
      <c r="S344" s="350"/>
      <c r="T344" s="351"/>
    </row>
    <row r="345" spans="1:20" s="269" customFormat="1">
      <c r="A345" s="350"/>
      <c r="B345" s="350"/>
      <c r="C345" s="350"/>
      <c r="D345" s="350"/>
      <c r="E345" s="350"/>
      <c r="F345" s="350"/>
      <c r="G345" s="350"/>
      <c r="H345" s="346"/>
      <c r="I345" s="350"/>
      <c r="J345" s="350"/>
      <c r="K345" s="350"/>
      <c r="L345" s="350"/>
      <c r="M345" s="350"/>
      <c r="N345" s="350"/>
      <c r="O345" s="350"/>
      <c r="P345" s="347">
        <f t="shared" si="12"/>
        <v>0</v>
      </c>
      <c r="Q345" s="350"/>
      <c r="R345" s="165">
        <f t="shared" si="11"/>
        <v>0</v>
      </c>
      <c r="S345" s="350"/>
      <c r="T345" s="351"/>
    </row>
    <row r="346" spans="1:20" s="269" customFormat="1">
      <c r="A346" s="350"/>
      <c r="B346" s="350"/>
      <c r="C346" s="350"/>
      <c r="D346" s="350"/>
      <c r="E346" s="350"/>
      <c r="F346" s="350"/>
      <c r="G346" s="350"/>
      <c r="H346" s="346"/>
      <c r="I346" s="350"/>
      <c r="J346" s="350"/>
      <c r="K346" s="350"/>
      <c r="L346" s="350"/>
      <c r="M346" s="350"/>
      <c r="N346" s="350"/>
      <c r="O346" s="350"/>
      <c r="P346" s="347">
        <f t="shared" si="12"/>
        <v>0</v>
      </c>
      <c r="Q346" s="350"/>
      <c r="R346" s="165">
        <f t="shared" ref="R346:R409" si="13">P346-Q346</f>
        <v>0</v>
      </c>
      <c r="S346" s="350"/>
      <c r="T346" s="351"/>
    </row>
    <row r="347" spans="1:20" s="269" customFormat="1">
      <c r="A347" s="350"/>
      <c r="B347" s="350"/>
      <c r="C347" s="350"/>
      <c r="D347" s="350"/>
      <c r="E347" s="350"/>
      <c r="F347" s="350"/>
      <c r="G347" s="350"/>
      <c r="H347" s="346"/>
      <c r="I347" s="350"/>
      <c r="J347" s="350"/>
      <c r="K347" s="350"/>
      <c r="L347" s="350"/>
      <c r="M347" s="350"/>
      <c r="N347" s="350"/>
      <c r="O347" s="350"/>
      <c r="P347" s="347">
        <f t="shared" si="12"/>
        <v>0</v>
      </c>
      <c r="Q347" s="350"/>
      <c r="R347" s="165">
        <f t="shared" si="13"/>
        <v>0</v>
      </c>
      <c r="S347" s="350"/>
      <c r="T347" s="351"/>
    </row>
    <row r="348" spans="1:20" s="269" customFormat="1">
      <c r="A348" s="350"/>
      <c r="B348" s="350"/>
      <c r="C348" s="350"/>
      <c r="D348" s="350"/>
      <c r="E348" s="350"/>
      <c r="F348" s="350"/>
      <c r="G348" s="350"/>
      <c r="H348" s="346"/>
      <c r="I348" s="350"/>
      <c r="J348" s="350"/>
      <c r="K348" s="350"/>
      <c r="L348" s="350"/>
      <c r="M348" s="350"/>
      <c r="N348" s="350"/>
      <c r="O348" s="350"/>
      <c r="P348" s="347">
        <f t="shared" si="12"/>
        <v>0</v>
      </c>
      <c r="Q348" s="350"/>
      <c r="R348" s="165">
        <f t="shared" si="13"/>
        <v>0</v>
      </c>
      <c r="S348" s="350"/>
      <c r="T348" s="351"/>
    </row>
    <row r="349" spans="1:20" s="269" customFormat="1">
      <c r="A349" s="350"/>
      <c r="B349" s="350"/>
      <c r="C349" s="350"/>
      <c r="D349" s="350"/>
      <c r="E349" s="350"/>
      <c r="F349" s="350"/>
      <c r="G349" s="350"/>
      <c r="H349" s="346"/>
      <c r="I349" s="350"/>
      <c r="J349" s="350"/>
      <c r="K349" s="350"/>
      <c r="L349" s="350"/>
      <c r="M349" s="350"/>
      <c r="N349" s="350"/>
      <c r="O349" s="350"/>
      <c r="P349" s="347">
        <f t="shared" si="12"/>
        <v>0</v>
      </c>
      <c r="Q349" s="350"/>
      <c r="R349" s="165">
        <f t="shared" si="13"/>
        <v>0</v>
      </c>
      <c r="S349" s="350"/>
      <c r="T349" s="351"/>
    </row>
    <row r="350" spans="1:20" s="269" customFormat="1">
      <c r="A350" s="350"/>
      <c r="B350" s="350"/>
      <c r="C350" s="350"/>
      <c r="D350" s="350"/>
      <c r="E350" s="350"/>
      <c r="F350" s="350"/>
      <c r="G350" s="350"/>
      <c r="H350" s="346"/>
      <c r="I350" s="350"/>
      <c r="J350" s="350"/>
      <c r="K350" s="350"/>
      <c r="L350" s="350"/>
      <c r="M350" s="350"/>
      <c r="N350" s="350"/>
      <c r="O350" s="350"/>
      <c r="P350" s="347">
        <f t="shared" si="12"/>
        <v>0</v>
      </c>
      <c r="Q350" s="350"/>
      <c r="R350" s="165">
        <f t="shared" si="13"/>
        <v>0</v>
      </c>
      <c r="S350" s="350"/>
      <c r="T350" s="351"/>
    </row>
    <row r="351" spans="1:20" s="269" customFormat="1">
      <c r="A351" s="350"/>
      <c r="B351" s="350"/>
      <c r="C351" s="350"/>
      <c r="D351" s="350"/>
      <c r="E351" s="350"/>
      <c r="F351" s="350"/>
      <c r="G351" s="350"/>
      <c r="H351" s="346"/>
      <c r="I351" s="350"/>
      <c r="J351" s="350"/>
      <c r="K351" s="350"/>
      <c r="L351" s="350"/>
      <c r="M351" s="350"/>
      <c r="N351" s="350"/>
      <c r="O351" s="350"/>
      <c r="P351" s="347">
        <f t="shared" si="12"/>
        <v>0</v>
      </c>
      <c r="Q351" s="350"/>
      <c r="R351" s="165">
        <f t="shared" si="13"/>
        <v>0</v>
      </c>
      <c r="S351" s="350"/>
      <c r="T351" s="351"/>
    </row>
    <row r="352" spans="1:20" s="269" customFormat="1">
      <c r="A352" s="350"/>
      <c r="B352" s="350"/>
      <c r="C352" s="350"/>
      <c r="D352" s="350"/>
      <c r="E352" s="350"/>
      <c r="F352" s="350"/>
      <c r="G352" s="350"/>
      <c r="H352" s="346"/>
      <c r="I352" s="350"/>
      <c r="J352" s="350"/>
      <c r="K352" s="350"/>
      <c r="L352" s="350"/>
      <c r="M352" s="350"/>
      <c r="N352" s="350"/>
      <c r="O352" s="350"/>
      <c r="P352" s="347">
        <f t="shared" si="12"/>
        <v>0</v>
      </c>
      <c r="Q352" s="350"/>
      <c r="R352" s="165">
        <f t="shared" si="13"/>
        <v>0</v>
      </c>
      <c r="S352" s="350"/>
      <c r="T352" s="351"/>
    </row>
    <row r="353" spans="1:20" s="269" customFormat="1">
      <c r="A353" s="350"/>
      <c r="B353" s="350"/>
      <c r="C353" s="350"/>
      <c r="D353" s="350"/>
      <c r="E353" s="350"/>
      <c r="F353" s="350"/>
      <c r="G353" s="350"/>
      <c r="H353" s="346"/>
      <c r="I353" s="350"/>
      <c r="J353" s="350"/>
      <c r="K353" s="350"/>
      <c r="L353" s="350"/>
      <c r="M353" s="350"/>
      <c r="N353" s="350"/>
      <c r="O353" s="350"/>
      <c r="P353" s="347">
        <f t="shared" si="12"/>
        <v>0</v>
      </c>
      <c r="Q353" s="350"/>
      <c r="R353" s="165">
        <f t="shared" si="13"/>
        <v>0</v>
      </c>
      <c r="S353" s="350"/>
      <c r="T353" s="351"/>
    </row>
    <row r="354" spans="1:20" s="269" customFormat="1">
      <c r="A354" s="350"/>
      <c r="B354" s="350"/>
      <c r="C354" s="350"/>
      <c r="D354" s="350"/>
      <c r="E354" s="350"/>
      <c r="F354" s="350"/>
      <c r="G354" s="350"/>
      <c r="H354" s="346"/>
      <c r="I354" s="350"/>
      <c r="J354" s="350"/>
      <c r="K354" s="350"/>
      <c r="L354" s="350"/>
      <c r="M354" s="350"/>
      <c r="N354" s="350"/>
      <c r="O354" s="350"/>
      <c r="P354" s="347">
        <f t="shared" si="12"/>
        <v>0</v>
      </c>
      <c r="Q354" s="350"/>
      <c r="R354" s="165">
        <f t="shared" si="13"/>
        <v>0</v>
      </c>
      <c r="S354" s="350"/>
      <c r="T354" s="351"/>
    </row>
    <row r="355" spans="1:20" s="269" customFormat="1">
      <c r="A355" s="350"/>
      <c r="B355" s="350"/>
      <c r="C355" s="350"/>
      <c r="D355" s="350"/>
      <c r="E355" s="350"/>
      <c r="F355" s="350"/>
      <c r="G355" s="350"/>
      <c r="H355" s="346"/>
      <c r="I355" s="350"/>
      <c r="J355" s="350"/>
      <c r="K355" s="350"/>
      <c r="L355" s="350"/>
      <c r="M355" s="350"/>
      <c r="N355" s="350"/>
      <c r="O355" s="350"/>
      <c r="P355" s="347">
        <f t="shared" si="12"/>
        <v>0</v>
      </c>
      <c r="Q355" s="350"/>
      <c r="R355" s="165">
        <f t="shared" si="13"/>
        <v>0</v>
      </c>
      <c r="S355" s="350"/>
      <c r="T355" s="351"/>
    </row>
    <row r="356" spans="1:20" s="269" customFormat="1">
      <c r="A356" s="350"/>
      <c r="B356" s="350"/>
      <c r="C356" s="350"/>
      <c r="D356" s="350"/>
      <c r="E356" s="350"/>
      <c r="F356" s="350"/>
      <c r="G356" s="350"/>
      <c r="H356" s="346"/>
      <c r="I356" s="350"/>
      <c r="J356" s="350"/>
      <c r="K356" s="350"/>
      <c r="L356" s="350"/>
      <c r="M356" s="350"/>
      <c r="N356" s="350"/>
      <c r="O356" s="350"/>
      <c r="P356" s="347">
        <f t="shared" si="12"/>
        <v>0</v>
      </c>
      <c r="Q356" s="350"/>
      <c r="R356" s="165">
        <f t="shared" si="13"/>
        <v>0</v>
      </c>
      <c r="S356" s="350"/>
      <c r="T356" s="351"/>
    </row>
    <row r="357" spans="1:20" s="269" customFormat="1">
      <c r="A357" s="350"/>
      <c r="B357" s="350"/>
      <c r="C357" s="350"/>
      <c r="D357" s="350"/>
      <c r="E357" s="350"/>
      <c r="F357" s="350"/>
      <c r="G357" s="350"/>
      <c r="H357" s="346"/>
      <c r="I357" s="350"/>
      <c r="J357" s="350"/>
      <c r="K357" s="350"/>
      <c r="L357" s="350"/>
      <c r="M357" s="350"/>
      <c r="N357" s="350"/>
      <c r="O357" s="350"/>
      <c r="P357" s="347">
        <f t="shared" si="12"/>
        <v>0</v>
      </c>
      <c r="Q357" s="350"/>
      <c r="R357" s="165">
        <f t="shared" si="13"/>
        <v>0</v>
      </c>
      <c r="S357" s="350"/>
      <c r="T357" s="351"/>
    </row>
    <row r="358" spans="1:20" s="269" customFormat="1">
      <c r="A358" s="350"/>
      <c r="B358" s="350"/>
      <c r="C358" s="350"/>
      <c r="D358" s="350"/>
      <c r="E358" s="350"/>
      <c r="F358" s="350"/>
      <c r="G358" s="350"/>
      <c r="H358" s="346"/>
      <c r="I358" s="350"/>
      <c r="J358" s="350"/>
      <c r="K358" s="350"/>
      <c r="L358" s="350"/>
      <c r="M358" s="350"/>
      <c r="N358" s="350"/>
      <c r="O358" s="350"/>
      <c r="P358" s="347">
        <f t="shared" si="12"/>
        <v>0</v>
      </c>
      <c r="Q358" s="350"/>
      <c r="R358" s="165">
        <f t="shared" si="13"/>
        <v>0</v>
      </c>
      <c r="S358" s="350"/>
      <c r="T358" s="351"/>
    </row>
    <row r="359" spans="1:20" s="269" customFormat="1">
      <c r="A359" s="350"/>
      <c r="B359" s="350"/>
      <c r="C359" s="350"/>
      <c r="D359" s="350"/>
      <c r="E359" s="350"/>
      <c r="F359" s="350"/>
      <c r="G359" s="350"/>
      <c r="H359" s="346"/>
      <c r="I359" s="350"/>
      <c r="J359" s="350"/>
      <c r="K359" s="350"/>
      <c r="L359" s="350"/>
      <c r="M359" s="350"/>
      <c r="N359" s="350"/>
      <c r="O359" s="350"/>
      <c r="P359" s="347">
        <f t="shared" si="12"/>
        <v>0</v>
      </c>
      <c r="Q359" s="350"/>
      <c r="R359" s="165">
        <f t="shared" si="13"/>
        <v>0</v>
      </c>
      <c r="S359" s="350"/>
      <c r="T359" s="351"/>
    </row>
    <row r="360" spans="1:20" s="269" customFormat="1">
      <c r="A360" s="350"/>
      <c r="B360" s="350"/>
      <c r="C360" s="350"/>
      <c r="D360" s="350"/>
      <c r="E360" s="350"/>
      <c r="F360" s="350"/>
      <c r="G360" s="350"/>
      <c r="H360" s="346"/>
      <c r="I360" s="350"/>
      <c r="J360" s="350"/>
      <c r="K360" s="350"/>
      <c r="L360" s="350"/>
      <c r="M360" s="350"/>
      <c r="N360" s="350"/>
      <c r="O360" s="350"/>
      <c r="P360" s="347">
        <f t="shared" si="12"/>
        <v>0</v>
      </c>
      <c r="Q360" s="350"/>
      <c r="R360" s="165">
        <f t="shared" si="13"/>
        <v>0</v>
      </c>
      <c r="S360" s="350"/>
      <c r="T360" s="351"/>
    </row>
    <row r="361" spans="1:20" s="269" customFormat="1">
      <c r="A361" s="350"/>
      <c r="B361" s="350"/>
      <c r="C361" s="350"/>
      <c r="D361" s="350"/>
      <c r="E361" s="350"/>
      <c r="F361" s="350"/>
      <c r="G361" s="350"/>
      <c r="H361" s="346"/>
      <c r="I361" s="350"/>
      <c r="J361" s="350"/>
      <c r="K361" s="350"/>
      <c r="L361" s="350"/>
      <c r="M361" s="350"/>
      <c r="N361" s="350"/>
      <c r="O361" s="350"/>
      <c r="P361" s="347">
        <f t="shared" si="12"/>
        <v>0</v>
      </c>
      <c r="Q361" s="350"/>
      <c r="R361" s="165">
        <f t="shared" si="13"/>
        <v>0</v>
      </c>
      <c r="S361" s="350"/>
      <c r="T361" s="351"/>
    </row>
    <row r="362" spans="1:20" s="269" customFormat="1">
      <c r="A362" s="350"/>
      <c r="B362" s="350"/>
      <c r="C362" s="350"/>
      <c r="D362" s="350"/>
      <c r="E362" s="350"/>
      <c r="F362" s="350"/>
      <c r="G362" s="350"/>
      <c r="H362" s="346"/>
      <c r="I362" s="350"/>
      <c r="J362" s="350"/>
      <c r="K362" s="350"/>
      <c r="L362" s="350"/>
      <c r="M362" s="350"/>
      <c r="N362" s="350"/>
      <c r="O362" s="350"/>
      <c r="P362" s="347">
        <f t="shared" si="12"/>
        <v>0</v>
      </c>
      <c r="Q362" s="350"/>
      <c r="R362" s="165">
        <f t="shared" si="13"/>
        <v>0</v>
      </c>
      <c r="S362" s="350"/>
      <c r="T362" s="351"/>
    </row>
    <row r="363" spans="1:20" s="269" customFormat="1">
      <c r="A363" s="350"/>
      <c r="B363" s="350"/>
      <c r="C363" s="350"/>
      <c r="D363" s="350"/>
      <c r="E363" s="350"/>
      <c r="F363" s="350"/>
      <c r="G363" s="350"/>
      <c r="H363" s="346"/>
      <c r="I363" s="350"/>
      <c r="J363" s="350"/>
      <c r="K363" s="350"/>
      <c r="L363" s="350"/>
      <c r="M363" s="350"/>
      <c r="N363" s="350"/>
      <c r="O363" s="350"/>
      <c r="P363" s="347">
        <f t="shared" si="12"/>
        <v>0</v>
      </c>
      <c r="Q363" s="350"/>
      <c r="R363" s="165">
        <f t="shared" si="13"/>
        <v>0</v>
      </c>
      <c r="S363" s="350"/>
      <c r="T363" s="351"/>
    </row>
    <row r="364" spans="1:20" s="269" customFormat="1">
      <c r="A364" s="350"/>
      <c r="B364" s="350"/>
      <c r="C364" s="350"/>
      <c r="D364" s="350"/>
      <c r="E364" s="350"/>
      <c r="F364" s="350"/>
      <c r="G364" s="350"/>
      <c r="H364" s="346"/>
      <c r="I364" s="350"/>
      <c r="J364" s="350"/>
      <c r="K364" s="350"/>
      <c r="L364" s="350"/>
      <c r="M364" s="350"/>
      <c r="N364" s="350"/>
      <c r="O364" s="350"/>
      <c r="P364" s="347">
        <f t="shared" si="12"/>
        <v>0</v>
      </c>
      <c r="Q364" s="350"/>
      <c r="R364" s="165">
        <f t="shared" si="13"/>
        <v>0</v>
      </c>
      <c r="S364" s="350"/>
      <c r="T364" s="351"/>
    </row>
    <row r="365" spans="1:20" s="269" customFormat="1">
      <c r="A365" s="350"/>
      <c r="B365" s="350"/>
      <c r="C365" s="350"/>
      <c r="D365" s="350"/>
      <c r="E365" s="350"/>
      <c r="F365" s="350"/>
      <c r="G365" s="350"/>
      <c r="H365" s="346"/>
      <c r="I365" s="350"/>
      <c r="J365" s="350"/>
      <c r="K365" s="350"/>
      <c r="L365" s="350"/>
      <c r="M365" s="350"/>
      <c r="N365" s="350"/>
      <c r="O365" s="350"/>
      <c r="P365" s="347">
        <f t="shared" si="12"/>
        <v>0</v>
      </c>
      <c r="Q365" s="350"/>
      <c r="R365" s="165">
        <f t="shared" si="13"/>
        <v>0</v>
      </c>
      <c r="S365" s="350"/>
      <c r="T365" s="351"/>
    </row>
    <row r="366" spans="1:20" s="269" customFormat="1">
      <c r="A366" s="350"/>
      <c r="B366" s="350"/>
      <c r="C366" s="350"/>
      <c r="D366" s="350"/>
      <c r="E366" s="350"/>
      <c r="F366" s="350"/>
      <c r="G366" s="350"/>
      <c r="H366" s="346"/>
      <c r="I366" s="350"/>
      <c r="J366" s="350"/>
      <c r="K366" s="350"/>
      <c r="L366" s="350"/>
      <c r="M366" s="350"/>
      <c r="N366" s="350"/>
      <c r="O366" s="350"/>
      <c r="P366" s="347">
        <f t="shared" si="12"/>
        <v>0</v>
      </c>
      <c r="Q366" s="350"/>
      <c r="R366" s="165">
        <f t="shared" si="13"/>
        <v>0</v>
      </c>
      <c r="S366" s="350"/>
      <c r="T366" s="351"/>
    </row>
    <row r="367" spans="1:20" s="269" customFormat="1">
      <c r="A367" s="350"/>
      <c r="B367" s="350"/>
      <c r="C367" s="350"/>
      <c r="D367" s="350"/>
      <c r="E367" s="350"/>
      <c r="F367" s="350"/>
      <c r="G367" s="350"/>
      <c r="H367" s="346"/>
      <c r="I367" s="350"/>
      <c r="J367" s="350"/>
      <c r="K367" s="350"/>
      <c r="L367" s="350"/>
      <c r="M367" s="350"/>
      <c r="N367" s="350"/>
      <c r="O367" s="350"/>
      <c r="P367" s="347">
        <f t="shared" si="12"/>
        <v>0</v>
      </c>
      <c r="Q367" s="350"/>
      <c r="R367" s="165">
        <f t="shared" si="13"/>
        <v>0</v>
      </c>
      <c r="S367" s="350"/>
      <c r="T367" s="351"/>
    </row>
    <row r="368" spans="1:20" s="269" customFormat="1">
      <c r="A368" s="350"/>
      <c r="B368" s="350"/>
      <c r="C368" s="350"/>
      <c r="D368" s="350"/>
      <c r="E368" s="350"/>
      <c r="F368" s="350"/>
      <c r="G368" s="350"/>
      <c r="H368" s="346"/>
      <c r="I368" s="350"/>
      <c r="J368" s="350"/>
      <c r="K368" s="350"/>
      <c r="L368" s="350"/>
      <c r="M368" s="350"/>
      <c r="N368" s="350"/>
      <c r="O368" s="350"/>
      <c r="P368" s="347">
        <f t="shared" si="12"/>
        <v>0</v>
      </c>
      <c r="Q368" s="350"/>
      <c r="R368" s="165">
        <f t="shared" si="13"/>
        <v>0</v>
      </c>
      <c r="S368" s="350"/>
      <c r="T368" s="351"/>
    </row>
    <row r="369" spans="1:20" s="269" customFormat="1">
      <c r="A369" s="350"/>
      <c r="B369" s="350"/>
      <c r="C369" s="350"/>
      <c r="D369" s="350"/>
      <c r="E369" s="350"/>
      <c r="F369" s="350"/>
      <c r="G369" s="350"/>
      <c r="H369" s="346"/>
      <c r="I369" s="350"/>
      <c r="J369" s="350"/>
      <c r="K369" s="350"/>
      <c r="L369" s="350"/>
      <c r="M369" s="350"/>
      <c r="N369" s="350"/>
      <c r="O369" s="350"/>
      <c r="P369" s="347">
        <f t="shared" si="12"/>
        <v>0</v>
      </c>
      <c r="Q369" s="350"/>
      <c r="R369" s="165">
        <f t="shared" si="13"/>
        <v>0</v>
      </c>
      <c r="S369" s="350"/>
      <c r="T369" s="351"/>
    </row>
    <row r="370" spans="1:20" s="269" customFormat="1">
      <c r="A370" s="350"/>
      <c r="B370" s="350"/>
      <c r="C370" s="350"/>
      <c r="D370" s="350"/>
      <c r="E370" s="350"/>
      <c r="F370" s="350"/>
      <c r="G370" s="350"/>
      <c r="H370" s="346"/>
      <c r="I370" s="350"/>
      <c r="J370" s="350"/>
      <c r="K370" s="350"/>
      <c r="L370" s="350"/>
      <c r="M370" s="350"/>
      <c r="N370" s="350"/>
      <c r="O370" s="350"/>
      <c r="P370" s="347">
        <f t="shared" si="12"/>
        <v>0</v>
      </c>
      <c r="Q370" s="350"/>
      <c r="R370" s="165">
        <f t="shared" si="13"/>
        <v>0</v>
      </c>
      <c r="S370" s="350"/>
      <c r="T370" s="351"/>
    </row>
    <row r="371" spans="1:20" s="269" customFormat="1">
      <c r="A371" s="350"/>
      <c r="B371" s="350"/>
      <c r="C371" s="350"/>
      <c r="D371" s="350"/>
      <c r="E371" s="350"/>
      <c r="F371" s="350"/>
      <c r="G371" s="350"/>
      <c r="H371" s="346"/>
      <c r="I371" s="350"/>
      <c r="J371" s="350"/>
      <c r="K371" s="350"/>
      <c r="L371" s="350"/>
      <c r="M371" s="350"/>
      <c r="N371" s="350"/>
      <c r="O371" s="350"/>
      <c r="P371" s="347">
        <f t="shared" si="12"/>
        <v>0</v>
      </c>
      <c r="Q371" s="350"/>
      <c r="R371" s="165">
        <f t="shared" si="13"/>
        <v>0</v>
      </c>
      <c r="S371" s="350"/>
      <c r="T371" s="351"/>
    </row>
    <row r="372" spans="1:20" s="269" customFormat="1">
      <c r="A372" s="350"/>
      <c r="B372" s="350"/>
      <c r="C372" s="350"/>
      <c r="D372" s="350"/>
      <c r="E372" s="350"/>
      <c r="F372" s="350"/>
      <c r="G372" s="350"/>
      <c r="H372" s="346"/>
      <c r="I372" s="350"/>
      <c r="J372" s="350"/>
      <c r="K372" s="350"/>
      <c r="L372" s="350"/>
      <c r="M372" s="350"/>
      <c r="N372" s="350"/>
      <c r="O372" s="350"/>
      <c r="P372" s="347">
        <f t="shared" si="12"/>
        <v>0</v>
      </c>
      <c r="Q372" s="350"/>
      <c r="R372" s="165">
        <f t="shared" si="13"/>
        <v>0</v>
      </c>
      <c r="S372" s="350"/>
      <c r="T372" s="351"/>
    </row>
    <row r="373" spans="1:20" s="269" customFormat="1">
      <c r="A373" s="350"/>
      <c r="B373" s="350"/>
      <c r="C373" s="350"/>
      <c r="D373" s="350"/>
      <c r="E373" s="350"/>
      <c r="F373" s="350"/>
      <c r="G373" s="350"/>
      <c r="H373" s="346"/>
      <c r="I373" s="350"/>
      <c r="J373" s="350"/>
      <c r="K373" s="350"/>
      <c r="L373" s="350"/>
      <c r="M373" s="350"/>
      <c r="N373" s="350"/>
      <c r="O373" s="350"/>
      <c r="P373" s="347">
        <f t="shared" si="12"/>
        <v>0</v>
      </c>
      <c r="Q373" s="350"/>
      <c r="R373" s="165">
        <f t="shared" si="13"/>
        <v>0</v>
      </c>
      <c r="S373" s="350"/>
      <c r="T373" s="351"/>
    </row>
    <row r="374" spans="1:20" s="269" customFormat="1">
      <c r="A374" s="350"/>
      <c r="B374" s="350"/>
      <c r="C374" s="350"/>
      <c r="D374" s="350"/>
      <c r="E374" s="350"/>
      <c r="F374" s="350"/>
      <c r="G374" s="350"/>
      <c r="H374" s="346"/>
      <c r="I374" s="350"/>
      <c r="J374" s="350"/>
      <c r="K374" s="350"/>
      <c r="L374" s="350"/>
      <c r="M374" s="350"/>
      <c r="N374" s="350"/>
      <c r="O374" s="350"/>
      <c r="P374" s="347">
        <f t="shared" si="12"/>
        <v>0</v>
      </c>
      <c r="Q374" s="350"/>
      <c r="R374" s="165">
        <f t="shared" si="13"/>
        <v>0</v>
      </c>
      <c r="S374" s="350"/>
      <c r="T374" s="351"/>
    </row>
    <row r="375" spans="1:20" s="269" customFormat="1">
      <c r="A375" s="350"/>
      <c r="B375" s="350"/>
      <c r="C375" s="350"/>
      <c r="D375" s="350"/>
      <c r="E375" s="350"/>
      <c r="F375" s="350"/>
      <c r="G375" s="350"/>
      <c r="H375" s="346"/>
      <c r="I375" s="350"/>
      <c r="J375" s="350"/>
      <c r="K375" s="350"/>
      <c r="L375" s="350"/>
      <c r="M375" s="350"/>
      <c r="N375" s="350"/>
      <c r="O375" s="350"/>
      <c r="P375" s="347">
        <f t="shared" si="12"/>
        <v>0</v>
      </c>
      <c r="Q375" s="350"/>
      <c r="R375" s="165">
        <f t="shared" si="13"/>
        <v>0</v>
      </c>
      <c r="S375" s="350"/>
      <c r="T375" s="351"/>
    </row>
    <row r="376" spans="1:20" s="269" customFormat="1">
      <c r="A376" s="350"/>
      <c r="B376" s="350"/>
      <c r="C376" s="350"/>
      <c r="D376" s="350"/>
      <c r="E376" s="350"/>
      <c r="F376" s="350"/>
      <c r="G376" s="350"/>
      <c r="H376" s="346"/>
      <c r="I376" s="350"/>
      <c r="J376" s="350"/>
      <c r="K376" s="350"/>
      <c r="L376" s="350"/>
      <c r="M376" s="350"/>
      <c r="N376" s="350"/>
      <c r="O376" s="350"/>
      <c r="P376" s="347">
        <f t="shared" si="12"/>
        <v>0</v>
      </c>
      <c r="Q376" s="350"/>
      <c r="R376" s="165">
        <f t="shared" si="13"/>
        <v>0</v>
      </c>
      <c r="S376" s="350"/>
      <c r="T376" s="351"/>
    </row>
    <row r="377" spans="1:20" s="269" customFormat="1">
      <c r="A377" s="350"/>
      <c r="B377" s="350"/>
      <c r="C377" s="350"/>
      <c r="D377" s="350"/>
      <c r="E377" s="350"/>
      <c r="F377" s="350"/>
      <c r="G377" s="350"/>
      <c r="H377" s="346"/>
      <c r="I377" s="350"/>
      <c r="J377" s="350"/>
      <c r="K377" s="350"/>
      <c r="L377" s="350"/>
      <c r="M377" s="350"/>
      <c r="N377" s="350"/>
      <c r="O377" s="350"/>
      <c r="P377" s="347">
        <f t="shared" si="12"/>
        <v>0</v>
      </c>
      <c r="Q377" s="350"/>
      <c r="R377" s="165">
        <f t="shared" si="13"/>
        <v>0</v>
      </c>
      <c r="S377" s="350"/>
      <c r="T377" s="351"/>
    </row>
    <row r="378" spans="1:20" s="269" customFormat="1">
      <c r="A378" s="350"/>
      <c r="B378" s="350"/>
      <c r="C378" s="350"/>
      <c r="D378" s="350"/>
      <c r="E378" s="350"/>
      <c r="F378" s="350"/>
      <c r="G378" s="350"/>
      <c r="H378" s="346"/>
      <c r="I378" s="350"/>
      <c r="J378" s="350"/>
      <c r="K378" s="350"/>
      <c r="L378" s="350"/>
      <c r="M378" s="350"/>
      <c r="N378" s="350"/>
      <c r="O378" s="350"/>
      <c r="P378" s="347">
        <f t="shared" si="12"/>
        <v>0</v>
      </c>
      <c r="Q378" s="350"/>
      <c r="R378" s="165">
        <f t="shared" si="13"/>
        <v>0</v>
      </c>
      <c r="S378" s="350"/>
      <c r="T378" s="351"/>
    </row>
    <row r="379" spans="1:20" s="269" customFormat="1">
      <c r="A379" s="350"/>
      <c r="B379" s="350"/>
      <c r="C379" s="350"/>
      <c r="D379" s="350"/>
      <c r="E379" s="350"/>
      <c r="F379" s="350"/>
      <c r="G379" s="350"/>
      <c r="H379" s="346"/>
      <c r="I379" s="350"/>
      <c r="J379" s="350"/>
      <c r="K379" s="350"/>
      <c r="L379" s="350"/>
      <c r="M379" s="350"/>
      <c r="N379" s="350"/>
      <c r="O379" s="350"/>
      <c r="P379" s="347">
        <f t="shared" si="12"/>
        <v>0</v>
      </c>
      <c r="Q379" s="350"/>
      <c r="R379" s="165">
        <f t="shared" si="13"/>
        <v>0</v>
      </c>
      <c r="S379" s="350"/>
      <c r="T379" s="351"/>
    </row>
    <row r="380" spans="1:20" s="269" customFormat="1">
      <c r="A380" s="350"/>
      <c r="B380" s="350"/>
      <c r="C380" s="350"/>
      <c r="D380" s="350"/>
      <c r="E380" s="350"/>
      <c r="F380" s="350"/>
      <c r="G380" s="350"/>
      <c r="H380" s="346"/>
      <c r="I380" s="350"/>
      <c r="J380" s="350"/>
      <c r="K380" s="350"/>
      <c r="L380" s="350"/>
      <c r="M380" s="350"/>
      <c r="N380" s="350"/>
      <c r="O380" s="350"/>
      <c r="P380" s="347">
        <f t="shared" si="12"/>
        <v>0</v>
      </c>
      <c r="Q380" s="350"/>
      <c r="R380" s="165">
        <f t="shared" si="13"/>
        <v>0</v>
      </c>
      <c r="S380" s="350"/>
      <c r="T380" s="351"/>
    </row>
    <row r="381" spans="1:20" s="269" customFormat="1">
      <c r="A381" s="350"/>
      <c r="B381" s="350"/>
      <c r="C381" s="350"/>
      <c r="D381" s="350"/>
      <c r="E381" s="350"/>
      <c r="F381" s="350"/>
      <c r="G381" s="350"/>
      <c r="H381" s="346"/>
      <c r="I381" s="350"/>
      <c r="J381" s="350"/>
      <c r="K381" s="350"/>
      <c r="L381" s="350"/>
      <c r="M381" s="350"/>
      <c r="N381" s="350"/>
      <c r="O381" s="350"/>
      <c r="P381" s="347">
        <f t="shared" si="12"/>
        <v>0</v>
      </c>
      <c r="Q381" s="350"/>
      <c r="R381" s="165">
        <f t="shared" si="13"/>
        <v>0</v>
      </c>
      <c r="S381" s="350"/>
      <c r="T381" s="351"/>
    </row>
    <row r="382" spans="1:20" s="269" customFormat="1">
      <c r="A382" s="350"/>
      <c r="B382" s="350"/>
      <c r="C382" s="350"/>
      <c r="D382" s="350"/>
      <c r="E382" s="350"/>
      <c r="F382" s="350"/>
      <c r="G382" s="350"/>
      <c r="H382" s="346"/>
      <c r="I382" s="350"/>
      <c r="J382" s="350"/>
      <c r="K382" s="350"/>
      <c r="L382" s="350"/>
      <c r="M382" s="350"/>
      <c r="N382" s="350"/>
      <c r="O382" s="350"/>
      <c r="P382" s="347">
        <f t="shared" si="12"/>
        <v>0</v>
      </c>
      <c r="Q382" s="350"/>
      <c r="R382" s="165">
        <f t="shared" si="13"/>
        <v>0</v>
      </c>
      <c r="S382" s="350"/>
      <c r="T382" s="351"/>
    </row>
    <row r="383" spans="1:20" s="269" customFormat="1">
      <c r="A383" s="350"/>
      <c r="B383" s="350"/>
      <c r="C383" s="350"/>
      <c r="D383" s="350"/>
      <c r="E383" s="350"/>
      <c r="F383" s="350"/>
      <c r="G383" s="350"/>
      <c r="H383" s="346"/>
      <c r="I383" s="350"/>
      <c r="J383" s="350"/>
      <c r="K383" s="350"/>
      <c r="L383" s="350"/>
      <c r="M383" s="350"/>
      <c r="N383" s="350"/>
      <c r="O383" s="350"/>
      <c r="P383" s="347">
        <f t="shared" si="12"/>
        <v>0</v>
      </c>
      <c r="Q383" s="350"/>
      <c r="R383" s="165">
        <f t="shared" si="13"/>
        <v>0</v>
      </c>
      <c r="S383" s="350"/>
      <c r="T383" s="351"/>
    </row>
    <row r="384" spans="1:20" s="269" customFormat="1">
      <c r="A384" s="350"/>
      <c r="B384" s="350"/>
      <c r="C384" s="350"/>
      <c r="D384" s="350"/>
      <c r="E384" s="350"/>
      <c r="F384" s="350"/>
      <c r="G384" s="350"/>
      <c r="H384" s="346"/>
      <c r="I384" s="350"/>
      <c r="J384" s="350"/>
      <c r="K384" s="350"/>
      <c r="L384" s="350"/>
      <c r="M384" s="350"/>
      <c r="N384" s="350"/>
      <c r="O384" s="350"/>
      <c r="P384" s="347">
        <f t="shared" si="12"/>
        <v>0</v>
      </c>
      <c r="Q384" s="350"/>
      <c r="R384" s="165">
        <f t="shared" si="13"/>
        <v>0</v>
      </c>
      <c r="S384" s="350"/>
      <c r="T384" s="351"/>
    </row>
    <row r="385" spans="1:20" s="269" customFormat="1">
      <c r="A385" s="350"/>
      <c r="B385" s="350"/>
      <c r="C385" s="350"/>
      <c r="D385" s="350"/>
      <c r="E385" s="350"/>
      <c r="F385" s="350"/>
      <c r="G385" s="350"/>
      <c r="H385" s="346"/>
      <c r="I385" s="350"/>
      <c r="J385" s="350"/>
      <c r="K385" s="350"/>
      <c r="L385" s="350"/>
      <c r="M385" s="350"/>
      <c r="N385" s="350"/>
      <c r="O385" s="350"/>
      <c r="P385" s="347">
        <f t="shared" si="12"/>
        <v>0</v>
      </c>
      <c r="Q385" s="350"/>
      <c r="R385" s="165">
        <f t="shared" si="13"/>
        <v>0</v>
      </c>
      <c r="S385" s="350"/>
      <c r="T385" s="351"/>
    </row>
    <row r="386" spans="1:20" s="269" customFormat="1">
      <c r="A386" s="350"/>
      <c r="B386" s="350"/>
      <c r="C386" s="350"/>
      <c r="D386" s="350"/>
      <c r="E386" s="350"/>
      <c r="F386" s="350"/>
      <c r="G386" s="350"/>
      <c r="H386" s="346"/>
      <c r="I386" s="350"/>
      <c r="J386" s="350"/>
      <c r="K386" s="350"/>
      <c r="L386" s="350"/>
      <c r="M386" s="350"/>
      <c r="N386" s="350"/>
      <c r="O386" s="350"/>
      <c r="P386" s="347">
        <f t="shared" si="12"/>
        <v>0</v>
      </c>
      <c r="Q386" s="350"/>
      <c r="R386" s="165">
        <f t="shared" si="13"/>
        <v>0</v>
      </c>
      <c r="S386" s="350"/>
      <c r="T386" s="351"/>
    </row>
    <row r="387" spans="1:20" s="269" customFormat="1">
      <c r="A387" s="350"/>
      <c r="B387" s="350"/>
      <c r="C387" s="350"/>
      <c r="D387" s="350"/>
      <c r="E387" s="350"/>
      <c r="F387" s="350"/>
      <c r="G387" s="350"/>
      <c r="H387" s="346"/>
      <c r="I387" s="350"/>
      <c r="J387" s="350"/>
      <c r="K387" s="350"/>
      <c r="L387" s="350"/>
      <c r="M387" s="350"/>
      <c r="N387" s="350"/>
      <c r="O387" s="350"/>
      <c r="P387" s="347">
        <f t="shared" si="12"/>
        <v>0</v>
      </c>
      <c r="Q387" s="350"/>
      <c r="R387" s="165">
        <f t="shared" si="13"/>
        <v>0</v>
      </c>
      <c r="S387" s="350"/>
      <c r="T387" s="351"/>
    </row>
    <row r="388" spans="1:20" s="269" customFormat="1">
      <c r="A388" s="350"/>
      <c r="B388" s="350"/>
      <c r="C388" s="350"/>
      <c r="D388" s="350"/>
      <c r="E388" s="350"/>
      <c r="F388" s="350"/>
      <c r="G388" s="350"/>
      <c r="H388" s="346"/>
      <c r="I388" s="350"/>
      <c r="J388" s="350"/>
      <c r="K388" s="350"/>
      <c r="L388" s="350"/>
      <c r="M388" s="350"/>
      <c r="N388" s="350"/>
      <c r="O388" s="350"/>
      <c r="P388" s="347">
        <f t="shared" si="12"/>
        <v>0</v>
      </c>
      <c r="Q388" s="350"/>
      <c r="R388" s="165">
        <f t="shared" si="13"/>
        <v>0</v>
      </c>
      <c r="S388" s="350"/>
      <c r="T388" s="351"/>
    </row>
    <row r="389" spans="1:20" s="269" customFormat="1">
      <c r="A389" s="350"/>
      <c r="B389" s="350"/>
      <c r="C389" s="350"/>
      <c r="D389" s="350"/>
      <c r="E389" s="350"/>
      <c r="F389" s="350"/>
      <c r="G389" s="350"/>
      <c r="H389" s="346"/>
      <c r="I389" s="350"/>
      <c r="J389" s="350"/>
      <c r="K389" s="350"/>
      <c r="L389" s="350"/>
      <c r="M389" s="350"/>
      <c r="N389" s="350"/>
      <c r="O389" s="350"/>
      <c r="P389" s="347">
        <f t="shared" si="12"/>
        <v>0</v>
      </c>
      <c r="Q389" s="350"/>
      <c r="R389" s="165">
        <f t="shared" si="13"/>
        <v>0</v>
      </c>
      <c r="S389" s="350"/>
      <c r="T389" s="351"/>
    </row>
    <row r="390" spans="1:20" s="269" customFormat="1">
      <c r="A390" s="350"/>
      <c r="B390" s="350"/>
      <c r="C390" s="350"/>
      <c r="D390" s="350"/>
      <c r="E390" s="350"/>
      <c r="F390" s="350"/>
      <c r="G390" s="350"/>
      <c r="H390" s="346"/>
      <c r="I390" s="350"/>
      <c r="J390" s="350"/>
      <c r="K390" s="350"/>
      <c r="L390" s="350"/>
      <c r="M390" s="350"/>
      <c r="N390" s="350"/>
      <c r="O390" s="350"/>
      <c r="P390" s="347">
        <f t="shared" si="12"/>
        <v>0</v>
      </c>
      <c r="Q390" s="350"/>
      <c r="R390" s="165">
        <f t="shared" si="13"/>
        <v>0</v>
      </c>
      <c r="S390" s="350"/>
      <c r="T390" s="351"/>
    </row>
    <row r="391" spans="1:20" s="269" customFormat="1">
      <c r="A391" s="350"/>
      <c r="B391" s="350"/>
      <c r="C391" s="350"/>
      <c r="D391" s="350"/>
      <c r="E391" s="350"/>
      <c r="F391" s="350"/>
      <c r="G391" s="350"/>
      <c r="H391" s="346"/>
      <c r="I391" s="350"/>
      <c r="J391" s="350"/>
      <c r="K391" s="350"/>
      <c r="L391" s="350"/>
      <c r="M391" s="350"/>
      <c r="N391" s="350"/>
      <c r="O391" s="350"/>
      <c r="P391" s="347">
        <f t="shared" si="12"/>
        <v>0</v>
      </c>
      <c r="Q391" s="350"/>
      <c r="R391" s="165">
        <f t="shared" si="13"/>
        <v>0</v>
      </c>
      <c r="S391" s="350"/>
      <c r="T391" s="351"/>
    </row>
    <row r="392" spans="1:20" s="269" customFormat="1">
      <c r="A392" s="350"/>
      <c r="B392" s="350"/>
      <c r="C392" s="350"/>
      <c r="D392" s="350"/>
      <c r="E392" s="350"/>
      <c r="F392" s="350"/>
      <c r="G392" s="350"/>
      <c r="H392" s="346"/>
      <c r="I392" s="350"/>
      <c r="J392" s="350"/>
      <c r="K392" s="350"/>
      <c r="L392" s="350"/>
      <c r="M392" s="350"/>
      <c r="N392" s="350"/>
      <c r="O392" s="350"/>
      <c r="P392" s="347">
        <f t="shared" si="12"/>
        <v>0</v>
      </c>
      <c r="Q392" s="350"/>
      <c r="R392" s="165">
        <f t="shared" si="13"/>
        <v>0</v>
      </c>
      <c r="S392" s="350"/>
      <c r="T392" s="351"/>
    </row>
    <row r="393" spans="1:20" s="269" customFormat="1">
      <c r="A393" s="350"/>
      <c r="B393" s="350"/>
      <c r="C393" s="350"/>
      <c r="D393" s="350"/>
      <c r="E393" s="350"/>
      <c r="F393" s="350"/>
      <c r="G393" s="350"/>
      <c r="H393" s="346"/>
      <c r="I393" s="350"/>
      <c r="J393" s="350"/>
      <c r="K393" s="350"/>
      <c r="L393" s="350"/>
      <c r="M393" s="350"/>
      <c r="N393" s="350"/>
      <c r="O393" s="350"/>
      <c r="P393" s="347">
        <f t="shared" si="12"/>
        <v>0</v>
      </c>
      <c r="Q393" s="350"/>
      <c r="R393" s="165">
        <f t="shared" si="13"/>
        <v>0</v>
      </c>
      <c r="S393" s="350"/>
      <c r="T393" s="351"/>
    </row>
    <row r="394" spans="1:20" s="269" customFormat="1">
      <c r="A394" s="350"/>
      <c r="B394" s="350"/>
      <c r="C394" s="350"/>
      <c r="D394" s="350"/>
      <c r="E394" s="350"/>
      <c r="F394" s="350"/>
      <c r="G394" s="350"/>
      <c r="H394" s="346"/>
      <c r="I394" s="350"/>
      <c r="J394" s="350"/>
      <c r="K394" s="350"/>
      <c r="L394" s="350"/>
      <c r="M394" s="350"/>
      <c r="N394" s="350"/>
      <c r="O394" s="350"/>
      <c r="P394" s="347">
        <f t="shared" si="12"/>
        <v>0</v>
      </c>
      <c r="Q394" s="350"/>
      <c r="R394" s="165">
        <f t="shared" si="13"/>
        <v>0</v>
      </c>
      <c r="S394" s="350"/>
      <c r="T394" s="351"/>
    </row>
    <row r="395" spans="1:20" s="269" customFormat="1">
      <c r="A395" s="350"/>
      <c r="B395" s="350"/>
      <c r="C395" s="350"/>
      <c r="D395" s="350"/>
      <c r="E395" s="350"/>
      <c r="F395" s="350"/>
      <c r="G395" s="350"/>
      <c r="H395" s="346"/>
      <c r="I395" s="350"/>
      <c r="J395" s="350"/>
      <c r="K395" s="350"/>
      <c r="L395" s="350"/>
      <c r="M395" s="350"/>
      <c r="N395" s="350"/>
      <c r="O395" s="350"/>
      <c r="P395" s="347">
        <f t="shared" si="12"/>
        <v>0</v>
      </c>
      <c r="Q395" s="350"/>
      <c r="R395" s="165">
        <f t="shared" si="13"/>
        <v>0</v>
      </c>
      <c r="S395" s="350"/>
      <c r="T395" s="351"/>
    </row>
    <row r="396" spans="1:20" s="269" customFormat="1">
      <c r="A396" s="350"/>
      <c r="B396" s="350"/>
      <c r="C396" s="350"/>
      <c r="D396" s="350"/>
      <c r="E396" s="350"/>
      <c r="F396" s="350"/>
      <c r="G396" s="350"/>
      <c r="H396" s="346"/>
      <c r="I396" s="350"/>
      <c r="J396" s="350"/>
      <c r="K396" s="350"/>
      <c r="L396" s="350"/>
      <c r="M396" s="350"/>
      <c r="N396" s="350"/>
      <c r="O396" s="350"/>
      <c r="P396" s="347">
        <f t="shared" si="12"/>
        <v>0</v>
      </c>
      <c r="Q396" s="350"/>
      <c r="R396" s="165">
        <f t="shared" si="13"/>
        <v>0</v>
      </c>
      <c r="S396" s="350"/>
      <c r="T396" s="351"/>
    </row>
    <row r="397" spans="1:20" s="269" customFormat="1">
      <c r="A397" s="350"/>
      <c r="B397" s="350"/>
      <c r="C397" s="350"/>
      <c r="D397" s="350"/>
      <c r="E397" s="350"/>
      <c r="F397" s="350"/>
      <c r="G397" s="350"/>
      <c r="H397" s="346"/>
      <c r="I397" s="350"/>
      <c r="J397" s="350"/>
      <c r="K397" s="350"/>
      <c r="L397" s="350"/>
      <c r="M397" s="350"/>
      <c r="N397" s="350"/>
      <c r="O397" s="350"/>
      <c r="P397" s="347">
        <f t="shared" ref="P397:P460" si="14">SUM(I397:O397)</f>
        <v>0</v>
      </c>
      <c r="Q397" s="350"/>
      <c r="R397" s="165">
        <f t="shared" si="13"/>
        <v>0</v>
      </c>
      <c r="S397" s="350"/>
      <c r="T397" s="351"/>
    </row>
    <row r="398" spans="1:20" s="269" customFormat="1">
      <c r="A398" s="350"/>
      <c r="B398" s="350"/>
      <c r="C398" s="350"/>
      <c r="D398" s="350"/>
      <c r="E398" s="350"/>
      <c r="F398" s="350"/>
      <c r="G398" s="350"/>
      <c r="H398" s="346"/>
      <c r="I398" s="350"/>
      <c r="J398" s="350"/>
      <c r="K398" s="350"/>
      <c r="L398" s="350"/>
      <c r="M398" s="350"/>
      <c r="N398" s="350"/>
      <c r="O398" s="350"/>
      <c r="P398" s="347">
        <f t="shared" si="14"/>
        <v>0</v>
      </c>
      <c r="Q398" s="350"/>
      <c r="R398" s="165">
        <f t="shared" si="13"/>
        <v>0</v>
      </c>
      <c r="S398" s="350"/>
      <c r="T398" s="351"/>
    </row>
    <row r="399" spans="1:20" s="269" customFormat="1">
      <c r="A399" s="350"/>
      <c r="B399" s="350"/>
      <c r="C399" s="350"/>
      <c r="D399" s="350"/>
      <c r="E399" s="350"/>
      <c r="F399" s="350"/>
      <c r="G399" s="350"/>
      <c r="H399" s="346"/>
      <c r="I399" s="350"/>
      <c r="J399" s="350"/>
      <c r="K399" s="350"/>
      <c r="L399" s="350"/>
      <c r="M399" s="350"/>
      <c r="N399" s="350"/>
      <c r="O399" s="350"/>
      <c r="P399" s="347">
        <f t="shared" si="14"/>
        <v>0</v>
      </c>
      <c r="Q399" s="350"/>
      <c r="R399" s="165">
        <f t="shared" si="13"/>
        <v>0</v>
      </c>
      <c r="S399" s="350"/>
      <c r="T399" s="351"/>
    </row>
    <row r="400" spans="1:20" s="269" customFormat="1">
      <c r="A400" s="350"/>
      <c r="B400" s="350"/>
      <c r="C400" s="350"/>
      <c r="D400" s="350"/>
      <c r="E400" s="350"/>
      <c r="F400" s="350"/>
      <c r="G400" s="350"/>
      <c r="H400" s="346"/>
      <c r="I400" s="350"/>
      <c r="J400" s="350"/>
      <c r="K400" s="350"/>
      <c r="L400" s="350"/>
      <c r="M400" s="350"/>
      <c r="N400" s="350"/>
      <c r="O400" s="350"/>
      <c r="P400" s="347">
        <f t="shared" si="14"/>
        <v>0</v>
      </c>
      <c r="Q400" s="350"/>
      <c r="R400" s="165">
        <f t="shared" si="13"/>
        <v>0</v>
      </c>
      <c r="S400" s="350"/>
      <c r="T400" s="351"/>
    </row>
    <row r="401" spans="1:20" s="269" customFormat="1">
      <c r="A401" s="350"/>
      <c r="B401" s="350"/>
      <c r="C401" s="350"/>
      <c r="D401" s="350"/>
      <c r="E401" s="350"/>
      <c r="F401" s="350"/>
      <c r="G401" s="350"/>
      <c r="H401" s="346"/>
      <c r="I401" s="350"/>
      <c r="J401" s="350"/>
      <c r="K401" s="350"/>
      <c r="L401" s="350"/>
      <c r="M401" s="350"/>
      <c r="N401" s="350"/>
      <c r="O401" s="350"/>
      <c r="P401" s="347">
        <f t="shared" si="14"/>
        <v>0</v>
      </c>
      <c r="Q401" s="350"/>
      <c r="R401" s="165">
        <f t="shared" si="13"/>
        <v>0</v>
      </c>
      <c r="S401" s="350"/>
      <c r="T401" s="351"/>
    </row>
    <row r="402" spans="1:20" s="269" customFormat="1">
      <c r="A402" s="350"/>
      <c r="B402" s="350"/>
      <c r="C402" s="350"/>
      <c r="D402" s="350"/>
      <c r="E402" s="350"/>
      <c r="F402" s="350"/>
      <c r="G402" s="350"/>
      <c r="H402" s="346"/>
      <c r="I402" s="350"/>
      <c r="J402" s="350"/>
      <c r="K402" s="350"/>
      <c r="L402" s="350"/>
      <c r="M402" s="350"/>
      <c r="N402" s="350"/>
      <c r="O402" s="350"/>
      <c r="P402" s="347">
        <f t="shared" si="14"/>
        <v>0</v>
      </c>
      <c r="Q402" s="350"/>
      <c r="R402" s="165">
        <f t="shared" si="13"/>
        <v>0</v>
      </c>
      <c r="S402" s="350"/>
      <c r="T402" s="351"/>
    </row>
    <row r="403" spans="1:20" s="269" customFormat="1">
      <c r="A403" s="350"/>
      <c r="B403" s="350"/>
      <c r="C403" s="350"/>
      <c r="D403" s="350"/>
      <c r="E403" s="350"/>
      <c r="F403" s="350"/>
      <c r="G403" s="350"/>
      <c r="H403" s="346"/>
      <c r="I403" s="350"/>
      <c r="J403" s="350"/>
      <c r="K403" s="350"/>
      <c r="L403" s="350"/>
      <c r="M403" s="350"/>
      <c r="N403" s="350"/>
      <c r="O403" s="350"/>
      <c r="P403" s="347">
        <f t="shared" si="14"/>
        <v>0</v>
      </c>
      <c r="Q403" s="350"/>
      <c r="R403" s="165">
        <f t="shared" si="13"/>
        <v>0</v>
      </c>
      <c r="S403" s="350"/>
      <c r="T403" s="351"/>
    </row>
    <row r="404" spans="1:20" s="269" customFormat="1">
      <c r="A404" s="350"/>
      <c r="B404" s="350"/>
      <c r="C404" s="350"/>
      <c r="D404" s="350"/>
      <c r="E404" s="350"/>
      <c r="F404" s="350"/>
      <c r="G404" s="350"/>
      <c r="H404" s="346"/>
      <c r="I404" s="350"/>
      <c r="J404" s="350"/>
      <c r="K404" s="350"/>
      <c r="L404" s="350"/>
      <c r="M404" s="350"/>
      <c r="N404" s="350"/>
      <c r="O404" s="350"/>
      <c r="P404" s="347">
        <f t="shared" si="14"/>
        <v>0</v>
      </c>
      <c r="Q404" s="350"/>
      <c r="R404" s="165">
        <f t="shared" si="13"/>
        <v>0</v>
      </c>
      <c r="S404" s="350"/>
      <c r="T404" s="351"/>
    </row>
    <row r="405" spans="1:20" s="269" customFormat="1">
      <c r="A405" s="350"/>
      <c r="B405" s="350"/>
      <c r="C405" s="350"/>
      <c r="D405" s="350"/>
      <c r="E405" s="350"/>
      <c r="F405" s="350"/>
      <c r="G405" s="350"/>
      <c r="H405" s="346"/>
      <c r="I405" s="350"/>
      <c r="J405" s="350"/>
      <c r="K405" s="350"/>
      <c r="L405" s="350"/>
      <c r="M405" s="350"/>
      <c r="N405" s="350"/>
      <c r="O405" s="350"/>
      <c r="P405" s="347">
        <f t="shared" si="14"/>
        <v>0</v>
      </c>
      <c r="Q405" s="350"/>
      <c r="R405" s="165">
        <f t="shared" si="13"/>
        <v>0</v>
      </c>
      <c r="S405" s="350"/>
      <c r="T405" s="351"/>
    </row>
    <row r="406" spans="1:20" s="269" customFormat="1">
      <c r="A406" s="350"/>
      <c r="B406" s="350"/>
      <c r="C406" s="350"/>
      <c r="D406" s="350"/>
      <c r="E406" s="350"/>
      <c r="F406" s="350"/>
      <c r="G406" s="350"/>
      <c r="H406" s="346"/>
      <c r="I406" s="350"/>
      <c r="J406" s="350"/>
      <c r="K406" s="350"/>
      <c r="L406" s="350"/>
      <c r="M406" s="350"/>
      <c r="N406" s="350"/>
      <c r="O406" s="350"/>
      <c r="P406" s="347">
        <f t="shared" si="14"/>
        <v>0</v>
      </c>
      <c r="Q406" s="350"/>
      <c r="R406" s="165">
        <f t="shared" si="13"/>
        <v>0</v>
      </c>
      <c r="S406" s="350"/>
      <c r="T406" s="351"/>
    </row>
    <row r="407" spans="1:20" s="269" customFormat="1">
      <c r="A407" s="350"/>
      <c r="B407" s="350"/>
      <c r="C407" s="350"/>
      <c r="D407" s="350"/>
      <c r="E407" s="350"/>
      <c r="F407" s="350"/>
      <c r="G407" s="350"/>
      <c r="H407" s="346"/>
      <c r="I407" s="350"/>
      <c r="J407" s="350"/>
      <c r="K407" s="350"/>
      <c r="L407" s="350"/>
      <c r="M407" s="350"/>
      <c r="N407" s="350"/>
      <c r="O407" s="350"/>
      <c r="P407" s="347">
        <f t="shared" si="14"/>
        <v>0</v>
      </c>
      <c r="Q407" s="350"/>
      <c r="R407" s="165">
        <f t="shared" si="13"/>
        <v>0</v>
      </c>
      <c r="S407" s="350"/>
      <c r="T407" s="351"/>
    </row>
    <row r="408" spans="1:20" s="269" customFormat="1">
      <c r="A408" s="350"/>
      <c r="B408" s="350"/>
      <c r="C408" s="350"/>
      <c r="D408" s="350"/>
      <c r="E408" s="350"/>
      <c r="F408" s="350"/>
      <c r="G408" s="350"/>
      <c r="H408" s="346"/>
      <c r="I408" s="350"/>
      <c r="J408" s="350"/>
      <c r="K408" s="350"/>
      <c r="L408" s="350"/>
      <c r="M408" s="350"/>
      <c r="N408" s="350"/>
      <c r="O408" s="350"/>
      <c r="P408" s="347">
        <f t="shared" si="14"/>
        <v>0</v>
      </c>
      <c r="Q408" s="350"/>
      <c r="R408" s="165">
        <f t="shared" si="13"/>
        <v>0</v>
      </c>
      <c r="S408" s="350"/>
      <c r="T408" s="351"/>
    </row>
    <row r="409" spans="1:20" s="269" customFormat="1">
      <c r="A409" s="350"/>
      <c r="B409" s="350"/>
      <c r="C409" s="350"/>
      <c r="D409" s="350"/>
      <c r="E409" s="350"/>
      <c r="F409" s="350"/>
      <c r="G409" s="350"/>
      <c r="H409" s="346"/>
      <c r="I409" s="350"/>
      <c r="J409" s="350"/>
      <c r="K409" s="350"/>
      <c r="L409" s="350"/>
      <c r="M409" s="350"/>
      <c r="N409" s="350"/>
      <c r="O409" s="350"/>
      <c r="P409" s="347">
        <f t="shared" si="14"/>
        <v>0</v>
      </c>
      <c r="Q409" s="350"/>
      <c r="R409" s="165">
        <f t="shared" si="13"/>
        <v>0</v>
      </c>
      <c r="S409" s="350"/>
      <c r="T409" s="351"/>
    </row>
    <row r="410" spans="1:20" s="269" customFormat="1">
      <c r="A410" s="350"/>
      <c r="B410" s="350"/>
      <c r="C410" s="350"/>
      <c r="D410" s="350"/>
      <c r="E410" s="350"/>
      <c r="F410" s="350"/>
      <c r="G410" s="350"/>
      <c r="H410" s="346"/>
      <c r="I410" s="350"/>
      <c r="J410" s="350"/>
      <c r="K410" s="350"/>
      <c r="L410" s="350"/>
      <c r="M410" s="350"/>
      <c r="N410" s="350"/>
      <c r="O410" s="350"/>
      <c r="P410" s="347">
        <f t="shared" si="14"/>
        <v>0</v>
      </c>
      <c r="Q410" s="350"/>
      <c r="R410" s="165">
        <f t="shared" ref="R410:R473" si="15">P410-Q410</f>
        <v>0</v>
      </c>
      <c r="S410" s="350"/>
      <c r="T410" s="351"/>
    </row>
    <row r="411" spans="1:20" s="269" customFormat="1">
      <c r="A411" s="350"/>
      <c r="B411" s="350"/>
      <c r="C411" s="350"/>
      <c r="D411" s="350"/>
      <c r="E411" s="350"/>
      <c r="F411" s="350"/>
      <c r="G411" s="350"/>
      <c r="H411" s="346"/>
      <c r="I411" s="350"/>
      <c r="J411" s="350"/>
      <c r="K411" s="350"/>
      <c r="L411" s="350"/>
      <c r="M411" s="350"/>
      <c r="N411" s="350"/>
      <c r="O411" s="350"/>
      <c r="P411" s="347">
        <f t="shared" si="14"/>
        <v>0</v>
      </c>
      <c r="Q411" s="350"/>
      <c r="R411" s="165">
        <f t="shared" si="15"/>
        <v>0</v>
      </c>
      <c r="S411" s="350"/>
      <c r="T411" s="351"/>
    </row>
    <row r="412" spans="1:20" s="269" customFormat="1">
      <c r="A412" s="350"/>
      <c r="B412" s="350"/>
      <c r="C412" s="350"/>
      <c r="D412" s="350"/>
      <c r="E412" s="350"/>
      <c r="F412" s="350"/>
      <c r="G412" s="350"/>
      <c r="H412" s="346"/>
      <c r="I412" s="350"/>
      <c r="J412" s="350"/>
      <c r="K412" s="350"/>
      <c r="L412" s="350"/>
      <c r="M412" s="350"/>
      <c r="N412" s="350"/>
      <c r="O412" s="350"/>
      <c r="P412" s="347">
        <f t="shared" si="14"/>
        <v>0</v>
      </c>
      <c r="Q412" s="350"/>
      <c r="R412" s="165">
        <f t="shared" si="15"/>
        <v>0</v>
      </c>
      <c r="S412" s="350"/>
      <c r="T412" s="351"/>
    </row>
    <row r="413" spans="1:20" s="269" customFormat="1">
      <c r="A413" s="350"/>
      <c r="B413" s="350"/>
      <c r="C413" s="350"/>
      <c r="D413" s="350"/>
      <c r="E413" s="350"/>
      <c r="F413" s="350"/>
      <c r="G413" s="350"/>
      <c r="H413" s="346"/>
      <c r="I413" s="350"/>
      <c r="J413" s="350"/>
      <c r="K413" s="350"/>
      <c r="L413" s="350"/>
      <c r="M413" s="350"/>
      <c r="N413" s="350"/>
      <c r="O413" s="350"/>
      <c r="P413" s="347">
        <f t="shared" si="14"/>
        <v>0</v>
      </c>
      <c r="Q413" s="350"/>
      <c r="R413" s="165">
        <f t="shared" si="15"/>
        <v>0</v>
      </c>
      <c r="S413" s="350"/>
      <c r="T413" s="351"/>
    </row>
    <row r="414" spans="1:20" s="269" customFormat="1">
      <c r="A414" s="350"/>
      <c r="B414" s="350"/>
      <c r="C414" s="350"/>
      <c r="D414" s="350"/>
      <c r="E414" s="350"/>
      <c r="F414" s="350"/>
      <c r="G414" s="350"/>
      <c r="H414" s="346"/>
      <c r="I414" s="350"/>
      <c r="J414" s="350"/>
      <c r="K414" s="350"/>
      <c r="L414" s="350"/>
      <c r="M414" s="350"/>
      <c r="N414" s="350"/>
      <c r="O414" s="350"/>
      <c r="P414" s="347">
        <f t="shared" si="14"/>
        <v>0</v>
      </c>
      <c r="Q414" s="350"/>
      <c r="R414" s="165">
        <f t="shared" si="15"/>
        <v>0</v>
      </c>
      <c r="S414" s="350"/>
      <c r="T414" s="351"/>
    </row>
    <row r="415" spans="1:20" s="269" customFormat="1">
      <c r="A415" s="350"/>
      <c r="B415" s="350"/>
      <c r="C415" s="350"/>
      <c r="D415" s="350"/>
      <c r="E415" s="350"/>
      <c r="F415" s="350"/>
      <c r="G415" s="350"/>
      <c r="H415" s="346"/>
      <c r="I415" s="350"/>
      <c r="J415" s="350"/>
      <c r="K415" s="350"/>
      <c r="L415" s="350"/>
      <c r="M415" s="350"/>
      <c r="N415" s="350"/>
      <c r="O415" s="350"/>
      <c r="P415" s="347">
        <f t="shared" si="14"/>
        <v>0</v>
      </c>
      <c r="Q415" s="350"/>
      <c r="R415" s="165">
        <f t="shared" si="15"/>
        <v>0</v>
      </c>
      <c r="S415" s="350"/>
      <c r="T415" s="351"/>
    </row>
    <row r="416" spans="1:20" s="269" customFormat="1">
      <c r="A416" s="350"/>
      <c r="B416" s="350"/>
      <c r="C416" s="350"/>
      <c r="D416" s="350"/>
      <c r="E416" s="350"/>
      <c r="F416" s="350"/>
      <c r="G416" s="350"/>
      <c r="H416" s="346"/>
      <c r="I416" s="350"/>
      <c r="J416" s="350"/>
      <c r="K416" s="350"/>
      <c r="L416" s="350"/>
      <c r="M416" s="350"/>
      <c r="N416" s="350"/>
      <c r="O416" s="350"/>
      <c r="P416" s="347">
        <f t="shared" si="14"/>
        <v>0</v>
      </c>
      <c r="Q416" s="350"/>
      <c r="R416" s="165">
        <f t="shared" si="15"/>
        <v>0</v>
      </c>
      <c r="S416" s="350"/>
      <c r="T416" s="351"/>
    </row>
    <row r="417" spans="1:20" s="269" customFormat="1">
      <c r="A417" s="350"/>
      <c r="B417" s="350"/>
      <c r="C417" s="350"/>
      <c r="D417" s="350"/>
      <c r="E417" s="350"/>
      <c r="F417" s="350"/>
      <c r="G417" s="350"/>
      <c r="H417" s="346"/>
      <c r="I417" s="350"/>
      <c r="J417" s="350"/>
      <c r="K417" s="350"/>
      <c r="L417" s="350"/>
      <c r="M417" s="350"/>
      <c r="N417" s="350"/>
      <c r="O417" s="350"/>
      <c r="P417" s="347">
        <f t="shared" si="14"/>
        <v>0</v>
      </c>
      <c r="Q417" s="350"/>
      <c r="R417" s="165">
        <f t="shared" si="15"/>
        <v>0</v>
      </c>
      <c r="S417" s="350"/>
      <c r="T417" s="351"/>
    </row>
    <row r="418" spans="1:20" s="269" customFormat="1">
      <c r="A418" s="350"/>
      <c r="B418" s="350"/>
      <c r="C418" s="350"/>
      <c r="D418" s="350"/>
      <c r="E418" s="350"/>
      <c r="F418" s="350"/>
      <c r="G418" s="350"/>
      <c r="H418" s="346"/>
      <c r="I418" s="350"/>
      <c r="J418" s="350"/>
      <c r="K418" s="350"/>
      <c r="L418" s="350"/>
      <c r="M418" s="350"/>
      <c r="N418" s="350"/>
      <c r="O418" s="350"/>
      <c r="P418" s="347">
        <f t="shared" si="14"/>
        <v>0</v>
      </c>
      <c r="Q418" s="350"/>
      <c r="R418" s="165">
        <f t="shared" si="15"/>
        <v>0</v>
      </c>
      <c r="S418" s="350"/>
      <c r="T418" s="351"/>
    </row>
    <row r="419" spans="1:20" s="269" customFormat="1">
      <c r="A419" s="350"/>
      <c r="B419" s="350"/>
      <c r="C419" s="350"/>
      <c r="D419" s="350"/>
      <c r="E419" s="350"/>
      <c r="F419" s="350"/>
      <c r="G419" s="350"/>
      <c r="H419" s="346"/>
      <c r="I419" s="350"/>
      <c r="J419" s="350"/>
      <c r="K419" s="350"/>
      <c r="L419" s="350"/>
      <c r="M419" s="350"/>
      <c r="N419" s="350"/>
      <c r="O419" s="350"/>
      <c r="P419" s="347">
        <f t="shared" si="14"/>
        <v>0</v>
      </c>
      <c r="Q419" s="350"/>
      <c r="R419" s="165">
        <f t="shared" si="15"/>
        <v>0</v>
      </c>
      <c r="S419" s="350"/>
      <c r="T419" s="351"/>
    </row>
    <row r="420" spans="1:20" s="269" customFormat="1">
      <c r="A420" s="350"/>
      <c r="B420" s="350"/>
      <c r="C420" s="350"/>
      <c r="D420" s="350"/>
      <c r="E420" s="350"/>
      <c r="F420" s="350"/>
      <c r="G420" s="350"/>
      <c r="H420" s="346"/>
      <c r="I420" s="350"/>
      <c r="J420" s="350"/>
      <c r="K420" s="350"/>
      <c r="L420" s="350"/>
      <c r="M420" s="350"/>
      <c r="N420" s="350"/>
      <c r="O420" s="350"/>
      <c r="P420" s="347">
        <f t="shared" si="14"/>
        <v>0</v>
      </c>
      <c r="Q420" s="350"/>
      <c r="R420" s="165">
        <f t="shared" si="15"/>
        <v>0</v>
      </c>
      <c r="S420" s="350"/>
      <c r="T420" s="351"/>
    </row>
    <row r="421" spans="1:20" s="269" customFormat="1">
      <c r="A421" s="350"/>
      <c r="B421" s="350"/>
      <c r="C421" s="350"/>
      <c r="D421" s="350"/>
      <c r="E421" s="350"/>
      <c r="F421" s="350"/>
      <c r="G421" s="350"/>
      <c r="H421" s="346"/>
      <c r="I421" s="350"/>
      <c r="J421" s="350"/>
      <c r="K421" s="350"/>
      <c r="L421" s="350"/>
      <c r="M421" s="350"/>
      <c r="N421" s="350"/>
      <c r="O421" s="350"/>
      <c r="P421" s="347">
        <f t="shared" si="14"/>
        <v>0</v>
      </c>
      <c r="Q421" s="350"/>
      <c r="R421" s="165">
        <f t="shared" si="15"/>
        <v>0</v>
      </c>
      <c r="S421" s="350"/>
      <c r="T421" s="351"/>
    </row>
    <row r="422" spans="1:20" s="269" customFormat="1">
      <c r="A422" s="350"/>
      <c r="B422" s="350"/>
      <c r="C422" s="350"/>
      <c r="D422" s="350"/>
      <c r="E422" s="350"/>
      <c r="F422" s="350"/>
      <c r="G422" s="350"/>
      <c r="H422" s="346"/>
      <c r="I422" s="350"/>
      <c r="J422" s="350"/>
      <c r="K422" s="350"/>
      <c r="L422" s="350"/>
      <c r="M422" s="350"/>
      <c r="N422" s="350"/>
      <c r="O422" s="350"/>
      <c r="P422" s="347">
        <f t="shared" si="14"/>
        <v>0</v>
      </c>
      <c r="Q422" s="350"/>
      <c r="R422" s="165">
        <f t="shared" si="15"/>
        <v>0</v>
      </c>
      <c r="S422" s="350"/>
      <c r="T422" s="351"/>
    </row>
    <row r="423" spans="1:20" s="269" customFormat="1">
      <c r="A423" s="350"/>
      <c r="B423" s="350"/>
      <c r="C423" s="350"/>
      <c r="D423" s="350"/>
      <c r="E423" s="350"/>
      <c r="F423" s="350"/>
      <c r="G423" s="350"/>
      <c r="H423" s="346"/>
      <c r="I423" s="350"/>
      <c r="J423" s="350"/>
      <c r="K423" s="350"/>
      <c r="L423" s="350"/>
      <c r="M423" s="350"/>
      <c r="N423" s="350"/>
      <c r="O423" s="350"/>
      <c r="P423" s="347">
        <f t="shared" si="14"/>
        <v>0</v>
      </c>
      <c r="Q423" s="350"/>
      <c r="R423" s="165">
        <f t="shared" si="15"/>
        <v>0</v>
      </c>
      <c r="S423" s="350"/>
      <c r="T423" s="351"/>
    </row>
    <row r="424" spans="1:20" s="269" customFormat="1">
      <c r="A424" s="350"/>
      <c r="B424" s="350"/>
      <c r="C424" s="350"/>
      <c r="D424" s="350"/>
      <c r="E424" s="350"/>
      <c r="F424" s="350"/>
      <c r="G424" s="350"/>
      <c r="H424" s="346"/>
      <c r="I424" s="350"/>
      <c r="J424" s="350"/>
      <c r="K424" s="350"/>
      <c r="L424" s="350"/>
      <c r="M424" s="350"/>
      <c r="N424" s="350"/>
      <c r="O424" s="350"/>
      <c r="P424" s="347">
        <f t="shared" si="14"/>
        <v>0</v>
      </c>
      <c r="Q424" s="350"/>
      <c r="R424" s="165">
        <f t="shared" si="15"/>
        <v>0</v>
      </c>
      <c r="S424" s="350"/>
      <c r="T424" s="351"/>
    </row>
    <row r="425" spans="1:20" s="269" customFormat="1">
      <c r="A425" s="350"/>
      <c r="B425" s="350"/>
      <c r="C425" s="350"/>
      <c r="D425" s="350"/>
      <c r="E425" s="350"/>
      <c r="F425" s="350"/>
      <c r="G425" s="350"/>
      <c r="H425" s="346"/>
      <c r="I425" s="350"/>
      <c r="J425" s="350"/>
      <c r="K425" s="350"/>
      <c r="L425" s="350"/>
      <c r="M425" s="350"/>
      <c r="N425" s="350"/>
      <c r="O425" s="350"/>
      <c r="P425" s="347">
        <f t="shared" si="14"/>
        <v>0</v>
      </c>
      <c r="Q425" s="350"/>
      <c r="R425" s="165">
        <f t="shared" si="15"/>
        <v>0</v>
      </c>
      <c r="S425" s="350"/>
      <c r="T425" s="351"/>
    </row>
    <row r="426" spans="1:20" s="269" customFormat="1">
      <c r="A426" s="350"/>
      <c r="B426" s="350"/>
      <c r="C426" s="350"/>
      <c r="D426" s="350"/>
      <c r="E426" s="350"/>
      <c r="F426" s="350"/>
      <c r="G426" s="350"/>
      <c r="H426" s="346"/>
      <c r="I426" s="350"/>
      <c r="J426" s="350"/>
      <c r="K426" s="350"/>
      <c r="L426" s="350"/>
      <c r="M426" s="350"/>
      <c r="N426" s="350"/>
      <c r="O426" s="350"/>
      <c r="P426" s="347">
        <f t="shared" si="14"/>
        <v>0</v>
      </c>
      <c r="Q426" s="350"/>
      <c r="R426" s="165">
        <f t="shared" si="15"/>
        <v>0</v>
      </c>
      <c r="S426" s="350"/>
      <c r="T426" s="351"/>
    </row>
    <row r="427" spans="1:20" s="269" customFormat="1">
      <c r="A427" s="350"/>
      <c r="B427" s="350"/>
      <c r="C427" s="350"/>
      <c r="D427" s="350"/>
      <c r="E427" s="350"/>
      <c r="F427" s="350"/>
      <c r="G427" s="350"/>
      <c r="H427" s="346"/>
      <c r="I427" s="350"/>
      <c r="J427" s="350"/>
      <c r="K427" s="350"/>
      <c r="L427" s="350"/>
      <c r="M427" s="350"/>
      <c r="N427" s="350"/>
      <c r="O427" s="350"/>
      <c r="P427" s="347">
        <f t="shared" si="14"/>
        <v>0</v>
      </c>
      <c r="Q427" s="350"/>
      <c r="R427" s="165">
        <f t="shared" si="15"/>
        <v>0</v>
      </c>
      <c r="S427" s="350"/>
      <c r="T427" s="351"/>
    </row>
    <row r="428" spans="1:20" s="269" customFormat="1">
      <c r="A428" s="350"/>
      <c r="B428" s="350"/>
      <c r="C428" s="350"/>
      <c r="D428" s="350"/>
      <c r="E428" s="350"/>
      <c r="F428" s="350"/>
      <c r="G428" s="350"/>
      <c r="H428" s="346"/>
      <c r="I428" s="350"/>
      <c r="J428" s="350"/>
      <c r="K428" s="350"/>
      <c r="L428" s="350"/>
      <c r="M428" s="350"/>
      <c r="N428" s="350"/>
      <c r="O428" s="350"/>
      <c r="P428" s="347">
        <f t="shared" si="14"/>
        <v>0</v>
      </c>
      <c r="Q428" s="350"/>
      <c r="R428" s="165">
        <f t="shared" si="15"/>
        <v>0</v>
      </c>
      <c r="S428" s="350"/>
      <c r="T428" s="351"/>
    </row>
    <row r="429" spans="1:20" s="269" customFormat="1">
      <c r="A429" s="350"/>
      <c r="B429" s="350"/>
      <c r="C429" s="350"/>
      <c r="D429" s="350"/>
      <c r="E429" s="350"/>
      <c r="F429" s="350"/>
      <c r="G429" s="350"/>
      <c r="H429" s="346"/>
      <c r="I429" s="350"/>
      <c r="J429" s="350"/>
      <c r="K429" s="350"/>
      <c r="L429" s="350"/>
      <c r="M429" s="350"/>
      <c r="N429" s="350"/>
      <c r="O429" s="350"/>
      <c r="P429" s="347">
        <f t="shared" si="14"/>
        <v>0</v>
      </c>
      <c r="Q429" s="350"/>
      <c r="R429" s="165">
        <f t="shared" si="15"/>
        <v>0</v>
      </c>
      <c r="S429" s="350"/>
      <c r="T429" s="351"/>
    </row>
    <row r="430" spans="1:20" s="269" customFormat="1">
      <c r="A430" s="350"/>
      <c r="B430" s="350"/>
      <c r="C430" s="350"/>
      <c r="D430" s="350"/>
      <c r="E430" s="350"/>
      <c r="F430" s="350"/>
      <c r="G430" s="350"/>
      <c r="H430" s="346"/>
      <c r="I430" s="350"/>
      <c r="J430" s="350"/>
      <c r="K430" s="350"/>
      <c r="L430" s="350"/>
      <c r="M430" s="350"/>
      <c r="N430" s="350"/>
      <c r="O430" s="350"/>
      <c r="P430" s="347">
        <f t="shared" si="14"/>
        <v>0</v>
      </c>
      <c r="Q430" s="350"/>
      <c r="R430" s="165">
        <f t="shared" si="15"/>
        <v>0</v>
      </c>
      <c r="S430" s="350"/>
      <c r="T430" s="351"/>
    </row>
    <row r="431" spans="1:20" s="269" customFormat="1">
      <c r="A431" s="350"/>
      <c r="B431" s="350"/>
      <c r="C431" s="350"/>
      <c r="D431" s="350"/>
      <c r="E431" s="350"/>
      <c r="F431" s="350"/>
      <c r="G431" s="350"/>
      <c r="H431" s="346"/>
      <c r="I431" s="350"/>
      <c r="J431" s="350"/>
      <c r="K431" s="350"/>
      <c r="L431" s="350"/>
      <c r="M431" s="350"/>
      <c r="N431" s="350"/>
      <c r="O431" s="350"/>
      <c r="P431" s="347">
        <f t="shared" si="14"/>
        <v>0</v>
      </c>
      <c r="Q431" s="350"/>
      <c r="R431" s="165">
        <f t="shared" si="15"/>
        <v>0</v>
      </c>
      <c r="S431" s="350"/>
      <c r="T431" s="351"/>
    </row>
    <row r="432" spans="1:20" s="269" customFormat="1">
      <c r="A432" s="350"/>
      <c r="B432" s="350"/>
      <c r="C432" s="350"/>
      <c r="D432" s="350"/>
      <c r="E432" s="350"/>
      <c r="F432" s="350"/>
      <c r="G432" s="350"/>
      <c r="H432" s="346"/>
      <c r="I432" s="350"/>
      <c r="J432" s="350"/>
      <c r="K432" s="350"/>
      <c r="L432" s="350"/>
      <c r="M432" s="350"/>
      <c r="N432" s="350"/>
      <c r="O432" s="350"/>
      <c r="P432" s="347">
        <f t="shared" si="14"/>
        <v>0</v>
      </c>
      <c r="Q432" s="350"/>
      <c r="R432" s="165">
        <f t="shared" si="15"/>
        <v>0</v>
      </c>
      <c r="S432" s="350"/>
      <c r="T432" s="351"/>
    </row>
    <row r="433" spans="1:20" s="269" customFormat="1">
      <c r="A433" s="350"/>
      <c r="B433" s="350"/>
      <c r="C433" s="350"/>
      <c r="D433" s="350"/>
      <c r="E433" s="350"/>
      <c r="F433" s="350"/>
      <c r="G433" s="350"/>
      <c r="H433" s="346"/>
      <c r="I433" s="350"/>
      <c r="J433" s="350"/>
      <c r="K433" s="350"/>
      <c r="L433" s="350"/>
      <c r="M433" s="350"/>
      <c r="N433" s="350"/>
      <c r="O433" s="350"/>
      <c r="P433" s="347">
        <f t="shared" si="14"/>
        <v>0</v>
      </c>
      <c r="Q433" s="350"/>
      <c r="R433" s="165">
        <f t="shared" si="15"/>
        <v>0</v>
      </c>
      <c r="S433" s="350"/>
      <c r="T433" s="351"/>
    </row>
    <row r="434" spans="1:20" s="269" customFormat="1">
      <c r="A434" s="350"/>
      <c r="B434" s="350"/>
      <c r="C434" s="350"/>
      <c r="D434" s="350"/>
      <c r="E434" s="350"/>
      <c r="F434" s="350"/>
      <c r="G434" s="350"/>
      <c r="H434" s="346"/>
      <c r="I434" s="350"/>
      <c r="J434" s="350"/>
      <c r="K434" s="350"/>
      <c r="L434" s="350"/>
      <c r="M434" s="350"/>
      <c r="N434" s="350"/>
      <c r="O434" s="350"/>
      <c r="P434" s="347">
        <f t="shared" si="14"/>
        <v>0</v>
      </c>
      <c r="Q434" s="350"/>
      <c r="R434" s="165">
        <f t="shared" si="15"/>
        <v>0</v>
      </c>
      <c r="S434" s="350"/>
      <c r="T434" s="351"/>
    </row>
    <row r="435" spans="1:20" s="269" customFormat="1">
      <c r="A435" s="350"/>
      <c r="B435" s="350"/>
      <c r="C435" s="350"/>
      <c r="D435" s="350"/>
      <c r="E435" s="350"/>
      <c r="F435" s="350"/>
      <c r="G435" s="350"/>
      <c r="H435" s="346"/>
      <c r="I435" s="350"/>
      <c r="J435" s="350"/>
      <c r="K435" s="350"/>
      <c r="L435" s="350"/>
      <c r="M435" s="350"/>
      <c r="N435" s="350"/>
      <c r="O435" s="350"/>
      <c r="P435" s="347">
        <f t="shared" si="14"/>
        <v>0</v>
      </c>
      <c r="Q435" s="350"/>
      <c r="R435" s="165">
        <f t="shared" si="15"/>
        <v>0</v>
      </c>
      <c r="S435" s="350"/>
      <c r="T435" s="351"/>
    </row>
    <row r="436" spans="1:20" s="269" customFormat="1">
      <c r="A436" s="350"/>
      <c r="B436" s="350"/>
      <c r="C436" s="350"/>
      <c r="D436" s="350"/>
      <c r="E436" s="350"/>
      <c r="F436" s="350"/>
      <c r="G436" s="350"/>
      <c r="H436" s="346"/>
      <c r="I436" s="350"/>
      <c r="J436" s="350"/>
      <c r="K436" s="350"/>
      <c r="L436" s="350"/>
      <c r="M436" s="350"/>
      <c r="N436" s="350"/>
      <c r="O436" s="350"/>
      <c r="P436" s="347">
        <f t="shared" si="14"/>
        <v>0</v>
      </c>
      <c r="Q436" s="350"/>
      <c r="R436" s="165">
        <f t="shared" si="15"/>
        <v>0</v>
      </c>
      <c r="S436" s="350"/>
      <c r="T436" s="351"/>
    </row>
    <row r="437" spans="1:20" s="269" customFormat="1">
      <c r="A437" s="350"/>
      <c r="B437" s="350"/>
      <c r="C437" s="350"/>
      <c r="D437" s="350"/>
      <c r="E437" s="350"/>
      <c r="F437" s="350"/>
      <c r="G437" s="350"/>
      <c r="H437" s="346"/>
      <c r="I437" s="350"/>
      <c r="J437" s="350"/>
      <c r="K437" s="350"/>
      <c r="L437" s="350"/>
      <c r="M437" s="350"/>
      <c r="N437" s="350"/>
      <c r="O437" s="350"/>
      <c r="P437" s="347">
        <f t="shared" si="14"/>
        <v>0</v>
      </c>
      <c r="Q437" s="350"/>
      <c r="R437" s="165">
        <f t="shared" si="15"/>
        <v>0</v>
      </c>
      <c r="S437" s="350"/>
      <c r="T437" s="351"/>
    </row>
    <row r="438" spans="1:20" s="269" customFormat="1">
      <c r="A438" s="350"/>
      <c r="B438" s="350"/>
      <c r="C438" s="350"/>
      <c r="D438" s="350"/>
      <c r="E438" s="350"/>
      <c r="F438" s="350"/>
      <c r="G438" s="350"/>
      <c r="H438" s="346"/>
      <c r="I438" s="350"/>
      <c r="J438" s="350"/>
      <c r="K438" s="350"/>
      <c r="L438" s="350"/>
      <c r="M438" s="350"/>
      <c r="N438" s="350"/>
      <c r="O438" s="350"/>
      <c r="P438" s="347">
        <f t="shared" si="14"/>
        <v>0</v>
      </c>
      <c r="Q438" s="350"/>
      <c r="R438" s="165">
        <f t="shared" si="15"/>
        <v>0</v>
      </c>
      <c r="S438" s="350"/>
      <c r="T438" s="351"/>
    </row>
    <row r="439" spans="1:20" s="269" customFormat="1">
      <c r="A439" s="350"/>
      <c r="B439" s="350"/>
      <c r="C439" s="350"/>
      <c r="D439" s="350"/>
      <c r="E439" s="350"/>
      <c r="F439" s="350"/>
      <c r="G439" s="350"/>
      <c r="H439" s="346"/>
      <c r="I439" s="350"/>
      <c r="J439" s="350"/>
      <c r="K439" s="350"/>
      <c r="L439" s="350"/>
      <c r="M439" s="350"/>
      <c r="N439" s="350"/>
      <c r="O439" s="350"/>
      <c r="P439" s="347">
        <f t="shared" si="14"/>
        <v>0</v>
      </c>
      <c r="Q439" s="350"/>
      <c r="R439" s="165">
        <f t="shared" si="15"/>
        <v>0</v>
      </c>
      <c r="S439" s="350"/>
      <c r="T439" s="351"/>
    </row>
    <row r="440" spans="1:20" s="269" customFormat="1">
      <c r="A440" s="350"/>
      <c r="B440" s="350"/>
      <c r="C440" s="350"/>
      <c r="D440" s="350"/>
      <c r="E440" s="350"/>
      <c r="F440" s="350"/>
      <c r="G440" s="350"/>
      <c r="H440" s="346"/>
      <c r="I440" s="350"/>
      <c r="J440" s="350"/>
      <c r="K440" s="350"/>
      <c r="L440" s="350"/>
      <c r="M440" s="350"/>
      <c r="N440" s="350"/>
      <c r="O440" s="350"/>
      <c r="P440" s="347">
        <f t="shared" si="14"/>
        <v>0</v>
      </c>
      <c r="Q440" s="350"/>
      <c r="R440" s="165">
        <f t="shared" si="15"/>
        <v>0</v>
      </c>
      <c r="S440" s="350"/>
      <c r="T440" s="351"/>
    </row>
    <row r="441" spans="1:20" s="269" customFormat="1">
      <c r="A441" s="350"/>
      <c r="B441" s="350"/>
      <c r="C441" s="350"/>
      <c r="D441" s="350"/>
      <c r="E441" s="350"/>
      <c r="F441" s="350"/>
      <c r="G441" s="350"/>
      <c r="H441" s="346"/>
      <c r="I441" s="350"/>
      <c r="J441" s="350"/>
      <c r="K441" s="350"/>
      <c r="L441" s="350"/>
      <c r="M441" s="350"/>
      <c r="N441" s="350"/>
      <c r="O441" s="350"/>
      <c r="P441" s="347">
        <f t="shared" si="14"/>
        <v>0</v>
      </c>
      <c r="Q441" s="350"/>
      <c r="R441" s="165">
        <f t="shared" si="15"/>
        <v>0</v>
      </c>
      <c r="S441" s="350"/>
      <c r="T441" s="351"/>
    </row>
    <row r="442" spans="1:20" s="269" customFormat="1">
      <c r="A442" s="350"/>
      <c r="B442" s="350"/>
      <c r="C442" s="350"/>
      <c r="D442" s="350"/>
      <c r="E442" s="350"/>
      <c r="F442" s="350"/>
      <c r="G442" s="350"/>
      <c r="H442" s="346"/>
      <c r="I442" s="350"/>
      <c r="J442" s="350"/>
      <c r="K442" s="350"/>
      <c r="L442" s="350"/>
      <c r="M442" s="350"/>
      <c r="N442" s="350"/>
      <c r="O442" s="350"/>
      <c r="P442" s="347">
        <f t="shared" si="14"/>
        <v>0</v>
      </c>
      <c r="Q442" s="350"/>
      <c r="R442" s="165">
        <f t="shared" si="15"/>
        <v>0</v>
      </c>
      <c r="S442" s="350"/>
      <c r="T442" s="351"/>
    </row>
    <row r="443" spans="1:20" s="269" customFormat="1">
      <c r="A443" s="350"/>
      <c r="B443" s="350"/>
      <c r="C443" s="350"/>
      <c r="D443" s="350"/>
      <c r="E443" s="350"/>
      <c r="F443" s="350"/>
      <c r="G443" s="350"/>
      <c r="H443" s="346"/>
      <c r="I443" s="350"/>
      <c r="J443" s="350"/>
      <c r="K443" s="350"/>
      <c r="L443" s="350"/>
      <c r="M443" s="350"/>
      <c r="N443" s="350"/>
      <c r="O443" s="350"/>
      <c r="P443" s="347">
        <f t="shared" si="14"/>
        <v>0</v>
      </c>
      <c r="Q443" s="350"/>
      <c r="R443" s="165">
        <f t="shared" si="15"/>
        <v>0</v>
      </c>
      <c r="S443" s="350"/>
      <c r="T443" s="351"/>
    </row>
    <row r="444" spans="1:20" s="269" customFormat="1">
      <c r="A444" s="350"/>
      <c r="B444" s="350"/>
      <c r="C444" s="350"/>
      <c r="D444" s="350"/>
      <c r="E444" s="350"/>
      <c r="F444" s="350"/>
      <c r="G444" s="350"/>
      <c r="H444" s="346"/>
      <c r="I444" s="350"/>
      <c r="J444" s="350"/>
      <c r="K444" s="350"/>
      <c r="L444" s="350"/>
      <c r="M444" s="350"/>
      <c r="N444" s="350"/>
      <c r="O444" s="350"/>
      <c r="P444" s="347">
        <f t="shared" si="14"/>
        <v>0</v>
      </c>
      <c r="Q444" s="350"/>
      <c r="R444" s="165">
        <f t="shared" si="15"/>
        <v>0</v>
      </c>
      <c r="S444" s="350"/>
      <c r="T444" s="351"/>
    </row>
    <row r="445" spans="1:20" s="269" customFormat="1">
      <c r="A445" s="350"/>
      <c r="B445" s="350"/>
      <c r="C445" s="350"/>
      <c r="D445" s="350"/>
      <c r="E445" s="350"/>
      <c r="F445" s="350"/>
      <c r="G445" s="350"/>
      <c r="H445" s="346"/>
      <c r="I445" s="350"/>
      <c r="J445" s="350"/>
      <c r="K445" s="350"/>
      <c r="L445" s="350"/>
      <c r="M445" s="350"/>
      <c r="N445" s="350"/>
      <c r="O445" s="350"/>
      <c r="P445" s="347">
        <f t="shared" si="14"/>
        <v>0</v>
      </c>
      <c r="Q445" s="350"/>
      <c r="R445" s="165">
        <f t="shared" si="15"/>
        <v>0</v>
      </c>
      <c r="S445" s="350"/>
      <c r="T445" s="351"/>
    </row>
    <row r="446" spans="1:20" s="269" customFormat="1">
      <c r="A446" s="350"/>
      <c r="B446" s="350"/>
      <c r="C446" s="350"/>
      <c r="D446" s="350"/>
      <c r="E446" s="350"/>
      <c r="F446" s="350"/>
      <c r="G446" s="350"/>
      <c r="H446" s="346"/>
      <c r="I446" s="350"/>
      <c r="J446" s="350"/>
      <c r="K446" s="350"/>
      <c r="L446" s="350"/>
      <c r="M446" s="350"/>
      <c r="N446" s="350"/>
      <c r="O446" s="350"/>
      <c r="P446" s="347">
        <f t="shared" si="14"/>
        <v>0</v>
      </c>
      <c r="Q446" s="350"/>
      <c r="R446" s="165">
        <f t="shared" si="15"/>
        <v>0</v>
      </c>
      <c r="S446" s="350"/>
      <c r="T446" s="351"/>
    </row>
    <row r="447" spans="1:20" s="269" customFormat="1">
      <c r="A447" s="350"/>
      <c r="B447" s="350"/>
      <c r="C447" s="350"/>
      <c r="D447" s="350"/>
      <c r="E447" s="350"/>
      <c r="F447" s="350"/>
      <c r="G447" s="350"/>
      <c r="H447" s="346"/>
      <c r="I447" s="350"/>
      <c r="J447" s="350"/>
      <c r="K447" s="350"/>
      <c r="L447" s="350"/>
      <c r="M447" s="350"/>
      <c r="N447" s="350"/>
      <c r="O447" s="350"/>
      <c r="P447" s="347">
        <f t="shared" si="14"/>
        <v>0</v>
      </c>
      <c r="Q447" s="350"/>
      <c r="R447" s="165">
        <f t="shared" si="15"/>
        <v>0</v>
      </c>
      <c r="S447" s="350"/>
      <c r="T447" s="351"/>
    </row>
    <row r="448" spans="1:20" s="269" customFormat="1">
      <c r="A448" s="350"/>
      <c r="B448" s="350"/>
      <c r="C448" s="350"/>
      <c r="D448" s="350"/>
      <c r="E448" s="350"/>
      <c r="F448" s="350"/>
      <c r="G448" s="350"/>
      <c r="H448" s="346"/>
      <c r="I448" s="350"/>
      <c r="J448" s="350"/>
      <c r="K448" s="350"/>
      <c r="L448" s="350"/>
      <c r="M448" s="350"/>
      <c r="N448" s="350"/>
      <c r="O448" s="350"/>
      <c r="P448" s="347">
        <f t="shared" si="14"/>
        <v>0</v>
      </c>
      <c r="Q448" s="350"/>
      <c r="R448" s="165">
        <f t="shared" si="15"/>
        <v>0</v>
      </c>
      <c r="S448" s="350"/>
      <c r="T448" s="351"/>
    </row>
    <row r="449" spans="1:20" s="269" customFormat="1">
      <c r="A449" s="350"/>
      <c r="B449" s="350"/>
      <c r="C449" s="350"/>
      <c r="D449" s="350"/>
      <c r="E449" s="350"/>
      <c r="F449" s="350"/>
      <c r="G449" s="350"/>
      <c r="H449" s="346"/>
      <c r="I449" s="350"/>
      <c r="J449" s="350"/>
      <c r="K449" s="350"/>
      <c r="L449" s="350"/>
      <c r="M449" s="350"/>
      <c r="N449" s="350"/>
      <c r="O449" s="350"/>
      <c r="P449" s="347">
        <f t="shared" si="14"/>
        <v>0</v>
      </c>
      <c r="Q449" s="350"/>
      <c r="R449" s="165">
        <f t="shared" si="15"/>
        <v>0</v>
      </c>
      <c r="S449" s="350"/>
      <c r="T449" s="351"/>
    </row>
    <row r="450" spans="1:20" s="269" customFormat="1">
      <c r="A450" s="350"/>
      <c r="B450" s="350"/>
      <c r="C450" s="350"/>
      <c r="D450" s="350"/>
      <c r="E450" s="350"/>
      <c r="F450" s="350"/>
      <c r="G450" s="350"/>
      <c r="H450" s="346"/>
      <c r="I450" s="350"/>
      <c r="J450" s="350"/>
      <c r="K450" s="350"/>
      <c r="L450" s="350"/>
      <c r="M450" s="350"/>
      <c r="N450" s="350"/>
      <c r="O450" s="350"/>
      <c r="P450" s="347">
        <f t="shared" si="14"/>
        <v>0</v>
      </c>
      <c r="Q450" s="350"/>
      <c r="R450" s="165">
        <f t="shared" si="15"/>
        <v>0</v>
      </c>
      <c r="S450" s="350"/>
      <c r="T450" s="351"/>
    </row>
    <row r="451" spans="1:20" s="269" customFormat="1">
      <c r="A451" s="350"/>
      <c r="B451" s="350"/>
      <c r="C451" s="350"/>
      <c r="D451" s="350"/>
      <c r="E451" s="350"/>
      <c r="F451" s="350"/>
      <c r="G451" s="350"/>
      <c r="H451" s="346"/>
      <c r="I451" s="350"/>
      <c r="J451" s="350"/>
      <c r="K451" s="350"/>
      <c r="L451" s="350"/>
      <c r="M451" s="350"/>
      <c r="N451" s="350"/>
      <c r="O451" s="350"/>
      <c r="P451" s="347">
        <f t="shared" si="14"/>
        <v>0</v>
      </c>
      <c r="Q451" s="350"/>
      <c r="R451" s="165">
        <f t="shared" si="15"/>
        <v>0</v>
      </c>
      <c r="S451" s="350"/>
      <c r="T451" s="351"/>
    </row>
    <row r="452" spans="1:20" s="269" customFormat="1">
      <c r="A452" s="350"/>
      <c r="B452" s="350"/>
      <c r="C452" s="350"/>
      <c r="D452" s="350"/>
      <c r="E452" s="350"/>
      <c r="F452" s="350"/>
      <c r="G452" s="350"/>
      <c r="H452" s="346"/>
      <c r="I452" s="350"/>
      <c r="J452" s="350"/>
      <c r="K452" s="350"/>
      <c r="L452" s="350"/>
      <c r="M452" s="350"/>
      <c r="N452" s="350"/>
      <c r="O452" s="350"/>
      <c r="P452" s="347">
        <f t="shared" si="14"/>
        <v>0</v>
      </c>
      <c r="Q452" s="350"/>
      <c r="R452" s="165">
        <f t="shared" si="15"/>
        <v>0</v>
      </c>
      <c r="S452" s="350"/>
      <c r="T452" s="351"/>
    </row>
    <row r="453" spans="1:20" s="269" customFormat="1">
      <c r="A453" s="350"/>
      <c r="B453" s="350"/>
      <c r="C453" s="350"/>
      <c r="D453" s="350"/>
      <c r="E453" s="350"/>
      <c r="F453" s="350"/>
      <c r="G453" s="350"/>
      <c r="H453" s="346"/>
      <c r="I453" s="350"/>
      <c r="J453" s="350"/>
      <c r="K453" s="350"/>
      <c r="L453" s="350"/>
      <c r="M453" s="350"/>
      <c r="N453" s="350"/>
      <c r="O453" s="350"/>
      <c r="P453" s="347">
        <f t="shared" si="14"/>
        <v>0</v>
      </c>
      <c r="Q453" s="350"/>
      <c r="R453" s="165">
        <f t="shared" si="15"/>
        <v>0</v>
      </c>
      <c r="S453" s="350"/>
      <c r="T453" s="351"/>
    </row>
    <row r="454" spans="1:20" s="269" customFormat="1">
      <c r="A454" s="350"/>
      <c r="B454" s="350"/>
      <c r="C454" s="350"/>
      <c r="D454" s="350"/>
      <c r="E454" s="350"/>
      <c r="F454" s="350"/>
      <c r="G454" s="350"/>
      <c r="H454" s="346"/>
      <c r="I454" s="350"/>
      <c r="J454" s="350"/>
      <c r="K454" s="350"/>
      <c r="L454" s="350"/>
      <c r="M454" s="350"/>
      <c r="N454" s="350"/>
      <c r="O454" s="350"/>
      <c r="P454" s="347">
        <f t="shared" si="14"/>
        <v>0</v>
      </c>
      <c r="Q454" s="350"/>
      <c r="R454" s="165">
        <f t="shared" si="15"/>
        <v>0</v>
      </c>
      <c r="S454" s="350"/>
      <c r="T454" s="351"/>
    </row>
    <row r="455" spans="1:20" s="269" customFormat="1">
      <c r="A455" s="350"/>
      <c r="B455" s="350"/>
      <c r="C455" s="350"/>
      <c r="D455" s="350"/>
      <c r="E455" s="350"/>
      <c r="F455" s="350"/>
      <c r="G455" s="350"/>
      <c r="H455" s="346"/>
      <c r="I455" s="350"/>
      <c r="J455" s="350"/>
      <c r="K455" s="350"/>
      <c r="L455" s="350"/>
      <c r="M455" s="350"/>
      <c r="N455" s="350"/>
      <c r="O455" s="350"/>
      <c r="P455" s="347">
        <f t="shared" si="14"/>
        <v>0</v>
      </c>
      <c r="Q455" s="350"/>
      <c r="R455" s="165">
        <f t="shared" si="15"/>
        <v>0</v>
      </c>
      <c r="S455" s="350"/>
      <c r="T455" s="351"/>
    </row>
    <row r="456" spans="1:20" s="269" customFormat="1">
      <c r="A456" s="350"/>
      <c r="B456" s="350"/>
      <c r="C456" s="350"/>
      <c r="D456" s="350"/>
      <c r="E456" s="350"/>
      <c r="F456" s="350"/>
      <c r="G456" s="350"/>
      <c r="H456" s="346"/>
      <c r="I456" s="350"/>
      <c r="J456" s="350"/>
      <c r="K456" s="350"/>
      <c r="L456" s="350"/>
      <c r="M456" s="350"/>
      <c r="N456" s="350"/>
      <c r="O456" s="350"/>
      <c r="P456" s="347">
        <f t="shared" si="14"/>
        <v>0</v>
      </c>
      <c r="Q456" s="350"/>
      <c r="R456" s="165">
        <f t="shared" si="15"/>
        <v>0</v>
      </c>
      <c r="S456" s="350"/>
      <c r="T456" s="351"/>
    </row>
    <row r="457" spans="1:20" s="269" customFormat="1">
      <c r="A457" s="350"/>
      <c r="B457" s="350"/>
      <c r="C457" s="350"/>
      <c r="D457" s="350"/>
      <c r="E457" s="350"/>
      <c r="F457" s="350"/>
      <c r="G457" s="350"/>
      <c r="H457" s="346"/>
      <c r="I457" s="350"/>
      <c r="J457" s="350"/>
      <c r="K457" s="350"/>
      <c r="L457" s="350"/>
      <c r="M457" s="350"/>
      <c r="N457" s="350"/>
      <c r="O457" s="350"/>
      <c r="P457" s="347">
        <f t="shared" si="14"/>
        <v>0</v>
      </c>
      <c r="Q457" s="350"/>
      <c r="R457" s="165">
        <f t="shared" si="15"/>
        <v>0</v>
      </c>
      <c r="S457" s="350"/>
      <c r="T457" s="351"/>
    </row>
    <row r="458" spans="1:20" s="269" customFormat="1">
      <c r="A458" s="350"/>
      <c r="B458" s="350"/>
      <c r="C458" s="350"/>
      <c r="D458" s="350"/>
      <c r="E458" s="350"/>
      <c r="F458" s="350"/>
      <c r="G458" s="350"/>
      <c r="H458" s="346"/>
      <c r="I458" s="350"/>
      <c r="J458" s="350"/>
      <c r="K458" s="350"/>
      <c r="L458" s="350"/>
      <c r="M458" s="350"/>
      <c r="N458" s="350"/>
      <c r="O458" s="350"/>
      <c r="P458" s="347">
        <f t="shared" si="14"/>
        <v>0</v>
      </c>
      <c r="Q458" s="350"/>
      <c r="R458" s="165">
        <f t="shared" si="15"/>
        <v>0</v>
      </c>
      <c r="S458" s="350"/>
      <c r="T458" s="351"/>
    </row>
    <row r="459" spans="1:20" s="269" customFormat="1">
      <c r="A459" s="350"/>
      <c r="B459" s="350"/>
      <c r="C459" s="350"/>
      <c r="D459" s="350"/>
      <c r="E459" s="350"/>
      <c r="F459" s="350"/>
      <c r="G459" s="350"/>
      <c r="H459" s="346"/>
      <c r="I459" s="350"/>
      <c r="J459" s="350"/>
      <c r="K459" s="350"/>
      <c r="L459" s="350"/>
      <c r="M459" s="350"/>
      <c r="N459" s="350"/>
      <c r="O459" s="350"/>
      <c r="P459" s="347">
        <f t="shared" si="14"/>
        <v>0</v>
      </c>
      <c r="Q459" s="350"/>
      <c r="R459" s="165">
        <f t="shared" si="15"/>
        <v>0</v>
      </c>
      <c r="S459" s="350"/>
      <c r="T459" s="351"/>
    </row>
    <row r="460" spans="1:20" s="269" customFormat="1">
      <c r="A460" s="350"/>
      <c r="B460" s="350"/>
      <c r="C460" s="350"/>
      <c r="D460" s="350"/>
      <c r="E460" s="350"/>
      <c r="F460" s="350"/>
      <c r="G460" s="350"/>
      <c r="H460" s="346"/>
      <c r="I460" s="350"/>
      <c r="J460" s="350"/>
      <c r="K460" s="350"/>
      <c r="L460" s="350"/>
      <c r="M460" s="350"/>
      <c r="N460" s="350"/>
      <c r="O460" s="350"/>
      <c r="P460" s="347">
        <f t="shared" si="14"/>
        <v>0</v>
      </c>
      <c r="Q460" s="350"/>
      <c r="R460" s="165">
        <f t="shared" si="15"/>
        <v>0</v>
      </c>
      <c r="S460" s="350"/>
      <c r="T460" s="351"/>
    </row>
    <row r="461" spans="1:20" s="269" customFormat="1">
      <c r="A461" s="350"/>
      <c r="B461" s="350"/>
      <c r="C461" s="350"/>
      <c r="D461" s="350"/>
      <c r="E461" s="350"/>
      <c r="F461" s="350"/>
      <c r="G461" s="350"/>
      <c r="H461" s="346"/>
      <c r="I461" s="350"/>
      <c r="J461" s="350"/>
      <c r="K461" s="350"/>
      <c r="L461" s="350"/>
      <c r="M461" s="350"/>
      <c r="N461" s="350"/>
      <c r="O461" s="350"/>
      <c r="P461" s="347">
        <f t="shared" ref="P461:P499" si="16">SUM(I461:O461)</f>
        <v>0</v>
      </c>
      <c r="Q461" s="350"/>
      <c r="R461" s="165">
        <f t="shared" si="15"/>
        <v>0</v>
      </c>
      <c r="S461" s="350"/>
      <c r="T461" s="351"/>
    </row>
    <row r="462" spans="1:20" s="269" customFormat="1">
      <c r="A462" s="350"/>
      <c r="B462" s="350"/>
      <c r="C462" s="350"/>
      <c r="D462" s="350"/>
      <c r="E462" s="350"/>
      <c r="F462" s="350"/>
      <c r="G462" s="350"/>
      <c r="H462" s="346"/>
      <c r="I462" s="350"/>
      <c r="J462" s="350"/>
      <c r="K462" s="350"/>
      <c r="L462" s="350"/>
      <c r="M462" s="350"/>
      <c r="N462" s="350"/>
      <c r="O462" s="350"/>
      <c r="P462" s="347">
        <f t="shared" si="16"/>
        <v>0</v>
      </c>
      <c r="Q462" s="350"/>
      <c r="R462" s="165">
        <f t="shared" si="15"/>
        <v>0</v>
      </c>
      <c r="S462" s="350"/>
      <c r="T462" s="351"/>
    </row>
    <row r="463" spans="1:20" s="269" customFormat="1">
      <c r="A463" s="350"/>
      <c r="B463" s="350"/>
      <c r="C463" s="350"/>
      <c r="D463" s="350"/>
      <c r="E463" s="350"/>
      <c r="F463" s="350"/>
      <c r="G463" s="350"/>
      <c r="H463" s="346"/>
      <c r="I463" s="350"/>
      <c r="J463" s="350"/>
      <c r="K463" s="350"/>
      <c r="L463" s="350"/>
      <c r="M463" s="350"/>
      <c r="N463" s="350"/>
      <c r="O463" s="350"/>
      <c r="P463" s="347">
        <f t="shared" si="16"/>
        <v>0</v>
      </c>
      <c r="Q463" s="350"/>
      <c r="R463" s="165">
        <f t="shared" si="15"/>
        <v>0</v>
      </c>
      <c r="S463" s="350"/>
      <c r="T463" s="351"/>
    </row>
    <row r="464" spans="1:20" s="269" customFormat="1">
      <c r="A464" s="350"/>
      <c r="B464" s="350"/>
      <c r="C464" s="350"/>
      <c r="D464" s="350"/>
      <c r="E464" s="350"/>
      <c r="F464" s="350"/>
      <c r="G464" s="350"/>
      <c r="H464" s="346"/>
      <c r="I464" s="350"/>
      <c r="J464" s="350"/>
      <c r="K464" s="350"/>
      <c r="L464" s="350"/>
      <c r="M464" s="350"/>
      <c r="N464" s="350"/>
      <c r="O464" s="350"/>
      <c r="P464" s="347">
        <f t="shared" si="16"/>
        <v>0</v>
      </c>
      <c r="Q464" s="350"/>
      <c r="R464" s="165">
        <f t="shared" si="15"/>
        <v>0</v>
      </c>
      <c r="S464" s="350"/>
      <c r="T464" s="351"/>
    </row>
    <row r="465" spans="1:20" s="269" customFormat="1">
      <c r="A465" s="350"/>
      <c r="B465" s="350"/>
      <c r="C465" s="350"/>
      <c r="D465" s="350"/>
      <c r="E465" s="350"/>
      <c r="F465" s="350"/>
      <c r="G465" s="350"/>
      <c r="H465" s="346"/>
      <c r="I465" s="350"/>
      <c r="J465" s="350"/>
      <c r="K465" s="350"/>
      <c r="L465" s="350"/>
      <c r="M465" s="350"/>
      <c r="N465" s="350"/>
      <c r="O465" s="350"/>
      <c r="P465" s="347">
        <f t="shared" si="16"/>
        <v>0</v>
      </c>
      <c r="Q465" s="350"/>
      <c r="R465" s="165">
        <f t="shared" si="15"/>
        <v>0</v>
      </c>
      <c r="S465" s="350"/>
      <c r="T465" s="351"/>
    </row>
    <row r="466" spans="1:20" s="269" customFormat="1">
      <c r="A466" s="350"/>
      <c r="B466" s="350"/>
      <c r="C466" s="350"/>
      <c r="D466" s="350"/>
      <c r="E466" s="350"/>
      <c r="F466" s="350"/>
      <c r="G466" s="350"/>
      <c r="H466" s="346"/>
      <c r="I466" s="350"/>
      <c r="J466" s="350"/>
      <c r="K466" s="350"/>
      <c r="L466" s="350"/>
      <c r="M466" s="350"/>
      <c r="N466" s="350"/>
      <c r="O466" s="350"/>
      <c r="P466" s="347">
        <f t="shared" si="16"/>
        <v>0</v>
      </c>
      <c r="Q466" s="350"/>
      <c r="R466" s="165">
        <f t="shared" si="15"/>
        <v>0</v>
      </c>
      <c r="S466" s="350"/>
      <c r="T466" s="351"/>
    </row>
    <row r="467" spans="1:20" s="269" customFormat="1">
      <c r="A467" s="350"/>
      <c r="B467" s="350"/>
      <c r="C467" s="350"/>
      <c r="D467" s="350"/>
      <c r="E467" s="350"/>
      <c r="F467" s="350"/>
      <c r="G467" s="350"/>
      <c r="H467" s="346"/>
      <c r="I467" s="350"/>
      <c r="J467" s="350"/>
      <c r="K467" s="350"/>
      <c r="L467" s="350"/>
      <c r="M467" s="350"/>
      <c r="N467" s="350"/>
      <c r="O467" s="350"/>
      <c r="P467" s="347">
        <f t="shared" si="16"/>
        <v>0</v>
      </c>
      <c r="Q467" s="350"/>
      <c r="R467" s="165">
        <f t="shared" si="15"/>
        <v>0</v>
      </c>
      <c r="S467" s="350"/>
      <c r="T467" s="351"/>
    </row>
    <row r="468" spans="1:20" s="269" customFormat="1">
      <c r="A468" s="350"/>
      <c r="B468" s="350"/>
      <c r="C468" s="350"/>
      <c r="D468" s="350"/>
      <c r="E468" s="350"/>
      <c r="F468" s="350"/>
      <c r="G468" s="350"/>
      <c r="H468" s="346"/>
      <c r="I468" s="350"/>
      <c r="J468" s="350"/>
      <c r="K468" s="350"/>
      <c r="L468" s="350"/>
      <c r="M468" s="350"/>
      <c r="N468" s="350"/>
      <c r="O468" s="350"/>
      <c r="P468" s="347">
        <f t="shared" si="16"/>
        <v>0</v>
      </c>
      <c r="Q468" s="350"/>
      <c r="R468" s="165">
        <f t="shared" si="15"/>
        <v>0</v>
      </c>
      <c r="S468" s="350"/>
      <c r="T468" s="351"/>
    </row>
    <row r="469" spans="1:20" s="269" customFormat="1">
      <c r="A469" s="350"/>
      <c r="B469" s="350"/>
      <c r="C469" s="350"/>
      <c r="D469" s="350"/>
      <c r="E469" s="350"/>
      <c r="F469" s="350"/>
      <c r="G469" s="350"/>
      <c r="H469" s="346"/>
      <c r="I469" s="350"/>
      <c r="J469" s="350"/>
      <c r="K469" s="350"/>
      <c r="L469" s="350"/>
      <c r="M469" s="350"/>
      <c r="N469" s="350"/>
      <c r="O469" s="350"/>
      <c r="P469" s="347">
        <f t="shared" si="16"/>
        <v>0</v>
      </c>
      <c r="Q469" s="350"/>
      <c r="R469" s="165">
        <f t="shared" si="15"/>
        <v>0</v>
      </c>
      <c r="S469" s="350"/>
      <c r="T469" s="351"/>
    </row>
    <row r="470" spans="1:20" s="269" customFormat="1">
      <c r="A470" s="350"/>
      <c r="B470" s="350"/>
      <c r="C470" s="350"/>
      <c r="D470" s="350"/>
      <c r="E470" s="350"/>
      <c r="F470" s="350"/>
      <c r="G470" s="350"/>
      <c r="H470" s="346"/>
      <c r="I470" s="350"/>
      <c r="J470" s="350"/>
      <c r="K470" s="350"/>
      <c r="L470" s="350"/>
      <c r="M470" s="350"/>
      <c r="N470" s="350"/>
      <c r="O470" s="350"/>
      <c r="P470" s="347">
        <f t="shared" si="16"/>
        <v>0</v>
      </c>
      <c r="Q470" s="350"/>
      <c r="R470" s="165">
        <f t="shared" si="15"/>
        <v>0</v>
      </c>
      <c r="S470" s="350"/>
      <c r="T470" s="351"/>
    </row>
    <row r="471" spans="1:20" s="269" customFormat="1">
      <c r="A471" s="350"/>
      <c r="B471" s="350"/>
      <c r="C471" s="350"/>
      <c r="D471" s="350"/>
      <c r="E471" s="350"/>
      <c r="F471" s="350"/>
      <c r="G471" s="350"/>
      <c r="H471" s="346"/>
      <c r="I471" s="350"/>
      <c r="J471" s="350"/>
      <c r="K471" s="350"/>
      <c r="L471" s="350"/>
      <c r="M471" s="350"/>
      <c r="N471" s="350"/>
      <c r="O471" s="350"/>
      <c r="P471" s="347">
        <f t="shared" si="16"/>
        <v>0</v>
      </c>
      <c r="Q471" s="350"/>
      <c r="R471" s="165">
        <f t="shared" si="15"/>
        <v>0</v>
      </c>
      <c r="S471" s="350"/>
      <c r="T471" s="351"/>
    </row>
    <row r="472" spans="1:20" s="269" customFormat="1">
      <c r="A472" s="350"/>
      <c r="B472" s="350"/>
      <c r="C472" s="350"/>
      <c r="D472" s="350"/>
      <c r="E472" s="350"/>
      <c r="F472" s="350"/>
      <c r="G472" s="350"/>
      <c r="H472" s="346"/>
      <c r="I472" s="350"/>
      <c r="J472" s="350"/>
      <c r="K472" s="350"/>
      <c r="L472" s="350"/>
      <c r="M472" s="350"/>
      <c r="N472" s="350"/>
      <c r="O472" s="350"/>
      <c r="P472" s="347">
        <f t="shared" si="16"/>
        <v>0</v>
      </c>
      <c r="Q472" s="350"/>
      <c r="R472" s="165">
        <f t="shared" si="15"/>
        <v>0</v>
      </c>
      <c r="S472" s="350"/>
      <c r="T472" s="351"/>
    </row>
    <row r="473" spans="1:20" s="269" customFormat="1">
      <c r="A473" s="350"/>
      <c r="B473" s="350"/>
      <c r="C473" s="350"/>
      <c r="D473" s="350"/>
      <c r="E473" s="350"/>
      <c r="F473" s="350"/>
      <c r="G473" s="350"/>
      <c r="H473" s="346"/>
      <c r="I473" s="350"/>
      <c r="J473" s="350"/>
      <c r="K473" s="350"/>
      <c r="L473" s="350"/>
      <c r="M473" s="350"/>
      <c r="N473" s="350"/>
      <c r="O473" s="350"/>
      <c r="P473" s="347">
        <f t="shared" si="16"/>
        <v>0</v>
      </c>
      <c r="Q473" s="350"/>
      <c r="R473" s="165">
        <f t="shared" si="15"/>
        <v>0</v>
      </c>
      <c r="S473" s="350"/>
      <c r="T473" s="351"/>
    </row>
    <row r="474" spans="1:20" s="269" customFormat="1">
      <c r="A474" s="350"/>
      <c r="B474" s="350"/>
      <c r="C474" s="350"/>
      <c r="D474" s="350"/>
      <c r="E474" s="350"/>
      <c r="F474" s="350"/>
      <c r="G474" s="350"/>
      <c r="H474" s="346"/>
      <c r="I474" s="350"/>
      <c r="J474" s="350"/>
      <c r="K474" s="350"/>
      <c r="L474" s="350"/>
      <c r="M474" s="350"/>
      <c r="N474" s="350"/>
      <c r="O474" s="350"/>
      <c r="P474" s="347">
        <f t="shared" si="16"/>
        <v>0</v>
      </c>
      <c r="Q474" s="350"/>
      <c r="R474" s="165">
        <f t="shared" ref="R474:R537" si="17">P474-Q474</f>
        <v>0</v>
      </c>
      <c r="S474" s="350"/>
      <c r="T474" s="351"/>
    </row>
    <row r="475" spans="1:20" s="269" customFormat="1">
      <c r="A475" s="350"/>
      <c r="B475" s="350"/>
      <c r="C475" s="350"/>
      <c r="D475" s="350"/>
      <c r="E475" s="350"/>
      <c r="F475" s="350"/>
      <c r="G475" s="350"/>
      <c r="H475" s="346"/>
      <c r="I475" s="350"/>
      <c r="J475" s="350"/>
      <c r="K475" s="350"/>
      <c r="L475" s="350"/>
      <c r="M475" s="350"/>
      <c r="N475" s="350"/>
      <c r="O475" s="350"/>
      <c r="P475" s="347">
        <f t="shared" si="16"/>
        <v>0</v>
      </c>
      <c r="Q475" s="350"/>
      <c r="R475" s="165">
        <f t="shared" si="17"/>
        <v>0</v>
      </c>
      <c r="S475" s="350"/>
      <c r="T475" s="351"/>
    </row>
    <row r="476" spans="1:20" s="269" customFormat="1">
      <c r="A476" s="350"/>
      <c r="B476" s="350"/>
      <c r="C476" s="350"/>
      <c r="D476" s="350"/>
      <c r="E476" s="350"/>
      <c r="F476" s="350"/>
      <c r="G476" s="350"/>
      <c r="H476" s="346"/>
      <c r="I476" s="350"/>
      <c r="J476" s="350"/>
      <c r="K476" s="350"/>
      <c r="L476" s="350"/>
      <c r="M476" s="350"/>
      <c r="N476" s="350"/>
      <c r="O476" s="350"/>
      <c r="P476" s="347">
        <f t="shared" si="16"/>
        <v>0</v>
      </c>
      <c r="Q476" s="350"/>
      <c r="R476" s="165">
        <f t="shared" si="17"/>
        <v>0</v>
      </c>
      <c r="S476" s="350"/>
      <c r="T476" s="351"/>
    </row>
    <row r="477" spans="1:20" s="269" customFormat="1">
      <c r="A477" s="350"/>
      <c r="B477" s="350"/>
      <c r="C477" s="350"/>
      <c r="D477" s="350"/>
      <c r="E477" s="350"/>
      <c r="F477" s="350"/>
      <c r="G477" s="350"/>
      <c r="H477" s="346"/>
      <c r="I477" s="350"/>
      <c r="J477" s="350"/>
      <c r="K477" s="350"/>
      <c r="L477" s="350"/>
      <c r="M477" s="350"/>
      <c r="N477" s="350"/>
      <c r="O477" s="350"/>
      <c r="P477" s="347">
        <f t="shared" si="16"/>
        <v>0</v>
      </c>
      <c r="Q477" s="350"/>
      <c r="R477" s="165">
        <f t="shared" si="17"/>
        <v>0</v>
      </c>
      <c r="S477" s="350"/>
      <c r="T477" s="351"/>
    </row>
    <row r="478" spans="1:20" s="269" customFormat="1">
      <c r="A478" s="350"/>
      <c r="B478" s="350"/>
      <c r="C478" s="350"/>
      <c r="D478" s="350"/>
      <c r="E478" s="350"/>
      <c r="F478" s="350"/>
      <c r="G478" s="350"/>
      <c r="H478" s="346"/>
      <c r="I478" s="350"/>
      <c r="J478" s="350"/>
      <c r="K478" s="350"/>
      <c r="L478" s="350"/>
      <c r="M478" s="350"/>
      <c r="N478" s="350"/>
      <c r="O478" s="350"/>
      <c r="P478" s="347">
        <f t="shared" si="16"/>
        <v>0</v>
      </c>
      <c r="Q478" s="350"/>
      <c r="R478" s="165">
        <f t="shared" si="17"/>
        <v>0</v>
      </c>
      <c r="S478" s="350"/>
      <c r="T478" s="351"/>
    </row>
    <row r="479" spans="1:20" s="269" customFormat="1">
      <c r="A479" s="350"/>
      <c r="B479" s="350"/>
      <c r="C479" s="350"/>
      <c r="D479" s="350"/>
      <c r="E479" s="350"/>
      <c r="F479" s="350"/>
      <c r="G479" s="350"/>
      <c r="H479" s="346"/>
      <c r="I479" s="350"/>
      <c r="J479" s="350"/>
      <c r="K479" s="350"/>
      <c r="L479" s="350"/>
      <c r="M479" s="350"/>
      <c r="N479" s="350"/>
      <c r="O479" s="350"/>
      <c r="P479" s="347">
        <f t="shared" si="16"/>
        <v>0</v>
      </c>
      <c r="Q479" s="350"/>
      <c r="R479" s="165">
        <f t="shared" si="17"/>
        <v>0</v>
      </c>
      <c r="S479" s="350"/>
      <c r="T479" s="351"/>
    </row>
    <row r="480" spans="1:20" s="269" customFormat="1">
      <c r="A480" s="350"/>
      <c r="B480" s="350"/>
      <c r="C480" s="350"/>
      <c r="D480" s="350"/>
      <c r="E480" s="350"/>
      <c r="F480" s="350"/>
      <c r="G480" s="350"/>
      <c r="H480" s="346"/>
      <c r="I480" s="350"/>
      <c r="J480" s="350"/>
      <c r="K480" s="350"/>
      <c r="L480" s="350"/>
      <c r="M480" s="350"/>
      <c r="N480" s="350"/>
      <c r="O480" s="350"/>
      <c r="P480" s="347">
        <f t="shared" si="16"/>
        <v>0</v>
      </c>
      <c r="Q480" s="350"/>
      <c r="R480" s="165">
        <f t="shared" si="17"/>
        <v>0</v>
      </c>
      <c r="S480" s="350"/>
      <c r="T480" s="351"/>
    </row>
    <row r="481" spans="1:20" s="269" customFormat="1">
      <c r="A481" s="350"/>
      <c r="B481" s="350"/>
      <c r="C481" s="350"/>
      <c r="D481" s="350"/>
      <c r="E481" s="350"/>
      <c r="F481" s="350"/>
      <c r="G481" s="350"/>
      <c r="H481" s="346"/>
      <c r="I481" s="350"/>
      <c r="J481" s="350"/>
      <c r="K481" s="350"/>
      <c r="L481" s="350"/>
      <c r="M481" s="350"/>
      <c r="N481" s="350"/>
      <c r="O481" s="350"/>
      <c r="P481" s="347">
        <f t="shared" si="16"/>
        <v>0</v>
      </c>
      <c r="Q481" s="350"/>
      <c r="R481" s="165">
        <f t="shared" si="17"/>
        <v>0</v>
      </c>
      <c r="S481" s="350"/>
      <c r="T481" s="351"/>
    </row>
    <row r="482" spans="1:20" s="269" customFormat="1">
      <c r="A482" s="350"/>
      <c r="B482" s="350"/>
      <c r="C482" s="350"/>
      <c r="D482" s="350"/>
      <c r="E482" s="350"/>
      <c r="F482" s="350"/>
      <c r="G482" s="350"/>
      <c r="H482" s="346"/>
      <c r="I482" s="350"/>
      <c r="J482" s="350"/>
      <c r="K482" s="350"/>
      <c r="L482" s="350"/>
      <c r="M482" s="350"/>
      <c r="N482" s="350"/>
      <c r="O482" s="350"/>
      <c r="P482" s="347">
        <f t="shared" si="16"/>
        <v>0</v>
      </c>
      <c r="Q482" s="350"/>
      <c r="R482" s="165">
        <f t="shared" si="17"/>
        <v>0</v>
      </c>
      <c r="S482" s="350"/>
      <c r="T482" s="351"/>
    </row>
    <row r="483" spans="1:20" s="269" customFormat="1">
      <c r="A483" s="350"/>
      <c r="B483" s="350"/>
      <c r="C483" s="350"/>
      <c r="D483" s="350"/>
      <c r="E483" s="350"/>
      <c r="F483" s="350"/>
      <c r="G483" s="350"/>
      <c r="H483" s="346"/>
      <c r="I483" s="350"/>
      <c r="J483" s="350"/>
      <c r="K483" s="350"/>
      <c r="L483" s="350"/>
      <c r="M483" s="350"/>
      <c r="N483" s="350"/>
      <c r="O483" s="350"/>
      <c r="P483" s="347">
        <f t="shared" si="16"/>
        <v>0</v>
      </c>
      <c r="Q483" s="350"/>
      <c r="R483" s="165">
        <f t="shared" si="17"/>
        <v>0</v>
      </c>
      <c r="S483" s="350"/>
      <c r="T483" s="351"/>
    </row>
    <row r="484" spans="1:20" s="269" customFormat="1">
      <c r="A484" s="350"/>
      <c r="B484" s="350"/>
      <c r="C484" s="350"/>
      <c r="D484" s="350"/>
      <c r="E484" s="350"/>
      <c r="F484" s="350"/>
      <c r="G484" s="350"/>
      <c r="H484" s="346"/>
      <c r="I484" s="350"/>
      <c r="J484" s="350"/>
      <c r="K484" s="350"/>
      <c r="L484" s="350"/>
      <c r="M484" s="350"/>
      <c r="N484" s="350"/>
      <c r="O484" s="350"/>
      <c r="P484" s="347">
        <f t="shared" si="16"/>
        <v>0</v>
      </c>
      <c r="Q484" s="350"/>
      <c r="R484" s="165">
        <f t="shared" si="17"/>
        <v>0</v>
      </c>
      <c r="S484" s="350"/>
      <c r="T484" s="351"/>
    </row>
    <row r="485" spans="1:20" s="269" customFormat="1">
      <c r="A485" s="350"/>
      <c r="B485" s="350"/>
      <c r="C485" s="350"/>
      <c r="D485" s="350"/>
      <c r="E485" s="350"/>
      <c r="F485" s="350"/>
      <c r="G485" s="350"/>
      <c r="H485" s="346"/>
      <c r="I485" s="350"/>
      <c r="J485" s="350"/>
      <c r="K485" s="350"/>
      <c r="L485" s="350"/>
      <c r="M485" s="350"/>
      <c r="N485" s="350"/>
      <c r="O485" s="350"/>
      <c r="P485" s="347">
        <f t="shared" si="16"/>
        <v>0</v>
      </c>
      <c r="Q485" s="350"/>
      <c r="R485" s="165">
        <f t="shared" si="17"/>
        <v>0</v>
      </c>
      <c r="S485" s="350"/>
      <c r="T485" s="351"/>
    </row>
    <row r="486" spans="1:20" s="269" customFormat="1">
      <c r="A486" s="350"/>
      <c r="B486" s="350"/>
      <c r="C486" s="350"/>
      <c r="D486" s="350"/>
      <c r="E486" s="350"/>
      <c r="F486" s="350"/>
      <c r="G486" s="350"/>
      <c r="H486" s="346"/>
      <c r="I486" s="350"/>
      <c r="J486" s="350"/>
      <c r="K486" s="350"/>
      <c r="L486" s="350"/>
      <c r="M486" s="350"/>
      <c r="N486" s="350"/>
      <c r="O486" s="350"/>
      <c r="P486" s="347">
        <f t="shared" si="16"/>
        <v>0</v>
      </c>
      <c r="Q486" s="350"/>
      <c r="R486" s="165">
        <f t="shared" si="17"/>
        <v>0</v>
      </c>
      <c r="S486" s="350"/>
      <c r="T486" s="351"/>
    </row>
    <row r="487" spans="1:20" s="269" customFormat="1">
      <c r="A487" s="350"/>
      <c r="B487" s="350"/>
      <c r="C487" s="350"/>
      <c r="D487" s="350"/>
      <c r="E487" s="350"/>
      <c r="F487" s="350"/>
      <c r="G487" s="350"/>
      <c r="H487" s="346"/>
      <c r="I487" s="350"/>
      <c r="J487" s="350"/>
      <c r="K487" s="350"/>
      <c r="L487" s="350"/>
      <c r="M487" s="350"/>
      <c r="N487" s="350"/>
      <c r="O487" s="350"/>
      <c r="P487" s="347">
        <f t="shared" si="16"/>
        <v>0</v>
      </c>
      <c r="Q487" s="350"/>
      <c r="R487" s="165">
        <f t="shared" si="17"/>
        <v>0</v>
      </c>
      <c r="S487" s="350"/>
      <c r="T487" s="351"/>
    </row>
    <row r="488" spans="1:20" s="269" customFormat="1">
      <c r="A488" s="350"/>
      <c r="B488" s="350"/>
      <c r="C488" s="350"/>
      <c r="D488" s="350"/>
      <c r="E488" s="350"/>
      <c r="F488" s="350"/>
      <c r="G488" s="350"/>
      <c r="H488" s="346"/>
      <c r="I488" s="350"/>
      <c r="J488" s="350"/>
      <c r="K488" s="350"/>
      <c r="L488" s="350"/>
      <c r="M488" s="350"/>
      <c r="N488" s="350"/>
      <c r="O488" s="350"/>
      <c r="P488" s="347">
        <f t="shared" si="16"/>
        <v>0</v>
      </c>
      <c r="Q488" s="350"/>
      <c r="R488" s="165">
        <f t="shared" si="17"/>
        <v>0</v>
      </c>
      <c r="S488" s="350"/>
      <c r="T488" s="351"/>
    </row>
    <row r="489" spans="1:20" s="269" customFormat="1">
      <c r="A489" s="350"/>
      <c r="B489" s="350"/>
      <c r="C489" s="350"/>
      <c r="D489" s="350"/>
      <c r="E489" s="350"/>
      <c r="F489" s="350"/>
      <c r="G489" s="350"/>
      <c r="H489" s="346"/>
      <c r="I489" s="350"/>
      <c r="J489" s="350"/>
      <c r="K489" s="350"/>
      <c r="L489" s="350"/>
      <c r="M489" s="350"/>
      <c r="N489" s="350"/>
      <c r="O489" s="350"/>
      <c r="P489" s="347">
        <f t="shared" si="16"/>
        <v>0</v>
      </c>
      <c r="Q489" s="350"/>
      <c r="R489" s="165">
        <f t="shared" si="17"/>
        <v>0</v>
      </c>
      <c r="S489" s="350"/>
      <c r="T489" s="351"/>
    </row>
    <row r="490" spans="1:20" s="269" customFormat="1">
      <c r="A490" s="350"/>
      <c r="B490" s="350"/>
      <c r="C490" s="350"/>
      <c r="D490" s="350"/>
      <c r="E490" s="350"/>
      <c r="F490" s="350"/>
      <c r="G490" s="350"/>
      <c r="H490" s="346"/>
      <c r="I490" s="350"/>
      <c r="J490" s="350"/>
      <c r="K490" s="350"/>
      <c r="L490" s="350"/>
      <c r="M490" s="350"/>
      <c r="N490" s="350"/>
      <c r="O490" s="350"/>
      <c r="P490" s="347">
        <f t="shared" si="16"/>
        <v>0</v>
      </c>
      <c r="Q490" s="350"/>
      <c r="R490" s="165">
        <f t="shared" si="17"/>
        <v>0</v>
      </c>
      <c r="S490" s="350"/>
      <c r="T490" s="351"/>
    </row>
    <row r="491" spans="1:20" s="269" customFormat="1">
      <c r="A491" s="350"/>
      <c r="B491" s="350"/>
      <c r="C491" s="350"/>
      <c r="D491" s="350"/>
      <c r="E491" s="350"/>
      <c r="F491" s="350"/>
      <c r="G491" s="350"/>
      <c r="H491" s="346"/>
      <c r="I491" s="350"/>
      <c r="J491" s="350"/>
      <c r="K491" s="350"/>
      <c r="L491" s="350"/>
      <c r="M491" s="350"/>
      <c r="N491" s="350"/>
      <c r="O491" s="350"/>
      <c r="P491" s="347">
        <f t="shared" si="16"/>
        <v>0</v>
      </c>
      <c r="Q491" s="350"/>
      <c r="R491" s="165">
        <f t="shared" si="17"/>
        <v>0</v>
      </c>
      <c r="S491" s="350"/>
      <c r="T491" s="351"/>
    </row>
    <row r="492" spans="1:20" s="269" customFormat="1">
      <c r="A492" s="350"/>
      <c r="B492" s="350"/>
      <c r="C492" s="350"/>
      <c r="D492" s="350"/>
      <c r="E492" s="350"/>
      <c r="F492" s="350"/>
      <c r="G492" s="350"/>
      <c r="H492" s="346"/>
      <c r="I492" s="350"/>
      <c r="J492" s="350"/>
      <c r="K492" s="350"/>
      <c r="L492" s="350"/>
      <c r="M492" s="350"/>
      <c r="N492" s="350"/>
      <c r="O492" s="350"/>
      <c r="P492" s="347">
        <f t="shared" si="16"/>
        <v>0</v>
      </c>
      <c r="Q492" s="350"/>
      <c r="R492" s="165">
        <f t="shared" si="17"/>
        <v>0</v>
      </c>
      <c r="S492" s="350"/>
      <c r="T492" s="351"/>
    </row>
    <row r="493" spans="1:20" s="269" customFormat="1">
      <c r="A493" s="350"/>
      <c r="B493" s="350"/>
      <c r="C493" s="350"/>
      <c r="D493" s="350"/>
      <c r="E493" s="350"/>
      <c r="F493" s="350"/>
      <c r="G493" s="350"/>
      <c r="H493" s="346"/>
      <c r="I493" s="350"/>
      <c r="J493" s="350"/>
      <c r="K493" s="350"/>
      <c r="L493" s="350"/>
      <c r="M493" s="350"/>
      <c r="N493" s="350"/>
      <c r="O493" s="350"/>
      <c r="P493" s="347">
        <f t="shared" si="16"/>
        <v>0</v>
      </c>
      <c r="Q493" s="350"/>
      <c r="R493" s="165">
        <f t="shared" si="17"/>
        <v>0</v>
      </c>
      <c r="S493" s="350"/>
      <c r="T493" s="351"/>
    </row>
    <row r="494" spans="1:20" s="269" customFormat="1">
      <c r="A494" s="350"/>
      <c r="B494" s="350"/>
      <c r="C494" s="350"/>
      <c r="D494" s="350"/>
      <c r="E494" s="350"/>
      <c r="F494" s="350"/>
      <c r="G494" s="350"/>
      <c r="H494" s="346"/>
      <c r="I494" s="350"/>
      <c r="J494" s="350"/>
      <c r="K494" s="350"/>
      <c r="L494" s="350"/>
      <c r="M494" s="350"/>
      <c r="N494" s="350"/>
      <c r="O494" s="350"/>
      <c r="P494" s="347">
        <f t="shared" si="16"/>
        <v>0</v>
      </c>
      <c r="Q494" s="350"/>
      <c r="R494" s="165">
        <f t="shared" si="17"/>
        <v>0</v>
      </c>
      <c r="S494" s="350"/>
      <c r="T494" s="351"/>
    </row>
    <row r="495" spans="1:20" s="269" customFormat="1">
      <c r="A495" s="350"/>
      <c r="B495" s="350"/>
      <c r="C495" s="350"/>
      <c r="D495" s="350"/>
      <c r="E495" s="350"/>
      <c r="F495" s="350"/>
      <c r="G495" s="350"/>
      <c r="H495" s="346"/>
      <c r="I495" s="350"/>
      <c r="J495" s="350"/>
      <c r="K495" s="350"/>
      <c r="L495" s="350"/>
      <c r="M495" s="350"/>
      <c r="N495" s="350"/>
      <c r="O495" s="350"/>
      <c r="P495" s="347">
        <f t="shared" si="16"/>
        <v>0</v>
      </c>
      <c r="Q495" s="350"/>
      <c r="R495" s="165">
        <f t="shared" si="17"/>
        <v>0</v>
      </c>
      <c r="S495" s="350"/>
      <c r="T495" s="351"/>
    </row>
    <row r="496" spans="1:20" s="269" customFormat="1">
      <c r="A496" s="350"/>
      <c r="B496" s="350"/>
      <c r="C496" s="350"/>
      <c r="D496" s="350"/>
      <c r="E496" s="350"/>
      <c r="F496" s="350"/>
      <c r="G496" s="350"/>
      <c r="H496" s="346"/>
      <c r="I496" s="350"/>
      <c r="J496" s="350"/>
      <c r="K496" s="350"/>
      <c r="L496" s="350"/>
      <c r="M496" s="350"/>
      <c r="N496" s="350"/>
      <c r="O496" s="350"/>
      <c r="P496" s="347">
        <f t="shared" si="16"/>
        <v>0</v>
      </c>
      <c r="Q496" s="350"/>
      <c r="R496" s="165">
        <f t="shared" si="17"/>
        <v>0</v>
      </c>
      <c r="S496" s="350"/>
      <c r="T496" s="351"/>
    </row>
    <row r="497" spans="1:20" s="269" customFormat="1">
      <c r="A497" s="350"/>
      <c r="B497" s="350"/>
      <c r="C497" s="350"/>
      <c r="D497" s="350"/>
      <c r="E497" s="350"/>
      <c r="F497" s="350"/>
      <c r="G497" s="350"/>
      <c r="H497" s="346"/>
      <c r="I497" s="350"/>
      <c r="J497" s="350"/>
      <c r="K497" s="350"/>
      <c r="L497" s="350"/>
      <c r="M497" s="350"/>
      <c r="N497" s="350"/>
      <c r="O497" s="350"/>
      <c r="P497" s="347">
        <f t="shared" si="16"/>
        <v>0</v>
      </c>
      <c r="Q497" s="350"/>
      <c r="R497" s="165">
        <f t="shared" si="17"/>
        <v>0</v>
      </c>
      <c r="S497" s="350"/>
      <c r="T497" s="351"/>
    </row>
    <row r="498" spans="1:20" s="269" customFormat="1">
      <c r="A498" s="350"/>
      <c r="B498" s="350"/>
      <c r="C498" s="350"/>
      <c r="D498" s="350"/>
      <c r="E498" s="350"/>
      <c r="F498" s="350"/>
      <c r="G498" s="350"/>
      <c r="H498" s="346"/>
      <c r="I498" s="350"/>
      <c r="J498" s="350"/>
      <c r="K498" s="350"/>
      <c r="L498" s="350"/>
      <c r="M498" s="350"/>
      <c r="N498" s="350"/>
      <c r="O498" s="350"/>
      <c r="P498" s="347">
        <f t="shared" si="16"/>
        <v>0</v>
      </c>
      <c r="Q498" s="350"/>
      <c r="R498" s="165">
        <f t="shared" si="17"/>
        <v>0</v>
      </c>
      <c r="S498" s="350"/>
      <c r="T498" s="351"/>
    </row>
    <row r="499" spans="1:20" s="269" customFormat="1">
      <c r="A499" s="350"/>
      <c r="B499" s="350"/>
      <c r="C499" s="350"/>
      <c r="D499" s="350"/>
      <c r="E499" s="350"/>
      <c r="F499" s="350"/>
      <c r="G499" s="350"/>
      <c r="H499" s="346"/>
      <c r="I499" s="350"/>
      <c r="J499" s="350"/>
      <c r="K499" s="350"/>
      <c r="L499" s="350"/>
      <c r="M499" s="350"/>
      <c r="N499" s="350"/>
      <c r="O499" s="350"/>
      <c r="P499" s="347">
        <f t="shared" si="16"/>
        <v>0</v>
      </c>
      <c r="Q499" s="350"/>
      <c r="R499" s="165">
        <f t="shared" si="17"/>
        <v>0</v>
      </c>
      <c r="S499" s="350"/>
      <c r="T499" s="351"/>
    </row>
    <row r="500" spans="1:20" s="269" customFormat="1">
      <c r="A500" s="350"/>
      <c r="B500" s="350"/>
      <c r="C500" s="350"/>
      <c r="D500" s="350"/>
      <c r="E500" s="350"/>
      <c r="F500" s="350"/>
      <c r="G500" s="350"/>
      <c r="H500" s="346"/>
      <c r="I500" s="350"/>
      <c r="J500" s="350"/>
      <c r="K500" s="350"/>
      <c r="L500" s="350"/>
      <c r="M500" s="350"/>
      <c r="N500" s="350"/>
      <c r="O500" s="350"/>
      <c r="P500" s="347">
        <f t="shared" ref="P500:P563" si="18">SUM(I500:O500)</f>
        <v>0</v>
      </c>
      <c r="Q500" s="350"/>
      <c r="R500" s="165">
        <f>P500-Q500</f>
        <v>0</v>
      </c>
      <c r="S500" s="350"/>
      <c r="T500" s="351"/>
    </row>
    <row r="501" spans="1:20">
      <c r="A501" s="303"/>
      <c r="B501" s="303"/>
      <c r="C501" s="303"/>
      <c r="D501" s="303"/>
      <c r="E501" s="303"/>
      <c r="F501" s="303"/>
      <c r="G501" s="303"/>
      <c r="H501" s="303"/>
      <c r="I501" s="303"/>
      <c r="J501" s="303"/>
      <c r="K501" s="303"/>
      <c r="L501" s="303"/>
      <c r="M501" s="303"/>
      <c r="N501" s="303"/>
      <c r="O501" s="303"/>
      <c r="P501" s="347">
        <f t="shared" si="18"/>
        <v>0</v>
      </c>
      <c r="Q501" s="303"/>
      <c r="R501" s="165">
        <f t="shared" si="17"/>
        <v>0</v>
      </c>
      <c r="S501" s="303"/>
      <c r="T501" s="348"/>
    </row>
    <row r="502" spans="1:20">
      <c r="A502" s="303"/>
      <c r="B502" s="303"/>
      <c r="C502" s="303"/>
      <c r="D502" s="303"/>
      <c r="E502" s="303"/>
      <c r="F502" s="303"/>
      <c r="G502" s="303"/>
      <c r="H502" s="303"/>
      <c r="I502" s="303"/>
      <c r="J502" s="303"/>
      <c r="K502" s="303"/>
      <c r="L502" s="303"/>
      <c r="M502" s="303"/>
      <c r="N502" s="303"/>
      <c r="O502" s="303"/>
      <c r="P502" s="347">
        <f t="shared" si="18"/>
        <v>0</v>
      </c>
      <c r="Q502" s="303"/>
      <c r="R502" s="165">
        <f t="shared" si="17"/>
        <v>0</v>
      </c>
      <c r="S502" s="303"/>
      <c r="T502" s="348"/>
    </row>
    <row r="503" spans="1:20">
      <c r="A503" s="303"/>
      <c r="B503" s="303"/>
      <c r="C503" s="303"/>
      <c r="D503" s="303"/>
      <c r="E503" s="303"/>
      <c r="F503" s="303"/>
      <c r="G503" s="303"/>
      <c r="H503" s="303"/>
      <c r="I503" s="303"/>
      <c r="J503" s="303"/>
      <c r="K503" s="303"/>
      <c r="L503" s="303"/>
      <c r="M503" s="303"/>
      <c r="N503" s="303"/>
      <c r="O503" s="303"/>
      <c r="P503" s="347">
        <f t="shared" si="18"/>
        <v>0</v>
      </c>
      <c r="Q503" s="303"/>
      <c r="R503" s="165">
        <f t="shared" si="17"/>
        <v>0</v>
      </c>
      <c r="S503" s="303"/>
      <c r="T503" s="348"/>
    </row>
    <row r="504" spans="1:20">
      <c r="A504" s="303"/>
      <c r="B504" s="303"/>
      <c r="C504" s="303"/>
      <c r="D504" s="303"/>
      <c r="E504" s="303"/>
      <c r="F504" s="303"/>
      <c r="G504" s="303"/>
      <c r="H504" s="303"/>
      <c r="I504" s="303"/>
      <c r="J504" s="303"/>
      <c r="K504" s="303"/>
      <c r="L504" s="303"/>
      <c r="M504" s="303"/>
      <c r="N504" s="303"/>
      <c r="O504" s="303"/>
      <c r="P504" s="347">
        <f t="shared" si="18"/>
        <v>0</v>
      </c>
      <c r="Q504" s="303"/>
      <c r="R504" s="165">
        <f t="shared" si="17"/>
        <v>0</v>
      </c>
      <c r="S504" s="303"/>
      <c r="T504" s="348"/>
    </row>
    <row r="505" spans="1:20">
      <c r="A505" s="303"/>
      <c r="B505" s="303"/>
      <c r="C505" s="303"/>
      <c r="D505" s="303"/>
      <c r="E505" s="303"/>
      <c r="F505" s="303"/>
      <c r="G505" s="303"/>
      <c r="H505" s="303"/>
      <c r="I505" s="303"/>
      <c r="J505" s="303"/>
      <c r="K505" s="303"/>
      <c r="L505" s="303"/>
      <c r="M505" s="303"/>
      <c r="N505" s="303"/>
      <c r="O505" s="303"/>
      <c r="P505" s="347">
        <f t="shared" si="18"/>
        <v>0</v>
      </c>
      <c r="Q505" s="303"/>
      <c r="R505" s="165">
        <f t="shared" si="17"/>
        <v>0</v>
      </c>
      <c r="S505" s="303"/>
      <c r="T505" s="348"/>
    </row>
    <row r="506" spans="1:20">
      <c r="A506" s="303"/>
      <c r="B506" s="303"/>
      <c r="C506" s="303"/>
      <c r="D506" s="303"/>
      <c r="E506" s="303"/>
      <c r="F506" s="303"/>
      <c r="G506" s="303"/>
      <c r="H506" s="303"/>
      <c r="I506" s="303"/>
      <c r="J506" s="303"/>
      <c r="K506" s="303"/>
      <c r="L506" s="303"/>
      <c r="M506" s="303"/>
      <c r="N506" s="303"/>
      <c r="O506" s="303"/>
      <c r="P506" s="347">
        <f t="shared" si="18"/>
        <v>0</v>
      </c>
      <c r="Q506" s="303"/>
      <c r="R506" s="165">
        <f t="shared" si="17"/>
        <v>0</v>
      </c>
      <c r="S506" s="303"/>
      <c r="T506" s="348"/>
    </row>
    <row r="507" spans="1:20">
      <c r="A507" s="303"/>
      <c r="B507" s="303"/>
      <c r="C507" s="303"/>
      <c r="D507" s="303"/>
      <c r="E507" s="303"/>
      <c r="F507" s="303"/>
      <c r="G507" s="303"/>
      <c r="H507" s="303"/>
      <c r="I507" s="303"/>
      <c r="J507" s="303"/>
      <c r="K507" s="303"/>
      <c r="L507" s="303"/>
      <c r="M507" s="303"/>
      <c r="N507" s="303"/>
      <c r="O507" s="303"/>
      <c r="P507" s="347">
        <f t="shared" si="18"/>
        <v>0</v>
      </c>
      <c r="Q507" s="303"/>
      <c r="R507" s="165">
        <f t="shared" si="17"/>
        <v>0</v>
      </c>
      <c r="S507" s="303"/>
      <c r="T507" s="348"/>
    </row>
    <row r="508" spans="1:20">
      <c r="A508" s="303"/>
      <c r="B508" s="303"/>
      <c r="C508" s="303"/>
      <c r="D508" s="303"/>
      <c r="E508" s="303"/>
      <c r="F508" s="303"/>
      <c r="G508" s="303"/>
      <c r="H508" s="303"/>
      <c r="I508" s="303"/>
      <c r="J508" s="303"/>
      <c r="K508" s="303"/>
      <c r="L508" s="303"/>
      <c r="M508" s="303"/>
      <c r="N508" s="303"/>
      <c r="O508" s="303"/>
      <c r="P508" s="347">
        <f t="shared" si="18"/>
        <v>0</v>
      </c>
      <c r="Q508" s="303"/>
      <c r="R508" s="165">
        <f t="shared" si="17"/>
        <v>0</v>
      </c>
      <c r="S508" s="303"/>
      <c r="T508" s="348"/>
    </row>
    <row r="509" spans="1:20">
      <c r="A509" s="303"/>
      <c r="B509" s="303"/>
      <c r="C509" s="303"/>
      <c r="D509" s="303"/>
      <c r="E509" s="303"/>
      <c r="F509" s="303"/>
      <c r="G509" s="303"/>
      <c r="H509" s="303"/>
      <c r="I509" s="303"/>
      <c r="J509" s="303"/>
      <c r="K509" s="303"/>
      <c r="L509" s="303"/>
      <c r="M509" s="303"/>
      <c r="N509" s="303"/>
      <c r="O509" s="303"/>
      <c r="P509" s="347">
        <f t="shared" si="18"/>
        <v>0</v>
      </c>
      <c r="Q509" s="303"/>
      <c r="R509" s="165">
        <f t="shared" si="17"/>
        <v>0</v>
      </c>
      <c r="S509" s="303"/>
      <c r="T509" s="348"/>
    </row>
    <row r="510" spans="1:20">
      <c r="A510" s="303"/>
      <c r="B510" s="303"/>
      <c r="C510" s="303"/>
      <c r="D510" s="303"/>
      <c r="E510" s="303"/>
      <c r="F510" s="303"/>
      <c r="G510" s="303"/>
      <c r="H510" s="303"/>
      <c r="I510" s="303"/>
      <c r="J510" s="303"/>
      <c r="K510" s="303"/>
      <c r="L510" s="303"/>
      <c r="M510" s="303"/>
      <c r="N510" s="303"/>
      <c r="O510" s="303"/>
      <c r="P510" s="347">
        <f t="shared" si="18"/>
        <v>0</v>
      </c>
      <c r="Q510" s="303"/>
      <c r="R510" s="165">
        <f t="shared" si="17"/>
        <v>0</v>
      </c>
      <c r="S510" s="303"/>
      <c r="T510" s="348"/>
    </row>
    <row r="511" spans="1:20">
      <c r="A511" s="303"/>
      <c r="B511" s="303"/>
      <c r="C511" s="303"/>
      <c r="D511" s="303"/>
      <c r="E511" s="303"/>
      <c r="F511" s="303"/>
      <c r="G511" s="303"/>
      <c r="H511" s="303"/>
      <c r="I511" s="303"/>
      <c r="J511" s="303"/>
      <c r="K511" s="303"/>
      <c r="L511" s="303"/>
      <c r="M511" s="303"/>
      <c r="N511" s="303"/>
      <c r="O511" s="303"/>
      <c r="P511" s="347">
        <f t="shared" si="18"/>
        <v>0</v>
      </c>
      <c r="Q511" s="303"/>
      <c r="R511" s="165">
        <f t="shared" si="17"/>
        <v>0</v>
      </c>
      <c r="S511" s="303"/>
      <c r="T511" s="348"/>
    </row>
    <row r="512" spans="1:20">
      <c r="A512" s="303"/>
      <c r="B512" s="303"/>
      <c r="C512" s="303"/>
      <c r="D512" s="303"/>
      <c r="E512" s="303"/>
      <c r="F512" s="303"/>
      <c r="G512" s="303"/>
      <c r="H512" s="303"/>
      <c r="I512" s="303"/>
      <c r="J512" s="303"/>
      <c r="K512" s="303"/>
      <c r="L512" s="303"/>
      <c r="M512" s="303"/>
      <c r="N512" s="303"/>
      <c r="O512" s="303"/>
      <c r="P512" s="347">
        <f t="shared" si="18"/>
        <v>0</v>
      </c>
      <c r="Q512" s="303"/>
      <c r="R512" s="165">
        <f t="shared" si="17"/>
        <v>0</v>
      </c>
      <c r="S512" s="303"/>
      <c r="T512" s="348"/>
    </row>
    <row r="513" spans="1:20">
      <c r="A513" s="303"/>
      <c r="B513" s="303"/>
      <c r="C513" s="303"/>
      <c r="D513" s="303"/>
      <c r="E513" s="303"/>
      <c r="F513" s="303"/>
      <c r="G513" s="303"/>
      <c r="H513" s="303"/>
      <c r="I513" s="303"/>
      <c r="J513" s="303"/>
      <c r="K513" s="303"/>
      <c r="L513" s="303"/>
      <c r="M513" s="303"/>
      <c r="N513" s="303"/>
      <c r="O513" s="303"/>
      <c r="P513" s="347">
        <f t="shared" si="18"/>
        <v>0</v>
      </c>
      <c r="Q513" s="303"/>
      <c r="R513" s="165">
        <f t="shared" si="17"/>
        <v>0</v>
      </c>
      <c r="S513" s="303"/>
      <c r="T513" s="348"/>
    </row>
    <row r="514" spans="1:20">
      <c r="A514" s="303"/>
      <c r="B514" s="303"/>
      <c r="C514" s="303"/>
      <c r="D514" s="303"/>
      <c r="E514" s="303"/>
      <c r="F514" s="303"/>
      <c r="G514" s="303"/>
      <c r="H514" s="303"/>
      <c r="I514" s="303"/>
      <c r="J514" s="303"/>
      <c r="K514" s="303"/>
      <c r="L514" s="303"/>
      <c r="M514" s="303"/>
      <c r="N514" s="303"/>
      <c r="O514" s="303"/>
      <c r="P514" s="347">
        <f t="shared" si="18"/>
        <v>0</v>
      </c>
      <c r="Q514" s="303"/>
      <c r="R514" s="165">
        <f t="shared" si="17"/>
        <v>0</v>
      </c>
      <c r="S514" s="303"/>
      <c r="T514" s="348"/>
    </row>
    <row r="515" spans="1:20">
      <c r="A515" s="303"/>
      <c r="B515" s="303"/>
      <c r="C515" s="303"/>
      <c r="D515" s="303"/>
      <c r="E515" s="303"/>
      <c r="F515" s="303"/>
      <c r="G515" s="303"/>
      <c r="H515" s="303"/>
      <c r="I515" s="303"/>
      <c r="J515" s="303"/>
      <c r="K515" s="303"/>
      <c r="L515" s="303"/>
      <c r="M515" s="303"/>
      <c r="N515" s="303"/>
      <c r="O515" s="303"/>
      <c r="P515" s="347">
        <f t="shared" si="18"/>
        <v>0</v>
      </c>
      <c r="Q515" s="303"/>
      <c r="R515" s="165">
        <f t="shared" si="17"/>
        <v>0</v>
      </c>
      <c r="S515" s="303"/>
      <c r="T515" s="348"/>
    </row>
    <row r="516" spans="1:20">
      <c r="A516" s="303"/>
      <c r="B516" s="303"/>
      <c r="C516" s="303"/>
      <c r="D516" s="303"/>
      <c r="E516" s="303"/>
      <c r="F516" s="303"/>
      <c r="G516" s="303"/>
      <c r="H516" s="303"/>
      <c r="I516" s="303"/>
      <c r="J516" s="303"/>
      <c r="K516" s="303"/>
      <c r="L516" s="303"/>
      <c r="M516" s="303"/>
      <c r="N516" s="303"/>
      <c r="O516" s="303"/>
      <c r="P516" s="347">
        <f t="shared" si="18"/>
        <v>0</v>
      </c>
      <c r="Q516" s="303"/>
      <c r="R516" s="165">
        <f t="shared" si="17"/>
        <v>0</v>
      </c>
      <c r="S516" s="303"/>
      <c r="T516" s="348"/>
    </row>
    <row r="517" spans="1:20">
      <c r="A517" s="303"/>
      <c r="B517" s="303"/>
      <c r="C517" s="303"/>
      <c r="D517" s="303"/>
      <c r="E517" s="303"/>
      <c r="F517" s="303"/>
      <c r="G517" s="303"/>
      <c r="H517" s="303"/>
      <c r="I517" s="303"/>
      <c r="J517" s="303"/>
      <c r="K517" s="303"/>
      <c r="L517" s="303"/>
      <c r="M517" s="303"/>
      <c r="N517" s="303"/>
      <c r="O517" s="303"/>
      <c r="P517" s="347">
        <f t="shared" si="18"/>
        <v>0</v>
      </c>
      <c r="Q517" s="303"/>
      <c r="R517" s="165">
        <f t="shared" si="17"/>
        <v>0</v>
      </c>
      <c r="S517" s="303"/>
      <c r="T517" s="348"/>
    </row>
    <row r="518" spans="1:20">
      <c r="A518" s="303"/>
      <c r="B518" s="303"/>
      <c r="C518" s="303"/>
      <c r="D518" s="303"/>
      <c r="E518" s="303"/>
      <c r="F518" s="303"/>
      <c r="G518" s="303"/>
      <c r="H518" s="303"/>
      <c r="I518" s="303"/>
      <c r="J518" s="303"/>
      <c r="K518" s="303"/>
      <c r="L518" s="303"/>
      <c r="M518" s="303"/>
      <c r="N518" s="303"/>
      <c r="O518" s="303"/>
      <c r="P518" s="347">
        <f t="shared" si="18"/>
        <v>0</v>
      </c>
      <c r="Q518" s="303"/>
      <c r="R518" s="165">
        <f t="shared" si="17"/>
        <v>0</v>
      </c>
      <c r="S518" s="303"/>
      <c r="T518" s="348"/>
    </row>
    <row r="519" spans="1:20">
      <c r="A519" s="303"/>
      <c r="B519" s="303"/>
      <c r="C519" s="303"/>
      <c r="D519" s="303"/>
      <c r="E519" s="303"/>
      <c r="F519" s="303"/>
      <c r="G519" s="303"/>
      <c r="H519" s="303"/>
      <c r="I519" s="303"/>
      <c r="J519" s="303"/>
      <c r="K519" s="303"/>
      <c r="L519" s="303"/>
      <c r="M519" s="303"/>
      <c r="N519" s="303"/>
      <c r="O519" s="303"/>
      <c r="P519" s="347">
        <f t="shared" si="18"/>
        <v>0</v>
      </c>
      <c r="Q519" s="303"/>
      <c r="R519" s="165">
        <f t="shared" si="17"/>
        <v>0</v>
      </c>
      <c r="S519" s="303"/>
      <c r="T519" s="348"/>
    </row>
    <row r="520" spans="1:20">
      <c r="A520" s="303"/>
      <c r="B520" s="303"/>
      <c r="C520" s="303"/>
      <c r="D520" s="303"/>
      <c r="E520" s="303"/>
      <c r="F520" s="303"/>
      <c r="G520" s="303"/>
      <c r="H520" s="303"/>
      <c r="I520" s="303"/>
      <c r="J520" s="303"/>
      <c r="K520" s="303"/>
      <c r="L520" s="303"/>
      <c r="M520" s="303"/>
      <c r="N520" s="303"/>
      <c r="O520" s="303"/>
      <c r="P520" s="347">
        <f t="shared" si="18"/>
        <v>0</v>
      </c>
      <c r="Q520" s="303"/>
      <c r="R520" s="165">
        <f t="shared" si="17"/>
        <v>0</v>
      </c>
      <c r="S520" s="303"/>
      <c r="T520" s="348"/>
    </row>
    <row r="521" spans="1:20">
      <c r="A521" s="303"/>
      <c r="B521" s="303"/>
      <c r="C521" s="303"/>
      <c r="D521" s="303"/>
      <c r="E521" s="303"/>
      <c r="F521" s="303"/>
      <c r="G521" s="303"/>
      <c r="H521" s="303"/>
      <c r="I521" s="303"/>
      <c r="J521" s="303"/>
      <c r="K521" s="303"/>
      <c r="L521" s="303"/>
      <c r="M521" s="303"/>
      <c r="N521" s="303"/>
      <c r="O521" s="303"/>
      <c r="P521" s="347">
        <f t="shared" si="18"/>
        <v>0</v>
      </c>
      <c r="Q521" s="303"/>
      <c r="R521" s="165">
        <f t="shared" si="17"/>
        <v>0</v>
      </c>
      <c r="S521" s="303"/>
      <c r="T521" s="348"/>
    </row>
    <row r="522" spans="1:20">
      <c r="A522" s="303"/>
      <c r="B522" s="303"/>
      <c r="C522" s="303"/>
      <c r="D522" s="303"/>
      <c r="E522" s="303"/>
      <c r="F522" s="303"/>
      <c r="G522" s="303"/>
      <c r="H522" s="303"/>
      <c r="I522" s="303"/>
      <c r="J522" s="303"/>
      <c r="K522" s="303"/>
      <c r="L522" s="303"/>
      <c r="M522" s="303"/>
      <c r="N522" s="303"/>
      <c r="O522" s="303"/>
      <c r="P522" s="347">
        <f t="shared" si="18"/>
        <v>0</v>
      </c>
      <c r="Q522" s="303"/>
      <c r="R522" s="165">
        <f t="shared" si="17"/>
        <v>0</v>
      </c>
      <c r="S522" s="303"/>
      <c r="T522" s="348"/>
    </row>
    <row r="523" spans="1:20">
      <c r="A523" s="303"/>
      <c r="B523" s="303"/>
      <c r="C523" s="303"/>
      <c r="D523" s="303"/>
      <c r="E523" s="303"/>
      <c r="F523" s="303"/>
      <c r="G523" s="303"/>
      <c r="H523" s="303"/>
      <c r="I523" s="303"/>
      <c r="J523" s="303"/>
      <c r="K523" s="303"/>
      <c r="L523" s="303"/>
      <c r="M523" s="303"/>
      <c r="N523" s="303"/>
      <c r="O523" s="303"/>
      <c r="P523" s="347">
        <f t="shared" si="18"/>
        <v>0</v>
      </c>
      <c r="Q523" s="303"/>
      <c r="R523" s="165">
        <f t="shared" si="17"/>
        <v>0</v>
      </c>
      <c r="S523" s="303"/>
      <c r="T523" s="348"/>
    </row>
    <row r="524" spans="1:20">
      <c r="A524" s="303"/>
      <c r="B524" s="303"/>
      <c r="C524" s="303"/>
      <c r="D524" s="303"/>
      <c r="E524" s="303"/>
      <c r="F524" s="303"/>
      <c r="G524" s="303"/>
      <c r="H524" s="303"/>
      <c r="I524" s="303"/>
      <c r="J524" s="303"/>
      <c r="K524" s="303"/>
      <c r="L524" s="303"/>
      <c r="M524" s="303"/>
      <c r="N524" s="303"/>
      <c r="O524" s="303"/>
      <c r="P524" s="347">
        <f t="shared" si="18"/>
        <v>0</v>
      </c>
      <c r="Q524" s="303"/>
      <c r="R524" s="165">
        <f t="shared" si="17"/>
        <v>0</v>
      </c>
      <c r="S524" s="303"/>
      <c r="T524" s="348"/>
    </row>
    <row r="525" spans="1:20">
      <c r="A525" s="303"/>
      <c r="B525" s="303"/>
      <c r="C525" s="303"/>
      <c r="D525" s="303"/>
      <c r="E525" s="303"/>
      <c r="F525" s="303"/>
      <c r="G525" s="303"/>
      <c r="H525" s="303"/>
      <c r="I525" s="303"/>
      <c r="J525" s="303"/>
      <c r="K525" s="303"/>
      <c r="L525" s="303"/>
      <c r="M525" s="303"/>
      <c r="N525" s="303"/>
      <c r="O525" s="303"/>
      <c r="P525" s="347">
        <f t="shared" si="18"/>
        <v>0</v>
      </c>
      <c r="Q525" s="303"/>
      <c r="R525" s="165">
        <f t="shared" si="17"/>
        <v>0</v>
      </c>
      <c r="S525" s="303"/>
      <c r="T525" s="348"/>
    </row>
    <row r="526" spans="1:20">
      <c r="A526" s="303"/>
      <c r="B526" s="303"/>
      <c r="C526" s="303"/>
      <c r="D526" s="303"/>
      <c r="E526" s="303"/>
      <c r="F526" s="303"/>
      <c r="G526" s="303"/>
      <c r="H526" s="303"/>
      <c r="I526" s="303"/>
      <c r="J526" s="303"/>
      <c r="K526" s="303"/>
      <c r="L526" s="303"/>
      <c r="M526" s="303"/>
      <c r="N526" s="303"/>
      <c r="O526" s="303"/>
      <c r="P526" s="347">
        <f t="shared" si="18"/>
        <v>0</v>
      </c>
      <c r="Q526" s="303"/>
      <c r="R526" s="165">
        <f t="shared" si="17"/>
        <v>0</v>
      </c>
      <c r="S526" s="303"/>
      <c r="T526" s="348"/>
    </row>
    <row r="527" spans="1:20">
      <c r="A527" s="303"/>
      <c r="B527" s="303"/>
      <c r="C527" s="303"/>
      <c r="D527" s="303"/>
      <c r="E527" s="303"/>
      <c r="F527" s="303"/>
      <c r="G527" s="303"/>
      <c r="H527" s="303"/>
      <c r="I527" s="303"/>
      <c r="J527" s="303"/>
      <c r="K527" s="303"/>
      <c r="L527" s="303"/>
      <c r="M527" s="303"/>
      <c r="N527" s="303"/>
      <c r="O527" s="303"/>
      <c r="P527" s="347">
        <f t="shared" si="18"/>
        <v>0</v>
      </c>
      <c r="Q527" s="303"/>
      <c r="R527" s="165">
        <f t="shared" si="17"/>
        <v>0</v>
      </c>
      <c r="S527" s="303"/>
      <c r="T527" s="348"/>
    </row>
    <row r="528" spans="1:20">
      <c r="A528" s="303"/>
      <c r="B528" s="303"/>
      <c r="C528" s="303"/>
      <c r="D528" s="303"/>
      <c r="E528" s="303"/>
      <c r="F528" s="303"/>
      <c r="G528" s="303"/>
      <c r="H528" s="303"/>
      <c r="I528" s="303"/>
      <c r="J528" s="303"/>
      <c r="K528" s="303"/>
      <c r="L528" s="303"/>
      <c r="M528" s="303"/>
      <c r="N528" s="303"/>
      <c r="O528" s="303"/>
      <c r="P528" s="347">
        <f t="shared" si="18"/>
        <v>0</v>
      </c>
      <c r="Q528" s="303"/>
      <c r="R528" s="165">
        <f t="shared" si="17"/>
        <v>0</v>
      </c>
      <c r="S528" s="303"/>
      <c r="T528" s="348"/>
    </row>
    <row r="529" spans="1:20">
      <c r="A529" s="303"/>
      <c r="B529" s="303"/>
      <c r="C529" s="303"/>
      <c r="D529" s="303"/>
      <c r="E529" s="303"/>
      <c r="F529" s="303"/>
      <c r="G529" s="303"/>
      <c r="H529" s="303"/>
      <c r="I529" s="303"/>
      <c r="J529" s="303"/>
      <c r="K529" s="303"/>
      <c r="L529" s="303"/>
      <c r="M529" s="303"/>
      <c r="N529" s="303"/>
      <c r="O529" s="303"/>
      <c r="P529" s="347">
        <f t="shared" si="18"/>
        <v>0</v>
      </c>
      <c r="Q529" s="303"/>
      <c r="R529" s="165">
        <f t="shared" si="17"/>
        <v>0</v>
      </c>
      <c r="S529" s="303"/>
      <c r="T529" s="348"/>
    </row>
    <row r="530" spans="1:20">
      <c r="A530" s="303"/>
      <c r="B530" s="303"/>
      <c r="C530" s="303"/>
      <c r="D530" s="303"/>
      <c r="E530" s="303"/>
      <c r="F530" s="303"/>
      <c r="G530" s="303"/>
      <c r="H530" s="303"/>
      <c r="I530" s="303"/>
      <c r="J530" s="303"/>
      <c r="K530" s="303"/>
      <c r="L530" s="303"/>
      <c r="M530" s="303"/>
      <c r="N530" s="303"/>
      <c r="O530" s="303"/>
      <c r="P530" s="347">
        <f t="shared" si="18"/>
        <v>0</v>
      </c>
      <c r="Q530" s="303"/>
      <c r="R530" s="165">
        <f t="shared" si="17"/>
        <v>0</v>
      </c>
      <c r="S530" s="303"/>
      <c r="T530" s="348"/>
    </row>
    <row r="531" spans="1:20">
      <c r="A531" s="303"/>
      <c r="B531" s="303"/>
      <c r="C531" s="303"/>
      <c r="D531" s="303"/>
      <c r="E531" s="303"/>
      <c r="F531" s="303"/>
      <c r="G531" s="303"/>
      <c r="H531" s="303"/>
      <c r="I531" s="303"/>
      <c r="J531" s="303"/>
      <c r="K531" s="303"/>
      <c r="L531" s="303"/>
      <c r="M531" s="303"/>
      <c r="N531" s="303"/>
      <c r="O531" s="303"/>
      <c r="P531" s="347">
        <f t="shared" si="18"/>
        <v>0</v>
      </c>
      <c r="Q531" s="303"/>
      <c r="R531" s="165">
        <f t="shared" si="17"/>
        <v>0</v>
      </c>
      <c r="S531" s="303"/>
      <c r="T531" s="348"/>
    </row>
    <row r="532" spans="1:20">
      <c r="A532" s="303"/>
      <c r="B532" s="303"/>
      <c r="C532" s="303"/>
      <c r="D532" s="303"/>
      <c r="E532" s="303"/>
      <c r="F532" s="303"/>
      <c r="G532" s="303"/>
      <c r="H532" s="303"/>
      <c r="I532" s="303"/>
      <c r="J532" s="303"/>
      <c r="K532" s="303"/>
      <c r="L532" s="303"/>
      <c r="M532" s="303"/>
      <c r="N532" s="303"/>
      <c r="O532" s="303"/>
      <c r="P532" s="347">
        <f t="shared" si="18"/>
        <v>0</v>
      </c>
      <c r="Q532" s="303"/>
      <c r="R532" s="165">
        <f t="shared" si="17"/>
        <v>0</v>
      </c>
      <c r="S532" s="303"/>
      <c r="T532" s="348"/>
    </row>
    <row r="533" spans="1:20">
      <c r="A533" s="303"/>
      <c r="B533" s="303"/>
      <c r="C533" s="303"/>
      <c r="D533" s="303"/>
      <c r="E533" s="303"/>
      <c r="F533" s="303"/>
      <c r="G533" s="303"/>
      <c r="H533" s="303"/>
      <c r="I533" s="303"/>
      <c r="J533" s="303"/>
      <c r="K533" s="303"/>
      <c r="L533" s="303"/>
      <c r="M533" s="303"/>
      <c r="N533" s="303"/>
      <c r="O533" s="303"/>
      <c r="P533" s="347">
        <f t="shared" si="18"/>
        <v>0</v>
      </c>
      <c r="Q533" s="303"/>
      <c r="R533" s="165">
        <f t="shared" si="17"/>
        <v>0</v>
      </c>
      <c r="S533" s="303"/>
      <c r="T533" s="348"/>
    </row>
    <row r="534" spans="1:20">
      <c r="A534" s="303"/>
      <c r="B534" s="303"/>
      <c r="C534" s="303"/>
      <c r="D534" s="303"/>
      <c r="E534" s="303"/>
      <c r="F534" s="303"/>
      <c r="G534" s="303"/>
      <c r="H534" s="303"/>
      <c r="I534" s="303"/>
      <c r="J534" s="303"/>
      <c r="K534" s="303"/>
      <c r="L534" s="303"/>
      <c r="M534" s="303"/>
      <c r="N534" s="303"/>
      <c r="O534" s="303"/>
      <c r="P534" s="347">
        <f t="shared" si="18"/>
        <v>0</v>
      </c>
      <c r="Q534" s="303"/>
      <c r="R534" s="165">
        <f t="shared" si="17"/>
        <v>0</v>
      </c>
      <c r="S534" s="303"/>
      <c r="T534" s="348"/>
    </row>
    <row r="535" spans="1:20">
      <c r="A535" s="303"/>
      <c r="B535" s="303"/>
      <c r="C535" s="303"/>
      <c r="D535" s="303"/>
      <c r="E535" s="303"/>
      <c r="F535" s="303"/>
      <c r="G535" s="303"/>
      <c r="H535" s="303"/>
      <c r="I535" s="303"/>
      <c r="J535" s="303"/>
      <c r="K535" s="303"/>
      <c r="L535" s="303"/>
      <c r="M535" s="303"/>
      <c r="N535" s="303"/>
      <c r="O535" s="303"/>
      <c r="P535" s="347">
        <f t="shared" si="18"/>
        <v>0</v>
      </c>
      <c r="Q535" s="303"/>
      <c r="R535" s="165">
        <f t="shared" si="17"/>
        <v>0</v>
      </c>
      <c r="S535" s="303"/>
      <c r="T535" s="348"/>
    </row>
    <row r="536" spans="1:20">
      <c r="A536" s="303"/>
      <c r="B536" s="303"/>
      <c r="C536" s="303"/>
      <c r="D536" s="303"/>
      <c r="E536" s="303"/>
      <c r="F536" s="303"/>
      <c r="G536" s="303"/>
      <c r="H536" s="303"/>
      <c r="I536" s="303"/>
      <c r="J536" s="303"/>
      <c r="K536" s="303"/>
      <c r="L536" s="303"/>
      <c r="M536" s="303"/>
      <c r="N536" s="303"/>
      <c r="O536" s="303"/>
      <c r="P536" s="347">
        <f t="shared" si="18"/>
        <v>0</v>
      </c>
      <c r="Q536" s="303"/>
      <c r="R536" s="165">
        <f t="shared" si="17"/>
        <v>0</v>
      </c>
      <c r="S536" s="303"/>
      <c r="T536" s="348"/>
    </row>
    <row r="537" spans="1:20">
      <c r="A537" s="303"/>
      <c r="B537" s="303"/>
      <c r="C537" s="303"/>
      <c r="D537" s="303"/>
      <c r="E537" s="303"/>
      <c r="F537" s="303"/>
      <c r="G537" s="303"/>
      <c r="H537" s="303"/>
      <c r="I537" s="303"/>
      <c r="J537" s="303"/>
      <c r="K537" s="303"/>
      <c r="L537" s="303"/>
      <c r="M537" s="303"/>
      <c r="N537" s="303"/>
      <c r="O537" s="303"/>
      <c r="P537" s="347">
        <f t="shared" si="18"/>
        <v>0</v>
      </c>
      <c r="Q537" s="303"/>
      <c r="R537" s="165">
        <f t="shared" si="17"/>
        <v>0</v>
      </c>
      <c r="S537" s="303"/>
      <c r="T537" s="348"/>
    </row>
    <row r="538" spans="1:20">
      <c r="A538" s="303"/>
      <c r="B538" s="303"/>
      <c r="C538" s="303"/>
      <c r="D538" s="303"/>
      <c r="E538" s="303"/>
      <c r="F538" s="303"/>
      <c r="G538" s="303"/>
      <c r="H538" s="303"/>
      <c r="I538" s="303"/>
      <c r="J538" s="303"/>
      <c r="K538" s="303"/>
      <c r="L538" s="303"/>
      <c r="M538" s="303"/>
      <c r="N538" s="303"/>
      <c r="O538" s="303"/>
      <c r="P538" s="347">
        <f t="shared" si="18"/>
        <v>0</v>
      </c>
      <c r="Q538" s="303"/>
      <c r="R538" s="165">
        <f t="shared" ref="R538:R601" si="19">P538-Q538</f>
        <v>0</v>
      </c>
      <c r="S538" s="303"/>
      <c r="T538" s="348"/>
    </row>
    <row r="539" spans="1:20">
      <c r="A539" s="303"/>
      <c r="B539" s="303"/>
      <c r="C539" s="303"/>
      <c r="D539" s="303"/>
      <c r="E539" s="303"/>
      <c r="F539" s="303"/>
      <c r="G539" s="303"/>
      <c r="H539" s="303"/>
      <c r="I539" s="303"/>
      <c r="J539" s="303"/>
      <c r="K539" s="303"/>
      <c r="L539" s="303"/>
      <c r="M539" s="303"/>
      <c r="N539" s="303"/>
      <c r="O539" s="303"/>
      <c r="P539" s="347">
        <f t="shared" si="18"/>
        <v>0</v>
      </c>
      <c r="Q539" s="303"/>
      <c r="R539" s="165">
        <f t="shared" si="19"/>
        <v>0</v>
      </c>
      <c r="S539" s="303"/>
      <c r="T539" s="348"/>
    </row>
    <row r="540" spans="1:20">
      <c r="A540" s="303"/>
      <c r="B540" s="303"/>
      <c r="C540" s="303"/>
      <c r="D540" s="303"/>
      <c r="E540" s="303"/>
      <c r="F540" s="303"/>
      <c r="G540" s="303"/>
      <c r="H540" s="303"/>
      <c r="I540" s="303"/>
      <c r="J540" s="303"/>
      <c r="K540" s="303"/>
      <c r="L540" s="303"/>
      <c r="M540" s="303"/>
      <c r="N540" s="303"/>
      <c r="O540" s="303"/>
      <c r="P540" s="347">
        <f t="shared" si="18"/>
        <v>0</v>
      </c>
      <c r="Q540" s="303"/>
      <c r="R540" s="165">
        <f t="shared" si="19"/>
        <v>0</v>
      </c>
      <c r="S540" s="303"/>
      <c r="T540" s="348"/>
    </row>
    <row r="541" spans="1:20">
      <c r="A541" s="303"/>
      <c r="B541" s="303"/>
      <c r="C541" s="303"/>
      <c r="D541" s="303"/>
      <c r="E541" s="303"/>
      <c r="F541" s="303"/>
      <c r="G541" s="303"/>
      <c r="H541" s="303"/>
      <c r="I541" s="303"/>
      <c r="J541" s="303"/>
      <c r="K541" s="303"/>
      <c r="L541" s="303"/>
      <c r="M541" s="303"/>
      <c r="N541" s="303"/>
      <c r="O541" s="303"/>
      <c r="P541" s="347">
        <f t="shared" si="18"/>
        <v>0</v>
      </c>
      <c r="Q541" s="303"/>
      <c r="R541" s="165">
        <f t="shared" si="19"/>
        <v>0</v>
      </c>
      <c r="S541" s="303"/>
      <c r="T541" s="348"/>
    </row>
    <row r="542" spans="1:20">
      <c r="A542" s="303"/>
      <c r="B542" s="303"/>
      <c r="C542" s="303"/>
      <c r="D542" s="303"/>
      <c r="E542" s="303"/>
      <c r="F542" s="303"/>
      <c r="G542" s="303"/>
      <c r="H542" s="303"/>
      <c r="I542" s="303"/>
      <c r="J542" s="303"/>
      <c r="K542" s="303"/>
      <c r="L542" s="303"/>
      <c r="M542" s="303"/>
      <c r="N542" s="303"/>
      <c r="O542" s="303"/>
      <c r="P542" s="347">
        <f t="shared" si="18"/>
        <v>0</v>
      </c>
      <c r="Q542" s="303"/>
      <c r="R542" s="165">
        <f t="shared" si="19"/>
        <v>0</v>
      </c>
      <c r="S542" s="303"/>
      <c r="T542" s="348"/>
    </row>
    <row r="543" spans="1:20">
      <c r="A543" s="303"/>
      <c r="B543" s="303"/>
      <c r="C543" s="303"/>
      <c r="D543" s="303"/>
      <c r="E543" s="303"/>
      <c r="F543" s="303"/>
      <c r="G543" s="303"/>
      <c r="H543" s="303"/>
      <c r="I543" s="303"/>
      <c r="J543" s="303"/>
      <c r="K543" s="303"/>
      <c r="L543" s="303"/>
      <c r="M543" s="303"/>
      <c r="N543" s="303"/>
      <c r="O543" s="303"/>
      <c r="P543" s="347">
        <f t="shared" si="18"/>
        <v>0</v>
      </c>
      <c r="Q543" s="303"/>
      <c r="R543" s="165">
        <f t="shared" si="19"/>
        <v>0</v>
      </c>
      <c r="S543" s="303"/>
      <c r="T543" s="348"/>
    </row>
    <row r="544" spans="1:20">
      <c r="A544" s="303"/>
      <c r="B544" s="303"/>
      <c r="C544" s="303"/>
      <c r="D544" s="303"/>
      <c r="E544" s="303"/>
      <c r="F544" s="303"/>
      <c r="G544" s="303"/>
      <c r="H544" s="303"/>
      <c r="I544" s="303"/>
      <c r="J544" s="303"/>
      <c r="K544" s="303"/>
      <c r="L544" s="303"/>
      <c r="M544" s="303"/>
      <c r="N544" s="303"/>
      <c r="O544" s="303"/>
      <c r="P544" s="347">
        <f t="shared" si="18"/>
        <v>0</v>
      </c>
      <c r="Q544" s="303"/>
      <c r="R544" s="165">
        <f t="shared" si="19"/>
        <v>0</v>
      </c>
      <c r="S544" s="303"/>
      <c r="T544" s="348"/>
    </row>
    <row r="545" spans="1:20">
      <c r="A545" s="303"/>
      <c r="B545" s="303"/>
      <c r="C545" s="303"/>
      <c r="D545" s="303"/>
      <c r="E545" s="303"/>
      <c r="F545" s="303"/>
      <c r="G545" s="303"/>
      <c r="H545" s="303"/>
      <c r="I545" s="303"/>
      <c r="J545" s="303"/>
      <c r="K545" s="303"/>
      <c r="L545" s="303"/>
      <c r="M545" s="303"/>
      <c r="N545" s="303"/>
      <c r="O545" s="303"/>
      <c r="P545" s="347">
        <f t="shared" si="18"/>
        <v>0</v>
      </c>
      <c r="Q545" s="303"/>
      <c r="R545" s="165">
        <f t="shared" si="19"/>
        <v>0</v>
      </c>
      <c r="S545" s="303"/>
      <c r="T545" s="348"/>
    </row>
    <row r="546" spans="1:20">
      <c r="A546" s="303"/>
      <c r="B546" s="303"/>
      <c r="C546" s="303"/>
      <c r="D546" s="303"/>
      <c r="E546" s="303"/>
      <c r="F546" s="303"/>
      <c r="G546" s="303"/>
      <c r="H546" s="303"/>
      <c r="I546" s="303"/>
      <c r="J546" s="303"/>
      <c r="K546" s="303"/>
      <c r="L546" s="303"/>
      <c r="M546" s="303"/>
      <c r="N546" s="303"/>
      <c r="O546" s="303"/>
      <c r="P546" s="347">
        <f t="shared" si="18"/>
        <v>0</v>
      </c>
      <c r="Q546" s="303"/>
      <c r="R546" s="165">
        <f t="shared" si="19"/>
        <v>0</v>
      </c>
      <c r="S546" s="303"/>
      <c r="T546" s="348"/>
    </row>
    <row r="547" spans="1:20">
      <c r="A547" s="303"/>
      <c r="B547" s="303"/>
      <c r="C547" s="303"/>
      <c r="D547" s="303"/>
      <c r="E547" s="303"/>
      <c r="F547" s="303"/>
      <c r="G547" s="303"/>
      <c r="H547" s="303"/>
      <c r="I547" s="303"/>
      <c r="J547" s="303"/>
      <c r="K547" s="303"/>
      <c r="L547" s="303"/>
      <c r="M547" s="303"/>
      <c r="N547" s="303"/>
      <c r="O547" s="303"/>
      <c r="P547" s="347">
        <f t="shared" si="18"/>
        <v>0</v>
      </c>
      <c r="Q547" s="303"/>
      <c r="R547" s="165">
        <f t="shared" si="19"/>
        <v>0</v>
      </c>
      <c r="S547" s="303"/>
      <c r="T547" s="348"/>
    </row>
    <row r="548" spans="1:20">
      <c r="A548" s="303"/>
      <c r="B548" s="303"/>
      <c r="C548" s="303"/>
      <c r="D548" s="303"/>
      <c r="E548" s="303"/>
      <c r="F548" s="303"/>
      <c r="G548" s="303"/>
      <c r="H548" s="303"/>
      <c r="I548" s="303"/>
      <c r="J548" s="303"/>
      <c r="K548" s="303"/>
      <c r="L548" s="303"/>
      <c r="M548" s="303"/>
      <c r="N548" s="303"/>
      <c r="O548" s="303"/>
      <c r="P548" s="347">
        <f t="shared" si="18"/>
        <v>0</v>
      </c>
      <c r="Q548" s="303"/>
      <c r="R548" s="165">
        <f t="shared" si="19"/>
        <v>0</v>
      </c>
      <c r="S548" s="303"/>
      <c r="T548" s="348"/>
    </row>
    <row r="549" spans="1:20">
      <c r="A549" s="303"/>
      <c r="B549" s="303"/>
      <c r="C549" s="303"/>
      <c r="D549" s="303"/>
      <c r="E549" s="303"/>
      <c r="F549" s="303"/>
      <c r="G549" s="303"/>
      <c r="H549" s="303"/>
      <c r="I549" s="303"/>
      <c r="J549" s="303"/>
      <c r="K549" s="303"/>
      <c r="L549" s="303"/>
      <c r="M549" s="303"/>
      <c r="N549" s="303"/>
      <c r="O549" s="303"/>
      <c r="P549" s="347">
        <f t="shared" si="18"/>
        <v>0</v>
      </c>
      <c r="Q549" s="303"/>
      <c r="R549" s="165">
        <f t="shared" si="19"/>
        <v>0</v>
      </c>
      <c r="S549" s="303"/>
      <c r="T549" s="348"/>
    </row>
    <row r="550" spans="1:20">
      <c r="A550" s="303"/>
      <c r="B550" s="303"/>
      <c r="C550" s="303"/>
      <c r="D550" s="303"/>
      <c r="E550" s="303"/>
      <c r="F550" s="303"/>
      <c r="G550" s="303"/>
      <c r="H550" s="303"/>
      <c r="I550" s="303"/>
      <c r="J550" s="303"/>
      <c r="K550" s="303"/>
      <c r="L550" s="303"/>
      <c r="M550" s="303"/>
      <c r="N550" s="303"/>
      <c r="O550" s="303"/>
      <c r="P550" s="347">
        <f t="shared" si="18"/>
        <v>0</v>
      </c>
      <c r="Q550" s="303"/>
      <c r="R550" s="165">
        <f t="shared" si="19"/>
        <v>0</v>
      </c>
      <c r="S550" s="303"/>
      <c r="T550" s="348"/>
    </row>
    <row r="551" spans="1:20">
      <c r="A551" s="303"/>
      <c r="B551" s="303"/>
      <c r="C551" s="303"/>
      <c r="D551" s="303"/>
      <c r="E551" s="303"/>
      <c r="F551" s="303"/>
      <c r="G551" s="303"/>
      <c r="H551" s="303"/>
      <c r="I551" s="303"/>
      <c r="J551" s="303"/>
      <c r="K551" s="303"/>
      <c r="L551" s="303"/>
      <c r="M551" s="303"/>
      <c r="N551" s="303"/>
      <c r="O551" s="303"/>
      <c r="P551" s="347">
        <f t="shared" si="18"/>
        <v>0</v>
      </c>
      <c r="Q551" s="303"/>
      <c r="R551" s="165">
        <f t="shared" si="19"/>
        <v>0</v>
      </c>
      <c r="S551" s="303"/>
      <c r="T551" s="348"/>
    </row>
    <row r="552" spans="1:20">
      <c r="A552" s="303"/>
      <c r="B552" s="303"/>
      <c r="C552" s="303"/>
      <c r="D552" s="303"/>
      <c r="E552" s="303"/>
      <c r="F552" s="303"/>
      <c r="G552" s="303"/>
      <c r="H552" s="303"/>
      <c r="I552" s="303"/>
      <c r="J552" s="303"/>
      <c r="K552" s="303"/>
      <c r="L552" s="303"/>
      <c r="M552" s="303"/>
      <c r="N552" s="303"/>
      <c r="O552" s="303"/>
      <c r="P552" s="347">
        <f t="shared" si="18"/>
        <v>0</v>
      </c>
      <c r="Q552" s="303"/>
      <c r="R552" s="165">
        <f t="shared" si="19"/>
        <v>0</v>
      </c>
      <c r="S552" s="303"/>
      <c r="T552" s="348"/>
    </row>
    <row r="553" spans="1:20">
      <c r="A553" s="303"/>
      <c r="B553" s="303"/>
      <c r="C553" s="303"/>
      <c r="D553" s="303"/>
      <c r="E553" s="303"/>
      <c r="F553" s="303"/>
      <c r="G553" s="303"/>
      <c r="H553" s="303"/>
      <c r="I553" s="303"/>
      <c r="J553" s="303"/>
      <c r="K553" s="303"/>
      <c r="L553" s="303"/>
      <c r="M553" s="303"/>
      <c r="N553" s="303"/>
      <c r="O553" s="303"/>
      <c r="P553" s="347">
        <f t="shared" si="18"/>
        <v>0</v>
      </c>
      <c r="Q553" s="303"/>
      <c r="R553" s="165">
        <f t="shared" si="19"/>
        <v>0</v>
      </c>
      <c r="S553" s="303"/>
      <c r="T553" s="348"/>
    </row>
    <row r="554" spans="1:20">
      <c r="A554" s="303"/>
      <c r="B554" s="303"/>
      <c r="C554" s="303"/>
      <c r="D554" s="303"/>
      <c r="E554" s="303"/>
      <c r="F554" s="303"/>
      <c r="G554" s="303"/>
      <c r="H554" s="303"/>
      <c r="I554" s="303"/>
      <c r="J554" s="303"/>
      <c r="K554" s="303"/>
      <c r="L554" s="303"/>
      <c r="M554" s="303"/>
      <c r="N554" s="303"/>
      <c r="O554" s="303"/>
      <c r="P554" s="347">
        <f t="shared" si="18"/>
        <v>0</v>
      </c>
      <c r="Q554" s="303"/>
      <c r="R554" s="165">
        <f t="shared" si="19"/>
        <v>0</v>
      </c>
      <c r="S554" s="303"/>
      <c r="T554" s="348"/>
    </row>
    <row r="555" spans="1:20">
      <c r="A555" s="303"/>
      <c r="B555" s="303"/>
      <c r="C555" s="303"/>
      <c r="D555" s="303"/>
      <c r="E555" s="303"/>
      <c r="F555" s="303"/>
      <c r="G555" s="303"/>
      <c r="H555" s="303"/>
      <c r="I555" s="303"/>
      <c r="J555" s="303"/>
      <c r="K555" s="303"/>
      <c r="L555" s="303"/>
      <c r="M555" s="303"/>
      <c r="N555" s="303"/>
      <c r="O555" s="303"/>
      <c r="P555" s="347">
        <f t="shared" si="18"/>
        <v>0</v>
      </c>
      <c r="Q555" s="303"/>
      <c r="R555" s="165">
        <f t="shared" si="19"/>
        <v>0</v>
      </c>
      <c r="S555" s="303"/>
      <c r="T555" s="348"/>
    </row>
    <row r="556" spans="1:20">
      <c r="A556" s="303"/>
      <c r="B556" s="303"/>
      <c r="C556" s="303"/>
      <c r="D556" s="303"/>
      <c r="E556" s="303"/>
      <c r="F556" s="303"/>
      <c r="G556" s="303"/>
      <c r="H556" s="303"/>
      <c r="I556" s="303"/>
      <c r="J556" s="303"/>
      <c r="K556" s="303"/>
      <c r="L556" s="303"/>
      <c r="M556" s="303"/>
      <c r="N556" s="303"/>
      <c r="O556" s="303"/>
      <c r="P556" s="347">
        <f t="shared" si="18"/>
        <v>0</v>
      </c>
      <c r="Q556" s="303"/>
      <c r="R556" s="165">
        <f t="shared" si="19"/>
        <v>0</v>
      </c>
      <c r="S556" s="303"/>
      <c r="T556" s="348"/>
    </row>
    <row r="557" spans="1:20">
      <c r="A557" s="303"/>
      <c r="B557" s="303"/>
      <c r="C557" s="303"/>
      <c r="D557" s="303"/>
      <c r="E557" s="303"/>
      <c r="F557" s="303"/>
      <c r="G557" s="303"/>
      <c r="H557" s="303"/>
      <c r="I557" s="303"/>
      <c r="J557" s="303"/>
      <c r="K557" s="303"/>
      <c r="L557" s="303"/>
      <c r="M557" s="303"/>
      <c r="N557" s="303"/>
      <c r="O557" s="303"/>
      <c r="P557" s="347">
        <f t="shared" si="18"/>
        <v>0</v>
      </c>
      <c r="Q557" s="303"/>
      <c r="R557" s="165">
        <f t="shared" si="19"/>
        <v>0</v>
      </c>
      <c r="S557" s="303"/>
      <c r="T557" s="348"/>
    </row>
    <row r="558" spans="1:20">
      <c r="A558" s="303"/>
      <c r="B558" s="303"/>
      <c r="C558" s="303"/>
      <c r="D558" s="303"/>
      <c r="E558" s="303"/>
      <c r="F558" s="303"/>
      <c r="G558" s="303"/>
      <c r="H558" s="303"/>
      <c r="I558" s="303"/>
      <c r="J558" s="303"/>
      <c r="K558" s="303"/>
      <c r="L558" s="303"/>
      <c r="M558" s="303"/>
      <c r="N558" s="303"/>
      <c r="O558" s="303"/>
      <c r="P558" s="347">
        <f t="shared" si="18"/>
        <v>0</v>
      </c>
      <c r="Q558" s="303"/>
      <c r="R558" s="165">
        <f t="shared" si="19"/>
        <v>0</v>
      </c>
      <c r="S558" s="303"/>
      <c r="T558" s="348"/>
    </row>
    <row r="559" spans="1:20">
      <c r="A559" s="303"/>
      <c r="B559" s="303"/>
      <c r="C559" s="303"/>
      <c r="D559" s="303"/>
      <c r="E559" s="303"/>
      <c r="F559" s="303"/>
      <c r="G559" s="303"/>
      <c r="H559" s="303"/>
      <c r="I559" s="303"/>
      <c r="J559" s="303"/>
      <c r="K559" s="303"/>
      <c r="L559" s="303"/>
      <c r="M559" s="303"/>
      <c r="N559" s="303"/>
      <c r="O559" s="303"/>
      <c r="P559" s="347">
        <f t="shared" si="18"/>
        <v>0</v>
      </c>
      <c r="Q559" s="303"/>
      <c r="R559" s="165">
        <f t="shared" si="19"/>
        <v>0</v>
      </c>
      <c r="S559" s="303"/>
      <c r="T559" s="348"/>
    </row>
    <row r="560" spans="1:20">
      <c r="A560" s="303"/>
      <c r="B560" s="303"/>
      <c r="C560" s="303"/>
      <c r="D560" s="303"/>
      <c r="E560" s="303"/>
      <c r="F560" s="303"/>
      <c r="G560" s="303"/>
      <c r="H560" s="303"/>
      <c r="I560" s="303"/>
      <c r="J560" s="303"/>
      <c r="K560" s="303"/>
      <c r="L560" s="303"/>
      <c r="M560" s="303"/>
      <c r="N560" s="303"/>
      <c r="O560" s="303"/>
      <c r="P560" s="347">
        <f t="shared" si="18"/>
        <v>0</v>
      </c>
      <c r="Q560" s="303"/>
      <c r="R560" s="165">
        <f t="shared" si="19"/>
        <v>0</v>
      </c>
      <c r="S560" s="303"/>
      <c r="T560" s="348"/>
    </row>
    <row r="561" spans="1:20">
      <c r="A561" s="303"/>
      <c r="B561" s="303"/>
      <c r="C561" s="303"/>
      <c r="D561" s="303"/>
      <c r="E561" s="303"/>
      <c r="F561" s="303"/>
      <c r="G561" s="303"/>
      <c r="H561" s="303"/>
      <c r="I561" s="303"/>
      <c r="J561" s="303"/>
      <c r="K561" s="303"/>
      <c r="L561" s="303"/>
      <c r="M561" s="303"/>
      <c r="N561" s="303"/>
      <c r="O561" s="303"/>
      <c r="P561" s="347">
        <f t="shared" si="18"/>
        <v>0</v>
      </c>
      <c r="Q561" s="303"/>
      <c r="R561" s="165">
        <f t="shared" si="19"/>
        <v>0</v>
      </c>
      <c r="S561" s="303"/>
      <c r="T561" s="348"/>
    </row>
    <row r="562" spans="1:20">
      <c r="A562" s="303"/>
      <c r="B562" s="303"/>
      <c r="C562" s="303"/>
      <c r="D562" s="303"/>
      <c r="E562" s="303"/>
      <c r="F562" s="303"/>
      <c r="G562" s="303"/>
      <c r="H562" s="303"/>
      <c r="I562" s="303"/>
      <c r="J562" s="303"/>
      <c r="K562" s="303"/>
      <c r="L562" s="303"/>
      <c r="M562" s="303"/>
      <c r="N562" s="303"/>
      <c r="O562" s="303"/>
      <c r="P562" s="347">
        <f t="shared" si="18"/>
        <v>0</v>
      </c>
      <c r="Q562" s="303"/>
      <c r="R562" s="165">
        <f t="shared" si="19"/>
        <v>0</v>
      </c>
      <c r="S562" s="303"/>
      <c r="T562" s="348"/>
    </row>
    <row r="563" spans="1:20">
      <c r="A563" s="303"/>
      <c r="B563" s="303"/>
      <c r="C563" s="303"/>
      <c r="D563" s="303"/>
      <c r="E563" s="303"/>
      <c r="F563" s="303"/>
      <c r="G563" s="303"/>
      <c r="H563" s="303"/>
      <c r="I563" s="303"/>
      <c r="J563" s="303"/>
      <c r="K563" s="303"/>
      <c r="L563" s="303"/>
      <c r="M563" s="303"/>
      <c r="N563" s="303"/>
      <c r="O563" s="303"/>
      <c r="P563" s="347">
        <f t="shared" si="18"/>
        <v>0</v>
      </c>
      <c r="Q563" s="303"/>
      <c r="R563" s="165">
        <f t="shared" si="19"/>
        <v>0</v>
      </c>
      <c r="S563" s="303"/>
      <c r="T563" s="348"/>
    </row>
    <row r="564" spans="1:20">
      <c r="A564" s="303"/>
      <c r="B564" s="303"/>
      <c r="C564" s="303"/>
      <c r="D564" s="303"/>
      <c r="E564" s="303"/>
      <c r="F564" s="303"/>
      <c r="G564" s="303"/>
      <c r="H564" s="303"/>
      <c r="I564" s="303"/>
      <c r="J564" s="303"/>
      <c r="K564" s="303"/>
      <c r="L564" s="303"/>
      <c r="M564" s="303"/>
      <c r="N564" s="303"/>
      <c r="O564" s="303"/>
      <c r="P564" s="347">
        <f t="shared" ref="P564:P627" si="20">SUM(I564:O564)</f>
        <v>0</v>
      </c>
      <c r="Q564" s="303"/>
      <c r="R564" s="165">
        <f t="shared" si="19"/>
        <v>0</v>
      </c>
      <c r="S564" s="303"/>
      <c r="T564" s="348"/>
    </row>
    <row r="565" spans="1:20">
      <c r="A565" s="303"/>
      <c r="B565" s="303"/>
      <c r="C565" s="303"/>
      <c r="D565" s="303"/>
      <c r="E565" s="303"/>
      <c r="F565" s="303"/>
      <c r="G565" s="303"/>
      <c r="H565" s="303"/>
      <c r="I565" s="303"/>
      <c r="J565" s="303"/>
      <c r="K565" s="303"/>
      <c r="L565" s="303"/>
      <c r="M565" s="303"/>
      <c r="N565" s="303"/>
      <c r="O565" s="303"/>
      <c r="P565" s="347">
        <f t="shared" si="20"/>
        <v>0</v>
      </c>
      <c r="Q565" s="303"/>
      <c r="R565" s="165">
        <f t="shared" si="19"/>
        <v>0</v>
      </c>
      <c r="S565" s="303"/>
      <c r="T565" s="348"/>
    </row>
    <row r="566" spans="1:20">
      <c r="A566" s="303"/>
      <c r="B566" s="303"/>
      <c r="C566" s="303"/>
      <c r="D566" s="303"/>
      <c r="E566" s="303"/>
      <c r="F566" s="303"/>
      <c r="G566" s="303"/>
      <c r="H566" s="303"/>
      <c r="I566" s="303"/>
      <c r="J566" s="303"/>
      <c r="K566" s="303"/>
      <c r="L566" s="303"/>
      <c r="M566" s="303"/>
      <c r="N566" s="303"/>
      <c r="O566" s="303"/>
      <c r="P566" s="347">
        <f t="shared" si="20"/>
        <v>0</v>
      </c>
      <c r="Q566" s="303"/>
      <c r="R566" s="165">
        <f t="shared" si="19"/>
        <v>0</v>
      </c>
      <c r="S566" s="303"/>
      <c r="T566" s="348"/>
    </row>
    <row r="567" spans="1:20">
      <c r="A567" s="303"/>
      <c r="B567" s="303"/>
      <c r="C567" s="303"/>
      <c r="D567" s="303"/>
      <c r="E567" s="303"/>
      <c r="F567" s="303"/>
      <c r="G567" s="303"/>
      <c r="H567" s="303"/>
      <c r="I567" s="303"/>
      <c r="J567" s="303"/>
      <c r="K567" s="303"/>
      <c r="L567" s="303"/>
      <c r="M567" s="303"/>
      <c r="N567" s="303"/>
      <c r="O567" s="303"/>
      <c r="P567" s="347">
        <f t="shared" si="20"/>
        <v>0</v>
      </c>
      <c r="Q567" s="303"/>
      <c r="R567" s="165">
        <f t="shared" si="19"/>
        <v>0</v>
      </c>
      <c r="S567" s="303"/>
      <c r="T567" s="348"/>
    </row>
    <row r="568" spans="1:20">
      <c r="A568" s="303"/>
      <c r="B568" s="303"/>
      <c r="C568" s="303"/>
      <c r="D568" s="303"/>
      <c r="E568" s="303"/>
      <c r="F568" s="303"/>
      <c r="G568" s="303"/>
      <c r="H568" s="303"/>
      <c r="I568" s="303"/>
      <c r="J568" s="303"/>
      <c r="K568" s="303"/>
      <c r="L568" s="303"/>
      <c r="M568" s="303"/>
      <c r="N568" s="303"/>
      <c r="O568" s="303"/>
      <c r="P568" s="347">
        <f t="shared" si="20"/>
        <v>0</v>
      </c>
      <c r="Q568" s="303"/>
      <c r="R568" s="165">
        <f t="shared" si="19"/>
        <v>0</v>
      </c>
      <c r="S568" s="303"/>
      <c r="T568" s="348"/>
    </row>
    <row r="569" spans="1:20">
      <c r="A569" s="303"/>
      <c r="B569" s="303"/>
      <c r="C569" s="303"/>
      <c r="D569" s="303"/>
      <c r="E569" s="303"/>
      <c r="F569" s="303"/>
      <c r="G569" s="303"/>
      <c r="H569" s="303"/>
      <c r="I569" s="303"/>
      <c r="J569" s="303"/>
      <c r="K569" s="303"/>
      <c r="L569" s="303"/>
      <c r="M569" s="303"/>
      <c r="N569" s="303"/>
      <c r="O569" s="303"/>
      <c r="P569" s="347">
        <f t="shared" si="20"/>
        <v>0</v>
      </c>
      <c r="Q569" s="303"/>
      <c r="R569" s="165">
        <f t="shared" si="19"/>
        <v>0</v>
      </c>
      <c r="S569" s="303"/>
      <c r="T569" s="348"/>
    </row>
    <row r="570" spans="1:20">
      <c r="A570" s="303"/>
      <c r="B570" s="303"/>
      <c r="C570" s="303"/>
      <c r="D570" s="303"/>
      <c r="E570" s="303"/>
      <c r="F570" s="303"/>
      <c r="G570" s="303"/>
      <c r="H570" s="303"/>
      <c r="I570" s="303"/>
      <c r="J570" s="303"/>
      <c r="K570" s="303"/>
      <c r="L570" s="303"/>
      <c r="M570" s="303"/>
      <c r="N570" s="303"/>
      <c r="O570" s="303"/>
      <c r="P570" s="347">
        <f t="shared" si="20"/>
        <v>0</v>
      </c>
      <c r="Q570" s="303"/>
      <c r="R570" s="165">
        <f t="shared" si="19"/>
        <v>0</v>
      </c>
      <c r="S570" s="303"/>
      <c r="T570" s="348"/>
    </row>
    <row r="571" spans="1:20">
      <c r="A571" s="303"/>
      <c r="B571" s="303"/>
      <c r="C571" s="303"/>
      <c r="D571" s="303"/>
      <c r="E571" s="303"/>
      <c r="F571" s="303"/>
      <c r="G571" s="303"/>
      <c r="H571" s="303"/>
      <c r="I571" s="303"/>
      <c r="J571" s="303"/>
      <c r="K571" s="303"/>
      <c r="L571" s="303"/>
      <c r="M571" s="303"/>
      <c r="N571" s="303"/>
      <c r="O571" s="303"/>
      <c r="P571" s="347">
        <f t="shared" si="20"/>
        <v>0</v>
      </c>
      <c r="Q571" s="303"/>
      <c r="R571" s="165">
        <f t="shared" si="19"/>
        <v>0</v>
      </c>
      <c r="S571" s="303"/>
      <c r="T571" s="348"/>
    </row>
    <row r="572" spans="1:20">
      <c r="A572" s="303"/>
      <c r="B572" s="303"/>
      <c r="C572" s="303"/>
      <c r="D572" s="303"/>
      <c r="E572" s="303"/>
      <c r="F572" s="303"/>
      <c r="G572" s="303"/>
      <c r="H572" s="303"/>
      <c r="I572" s="303"/>
      <c r="J572" s="303"/>
      <c r="K572" s="303"/>
      <c r="L572" s="303"/>
      <c r="M572" s="303"/>
      <c r="N572" s="303"/>
      <c r="O572" s="303"/>
      <c r="P572" s="347">
        <f t="shared" si="20"/>
        <v>0</v>
      </c>
      <c r="Q572" s="303"/>
      <c r="R572" s="165">
        <f t="shared" si="19"/>
        <v>0</v>
      </c>
      <c r="S572" s="303"/>
      <c r="T572" s="348"/>
    </row>
    <row r="573" spans="1:20">
      <c r="A573" s="303"/>
      <c r="B573" s="303"/>
      <c r="C573" s="303"/>
      <c r="D573" s="303"/>
      <c r="E573" s="303"/>
      <c r="F573" s="303"/>
      <c r="G573" s="303"/>
      <c r="H573" s="303"/>
      <c r="I573" s="303"/>
      <c r="J573" s="303"/>
      <c r="K573" s="303"/>
      <c r="L573" s="303"/>
      <c r="M573" s="303"/>
      <c r="N573" s="303"/>
      <c r="O573" s="303"/>
      <c r="P573" s="347">
        <f t="shared" si="20"/>
        <v>0</v>
      </c>
      <c r="Q573" s="303"/>
      <c r="R573" s="165">
        <f t="shared" si="19"/>
        <v>0</v>
      </c>
      <c r="S573" s="303"/>
      <c r="T573" s="348"/>
    </row>
    <row r="574" spans="1:20">
      <c r="A574" s="303"/>
      <c r="B574" s="303"/>
      <c r="C574" s="303"/>
      <c r="D574" s="303"/>
      <c r="E574" s="303"/>
      <c r="F574" s="303"/>
      <c r="G574" s="303"/>
      <c r="H574" s="303"/>
      <c r="I574" s="303"/>
      <c r="J574" s="303"/>
      <c r="K574" s="303"/>
      <c r="L574" s="303"/>
      <c r="M574" s="303"/>
      <c r="N574" s="303"/>
      <c r="O574" s="303"/>
      <c r="P574" s="347">
        <f t="shared" si="20"/>
        <v>0</v>
      </c>
      <c r="Q574" s="303"/>
      <c r="R574" s="165">
        <f t="shared" si="19"/>
        <v>0</v>
      </c>
      <c r="S574" s="303"/>
      <c r="T574" s="348"/>
    </row>
    <row r="575" spans="1:20">
      <c r="A575" s="303"/>
      <c r="B575" s="303"/>
      <c r="C575" s="303"/>
      <c r="D575" s="303"/>
      <c r="E575" s="303"/>
      <c r="F575" s="303"/>
      <c r="G575" s="303"/>
      <c r="H575" s="303"/>
      <c r="I575" s="303"/>
      <c r="J575" s="303"/>
      <c r="K575" s="303"/>
      <c r="L575" s="303"/>
      <c r="M575" s="303"/>
      <c r="N575" s="303"/>
      <c r="O575" s="303"/>
      <c r="P575" s="347">
        <f t="shared" si="20"/>
        <v>0</v>
      </c>
      <c r="Q575" s="303"/>
      <c r="R575" s="165">
        <f t="shared" si="19"/>
        <v>0</v>
      </c>
      <c r="S575" s="303"/>
      <c r="T575" s="348"/>
    </row>
    <row r="576" spans="1:20">
      <c r="A576" s="303"/>
      <c r="B576" s="303"/>
      <c r="C576" s="303"/>
      <c r="D576" s="303"/>
      <c r="E576" s="303"/>
      <c r="F576" s="303"/>
      <c r="G576" s="303"/>
      <c r="H576" s="303"/>
      <c r="I576" s="303"/>
      <c r="J576" s="303"/>
      <c r="K576" s="303"/>
      <c r="L576" s="303"/>
      <c r="M576" s="303"/>
      <c r="N576" s="303"/>
      <c r="O576" s="303"/>
      <c r="P576" s="347">
        <f t="shared" si="20"/>
        <v>0</v>
      </c>
      <c r="Q576" s="303"/>
      <c r="R576" s="165">
        <f t="shared" si="19"/>
        <v>0</v>
      </c>
      <c r="S576" s="303"/>
      <c r="T576" s="348"/>
    </row>
    <row r="577" spans="1:20">
      <c r="A577" s="303"/>
      <c r="B577" s="303"/>
      <c r="C577" s="303"/>
      <c r="D577" s="303"/>
      <c r="E577" s="303"/>
      <c r="F577" s="303"/>
      <c r="G577" s="303"/>
      <c r="H577" s="303"/>
      <c r="I577" s="303"/>
      <c r="J577" s="303"/>
      <c r="K577" s="303"/>
      <c r="L577" s="303"/>
      <c r="M577" s="303"/>
      <c r="N577" s="303"/>
      <c r="O577" s="303"/>
      <c r="P577" s="347">
        <f t="shared" si="20"/>
        <v>0</v>
      </c>
      <c r="Q577" s="303"/>
      <c r="R577" s="165">
        <f t="shared" si="19"/>
        <v>0</v>
      </c>
      <c r="S577" s="303"/>
      <c r="T577" s="348"/>
    </row>
    <row r="578" spans="1:20">
      <c r="A578" s="303"/>
      <c r="B578" s="303"/>
      <c r="C578" s="303"/>
      <c r="D578" s="303"/>
      <c r="E578" s="303"/>
      <c r="F578" s="303"/>
      <c r="G578" s="303"/>
      <c r="H578" s="303"/>
      <c r="I578" s="303"/>
      <c r="J578" s="303"/>
      <c r="K578" s="303"/>
      <c r="L578" s="303"/>
      <c r="M578" s="303"/>
      <c r="N578" s="303"/>
      <c r="O578" s="303"/>
      <c r="P578" s="347">
        <f t="shared" si="20"/>
        <v>0</v>
      </c>
      <c r="Q578" s="303"/>
      <c r="R578" s="165">
        <f t="shared" si="19"/>
        <v>0</v>
      </c>
      <c r="S578" s="303"/>
      <c r="T578" s="348"/>
    </row>
    <row r="579" spans="1:20">
      <c r="A579" s="303"/>
      <c r="B579" s="303"/>
      <c r="C579" s="303"/>
      <c r="D579" s="303"/>
      <c r="E579" s="303"/>
      <c r="F579" s="303"/>
      <c r="G579" s="303"/>
      <c r="H579" s="303"/>
      <c r="I579" s="303"/>
      <c r="J579" s="303"/>
      <c r="K579" s="303"/>
      <c r="L579" s="303"/>
      <c r="M579" s="303"/>
      <c r="N579" s="303"/>
      <c r="O579" s="303"/>
      <c r="P579" s="347">
        <f t="shared" si="20"/>
        <v>0</v>
      </c>
      <c r="Q579" s="303"/>
      <c r="R579" s="165">
        <f t="shared" si="19"/>
        <v>0</v>
      </c>
      <c r="S579" s="303"/>
      <c r="T579" s="348"/>
    </row>
    <row r="580" spans="1:20">
      <c r="A580" s="303"/>
      <c r="B580" s="303"/>
      <c r="C580" s="303"/>
      <c r="D580" s="303"/>
      <c r="E580" s="303"/>
      <c r="F580" s="303"/>
      <c r="G580" s="303"/>
      <c r="H580" s="303"/>
      <c r="I580" s="303"/>
      <c r="J580" s="303"/>
      <c r="K580" s="303"/>
      <c r="L580" s="303"/>
      <c r="M580" s="303"/>
      <c r="N580" s="303"/>
      <c r="O580" s="303"/>
      <c r="P580" s="347">
        <f t="shared" si="20"/>
        <v>0</v>
      </c>
      <c r="Q580" s="303"/>
      <c r="R580" s="165">
        <f t="shared" si="19"/>
        <v>0</v>
      </c>
      <c r="S580" s="303"/>
      <c r="T580" s="348"/>
    </row>
    <row r="581" spans="1:20">
      <c r="A581" s="303"/>
      <c r="B581" s="303"/>
      <c r="C581" s="303"/>
      <c r="D581" s="303"/>
      <c r="E581" s="303"/>
      <c r="F581" s="303"/>
      <c r="G581" s="303"/>
      <c r="H581" s="303"/>
      <c r="I581" s="303"/>
      <c r="J581" s="303"/>
      <c r="K581" s="303"/>
      <c r="L581" s="303"/>
      <c r="M581" s="303"/>
      <c r="N581" s="303"/>
      <c r="O581" s="303"/>
      <c r="P581" s="347">
        <f t="shared" si="20"/>
        <v>0</v>
      </c>
      <c r="Q581" s="303"/>
      <c r="R581" s="165">
        <f t="shared" si="19"/>
        <v>0</v>
      </c>
      <c r="S581" s="303"/>
      <c r="T581" s="348"/>
    </row>
    <row r="582" spans="1:20">
      <c r="A582" s="303"/>
      <c r="B582" s="303"/>
      <c r="C582" s="303"/>
      <c r="D582" s="303"/>
      <c r="E582" s="303"/>
      <c r="F582" s="303"/>
      <c r="G582" s="303"/>
      <c r="H582" s="303"/>
      <c r="I582" s="303"/>
      <c r="J582" s="303"/>
      <c r="K582" s="303"/>
      <c r="L582" s="303"/>
      <c r="M582" s="303"/>
      <c r="N582" s="303"/>
      <c r="O582" s="303"/>
      <c r="P582" s="347">
        <f t="shared" si="20"/>
        <v>0</v>
      </c>
      <c r="Q582" s="303"/>
      <c r="R582" s="165">
        <f t="shared" si="19"/>
        <v>0</v>
      </c>
      <c r="S582" s="303"/>
      <c r="T582" s="348"/>
    </row>
    <row r="583" spans="1:20">
      <c r="A583" s="303"/>
      <c r="B583" s="303"/>
      <c r="C583" s="303"/>
      <c r="D583" s="303"/>
      <c r="E583" s="303"/>
      <c r="F583" s="303"/>
      <c r="G583" s="303"/>
      <c r="H583" s="303"/>
      <c r="I583" s="303"/>
      <c r="J583" s="303"/>
      <c r="K583" s="303"/>
      <c r="L583" s="303"/>
      <c r="M583" s="303"/>
      <c r="N583" s="303"/>
      <c r="O583" s="303"/>
      <c r="P583" s="347">
        <f t="shared" si="20"/>
        <v>0</v>
      </c>
      <c r="Q583" s="303"/>
      <c r="R583" s="165">
        <f t="shared" si="19"/>
        <v>0</v>
      </c>
      <c r="S583" s="303"/>
      <c r="T583" s="348"/>
    </row>
    <row r="584" spans="1:20">
      <c r="A584" s="303"/>
      <c r="B584" s="303"/>
      <c r="C584" s="303"/>
      <c r="D584" s="303"/>
      <c r="E584" s="303"/>
      <c r="F584" s="303"/>
      <c r="G584" s="303"/>
      <c r="H584" s="303"/>
      <c r="I584" s="303"/>
      <c r="J584" s="303"/>
      <c r="K584" s="303"/>
      <c r="L584" s="303"/>
      <c r="M584" s="303"/>
      <c r="N584" s="303"/>
      <c r="O584" s="303"/>
      <c r="P584" s="347">
        <f t="shared" si="20"/>
        <v>0</v>
      </c>
      <c r="Q584" s="303"/>
      <c r="R584" s="165">
        <f t="shared" si="19"/>
        <v>0</v>
      </c>
      <c r="S584" s="303"/>
      <c r="T584" s="348"/>
    </row>
    <row r="585" spans="1:20">
      <c r="A585" s="303"/>
      <c r="B585" s="303"/>
      <c r="C585" s="303"/>
      <c r="D585" s="303"/>
      <c r="E585" s="303"/>
      <c r="F585" s="303"/>
      <c r="G585" s="303"/>
      <c r="H585" s="303"/>
      <c r="I585" s="303"/>
      <c r="J585" s="303"/>
      <c r="K585" s="303"/>
      <c r="L585" s="303"/>
      <c r="M585" s="303"/>
      <c r="N585" s="303"/>
      <c r="O585" s="303"/>
      <c r="P585" s="347">
        <f t="shared" si="20"/>
        <v>0</v>
      </c>
      <c r="Q585" s="303"/>
      <c r="R585" s="165">
        <f t="shared" si="19"/>
        <v>0</v>
      </c>
      <c r="S585" s="303"/>
      <c r="T585" s="348"/>
    </row>
    <row r="586" spans="1:20">
      <c r="A586" s="303"/>
      <c r="B586" s="303"/>
      <c r="C586" s="303"/>
      <c r="D586" s="303"/>
      <c r="E586" s="303"/>
      <c r="F586" s="303"/>
      <c r="G586" s="303"/>
      <c r="H586" s="303"/>
      <c r="I586" s="303"/>
      <c r="J586" s="303"/>
      <c r="K586" s="303"/>
      <c r="L586" s="303"/>
      <c r="M586" s="303"/>
      <c r="N586" s="303"/>
      <c r="O586" s="303"/>
      <c r="P586" s="347">
        <f t="shared" si="20"/>
        <v>0</v>
      </c>
      <c r="Q586" s="303"/>
      <c r="R586" s="165">
        <f t="shared" si="19"/>
        <v>0</v>
      </c>
      <c r="S586" s="303"/>
      <c r="T586" s="348"/>
    </row>
    <row r="587" spans="1:20">
      <c r="A587" s="303"/>
      <c r="B587" s="303"/>
      <c r="C587" s="303"/>
      <c r="D587" s="303"/>
      <c r="E587" s="303"/>
      <c r="F587" s="303"/>
      <c r="G587" s="303"/>
      <c r="H587" s="303"/>
      <c r="I587" s="303"/>
      <c r="J587" s="303"/>
      <c r="K587" s="303"/>
      <c r="L587" s="303"/>
      <c r="M587" s="303"/>
      <c r="N587" s="303"/>
      <c r="O587" s="303"/>
      <c r="P587" s="347">
        <f t="shared" si="20"/>
        <v>0</v>
      </c>
      <c r="Q587" s="303"/>
      <c r="R587" s="165">
        <f t="shared" si="19"/>
        <v>0</v>
      </c>
      <c r="S587" s="303"/>
      <c r="T587" s="348"/>
    </row>
    <row r="588" spans="1:20">
      <c r="A588" s="303"/>
      <c r="B588" s="303"/>
      <c r="C588" s="303"/>
      <c r="D588" s="303"/>
      <c r="E588" s="303"/>
      <c r="F588" s="303"/>
      <c r="G588" s="303"/>
      <c r="H588" s="303"/>
      <c r="I588" s="303"/>
      <c r="J588" s="303"/>
      <c r="K588" s="303"/>
      <c r="L588" s="303"/>
      <c r="M588" s="303"/>
      <c r="N588" s="303"/>
      <c r="O588" s="303"/>
      <c r="P588" s="347">
        <f t="shared" si="20"/>
        <v>0</v>
      </c>
      <c r="Q588" s="303"/>
      <c r="R588" s="165">
        <f t="shared" si="19"/>
        <v>0</v>
      </c>
      <c r="S588" s="303"/>
      <c r="T588" s="348"/>
    </row>
    <row r="589" spans="1:20">
      <c r="A589" s="303"/>
      <c r="B589" s="303"/>
      <c r="C589" s="303"/>
      <c r="D589" s="303"/>
      <c r="E589" s="303"/>
      <c r="F589" s="303"/>
      <c r="G589" s="303"/>
      <c r="H589" s="303"/>
      <c r="I589" s="303"/>
      <c r="J589" s="303"/>
      <c r="K589" s="303"/>
      <c r="L589" s="303"/>
      <c r="M589" s="303"/>
      <c r="N589" s="303"/>
      <c r="O589" s="303"/>
      <c r="P589" s="347">
        <f t="shared" si="20"/>
        <v>0</v>
      </c>
      <c r="Q589" s="303"/>
      <c r="R589" s="165">
        <f t="shared" si="19"/>
        <v>0</v>
      </c>
      <c r="S589" s="303"/>
      <c r="T589" s="348"/>
    </row>
    <row r="590" spans="1:20">
      <c r="A590" s="303"/>
      <c r="B590" s="303"/>
      <c r="C590" s="303"/>
      <c r="D590" s="303"/>
      <c r="E590" s="303"/>
      <c r="F590" s="303"/>
      <c r="G590" s="303"/>
      <c r="H590" s="303"/>
      <c r="I590" s="303"/>
      <c r="J590" s="303"/>
      <c r="K590" s="303"/>
      <c r="L590" s="303"/>
      <c r="M590" s="303"/>
      <c r="N590" s="303"/>
      <c r="O590" s="303"/>
      <c r="P590" s="347">
        <f t="shared" si="20"/>
        <v>0</v>
      </c>
      <c r="Q590" s="303"/>
      <c r="R590" s="165">
        <f t="shared" si="19"/>
        <v>0</v>
      </c>
      <c r="S590" s="303"/>
      <c r="T590" s="348"/>
    </row>
    <row r="591" spans="1:20">
      <c r="A591" s="303"/>
      <c r="B591" s="303"/>
      <c r="C591" s="303"/>
      <c r="D591" s="303"/>
      <c r="E591" s="303"/>
      <c r="F591" s="303"/>
      <c r="G591" s="303"/>
      <c r="H591" s="303"/>
      <c r="I591" s="303"/>
      <c r="J591" s="303"/>
      <c r="K591" s="303"/>
      <c r="L591" s="303"/>
      <c r="M591" s="303"/>
      <c r="N591" s="303"/>
      <c r="O591" s="303"/>
      <c r="P591" s="347">
        <f t="shared" si="20"/>
        <v>0</v>
      </c>
      <c r="Q591" s="303"/>
      <c r="R591" s="165">
        <f t="shared" si="19"/>
        <v>0</v>
      </c>
      <c r="S591" s="303"/>
      <c r="T591" s="348"/>
    </row>
    <row r="592" spans="1:20">
      <c r="A592" s="303"/>
      <c r="B592" s="303"/>
      <c r="C592" s="303"/>
      <c r="D592" s="303"/>
      <c r="E592" s="303"/>
      <c r="F592" s="303"/>
      <c r="G592" s="303"/>
      <c r="H592" s="303"/>
      <c r="I592" s="303"/>
      <c r="J592" s="303"/>
      <c r="K592" s="303"/>
      <c r="L592" s="303"/>
      <c r="M592" s="303"/>
      <c r="N592" s="303"/>
      <c r="O592" s="303"/>
      <c r="P592" s="347">
        <f t="shared" si="20"/>
        <v>0</v>
      </c>
      <c r="Q592" s="303"/>
      <c r="R592" s="165">
        <f t="shared" si="19"/>
        <v>0</v>
      </c>
      <c r="S592" s="303"/>
      <c r="T592" s="348"/>
    </row>
    <row r="593" spans="1:20">
      <c r="A593" s="303"/>
      <c r="B593" s="303"/>
      <c r="C593" s="303"/>
      <c r="D593" s="303"/>
      <c r="E593" s="303"/>
      <c r="F593" s="303"/>
      <c r="G593" s="303"/>
      <c r="H593" s="303"/>
      <c r="I593" s="303"/>
      <c r="J593" s="303"/>
      <c r="K593" s="303"/>
      <c r="L593" s="303"/>
      <c r="M593" s="303"/>
      <c r="N593" s="303"/>
      <c r="O593" s="303"/>
      <c r="P593" s="347">
        <f t="shared" si="20"/>
        <v>0</v>
      </c>
      <c r="Q593" s="303"/>
      <c r="R593" s="165">
        <f t="shared" si="19"/>
        <v>0</v>
      </c>
      <c r="S593" s="303"/>
      <c r="T593" s="348"/>
    </row>
    <row r="594" spans="1:20">
      <c r="A594" s="303"/>
      <c r="B594" s="303"/>
      <c r="C594" s="303"/>
      <c r="D594" s="303"/>
      <c r="E594" s="303"/>
      <c r="F594" s="303"/>
      <c r="G594" s="303"/>
      <c r="H594" s="303"/>
      <c r="I594" s="303"/>
      <c r="J594" s="303"/>
      <c r="K594" s="303"/>
      <c r="L594" s="303"/>
      <c r="M594" s="303"/>
      <c r="N594" s="303"/>
      <c r="O594" s="303"/>
      <c r="P594" s="347">
        <f t="shared" si="20"/>
        <v>0</v>
      </c>
      <c r="Q594" s="303"/>
      <c r="R594" s="165">
        <f t="shared" si="19"/>
        <v>0</v>
      </c>
      <c r="S594" s="303"/>
      <c r="T594" s="348"/>
    </row>
    <row r="595" spans="1:20">
      <c r="A595" s="303"/>
      <c r="B595" s="303"/>
      <c r="C595" s="303"/>
      <c r="D595" s="303"/>
      <c r="E595" s="303"/>
      <c r="F595" s="303"/>
      <c r="G595" s="303"/>
      <c r="H595" s="303"/>
      <c r="I595" s="303"/>
      <c r="J595" s="303"/>
      <c r="K595" s="303"/>
      <c r="L595" s="303"/>
      <c r="M595" s="303"/>
      <c r="N595" s="303"/>
      <c r="O595" s="303"/>
      <c r="P595" s="347">
        <f t="shared" si="20"/>
        <v>0</v>
      </c>
      <c r="Q595" s="303"/>
      <c r="R595" s="165">
        <f t="shared" si="19"/>
        <v>0</v>
      </c>
      <c r="S595" s="303"/>
      <c r="T595" s="348"/>
    </row>
    <row r="596" spans="1:20">
      <c r="A596" s="303"/>
      <c r="B596" s="303"/>
      <c r="C596" s="303"/>
      <c r="D596" s="303"/>
      <c r="E596" s="303"/>
      <c r="F596" s="303"/>
      <c r="G596" s="303"/>
      <c r="H596" s="303"/>
      <c r="I596" s="303"/>
      <c r="J596" s="303"/>
      <c r="K596" s="303"/>
      <c r="L596" s="303"/>
      <c r="M596" s="303"/>
      <c r="N596" s="303"/>
      <c r="O596" s="303"/>
      <c r="P596" s="347">
        <f t="shared" si="20"/>
        <v>0</v>
      </c>
      <c r="Q596" s="303"/>
      <c r="R596" s="165">
        <f t="shared" si="19"/>
        <v>0</v>
      </c>
      <c r="S596" s="303"/>
      <c r="T596" s="348"/>
    </row>
    <row r="597" spans="1:20">
      <c r="A597" s="303"/>
      <c r="B597" s="303"/>
      <c r="C597" s="303"/>
      <c r="D597" s="303"/>
      <c r="E597" s="303"/>
      <c r="F597" s="303"/>
      <c r="G597" s="303"/>
      <c r="H597" s="303"/>
      <c r="I597" s="303"/>
      <c r="J597" s="303"/>
      <c r="K597" s="303"/>
      <c r="L597" s="303"/>
      <c r="M597" s="303"/>
      <c r="N597" s="303"/>
      <c r="O597" s="303"/>
      <c r="P597" s="347">
        <f t="shared" si="20"/>
        <v>0</v>
      </c>
      <c r="Q597" s="303"/>
      <c r="R597" s="165">
        <f t="shared" si="19"/>
        <v>0</v>
      </c>
      <c r="S597" s="303"/>
      <c r="T597" s="348"/>
    </row>
    <row r="598" spans="1:20">
      <c r="A598" s="303"/>
      <c r="B598" s="303"/>
      <c r="C598" s="303"/>
      <c r="D598" s="303"/>
      <c r="E598" s="303"/>
      <c r="F598" s="303"/>
      <c r="G598" s="303"/>
      <c r="H598" s="303"/>
      <c r="I598" s="303"/>
      <c r="J598" s="303"/>
      <c r="K598" s="303"/>
      <c r="L598" s="303"/>
      <c r="M598" s="303"/>
      <c r="N598" s="303"/>
      <c r="O598" s="303"/>
      <c r="P598" s="347">
        <f t="shared" si="20"/>
        <v>0</v>
      </c>
      <c r="Q598" s="303"/>
      <c r="R598" s="165">
        <f t="shared" si="19"/>
        <v>0</v>
      </c>
      <c r="S598" s="303"/>
      <c r="T598" s="348"/>
    </row>
    <row r="599" spans="1:20">
      <c r="A599" s="303"/>
      <c r="B599" s="303"/>
      <c r="C599" s="303"/>
      <c r="D599" s="303"/>
      <c r="E599" s="303"/>
      <c r="F599" s="303"/>
      <c r="G599" s="303"/>
      <c r="H599" s="303"/>
      <c r="I599" s="303"/>
      <c r="J599" s="303"/>
      <c r="K599" s="303"/>
      <c r="L599" s="303"/>
      <c r="M599" s="303"/>
      <c r="N599" s="303"/>
      <c r="O599" s="303"/>
      <c r="P599" s="347">
        <f t="shared" si="20"/>
        <v>0</v>
      </c>
      <c r="Q599" s="303"/>
      <c r="R599" s="165">
        <f t="shared" si="19"/>
        <v>0</v>
      </c>
      <c r="S599" s="303"/>
      <c r="T599" s="348"/>
    </row>
    <row r="600" spans="1:20">
      <c r="A600" s="303"/>
      <c r="B600" s="303"/>
      <c r="C600" s="303"/>
      <c r="D600" s="303"/>
      <c r="E600" s="303"/>
      <c r="F600" s="303"/>
      <c r="G600" s="303"/>
      <c r="H600" s="303"/>
      <c r="I600" s="303"/>
      <c r="J600" s="303"/>
      <c r="K600" s="303"/>
      <c r="L600" s="303"/>
      <c r="M600" s="303"/>
      <c r="N600" s="303"/>
      <c r="O600" s="303"/>
      <c r="P600" s="347">
        <f t="shared" si="20"/>
        <v>0</v>
      </c>
      <c r="Q600" s="303"/>
      <c r="R600" s="165">
        <f t="shared" si="19"/>
        <v>0</v>
      </c>
      <c r="S600" s="303"/>
      <c r="T600" s="348"/>
    </row>
    <row r="601" spans="1:20">
      <c r="A601" s="303"/>
      <c r="B601" s="303"/>
      <c r="C601" s="303"/>
      <c r="D601" s="303"/>
      <c r="E601" s="303"/>
      <c r="F601" s="303"/>
      <c r="G601" s="303"/>
      <c r="H601" s="303"/>
      <c r="I601" s="303"/>
      <c r="J601" s="303"/>
      <c r="K601" s="303"/>
      <c r="L601" s="303"/>
      <c r="M601" s="303"/>
      <c r="N601" s="303"/>
      <c r="O601" s="303"/>
      <c r="P601" s="347">
        <f t="shared" si="20"/>
        <v>0</v>
      </c>
      <c r="Q601" s="303"/>
      <c r="R601" s="165">
        <f t="shared" si="19"/>
        <v>0</v>
      </c>
      <c r="S601" s="303"/>
      <c r="T601" s="348"/>
    </row>
    <row r="602" spans="1:20">
      <c r="A602" s="303"/>
      <c r="B602" s="303"/>
      <c r="C602" s="303"/>
      <c r="D602" s="303"/>
      <c r="E602" s="303"/>
      <c r="F602" s="303"/>
      <c r="G602" s="303"/>
      <c r="H602" s="303"/>
      <c r="I602" s="303"/>
      <c r="J602" s="303"/>
      <c r="K602" s="303"/>
      <c r="L602" s="303"/>
      <c r="M602" s="303"/>
      <c r="N602" s="303"/>
      <c r="O602" s="303"/>
      <c r="P602" s="347">
        <f t="shared" si="20"/>
        <v>0</v>
      </c>
      <c r="Q602" s="303"/>
      <c r="R602" s="165">
        <f t="shared" ref="R602:R665" si="21">P602-Q602</f>
        <v>0</v>
      </c>
      <c r="S602" s="303"/>
      <c r="T602" s="348"/>
    </row>
    <row r="603" spans="1:20">
      <c r="A603" s="303"/>
      <c r="B603" s="303"/>
      <c r="C603" s="303"/>
      <c r="D603" s="303"/>
      <c r="E603" s="303"/>
      <c r="F603" s="303"/>
      <c r="G603" s="303"/>
      <c r="H603" s="303"/>
      <c r="I603" s="303"/>
      <c r="J603" s="303"/>
      <c r="K603" s="303"/>
      <c r="L603" s="303"/>
      <c r="M603" s="303"/>
      <c r="N603" s="303"/>
      <c r="O603" s="303"/>
      <c r="P603" s="347">
        <f t="shared" si="20"/>
        <v>0</v>
      </c>
      <c r="Q603" s="303"/>
      <c r="R603" s="165">
        <f t="shared" si="21"/>
        <v>0</v>
      </c>
      <c r="S603" s="303"/>
      <c r="T603" s="348"/>
    </row>
    <row r="604" spans="1:20">
      <c r="A604" s="303"/>
      <c r="B604" s="303"/>
      <c r="C604" s="303"/>
      <c r="D604" s="303"/>
      <c r="E604" s="303"/>
      <c r="F604" s="303"/>
      <c r="G604" s="303"/>
      <c r="H604" s="303"/>
      <c r="I604" s="303"/>
      <c r="J604" s="303"/>
      <c r="K604" s="303"/>
      <c r="L604" s="303"/>
      <c r="M604" s="303"/>
      <c r="N604" s="303"/>
      <c r="O604" s="303"/>
      <c r="P604" s="347">
        <f t="shared" si="20"/>
        <v>0</v>
      </c>
      <c r="Q604" s="303"/>
      <c r="R604" s="165">
        <f t="shared" si="21"/>
        <v>0</v>
      </c>
      <c r="S604" s="303"/>
      <c r="T604" s="348"/>
    </row>
    <row r="605" spans="1:20">
      <c r="A605" s="303"/>
      <c r="B605" s="303"/>
      <c r="C605" s="303"/>
      <c r="D605" s="303"/>
      <c r="E605" s="303"/>
      <c r="F605" s="303"/>
      <c r="G605" s="303"/>
      <c r="H605" s="303"/>
      <c r="I605" s="303"/>
      <c r="J605" s="303"/>
      <c r="K605" s="303"/>
      <c r="L605" s="303"/>
      <c r="M605" s="303"/>
      <c r="N605" s="303"/>
      <c r="O605" s="303"/>
      <c r="P605" s="347">
        <f t="shared" si="20"/>
        <v>0</v>
      </c>
      <c r="Q605" s="303"/>
      <c r="R605" s="165">
        <f t="shared" si="21"/>
        <v>0</v>
      </c>
      <c r="S605" s="303"/>
      <c r="T605" s="348"/>
    </row>
    <row r="606" spans="1:20">
      <c r="A606" s="303"/>
      <c r="B606" s="303"/>
      <c r="C606" s="303"/>
      <c r="D606" s="303"/>
      <c r="E606" s="303"/>
      <c r="F606" s="303"/>
      <c r="G606" s="303"/>
      <c r="H606" s="303"/>
      <c r="I606" s="303"/>
      <c r="J606" s="303"/>
      <c r="K606" s="303"/>
      <c r="L606" s="303"/>
      <c r="M606" s="303"/>
      <c r="N606" s="303"/>
      <c r="O606" s="303"/>
      <c r="P606" s="347">
        <f t="shared" si="20"/>
        <v>0</v>
      </c>
      <c r="Q606" s="303"/>
      <c r="R606" s="165">
        <f t="shared" si="21"/>
        <v>0</v>
      </c>
      <c r="S606" s="303"/>
      <c r="T606" s="348"/>
    </row>
    <row r="607" spans="1:20">
      <c r="A607" s="303"/>
      <c r="B607" s="303"/>
      <c r="C607" s="303"/>
      <c r="D607" s="303"/>
      <c r="E607" s="303"/>
      <c r="F607" s="303"/>
      <c r="G607" s="303"/>
      <c r="H607" s="303"/>
      <c r="I607" s="303"/>
      <c r="J607" s="303"/>
      <c r="K607" s="303"/>
      <c r="L607" s="303"/>
      <c r="M607" s="303"/>
      <c r="N607" s="303"/>
      <c r="O607" s="303"/>
      <c r="P607" s="347">
        <f t="shared" si="20"/>
        <v>0</v>
      </c>
      <c r="Q607" s="303"/>
      <c r="R607" s="165">
        <f t="shared" si="21"/>
        <v>0</v>
      </c>
      <c r="S607" s="303"/>
      <c r="T607" s="348"/>
    </row>
    <row r="608" spans="1:20">
      <c r="A608" s="303"/>
      <c r="B608" s="303"/>
      <c r="C608" s="303"/>
      <c r="D608" s="303"/>
      <c r="E608" s="303"/>
      <c r="F608" s="303"/>
      <c r="G608" s="303"/>
      <c r="H608" s="303"/>
      <c r="I608" s="303"/>
      <c r="J608" s="303"/>
      <c r="K608" s="303"/>
      <c r="L608" s="303"/>
      <c r="M608" s="303"/>
      <c r="N608" s="303"/>
      <c r="O608" s="303"/>
      <c r="P608" s="347">
        <f t="shared" si="20"/>
        <v>0</v>
      </c>
      <c r="Q608" s="303"/>
      <c r="R608" s="165">
        <f t="shared" si="21"/>
        <v>0</v>
      </c>
      <c r="S608" s="303"/>
      <c r="T608" s="348"/>
    </row>
    <row r="609" spans="1:20">
      <c r="A609" s="303"/>
      <c r="B609" s="303"/>
      <c r="C609" s="303"/>
      <c r="D609" s="303"/>
      <c r="E609" s="303"/>
      <c r="F609" s="303"/>
      <c r="G609" s="303"/>
      <c r="H609" s="303"/>
      <c r="I609" s="303"/>
      <c r="J609" s="303"/>
      <c r="K609" s="303"/>
      <c r="L609" s="303"/>
      <c r="M609" s="303"/>
      <c r="N609" s="303"/>
      <c r="O609" s="303"/>
      <c r="P609" s="347">
        <f t="shared" si="20"/>
        <v>0</v>
      </c>
      <c r="Q609" s="303"/>
      <c r="R609" s="165">
        <f t="shared" si="21"/>
        <v>0</v>
      </c>
      <c r="S609" s="303"/>
      <c r="T609" s="348"/>
    </row>
    <row r="610" spans="1:20">
      <c r="A610" s="303"/>
      <c r="B610" s="303"/>
      <c r="C610" s="303"/>
      <c r="D610" s="303"/>
      <c r="E610" s="303"/>
      <c r="F610" s="303"/>
      <c r="G610" s="303"/>
      <c r="H610" s="303"/>
      <c r="I610" s="303"/>
      <c r="J610" s="303"/>
      <c r="K610" s="303"/>
      <c r="L610" s="303"/>
      <c r="M610" s="303"/>
      <c r="N610" s="303"/>
      <c r="O610" s="303"/>
      <c r="P610" s="347">
        <f t="shared" si="20"/>
        <v>0</v>
      </c>
      <c r="Q610" s="303"/>
      <c r="R610" s="165">
        <f t="shared" si="21"/>
        <v>0</v>
      </c>
      <c r="S610" s="303"/>
      <c r="T610" s="348"/>
    </row>
    <row r="611" spans="1:20">
      <c r="A611" s="303"/>
      <c r="B611" s="303"/>
      <c r="C611" s="303"/>
      <c r="D611" s="303"/>
      <c r="E611" s="303"/>
      <c r="F611" s="303"/>
      <c r="G611" s="303"/>
      <c r="H611" s="303"/>
      <c r="I611" s="303"/>
      <c r="J611" s="303"/>
      <c r="K611" s="303"/>
      <c r="L611" s="303"/>
      <c r="M611" s="303"/>
      <c r="N611" s="303"/>
      <c r="O611" s="303"/>
      <c r="P611" s="347">
        <f t="shared" si="20"/>
        <v>0</v>
      </c>
      <c r="Q611" s="303"/>
      <c r="R611" s="165">
        <f t="shared" si="21"/>
        <v>0</v>
      </c>
      <c r="S611" s="303"/>
      <c r="T611" s="348"/>
    </row>
    <row r="612" spans="1:20">
      <c r="A612" s="303"/>
      <c r="B612" s="303"/>
      <c r="C612" s="303"/>
      <c r="D612" s="303"/>
      <c r="E612" s="303"/>
      <c r="F612" s="303"/>
      <c r="G612" s="303"/>
      <c r="H612" s="303"/>
      <c r="I612" s="303"/>
      <c r="J612" s="303"/>
      <c r="K612" s="303"/>
      <c r="L612" s="303"/>
      <c r="M612" s="303"/>
      <c r="N612" s="303"/>
      <c r="O612" s="303"/>
      <c r="P612" s="347">
        <f t="shared" si="20"/>
        <v>0</v>
      </c>
      <c r="Q612" s="303"/>
      <c r="R612" s="165">
        <f t="shared" si="21"/>
        <v>0</v>
      </c>
      <c r="S612" s="303"/>
      <c r="T612" s="348"/>
    </row>
    <row r="613" spans="1:20">
      <c r="A613" s="303"/>
      <c r="B613" s="303"/>
      <c r="C613" s="303"/>
      <c r="D613" s="303"/>
      <c r="E613" s="303"/>
      <c r="F613" s="303"/>
      <c r="G613" s="303"/>
      <c r="H613" s="303"/>
      <c r="I613" s="303"/>
      <c r="J613" s="303"/>
      <c r="K613" s="303"/>
      <c r="L613" s="303"/>
      <c r="M613" s="303"/>
      <c r="N613" s="303"/>
      <c r="O613" s="303"/>
      <c r="P613" s="347">
        <f t="shared" si="20"/>
        <v>0</v>
      </c>
      <c r="Q613" s="303"/>
      <c r="R613" s="165">
        <f t="shared" si="21"/>
        <v>0</v>
      </c>
      <c r="S613" s="303"/>
      <c r="T613" s="348"/>
    </row>
    <row r="614" spans="1:20">
      <c r="A614" s="303"/>
      <c r="B614" s="303"/>
      <c r="C614" s="303"/>
      <c r="D614" s="303"/>
      <c r="E614" s="303"/>
      <c r="F614" s="303"/>
      <c r="G614" s="303"/>
      <c r="H614" s="303"/>
      <c r="I614" s="303"/>
      <c r="J614" s="303"/>
      <c r="K614" s="303"/>
      <c r="L614" s="303"/>
      <c r="M614" s="303"/>
      <c r="N614" s="303"/>
      <c r="O614" s="303"/>
      <c r="P614" s="347">
        <f t="shared" si="20"/>
        <v>0</v>
      </c>
      <c r="Q614" s="303"/>
      <c r="R614" s="165">
        <f t="shared" si="21"/>
        <v>0</v>
      </c>
      <c r="S614" s="303"/>
      <c r="T614" s="348"/>
    </row>
    <row r="615" spans="1:20">
      <c r="A615" s="303"/>
      <c r="B615" s="303"/>
      <c r="C615" s="303"/>
      <c r="D615" s="303"/>
      <c r="E615" s="303"/>
      <c r="F615" s="303"/>
      <c r="G615" s="303"/>
      <c r="H615" s="303"/>
      <c r="I615" s="303"/>
      <c r="J615" s="303"/>
      <c r="K615" s="303"/>
      <c r="L615" s="303"/>
      <c r="M615" s="303"/>
      <c r="N615" s="303"/>
      <c r="O615" s="303"/>
      <c r="P615" s="347">
        <f t="shared" si="20"/>
        <v>0</v>
      </c>
      <c r="Q615" s="303"/>
      <c r="R615" s="165">
        <f t="shared" si="21"/>
        <v>0</v>
      </c>
      <c r="S615" s="303"/>
      <c r="T615" s="348"/>
    </row>
    <row r="616" spans="1:20">
      <c r="A616" s="303"/>
      <c r="B616" s="303"/>
      <c r="C616" s="303"/>
      <c r="D616" s="303"/>
      <c r="E616" s="303"/>
      <c r="F616" s="303"/>
      <c r="G616" s="303"/>
      <c r="H616" s="303"/>
      <c r="I616" s="303"/>
      <c r="J616" s="303"/>
      <c r="K616" s="303"/>
      <c r="L616" s="303"/>
      <c r="M616" s="303"/>
      <c r="N616" s="303"/>
      <c r="O616" s="303"/>
      <c r="P616" s="347">
        <f t="shared" si="20"/>
        <v>0</v>
      </c>
      <c r="Q616" s="303"/>
      <c r="R616" s="165">
        <f t="shared" si="21"/>
        <v>0</v>
      </c>
      <c r="S616" s="303"/>
      <c r="T616" s="348"/>
    </row>
    <row r="617" spans="1:20">
      <c r="A617" s="303"/>
      <c r="B617" s="303"/>
      <c r="C617" s="303"/>
      <c r="D617" s="303"/>
      <c r="E617" s="303"/>
      <c r="F617" s="303"/>
      <c r="G617" s="303"/>
      <c r="H617" s="303"/>
      <c r="I617" s="303"/>
      <c r="J617" s="303"/>
      <c r="K617" s="303"/>
      <c r="L617" s="303"/>
      <c r="M617" s="303"/>
      <c r="N617" s="303"/>
      <c r="O617" s="303"/>
      <c r="P617" s="347">
        <f t="shared" si="20"/>
        <v>0</v>
      </c>
      <c r="Q617" s="303"/>
      <c r="R617" s="165">
        <f t="shared" si="21"/>
        <v>0</v>
      </c>
      <c r="S617" s="303"/>
      <c r="T617" s="348"/>
    </row>
    <row r="618" spans="1:20">
      <c r="A618" s="303"/>
      <c r="B618" s="303"/>
      <c r="C618" s="303"/>
      <c r="D618" s="303"/>
      <c r="E618" s="303"/>
      <c r="F618" s="303"/>
      <c r="G618" s="303"/>
      <c r="H618" s="303"/>
      <c r="I618" s="303"/>
      <c r="J618" s="303"/>
      <c r="K618" s="303"/>
      <c r="L618" s="303"/>
      <c r="M618" s="303"/>
      <c r="N618" s="303"/>
      <c r="O618" s="303"/>
      <c r="P618" s="347">
        <f t="shared" si="20"/>
        <v>0</v>
      </c>
      <c r="Q618" s="303"/>
      <c r="R618" s="165">
        <f t="shared" si="21"/>
        <v>0</v>
      </c>
      <c r="S618" s="303"/>
      <c r="T618" s="348"/>
    </row>
    <row r="619" spans="1:20">
      <c r="A619" s="303"/>
      <c r="B619" s="303"/>
      <c r="C619" s="303"/>
      <c r="D619" s="303"/>
      <c r="E619" s="303"/>
      <c r="F619" s="303"/>
      <c r="G619" s="303"/>
      <c r="H619" s="303"/>
      <c r="I619" s="303"/>
      <c r="J619" s="303"/>
      <c r="K619" s="303"/>
      <c r="L619" s="303"/>
      <c r="M619" s="303"/>
      <c r="N619" s="303"/>
      <c r="O619" s="303"/>
      <c r="P619" s="347">
        <f t="shared" si="20"/>
        <v>0</v>
      </c>
      <c r="Q619" s="303"/>
      <c r="R619" s="165">
        <f t="shared" si="21"/>
        <v>0</v>
      </c>
      <c r="S619" s="303"/>
      <c r="T619" s="348"/>
    </row>
    <row r="620" spans="1:20">
      <c r="A620" s="303"/>
      <c r="B620" s="303"/>
      <c r="C620" s="303"/>
      <c r="D620" s="303"/>
      <c r="E620" s="303"/>
      <c r="F620" s="303"/>
      <c r="G620" s="303"/>
      <c r="H620" s="303"/>
      <c r="I620" s="303"/>
      <c r="J620" s="303"/>
      <c r="K620" s="303"/>
      <c r="L620" s="303"/>
      <c r="M620" s="303"/>
      <c r="N620" s="303"/>
      <c r="O620" s="303"/>
      <c r="P620" s="347">
        <f t="shared" si="20"/>
        <v>0</v>
      </c>
      <c r="Q620" s="303"/>
      <c r="R620" s="165">
        <f t="shared" si="21"/>
        <v>0</v>
      </c>
      <c r="S620" s="303"/>
      <c r="T620" s="348"/>
    </row>
    <row r="621" spans="1:20">
      <c r="A621" s="303"/>
      <c r="B621" s="303"/>
      <c r="C621" s="303"/>
      <c r="D621" s="303"/>
      <c r="E621" s="303"/>
      <c r="F621" s="303"/>
      <c r="G621" s="303"/>
      <c r="H621" s="303"/>
      <c r="I621" s="303"/>
      <c r="J621" s="303"/>
      <c r="K621" s="303"/>
      <c r="L621" s="303"/>
      <c r="M621" s="303"/>
      <c r="N621" s="303"/>
      <c r="O621" s="303"/>
      <c r="P621" s="347">
        <f t="shared" si="20"/>
        <v>0</v>
      </c>
      <c r="Q621" s="303"/>
      <c r="R621" s="165">
        <f t="shared" si="21"/>
        <v>0</v>
      </c>
      <c r="S621" s="303"/>
      <c r="T621" s="348"/>
    </row>
    <row r="622" spans="1:20">
      <c r="A622" s="303"/>
      <c r="B622" s="303"/>
      <c r="C622" s="303"/>
      <c r="D622" s="303"/>
      <c r="E622" s="303"/>
      <c r="F622" s="303"/>
      <c r="G622" s="303"/>
      <c r="H622" s="303"/>
      <c r="I622" s="303"/>
      <c r="J622" s="303"/>
      <c r="K622" s="303"/>
      <c r="L622" s="303"/>
      <c r="M622" s="303"/>
      <c r="N622" s="303"/>
      <c r="O622" s="303"/>
      <c r="P622" s="347">
        <f t="shared" si="20"/>
        <v>0</v>
      </c>
      <c r="Q622" s="303"/>
      <c r="R622" s="165">
        <f t="shared" si="21"/>
        <v>0</v>
      </c>
      <c r="S622" s="303"/>
      <c r="T622" s="348"/>
    </row>
    <row r="623" spans="1:20">
      <c r="A623" s="303"/>
      <c r="B623" s="303"/>
      <c r="C623" s="303"/>
      <c r="D623" s="303"/>
      <c r="E623" s="303"/>
      <c r="F623" s="303"/>
      <c r="G623" s="303"/>
      <c r="H623" s="303"/>
      <c r="I623" s="303"/>
      <c r="J623" s="303"/>
      <c r="K623" s="303"/>
      <c r="L623" s="303"/>
      <c r="M623" s="303"/>
      <c r="N623" s="303"/>
      <c r="O623" s="303"/>
      <c r="P623" s="347">
        <f t="shared" si="20"/>
        <v>0</v>
      </c>
      <c r="Q623" s="303"/>
      <c r="R623" s="165">
        <f t="shared" si="21"/>
        <v>0</v>
      </c>
      <c r="S623" s="303"/>
      <c r="T623" s="348"/>
    </row>
    <row r="624" spans="1:20">
      <c r="A624" s="303"/>
      <c r="B624" s="303"/>
      <c r="C624" s="303"/>
      <c r="D624" s="303"/>
      <c r="E624" s="303"/>
      <c r="F624" s="303"/>
      <c r="G624" s="303"/>
      <c r="H624" s="303"/>
      <c r="I624" s="303"/>
      <c r="J624" s="303"/>
      <c r="K624" s="303"/>
      <c r="L624" s="303"/>
      <c r="M624" s="303"/>
      <c r="N624" s="303"/>
      <c r="O624" s="303"/>
      <c r="P624" s="347">
        <f t="shared" si="20"/>
        <v>0</v>
      </c>
      <c r="Q624" s="303"/>
      <c r="R624" s="165">
        <f t="shared" si="21"/>
        <v>0</v>
      </c>
      <c r="S624" s="303"/>
      <c r="T624" s="348"/>
    </row>
    <row r="625" spans="1:20">
      <c r="A625" s="303"/>
      <c r="B625" s="303"/>
      <c r="C625" s="303"/>
      <c r="D625" s="303"/>
      <c r="E625" s="303"/>
      <c r="F625" s="303"/>
      <c r="G625" s="303"/>
      <c r="H625" s="303"/>
      <c r="I625" s="303"/>
      <c r="J625" s="303"/>
      <c r="K625" s="303"/>
      <c r="L625" s="303"/>
      <c r="M625" s="303"/>
      <c r="N625" s="303"/>
      <c r="O625" s="303"/>
      <c r="P625" s="347">
        <f t="shared" si="20"/>
        <v>0</v>
      </c>
      <c r="Q625" s="303"/>
      <c r="R625" s="165">
        <f t="shared" si="21"/>
        <v>0</v>
      </c>
      <c r="S625" s="303"/>
      <c r="T625" s="348"/>
    </row>
    <row r="626" spans="1:20">
      <c r="A626" s="303"/>
      <c r="B626" s="303"/>
      <c r="C626" s="303"/>
      <c r="D626" s="303"/>
      <c r="E626" s="303"/>
      <c r="F626" s="303"/>
      <c r="G626" s="303"/>
      <c r="H626" s="303"/>
      <c r="I626" s="303"/>
      <c r="J626" s="303"/>
      <c r="K626" s="303"/>
      <c r="L626" s="303"/>
      <c r="M626" s="303"/>
      <c r="N626" s="303"/>
      <c r="O626" s="303"/>
      <c r="P626" s="347">
        <f t="shared" si="20"/>
        <v>0</v>
      </c>
      <c r="Q626" s="303"/>
      <c r="R626" s="165">
        <f t="shared" si="21"/>
        <v>0</v>
      </c>
      <c r="S626" s="303"/>
      <c r="T626" s="348"/>
    </row>
    <row r="627" spans="1:20">
      <c r="A627" s="303"/>
      <c r="B627" s="303"/>
      <c r="C627" s="303"/>
      <c r="D627" s="303"/>
      <c r="E627" s="303"/>
      <c r="F627" s="303"/>
      <c r="G627" s="303"/>
      <c r="H627" s="303"/>
      <c r="I627" s="303"/>
      <c r="J627" s="303"/>
      <c r="K627" s="303"/>
      <c r="L627" s="303"/>
      <c r="M627" s="303"/>
      <c r="N627" s="303"/>
      <c r="O627" s="303"/>
      <c r="P627" s="347">
        <f t="shared" si="20"/>
        <v>0</v>
      </c>
      <c r="Q627" s="303"/>
      <c r="R627" s="165">
        <f t="shared" si="21"/>
        <v>0</v>
      </c>
      <c r="S627" s="303"/>
      <c r="T627" s="348"/>
    </row>
    <row r="628" spans="1:20">
      <c r="A628" s="303"/>
      <c r="B628" s="303"/>
      <c r="C628" s="303"/>
      <c r="D628" s="303"/>
      <c r="E628" s="303"/>
      <c r="F628" s="303"/>
      <c r="G628" s="303"/>
      <c r="H628" s="303"/>
      <c r="I628" s="303"/>
      <c r="J628" s="303"/>
      <c r="K628" s="303"/>
      <c r="L628" s="303"/>
      <c r="M628" s="303"/>
      <c r="N628" s="303"/>
      <c r="O628" s="303"/>
      <c r="P628" s="347">
        <f t="shared" ref="P628:P691" si="22">SUM(I628:O628)</f>
        <v>0</v>
      </c>
      <c r="Q628" s="303"/>
      <c r="R628" s="165">
        <f t="shared" si="21"/>
        <v>0</v>
      </c>
      <c r="S628" s="303"/>
      <c r="T628" s="348"/>
    </row>
    <row r="629" spans="1:20">
      <c r="A629" s="303"/>
      <c r="B629" s="303"/>
      <c r="C629" s="303"/>
      <c r="D629" s="303"/>
      <c r="E629" s="303"/>
      <c r="F629" s="303"/>
      <c r="G629" s="303"/>
      <c r="H629" s="303"/>
      <c r="I629" s="303"/>
      <c r="J629" s="303"/>
      <c r="K629" s="303"/>
      <c r="L629" s="303"/>
      <c r="M629" s="303"/>
      <c r="N629" s="303"/>
      <c r="O629" s="303"/>
      <c r="P629" s="347">
        <f t="shared" si="22"/>
        <v>0</v>
      </c>
      <c r="Q629" s="303"/>
      <c r="R629" s="165">
        <f t="shared" si="21"/>
        <v>0</v>
      </c>
      <c r="S629" s="303"/>
      <c r="T629" s="348"/>
    </row>
    <row r="630" spans="1:20">
      <c r="A630" s="303"/>
      <c r="B630" s="303"/>
      <c r="C630" s="303"/>
      <c r="D630" s="303"/>
      <c r="E630" s="303"/>
      <c r="F630" s="303"/>
      <c r="G630" s="303"/>
      <c r="H630" s="303"/>
      <c r="I630" s="303"/>
      <c r="J630" s="303"/>
      <c r="K630" s="303"/>
      <c r="L630" s="303"/>
      <c r="M630" s="303"/>
      <c r="N630" s="303"/>
      <c r="O630" s="303"/>
      <c r="P630" s="347">
        <f t="shared" si="22"/>
        <v>0</v>
      </c>
      <c r="Q630" s="303"/>
      <c r="R630" s="165">
        <f t="shared" si="21"/>
        <v>0</v>
      </c>
      <c r="S630" s="303"/>
      <c r="T630" s="348"/>
    </row>
    <row r="631" spans="1:20">
      <c r="A631" s="303"/>
      <c r="B631" s="303"/>
      <c r="C631" s="303"/>
      <c r="D631" s="303"/>
      <c r="E631" s="303"/>
      <c r="F631" s="303"/>
      <c r="G631" s="303"/>
      <c r="H631" s="303"/>
      <c r="I631" s="303"/>
      <c r="J631" s="303"/>
      <c r="K631" s="303"/>
      <c r="L631" s="303"/>
      <c r="M631" s="303"/>
      <c r="N631" s="303"/>
      <c r="O631" s="303"/>
      <c r="P631" s="347">
        <f t="shared" si="22"/>
        <v>0</v>
      </c>
      <c r="Q631" s="303"/>
      <c r="R631" s="165">
        <f t="shared" si="21"/>
        <v>0</v>
      </c>
      <c r="S631" s="303"/>
      <c r="T631" s="348"/>
    </row>
    <row r="632" spans="1:20">
      <c r="A632" s="303"/>
      <c r="B632" s="303"/>
      <c r="C632" s="303"/>
      <c r="D632" s="303"/>
      <c r="E632" s="303"/>
      <c r="F632" s="303"/>
      <c r="G632" s="303"/>
      <c r="H632" s="303"/>
      <c r="I632" s="303"/>
      <c r="J632" s="303"/>
      <c r="K632" s="303"/>
      <c r="L632" s="303"/>
      <c r="M632" s="303"/>
      <c r="N632" s="303"/>
      <c r="O632" s="303"/>
      <c r="P632" s="347">
        <f t="shared" si="22"/>
        <v>0</v>
      </c>
      <c r="Q632" s="303"/>
      <c r="R632" s="165">
        <f t="shared" si="21"/>
        <v>0</v>
      </c>
      <c r="S632" s="303"/>
      <c r="T632" s="348"/>
    </row>
    <row r="633" spans="1:20">
      <c r="A633" s="303"/>
      <c r="B633" s="303"/>
      <c r="C633" s="303"/>
      <c r="D633" s="303"/>
      <c r="E633" s="303"/>
      <c r="F633" s="303"/>
      <c r="G633" s="303"/>
      <c r="H633" s="303"/>
      <c r="I633" s="303"/>
      <c r="J633" s="303"/>
      <c r="K633" s="303"/>
      <c r="L633" s="303"/>
      <c r="M633" s="303"/>
      <c r="N633" s="303"/>
      <c r="O633" s="303"/>
      <c r="P633" s="347">
        <f t="shared" si="22"/>
        <v>0</v>
      </c>
      <c r="Q633" s="303"/>
      <c r="R633" s="165">
        <f t="shared" si="21"/>
        <v>0</v>
      </c>
      <c r="S633" s="303"/>
      <c r="T633" s="348"/>
    </row>
    <row r="634" spans="1:20">
      <c r="A634" s="303"/>
      <c r="B634" s="303"/>
      <c r="C634" s="303"/>
      <c r="D634" s="303"/>
      <c r="E634" s="303"/>
      <c r="F634" s="303"/>
      <c r="G634" s="303"/>
      <c r="H634" s="303"/>
      <c r="I634" s="303"/>
      <c r="J634" s="303"/>
      <c r="K634" s="303"/>
      <c r="L634" s="303"/>
      <c r="M634" s="303"/>
      <c r="N634" s="303"/>
      <c r="O634" s="303"/>
      <c r="P634" s="347">
        <f t="shared" si="22"/>
        <v>0</v>
      </c>
      <c r="Q634" s="303"/>
      <c r="R634" s="165">
        <f t="shared" si="21"/>
        <v>0</v>
      </c>
      <c r="S634" s="303"/>
      <c r="T634" s="348"/>
    </row>
    <row r="635" spans="1:20">
      <c r="A635" s="303"/>
      <c r="B635" s="303"/>
      <c r="C635" s="303"/>
      <c r="D635" s="303"/>
      <c r="E635" s="303"/>
      <c r="F635" s="303"/>
      <c r="G635" s="303"/>
      <c r="H635" s="303"/>
      <c r="I635" s="303"/>
      <c r="J635" s="303"/>
      <c r="K635" s="303"/>
      <c r="L635" s="303"/>
      <c r="M635" s="303"/>
      <c r="N635" s="303"/>
      <c r="O635" s="303"/>
      <c r="P635" s="347">
        <f t="shared" si="22"/>
        <v>0</v>
      </c>
      <c r="Q635" s="303"/>
      <c r="R635" s="165">
        <f t="shared" si="21"/>
        <v>0</v>
      </c>
      <c r="S635" s="303"/>
      <c r="T635" s="348"/>
    </row>
    <row r="636" spans="1:20">
      <c r="A636" s="303"/>
      <c r="B636" s="303"/>
      <c r="C636" s="303"/>
      <c r="D636" s="303"/>
      <c r="E636" s="303"/>
      <c r="F636" s="303"/>
      <c r="G636" s="303"/>
      <c r="H636" s="303"/>
      <c r="I636" s="303"/>
      <c r="J636" s="303"/>
      <c r="K636" s="303"/>
      <c r="L636" s="303"/>
      <c r="M636" s="303"/>
      <c r="N636" s="303"/>
      <c r="O636" s="303"/>
      <c r="P636" s="347">
        <f t="shared" si="22"/>
        <v>0</v>
      </c>
      <c r="Q636" s="303"/>
      <c r="R636" s="165">
        <f t="shared" si="21"/>
        <v>0</v>
      </c>
      <c r="S636" s="303"/>
      <c r="T636" s="348"/>
    </row>
    <row r="637" spans="1:20">
      <c r="A637" s="303"/>
      <c r="B637" s="303"/>
      <c r="C637" s="303"/>
      <c r="D637" s="303"/>
      <c r="E637" s="303"/>
      <c r="F637" s="303"/>
      <c r="G637" s="303"/>
      <c r="H637" s="303"/>
      <c r="I637" s="303"/>
      <c r="J637" s="303"/>
      <c r="K637" s="303"/>
      <c r="L637" s="303"/>
      <c r="M637" s="303"/>
      <c r="N637" s="303"/>
      <c r="O637" s="303"/>
      <c r="P637" s="347">
        <f t="shared" si="22"/>
        <v>0</v>
      </c>
      <c r="Q637" s="303"/>
      <c r="R637" s="165">
        <f t="shared" si="21"/>
        <v>0</v>
      </c>
      <c r="S637" s="303"/>
      <c r="T637" s="348"/>
    </row>
    <row r="638" spans="1:20">
      <c r="A638" s="303"/>
      <c r="B638" s="303"/>
      <c r="C638" s="303"/>
      <c r="D638" s="303"/>
      <c r="E638" s="303"/>
      <c r="F638" s="303"/>
      <c r="G638" s="303"/>
      <c r="H638" s="303"/>
      <c r="I638" s="303"/>
      <c r="J638" s="303"/>
      <c r="K638" s="303"/>
      <c r="L638" s="303"/>
      <c r="M638" s="303"/>
      <c r="N638" s="303"/>
      <c r="O638" s="303"/>
      <c r="P638" s="347">
        <f t="shared" si="22"/>
        <v>0</v>
      </c>
      <c r="Q638" s="303"/>
      <c r="R638" s="165">
        <f t="shared" si="21"/>
        <v>0</v>
      </c>
      <c r="S638" s="303"/>
      <c r="T638" s="348"/>
    </row>
    <row r="639" spans="1:20">
      <c r="A639" s="303"/>
      <c r="B639" s="303"/>
      <c r="C639" s="303"/>
      <c r="D639" s="303"/>
      <c r="E639" s="303"/>
      <c r="F639" s="303"/>
      <c r="G639" s="303"/>
      <c r="H639" s="303"/>
      <c r="I639" s="303"/>
      <c r="J639" s="303"/>
      <c r="K639" s="303"/>
      <c r="L639" s="303"/>
      <c r="M639" s="303"/>
      <c r="N639" s="303"/>
      <c r="O639" s="303"/>
      <c r="P639" s="347">
        <f t="shared" si="22"/>
        <v>0</v>
      </c>
      <c r="Q639" s="303"/>
      <c r="R639" s="165">
        <f t="shared" si="21"/>
        <v>0</v>
      </c>
      <c r="S639" s="303"/>
      <c r="T639" s="348"/>
    </row>
    <row r="640" spans="1:20">
      <c r="A640" s="303"/>
      <c r="B640" s="303"/>
      <c r="C640" s="303"/>
      <c r="D640" s="303"/>
      <c r="E640" s="303"/>
      <c r="F640" s="303"/>
      <c r="G640" s="303"/>
      <c r="H640" s="303"/>
      <c r="I640" s="303"/>
      <c r="J640" s="303"/>
      <c r="K640" s="303"/>
      <c r="L640" s="303"/>
      <c r="M640" s="303"/>
      <c r="N640" s="303"/>
      <c r="O640" s="303"/>
      <c r="P640" s="347">
        <f t="shared" si="22"/>
        <v>0</v>
      </c>
      <c r="Q640" s="303"/>
      <c r="R640" s="165">
        <f t="shared" si="21"/>
        <v>0</v>
      </c>
      <c r="S640" s="303"/>
      <c r="T640" s="348"/>
    </row>
    <row r="641" spans="1:20">
      <c r="A641" s="303"/>
      <c r="B641" s="303"/>
      <c r="C641" s="303"/>
      <c r="D641" s="303"/>
      <c r="E641" s="303"/>
      <c r="F641" s="303"/>
      <c r="G641" s="303"/>
      <c r="H641" s="303"/>
      <c r="I641" s="303"/>
      <c r="J641" s="303"/>
      <c r="K641" s="303"/>
      <c r="L641" s="303"/>
      <c r="M641" s="303"/>
      <c r="N641" s="303"/>
      <c r="O641" s="303"/>
      <c r="P641" s="347">
        <f t="shared" si="22"/>
        <v>0</v>
      </c>
      <c r="Q641" s="303"/>
      <c r="R641" s="165">
        <f t="shared" si="21"/>
        <v>0</v>
      </c>
      <c r="S641" s="303"/>
      <c r="T641" s="348"/>
    </row>
    <row r="642" spans="1:20">
      <c r="A642" s="303"/>
      <c r="B642" s="303"/>
      <c r="C642" s="303"/>
      <c r="D642" s="303"/>
      <c r="E642" s="303"/>
      <c r="F642" s="303"/>
      <c r="G642" s="303"/>
      <c r="H642" s="303"/>
      <c r="I642" s="303"/>
      <c r="J642" s="303"/>
      <c r="K642" s="303"/>
      <c r="L642" s="303"/>
      <c r="M642" s="303"/>
      <c r="N642" s="303"/>
      <c r="O642" s="303"/>
      <c r="P642" s="347">
        <f t="shared" si="22"/>
        <v>0</v>
      </c>
      <c r="Q642" s="303"/>
      <c r="R642" s="165">
        <f t="shared" si="21"/>
        <v>0</v>
      </c>
      <c r="S642" s="303"/>
      <c r="T642" s="348"/>
    </row>
    <row r="643" spans="1:20">
      <c r="A643" s="303"/>
      <c r="B643" s="303"/>
      <c r="C643" s="303"/>
      <c r="D643" s="303"/>
      <c r="E643" s="303"/>
      <c r="F643" s="303"/>
      <c r="G643" s="303"/>
      <c r="H643" s="303"/>
      <c r="I643" s="303"/>
      <c r="J643" s="303"/>
      <c r="K643" s="303"/>
      <c r="L643" s="303"/>
      <c r="M643" s="303"/>
      <c r="N643" s="303"/>
      <c r="O643" s="303"/>
      <c r="P643" s="347">
        <f t="shared" si="22"/>
        <v>0</v>
      </c>
      <c r="Q643" s="303"/>
      <c r="R643" s="165">
        <f t="shared" si="21"/>
        <v>0</v>
      </c>
      <c r="S643" s="303"/>
      <c r="T643" s="348"/>
    </row>
    <row r="644" spans="1:20">
      <c r="A644" s="303"/>
      <c r="B644" s="303"/>
      <c r="C644" s="303"/>
      <c r="D644" s="303"/>
      <c r="E644" s="303"/>
      <c r="F644" s="303"/>
      <c r="G644" s="303"/>
      <c r="H644" s="303"/>
      <c r="I644" s="303"/>
      <c r="J644" s="303"/>
      <c r="K644" s="303"/>
      <c r="L644" s="303"/>
      <c r="M644" s="303"/>
      <c r="N644" s="303"/>
      <c r="O644" s="303"/>
      <c r="P644" s="347">
        <f t="shared" si="22"/>
        <v>0</v>
      </c>
      <c r="Q644" s="303"/>
      <c r="R644" s="165">
        <f t="shared" si="21"/>
        <v>0</v>
      </c>
      <c r="S644" s="303"/>
      <c r="T644" s="348"/>
    </row>
    <row r="645" spans="1:20">
      <c r="A645" s="303"/>
      <c r="B645" s="303"/>
      <c r="C645" s="303"/>
      <c r="D645" s="303"/>
      <c r="E645" s="303"/>
      <c r="F645" s="303"/>
      <c r="G645" s="303"/>
      <c r="H645" s="303"/>
      <c r="I645" s="303"/>
      <c r="J645" s="303"/>
      <c r="K645" s="303"/>
      <c r="L645" s="303"/>
      <c r="M645" s="303"/>
      <c r="N645" s="303"/>
      <c r="O645" s="303"/>
      <c r="P645" s="347">
        <f t="shared" si="22"/>
        <v>0</v>
      </c>
      <c r="Q645" s="303"/>
      <c r="R645" s="165">
        <f t="shared" si="21"/>
        <v>0</v>
      </c>
      <c r="S645" s="303"/>
      <c r="T645" s="348"/>
    </row>
    <row r="646" spans="1:20">
      <c r="A646" s="303"/>
      <c r="B646" s="303"/>
      <c r="C646" s="303"/>
      <c r="D646" s="303"/>
      <c r="E646" s="303"/>
      <c r="F646" s="303"/>
      <c r="G646" s="303"/>
      <c r="H646" s="303"/>
      <c r="I646" s="303"/>
      <c r="J646" s="303"/>
      <c r="K646" s="303"/>
      <c r="L646" s="303"/>
      <c r="M646" s="303"/>
      <c r="N646" s="303"/>
      <c r="O646" s="303"/>
      <c r="P646" s="347">
        <f t="shared" si="22"/>
        <v>0</v>
      </c>
      <c r="Q646" s="303"/>
      <c r="R646" s="165">
        <f t="shared" si="21"/>
        <v>0</v>
      </c>
      <c r="S646" s="303"/>
      <c r="T646" s="348"/>
    </row>
    <row r="647" spans="1:20">
      <c r="A647" s="303"/>
      <c r="B647" s="303"/>
      <c r="C647" s="303"/>
      <c r="D647" s="303"/>
      <c r="E647" s="303"/>
      <c r="F647" s="303"/>
      <c r="G647" s="303"/>
      <c r="H647" s="303"/>
      <c r="I647" s="303"/>
      <c r="J647" s="303"/>
      <c r="K647" s="303"/>
      <c r="L647" s="303"/>
      <c r="M647" s="303"/>
      <c r="N647" s="303"/>
      <c r="O647" s="303"/>
      <c r="P647" s="347">
        <f t="shared" si="22"/>
        <v>0</v>
      </c>
      <c r="Q647" s="303"/>
      <c r="R647" s="165">
        <f t="shared" si="21"/>
        <v>0</v>
      </c>
      <c r="S647" s="303"/>
      <c r="T647" s="348"/>
    </row>
    <row r="648" spans="1:20">
      <c r="A648" s="303"/>
      <c r="B648" s="303"/>
      <c r="C648" s="303"/>
      <c r="D648" s="303"/>
      <c r="E648" s="303"/>
      <c r="F648" s="303"/>
      <c r="G648" s="303"/>
      <c r="H648" s="303"/>
      <c r="I648" s="303"/>
      <c r="J648" s="303"/>
      <c r="K648" s="303"/>
      <c r="L648" s="303"/>
      <c r="M648" s="303"/>
      <c r="N648" s="303"/>
      <c r="O648" s="303"/>
      <c r="P648" s="347">
        <f t="shared" si="22"/>
        <v>0</v>
      </c>
      <c r="Q648" s="303"/>
      <c r="R648" s="165">
        <f t="shared" si="21"/>
        <v>0</v>
      </c>
      <c r="S648" s="303"/>
      <c r="T648" s="348"/>
    </row>
    <row r="649" spans="1:20">
      <c r="A649" s="303"/>
      <c r="B649" s="303"/>
      <c r="C649" s="303"/>
      <c r="D649" s="303"/>
      <c r="E649" s="303"/>
      <c r="F649" s="303"/>
      <c r="G649" s="303"/>
      <c r="H649" s="303"/>
      <c r="I649" s="303"/>
      <c r="J649" s="303"/>
      <c r="K649" s="303"/>
      <c r="L649" s="303"/>
      <c r="M649" s="303"/>
      <c r="N649" s="303"/>
      <c r="O649" s="303"/>
      <c r="P649" s="347">
        <f t="shared" si="22"/>
        <v>0</v>
      </c>
      <c r="Q649" s="303"/>
      <c r="R649" s="165">
        <f t="shared" si="21"/>
        <v>0</v>
      </c>
      <c r="S649" s="303"/>
      <c r="T649" s="348"/>
    </row>
    <row r="650" spans="1:20">
      <c r="A650" s="303"/>
      <c r="B650" s="303"/>
      <c r="C650" s="303"/>
      <c r="D650" s="303"/>
      <c r="E650" s="303"/>
      <c r="F650" s="303"/>
      <c r="G650" s="303"/>
      <c r="H650" s="303"/>
      <c r="I650" s="303"/>
      <c r="J650" s="303"/>
      <c r="K650" s="303"/>
      <c r="L650" s="303"/>
      <c r="M650" s="303"/>
      <c r="N650" s="303"/>
      <c r="O650" s="303"/>
      <c r="P650" s="347">
        <f t="shared" si="22"/>
        <v>0</v>
      </c>
      <c r="Q650" s="303"/>
      <c r="R650" s="165">
        <f t="shared" si="21"/>
        <v>0</v>
      </c>
      <c r="S650" s="303"/>
      <c r="T650" s="348"/>
    </row>
    <row r="651" spans="1:20">
      <c r="A651" s="303"/>
      <c r="B651" s="303"/>
      <c r="C651" s="303"/>
      <c r="D651" s="303"/>
      <c r="E651" s="303"/>
      <c r="F651" s="303"/>
      <c r="G651" s="303"/>
      <c r="H651" s="303"/>
      <c r="I651" s="303"/>
      <c r="J651" s="303"/>
      <c r="K651" s="303"/>
      <c r="L651" s="303"/>
      <c r="M651" s="303"/>
      <c r="N651" s="303"/>
      <c r="O651" s="303"/>
      <c r="P651" s="347">
        <f t="shared" si="22"/>
        <v>0</v>
      </c>
      <c r="Q651" s="303"/>
      <c r="R651" s="165">
        <f t="shared" si="21"/>
        <v>0</v>
      </c>
      <c r="S651" s="303"/>
      <c r="T651" s="348"/>
    </row>
    <row r="652" spans="1:20">
      <c r="A652" s="303"/>
      <c r="B652" s="303"/>
      <c r="C652" s="303"/>
      <c r="D652" s="303"/>
      <c r="E652" s="303"/>
      <c r="F652" s="303"/>
      <c r="G652" s="303"/>
      <c r="H652" s="303"/>
      <c r="I652" s="303"/>
      <c r="J652" s="303"/>
      <c r="K652" s="303"/>
      <c r="L652" s="303"/>
      <c r="M652" s="303"/>
      <c r="N652" s="303"/>
      <c r="O652" s="303"/>
      <c r="P652" s="347">
        <f t="shared" si="22"/>
        <v>0</v>
      </c>
      <c r="Q652" s="303"/>
      <c r="R652" s="165">
        <f t="shared" si="21"/>
        <v>0</v>
      </c>
      <c r="S652" s="303"/>
      <c r="T652" s="348"/>
    </row>
    <row r="653" spans="1:20">
      <c r="A653" s="303"/>
      <c r="B653" s="303"/>
      <c r="C653" s="303"/>
      <c r="D653" s="303"/>
      <c r="E653" s="303"/>
      <c r="F653" s="303"/>
      <c r="G653" s="303"/>
      <c r="H653" s="303"/>
      <c r="I653" s="303"/>
      <c r="J653" s="303"/>
      <c r="K653" s="303"/>
      <c r="L653" s="303"/>
      <c r="M653" s="303"/>
      <c r="N653" s="303"/>
      <c r="O653" s="303"/>
      <c r="P653" s="347">
        <f t="shared" si="22"/>
        <v>0</v>
      </c>
      <c r="Q653" s="303"/>
      <c r="R653" s="165">
        <f t="shared" si="21"/>
        <v>0</v>
      </c>
      <c r="S653" s="303"/>
      <c r="T653" s="348"/>
    </row>
    <row r="654" spans="1:20">
      <c r="A654" s="303"/>
      <c r="B654" s="303"/>
      <c r="C654" s="303"/>
      <c r="D654" s="303"/>
      <c r="E654" s="303"/>
      <c r="F654" s="303"/>
      <c r="G654" s="303"/>
      <c r="H654" s="303"/>
      <c r="I654" s="303"/>
      <c r="J654" s="303"/>
      <c r="K654" s="303"/>
      <c r="L654" s="303"/>
      <c r="M654" s="303"/>
      <c r="N654" s="303"/>
      <c r="O654" s="303"/>
      <c r="P654" s="347">
        <f t="shared" si="22"/>
        <v>0</v>
      </c>
      <c r="Q654" s="303"/>
      <c r="R654" s="165">
        <f t="shared" si="21"/>
        <v>0</v>
      </c>
      <c r="S654" s="303"/>
      <c r="T654" s="348"/>
    </row>
    <row r="655" spans="1:20">
      <c r="A655" s="303"/>
      <c r="B655" s="303"/>
      <c r="C655" s="303"/>
      <c r="D655" s="303"/>
      <c r="E655" s="303"/>
      <c r="F655" s="303"/>
      <c r="G655" s="303"/>
      <c r="H655" s="303"/>
      <c r="I655" s="303"/>
      <c r="J655" s="303"/>
      <c r="K655" s="303"/>
      <c r="L655" s="303"/>
      <c r="M655" s="303"/>
      <c r="N655" s="303"/>
      <c r="O655" s="303"/>
      <c r="P655" s="347">
        <f t="shared" si="22"/>
        <v>0</v>
      </c>
      <c r="Q655" s="303"/>
      <c r="R655" s="165">
        <f t="shared" si="21"/>
        <v>0</v>
      </c>
      <c r="S655" s="303"/>
      <c r="T655" s="348"/>
    </row>
    <row r="656" spans="1:20">
      <c r="A656" s="303"/>
      <c r="B656" s="303"/>
      <c r="C656" s="303"/>
      <c r="D656" s="303"/>
      <c r="E656" s="303"/>
      <c r="F656" s="303"/>
      <c r="G656" s="303"/>
      <c r="H656" s="303"/>
      <c r="I656" s="303"/>
      <c r="J656" s="303"/>
      <c r="K656" s="303"/>
      <c r="L656" s="303"/>
      <c r="M656" s="303"/>
      <c r="N656" s="303"/>
      <c r="O656" s="303"/>
      <c r="P656" s="347">
        <f t="shared" si="22"/>
        <v>0</v>
      </c>
      <c r="Q656" s="303"/>
      <c r="R656" s="165">
        <f t="shared" si="21"/>
        <v>0</v>
      </c>
      <c r="S656" s="303"/>
      <c r="T656" s="348"/>
    </row>
    <row r="657" spans="1:20">
      <c r="A657" s="303"/>
      <c r="B657" s="303"/>
      <c r="C657" s="303"/>
      <c r="D657" s="303"/>
      <c r="E657" s="303"/>
      <c r="F657" s="303"/>
      <c r="G657" s="303"/>
      <c r="H657" s="303"/>
      <c r="I657" s="303"/>
      <c r="J657" s="303"/>
      <c r="K657" s="303"/>
      <c r="L657" s="303"/>
      <c r="M657" s="303"/>
      <c r="N657" s="303"/>
      <c r="O657" s="303"/>
      <c r="P657" s="347">
        <f t="shared" si="22"/>
        <v>0</v>
      </c>
      <c r="Q657" s="303"/>
      <c r="R657" s="165">
        <f t="shared" si="21"/>
        <v>0</v>
      </c>
      <c r="S657" s="303"/>
      <c r="T657" s="348"/>
    </row>
    <row r="658" spans="1:20">
      <c r="A658" s="303"/>
      <c r="B658" s="303"/>
      <c r="C658" s="303"/>
      <c r="D658" s="303"/>
      <c r="E658" s="303"/>
      <c r="F658" s="303"/>
      <c r="G658" s="303"/>
      <c r="H658" s="303"/>
      <c r="I658" s="303"/>
      <c r="J658" s="303"/>
      <c r="K658" s="303"/>
      <c r="L658" s="303"/>
      <c r="M658" s="303"/>
      <c r="N658" s="303"/>
      <c r="O658" s="303"/>
      <c r="P658" s="347">
        <f t="shared" si="22"/>
        <v>0</v>
      </c>
      <c r="Q658" s="303"/>
      <c r="R658" s="165">
        <f t="shared" si="21"/>
        <v>0</v>
      </c>
      <c r="S658" s="303"/>
      <c r="T658" s="348"/>
    </row>
    <row r="659" spans="1:20">
      <c r="A659" s="303"/>
      <c r="B659" s="303"/>
      <c r="C659" s="303"/>
      <c r="D659" s="303"/>
      <c r="E659" s="303"/>
      <c r="F659" s="303"/>
      <c r="G659" s="303"/>
      <c r="H659" s="303"/>
      <c r="I659" s="303"/>
      <c r="J659" s="303"/>
      <c r="K659" s="303"/>
      <c r="L659" s="303"/>
      <c r="M659" s="303"/>
      <c r="N659" s="303"/>
      <c r="O659" s="303"/>
      <c r="P659" s="347">
        <f t="shared" si="22"/>
        <v>0</v>
      </c>
      <c r="Q659" s="303"/>
      <c r="R659" s="165">
        <f t="shared" si="21"/>
        <v>0</v>
      </c>
      <c r="S659" s="303"/>
      <c r="T659" s="348"/>
    </row>
    <row r="660" spans="1:20">
      <c r="A660" s="303"/>
      <c r="B660" s="303"/>
      <c r="C660" s="303"/>
      <c r="D660" s="303"/>
      <c r="E660" s="303"/>
      <c r="F660" s="303"/>
      <c r="G660" s="303"/>
      <c r="H660" s="303"/>
      <c r="I660" s="303"/>
      <c r="J660" s="303"/>
      <c r="K660" s="303"/>
      <c r="L660" s="303"/>
      <c r="M660" s="303"/>
      <c r="N660" s="303"/>
      <c r="O660" s="303"/>
      <c r="P660" s="347">
        <f t="shared" si="22"/>
        <v>0</v>
      </c>
      <c r="Q660" s="303"/>
      <c r="R660" s="165">
        <f t="shared" si="21"/>
        <v>0</v>
      </c>
      <c r="S660" s="303"/>
      <c r="T660" s="348"/>
    </row>
    <row r="661" spans="1:20">
      <c r="A661" s="303"/>
      <c r="B661" s="303"/>
      <c r="C661" s="303"/>
      <c r="D661" s="303"/>
      <c r="E661" s="303"/>
      <c r="F661" s="303"/>
      <c r="G661" s="303"/>
      <c r="H661" s="303"/>
      <c r="I661" s="303"/>
      <c r="J661" s="303"/>
      <c r="K661" s="303"/>
      <c r="L661" s="303"/>
      <c r="M661" s="303"/>
      <c r="N661" s="303"/>
      <c r="O661" s="303"/>
      <c r="P661" s="347">
        <f t="shared" si="22"/>
        <v>0</v>
      </c>
      <c r="Q661" s="303"/>
      <c r="R661" s="165">
        <f t="shared" si="21"/>
        <v>0</v>
      </c>
      <c r="S661" s="303"/>
      <c r="T661" s="348"/>
    </row>
    <row r="662" spans="1:20">
      <c r="A662" s="303"/>
      <c r="B662" s="303"/>
      <c r="C662" s="303"/>
      <c r="D662" s="303"/>
      <c r="E662" s="303"/>
      <c r="F662" s="303"/>
      <c r="G662" s="303"/>
      <c r="H662" s="303"/>
      <c r="I662" s="303"/>
      <c r="J662" s="303"/>
      <c r="K662" s="303"/>
      <c r="L662" s="303"/>
      <c r="M662" s="303"/>
      <c r="N662" s="303"/>
      <c r="O662" s="303"/>
      <c r="P662" s="347">
        <f t="shared" si="22"/>
        <v>0</v>
      </c>
      <c r="Q662" s="303"/>
      <c r="R662" s="165">
        <f t="shared" si="21"/>
        <v>0</v>
      </c>
      <c r="S662" s="303"/>
      <c r="T662" s="348"/>
    </row>
    <row r="663" spans="1:20">
      <c r="A663" s="303"/>
      <c r="B663" s="303"/>
      <c r="C663" s="303"/>
      <c r="D663" s="303"/>
      <c r="E663" s="303"/>
      <c r="F663" s="303"/>
      <c r="G663" s="303"/>
      <c r="H663" s="303"/>
      <c r="I663" s="303"/>
      <c r="J663" s="303"/>
      <c r="K663" s="303"/>
      <c r="L663" s="303"/>
      <c r="M663" s="303"/>
      <c r="N663" s="303"/>
      <c r="O663" s="303"/>
      <c r="P663" s="347">
        <f t="shared" si="22"/>
        <v>0</v>
      </c>
      <c r="Q663" s="303"/>
      <c r="R663" s="165">
        <f t="shared" si="21"/>
        <v>0</v>
      </c>
      <c r="S663" s="303"/>
      <c r="T663" s="348"/>
    </row>
    <row r="664" spans="1:20">
      <c r="A664" s="303"/>
      <c r="B664" s="303"/>
      <c r="C664" s="303"/>
      <c r="D664" s="303"/>
      <c r="E664" s="303"/>
      <c r="F664" s="303"/>
      <c r="G664" s="303"/>
      <c r="H664" s="303"/>
      <c r="I664" s="303"/>
      <c r="J664" s="303"/>
      <c r="K664" s="303"/>
      <c r="L664" s="303"/>
      <c r="M664" s="303"/>
      <c r="N664" s="303"/>
      <c r="O664" s="303"/>
      <c r="P664" s="347">
        <f t="shared" si="22"/>
        <v>0</v>
      </c>
      <c r="Q664" s="303"/>
      <c r="R664" s="165">
        <f t="shared" si="21"/>
        <v>0</v>
      </c>
      <c r="S664" s="303"/>
      <c r="T664" s="348"/>
    </row>
    <row r="665" spans="1:20">
      <c r="A665" s="303"/>
      <c r="B665" s="303"/>
      <c r="C665" s="303"/>
      <c r="D665" s="303"/>
      <c r="E665" s="303"/>
      <c r="F665" s="303"/>
      <c r="G665" s="303"/>
      <c r="H665" s="303"/>
      <c r="I665" s="303"/>
      <c r="J665" s="303"/>
      <c r="K665" s="303"/>
      <c r="L665" s="303"/>
      <c r="M665" s="303"/>
      <c r="N665" s="303"/>
      <c r="O665" s="303"/>
      <c r="P665" s="347">
        <f t="shared" si="22"/>
        <v>0</v>
      </c>
      <c r="Q665" s="303"/>
      <c r="R665" s="165">
        <f t="shared" si="21"/>
        <v>0</v>
      </c>
      <c r="S665" s="303"/>
      <c r="T665" s="348"/>
    </row>
    <row r="666" spans="1:20">
      <c r="A666" s="303"/>
      <c r="B666" s="303"/>
      <c r="C666" s="303"/>
      <c r="D666" s="303"/>
      <c r="E666" s="303"/>
      <c r="F666" s="303"/>
      <c r="G666" s="303"/>
      <c r="H666" s="303"/>
      <c r="I666" s="303"/>
      <c r="J666" s="303"/>
      <c r="K666" s="303"/>
      <c r="L666" s="303"/>
      <c r="M666" s="303"/>
      <c r="N666" s="303"/>
      <c r="O666" s="303"/>
      <c r="P666" s="347">
        <f t="shared" si="22"/>
        <v>0</v>
      </c>
      <c r="Q666" s="303"/>
      <c r="R666" s="165">
        <f t="shared" ref="R666:R729" si="23">P666-Q666</f>
        <v>0</v>
      </c>
      <c r="S666" s="303"/>
      <c r="T666" s="348"/>
    </row>
    <row r="667" spans="1:20">
      <c r="A667" s="303"/>
      <c r="B667" s="303"/>
      <c r="C667" s="303"/>
      <c r="D667" s="303"/>
      <c r="E667" s="303"/>
      <c r="F667" s="303"/>
      <c r="G667" s="303"/>
      <c r="H667" s="303"/>
      <c r="I667" s="303"/>
      <c r="J667" s="303"/>
      <c r="K667" s="303"/>
      <c r="L667" s="303"/>
      <c r="M667" s="303"/>
      <c r="N667" s="303"/>
      <c r="O667" s="303"/>
      <c r="P667" s="347">
        <f t="shared" si="22"/>
        <v>0</v>
      </c>
      <c r="Q667" s="303"/>
      <c r="R667" s="165">
        <f t="shared" si="23"/>
        <v>0</v>
      </c>
      <c r="S667" s="303"/>
      <c r="T667" s="348"/>
    </row>
    <row r="668" spans="1:20">
      <c r="A668" s="303"/>
      <c r="B668" s="303"/>
      <c r="C668" s="303"/>
      <c r="D668" s="303"/>
      <c r="E668" s="303"/>
      <c r="F668" s="303"/>
      <c r="G668" s="303"/>
      <c r="H668" s="303"/>
      <c r="I668" s="303"/>
      <c r="J668" s="303"/>
      <c r="K668" s="303"/>
      <c r="L668" s="303"/>
      <c r="M668" s="303"/>
      <c r="N668" s="303"/>
      <c r="O668" s="303"/>
      <c r="P668" s="347">
        <f t="shared" si="22"/>
        <v>0</v>
      </c>
      <c r="Q668" s="303"/>
      <c r="R668" s="165">
        <f t="shared" si="23"/>
        <v>0</v>
      </c>
      <c r="S668" s="303"/>
      <c r="T668" s="348"/>
    </row>
    <row r="669" spans="1:20">
      <c r="A669" s="303"/>
      <c r="B669" s="303"/>
      <c r="C669" s="303"/>
      <c r="D669" s="303"/>
      <c r="E669" s="303"/>
      <c r="F669" s="303"/>
      <c r="G669" s="303"/>
      <c r="H669" s="303"/>
      <c r="I669" s="303"/>
      <c r="J669" s="303"/>
      <c r="K669" s="303"/>
      <c r="L669" s="303"/>
      <c r="M669" s="303"/>
      <c r="N669" s="303"/>
      <c r="O669" s="303"/>
      <c r="P669" s="347">
        <f t="shared" si="22"/>
        <v>0</v>
      </c>
      <c r="Q669" s="303"/>
      <c r="R669" s="165">
        <f t="shared" si="23"/>
        <v>0</v>
      </c>
      <c r="S669" s="303"/>
      <c r="T669" s="348"/>
    </row>
    <row r="670" spans="1:20">
      <c r="A670" s="303"/>
      <c r="B670" s="303"/>
      <c r="C670" s="303"/>
      <c r="D670" s="303"/>
      <c r="E670" s="303"/>
      <c r="F670" s="303"/>
      <c r="G670" s="303"/>
      <c r="H670" s="303"/>
      <c r="I670" s="303"/>
      <c r="J670" s="303"/>
      <c r="K670" s="303"/>
      <c r="L670" s="303"/>
      <c r="M670" s="303"/>
      <c r="N670" s="303"/>
      <c r="O670" s="303"/>
      <c r="P670" s="347">
        <f t="shared" si="22"/>
        <v>0</v>
      </c>
      <c r="Q670" s="303"/>
      <c r="R670" s="165">
        <f t="shared" si="23"/>
        <v>0</v>
      </c>
      <c r="S670" s="303"/>
      <c r="T670" s="348"/>
    </row>
    <row r="671" spans="1:20">
      <c r="A671" s="303"/>
      <c r="B671" s="303"/>
      <c r="C671" s="303"/>
      <c r="D671" s="303"/>
      <c r="E671" s="303"/>
      <c r="F671" s="303"/>
      <c r="G671" s="303"/>
      <c r="H671" s="303"/>
      <c r="I671" s="303"/>
      <c r="J671" s="303"/>
      <c r="K671" s="303"/>
      <c r="L671" s="303"/>
      <c r="M671" s="303"/>
      <c r="N671" s="303"/>
      <c r="O671" s="303"/>
      <c r="P671" s="347">
        <f t="shared" si="22"/>
        <v>0</v>
      </c>
      <c r="Q671" s="303"/>
      <c r="R671" s="165">
        <f t="shared" si="23"/>
        <v>0</v>
      </c>
      <c r="S671" s="303"/>
      <c r="T671" s="348"/>
    </row>
    <row r="672" spans="1:20">
      <c r="A672" s="303"/>
      <c r="B672" s="303"/>
      <c r="C672" s="303"/>
      <c r="D672" s="303"/>
      <c r="E672" s="303"/>
      <c r="F672" s="303"/>
      <c r="G672" s="303"/>
      <c r="H672" s="303"/>
      <c r="I672" s="303"/>
      <c r="J672" s="303"/>
      <c r="K672" s="303"/>
      <c r="L672" s="303"/>
      <c r="M672" s="303"/>
      <c r="N672" s="303"/>
      <c r="O672" s="303"/>
      <c r="P672" s="347">
        <f t="shared" si="22"/>
        <v>0</v>
      </c>
      <c r="Q672" s="303"/>
      <c r="R672" s="165">
        <f t="shared" si="23"/>
        <v>0</v>
      </c>
      <c r="S672" s="303"/>
      <c r="T672" s="348"/>
    </row>
    <row r="673" spans="1:20">
      <c r="A673" s="303"/>
      <c r="B673" s="303"/>
      <c r="C673" s="303"/>
      <c r="D673" s="303"/>
      <c r="E673" s="303"/>
      <c r="F673" s="303"/>
      <c r="G673" s="303"/>
      <c r="H673" s="303"/>
      <c r="I673" s="303"/>
      <c r="J673" s="303"/>
      <c r="K673" s="303"/>
      <c r="L673" s="303"/>
      <c r="M673" s="303"/>
      <c r="N673" s="303"/>
      <c r="O673" s="303"/>
      <c r="P673" s="347">
        <f t="shared" si="22"/>
        <v>0</v>
      </c>
      <c r="Q673" s="303"/>
      <c r="R673" s="165">
        <f t="shared" si="23"/>
        <v>0</v>
      </c>
      <c r="S673" s="303"/>
      <c r="T673" s="348"/>
    </row>
    <row r="674" spans="1:20">
      <c r="A674" s="303"/>
      <c r="B674" s="303"/>
      <c r="C674" s="303"/>
      <c r="D674" s="303"/>
      <c r="E674" s="303"/>
      <c r="F674" s="303"/>
      <c r="G674" s="303"/>
      <c r="H674" s="303"/>
      <c r="I674" s="303"/>
      <c r="J674" s="303"/>
      <c r="K674" s="303"/>
      <c r="L674" s="303"/>
      <c r="M674" s="303"/>
      <c r="N674" s="303"/>
      <c r="O674" s="303"/>
      <c r="P674" s="347">
        <f t="shared" si="22"/>
        <v>0</v>
      </c>
      <c r="Q674" s="303"/>
      <c r="R674" s="165">
        <f t="shared" si="23"/>
        <v>0</v>
      </c>
      <c r="S674" s="303"/>
      <c r="T674" s="348"/>
    </row>
    <row r="675" spans="1:20">
      <c r="A675" s="303"/>
      <c r="B675" s="303"/>
      <c r="C675" s="303"/>
      <c r="D675" s="303"/>
      <c r="E675" s="303"/>
      <c r="F675" s="303"/>
      <c r="G675" s="303"/>
      <c r="H675" s="303"/>
      <c r="I675" s="303"/>
      <c r="J675" s="303"/>
      <c r="K675" s="303"/>
      <c r="L675" s="303"/>
      <c r="M675" s="303"/>
      <c r="N675" s="303"/>
      <c r="O675" s="303"/>
      <c r="P675" s="347">
        <f t="shared" si="22"/>
        <v>0</v>
      </c>
      <c r="Q675" s="303"/>
      <c r="R675" s="165">
        <f t="shared" si="23"/>
        <v>0</v>
      </c>
      <c r="S675" s="303"/>
      <c r="T675" s="348"/>
    </row>
    <row r="676" spans="1:20">
      <c r="A676" s="303"/>
      <c r="B676" s="303"/>
      <c r="C676" s="303"/>
      <c r="D676" s="303"/>
      <c r="E676" s="303"/>
      <c r="F676" s="303"/>
      <c r="G676" s="303"/>
      <c r="H676" s="303"/>
      <c r="I676" s="303"/>
      <c r="J676" s="303"/>
      <c r="K676" s="303"/>
      <c r="L676" s="303"/>
      <c r="M676" s="303"/>
      <c r="N676" s="303"/>
      <c r="O676" s="303"/>
      <c r="P676" s="347">
        <f t="shared" si="22"/>
        <v>0</v>
      </c>
      <c r="Q676" s="303"/>
      <c r="R676" s="165">
        <f t="shared" si="23"/>
        <v>0</v>
      </c>
      <c r="S676" s="303"/>
      <c r="T676" s="348"/>
    </row>
    <row r="677" spans="1:20">
      <c r="A677" s="303"/>
      <c r="B677" s="303"/>
      <c r="C677" s="303"/>
      <c r="D677" s="303"/>
      <c r="E677" s="303"/>
      <c r="F677" s="303"/>
      <c r="G677" s="303"/>
      <c r="H677" s="303"/>
      <c r="I677" s="303"/>
      <c r="J677" s="303"/>
      <c r="K677" s="303"/>
      <c r="L677" s="303"/>
      <c r="M677" s="303"/>
      <c r="N677" s="303"/>
      <c r="O677" s="303"/>
      <c r="P677" s="347">
        <f t="shared" si="22"/>
        <v>0</v>
      </c>
      <c r="Q677" s="303"/>
      <c r="R677" s="165">
        <f t="shared" si="23"/>
        <v>0</v>
      </c>
      <c r="S677" s="303"/>
      <c r="T677" s="348"/>
    </row>
    <row r="678" spans="1:20">
      <c r="A678" s="303"/>
      <c r="B678" s="303"/>
      <c r="C678" s="303"/>
      <c r="D678" s="303"/>
      <c r="E678" s="303"/>
      <c r="F678" s="303"/>
      <c r="G678" s="303"/>
      <c r="H678" s="303"/>
      <c r="I678" s="303"/>
      <c r="J678" s="303"/>
      <c r="K678" s="303"/>
      <c r="L678" s="303"/>
      <c r="M678" s="303"/>
      <c r="N678" s="303"/>
      <c r="O678" s="303"/>
      <c r="P678" s="347">
        <f t="shared" si="22"/>
        <v>0</v>
      </c>
      <c r="Q678" s="303"/>
      <c r="R678" s="165">
        <f t="shared" si="23"/>
        <v>0</v>
      </c>
      <c r="S678" s="303"/>
      <c r="T678" s="348"/>
    </row>
    <row r="679" spans="1:20">
      <c r="A679" s="303"/>
      <c r="B679" s="303"/>
      <c r="C679" s="303"/>
      <c r="D679" s="303"/>
      <c r="E679" s="303"/>
      <c r="F679" s="303"/>
      <c r="G679" s="303"/>
      <c r="H679" s="303"/>
      <c r="I679" s="303"/>
      <c r="J679" s="303"/>
      <c r="K679" s="303"/>
      <c r="L679" s="303"/>
      <c r="M679" s="303"/>
      <c r="N679" s="303"/>
      <c r="O679" s="303"/>
      <c r="P679" s="347">
        <f t="shared" si="22"/>
        <v>0</v>
      </c>
      <c r="Q679" s="303"/>
      <c r="R679" s="165">
        <f t="shared" si="23"/>
        <v>0</v>
      </c>
      <c r="S679" s="303"/>
      <c r="T679" s="348"/>
    </row>
    <row r="680" spans="1:20">
      <c r="A680" s="303"/>
      <c r="B680" s="303"/>
      <c r="C680" s="303"/>
      <c r="D680" s="303"/>
      <c r="E680" s="303"/>
      <c r="F680" s="303"/>
      <c r="G680" s="303"/>
      <c r="H680" s="303"/>
      <c r="I680" s="303"/>
      <c r="J680" s="303"/>
      <c r="K680" s="303"/>
      <c r="L680" s="303"/>
      <c r="M680" s="303"/>
      <c r="N680" s="303"/>
      <c r="O680" s="303"/>
      <c r="P680" s="347">
        <f t="shared" si="22"/>
        <v>0</v>
      </c>
      <c r="Q680" s="303"/>
      <c r="R680" s="165">
        <f t="shared" si="23"/>
        <v>0</v>
      </c>
      <c r="S680" s="303"/>
      <c r="T680" s="348"/>
    </row>
    <row r="681" spans="1:20">
      <c r="A681" s="303"/>
      <c r="B681" s="303"/>
      <c r="C681" s="303"/>
      <c r="D681" s="303"/>
      <c r="E681" s="303"/>
      <c r="F681" s="303"/>
      <c r="G681" s="303"/>
      <c r="H681" s="303"/>
      <c r="I681" s="303"/>
      <c r="J681" s="303"/>
      <c r="K681" s="303"/>
      <c r="L681" s="303"/>
      <c r="M681" s="303"/>
      <c r="N681" s="303"/>
      <c r="O681" s="303"/>
      <c r="P681" s="347">
        <f t="shared" si="22"/>
        <v>0</v>
      </c>
      <c r="Q681" s="303"/>
      <c r="R681" s="165">
        <f t="shared" si="23"/>
        <v>0</v>
      </c>
      <c r="S681" s="303"/>
      <c r="T681" s="348"/>
    </row>
    <row r="682" spans="1:20">
      <c r="A682" s="303"/>
      <c r="B682" s="303"/>
      <c r="C682" s="303"/>
      <c r="D682" s="303"/>
      <c r="E682" s="303"/>
      <c r="F682" s="303"/>
      <c r="G682" s="303"/>
      <c r="H682" s="303"/>
      <c r="I682" s="303"/>
      <c r="J682" s="303"/>
      <c r="K682" s="303"/>
      <c r="L682" s="303"/>
      <c r="M682" s="303"/>
      <c r="N682" s="303"/>
      <c r="O682" s="303"/>
      <c r="P682" s="347">
        <f t="shared" si="22"/>
        <v>0</v>
      </c>
      <c r="Q682" s="303"/>
      <c r="R682" s="165">
        <f t="shared" si="23"/>
        <v>0</v>
      </c>
      <c r="S682" s="303"/>
      <c r="T682" s="348"/>
    </row>
    <row r="683" spans="1:20">
      <c r="A683" s="303"/>
      <c r="B683" s="303"/>
      <c r="C683" s="303"/>
      <c r="D683" s="303"/>
      <c r="E683" s="303"/>
      <c r="F683" s="303"/>
      <c r="G683" s="303"/>
      <c r="H683" s="303"/>
      <c r="I683" s="303"/>
      <c r="J683" s="303"/>
      <c r="K683" s="303"/>
      <c r="L683" s="303"/>
      <c r="M683" s="303"/>
      <c r="N683" s="303"/>
      <c r="O683" s="303"/>
      <c r="P683" s="347">
        <f t="shared" si="22"/>
        <v>0</v>
      </c>
      <c r="Q683" s="303"/>
      <c r="R683" s="165">
        <f t="shared" si="23"/>
        <v>0</v>
      </c>
      <c r="S683" s="303"/>
      <c r="T683" s="348"/>
    </row>
    <row r="684" spans="1:20">
      <c r="A684" s="303"/>
      <c r="B684" s="303"/>
      <c r="C684" s="303"/>
      <c r="D684" s="303"/>
      <c r="E684" s="303"/>
      <c r="F684" s="303"/>
      <c r="G684" s="303"/>
      <c r="H684" s="303"/>
      <c r="I684" s="303"/>
      <c r="J684" s="303"/>
      <c r="K684" s="303"/>
      <c r="L684" s="303"/>
      <c r="M684" s="303"/>
      <c r="N684" s="303"/>
      <c r="O684" s="303"/>
      <c r="P684" s="347">
        <f t="shared" si="22"/>
        <v>0</v>
      </c>
      <c r="Q684" s="303"/>
      <c r="R684" s="165">
        <f t="shared" si="23"/>
        <v>0</v>
      </c>
      <c r="S684" s="303"/>
      <c r="T684" s="348"/>
    </row>
    <row r="685" spans="1:20">
      <c r="A685" s="303"/>
      <c r="B685" s="303"/>
      <c r="C685" s="303"/>
      <c r="D685" s="303"/>
      <c r="E685" s="303"/>
      <c r="F685" s="303"/>
      <c r="G685" s="303"/>
      <c r="H685" s="303"/>
      <c r="I685" s="303"/>
      <c r="J685" s="303"/>
      <c r="K685" s="303"/>
      <c r="L685" s="303"/>
      <c r="M685" s="303"/>
      <c r="N685" s="303"/>
      <c r="O685" s="303"/>
      <c r="P685" s="347">
        <f t="shared" si="22"/>
        <v>0</v>
      </c>
      <c r="Q685" s="303"/>
      <c r="R685" s="165">
        <f t="shared" si="23"/>
        <v>0</v>
      </c>
      <c r="S685" s="303"/>
      <c r="T685" s="348"/>
    </row>
    <row r="686" spans="1:20">
      <c r="A686" s="303"/>
      <c r="B686" s="303"/>
      <c r="C686" s="303"/>
      <c r="D686" s="303"/>
      <c r="E686" s="303"/>
      <c r="F686" s="303"/>
      <c r="G686" s="303"/>
      <c r="H686" s="303"/>
      <c r="I686" s="303"/>
      <c r="J686" s="303"/>
      <c r="K686" s="303"/>
      <c r="L686" s="303"/>
      <c r="M686" s="303"/>
      <c r="N686" s="303"/>
      <c r="O686" s="303"/>
      <c r="P686" s="347">
        <f t="shared" si="22"/>
        <v>0</v>
      </c>
      <c r="Q686" s="303"/>
      <c r="R686" s="165">
        <f t="shared" si="23"/>
        <v>0</v>
      </c>
      <c r="S686" s="303"/>
      <c r="T686" s="348"/>
    </row>
    <row r="687" spans="1:20">
      <c r="A687" s="303"/>
      <c r="B687" s="303"/>
      <c r="C687" s="303"/>
      <c r="D687" s="303"/>
      <c r="E687" s="303"/>
      <c r="F687" s="303"/>
      <c r="G687" s="303"/>
      <c r="H687" s="303"/>
      <c r="I687" s="303"/>
      <c r="J687" s="303"/>
      <c r="K687" s="303"/>
      <c r="L687" s="303"/>
      <c r="M687" s="303"/>
      <c r="N687" s="303"/>
      <c r="O687" s="303"/>
      <c r="P687" s="347">
        <f t="shared" si="22"/>
        <v>0</v>
      </c>
      <c r="Q687" s="303"/>
      <c r="R687" s="165">
        <f t="shared" si="23"/>
        <v>0</v>
      </c>
      <c r="S687" s="303"/>
      <c r="T687" s="348"/>
    </row>
    <row r="688" spans="1:20">
      <c r="A688" s="303"/>
      <c r="B688" s="303"/>
      <c r="C688" s="303"/>
      <c r="D688" s="303"/>
      <c r="E688" s="303"/>
      <c r="F688" s="303"/>
      <c r="G688" s="303"/>
      <c r="H688" s="303"/>
      <c r="I688" s="303"/>
      <c r="J688" s="303"/>
      <c r="K688" s="303"/>
      <c r="L688" s="303"/>
      <c r="M688" s="303"/>
      <c r="N688" s="303"/>
      <c r="O688" s="303"/>
      <c r="P688" s="347">
        <f t="shared" si="22"/>
        <v>0</v>
      </c>
      <c r="Q688" s="303"/>
      <c r="R688" s="165">
        <f t="shared" si="23"/>
        <v>0</v>
      </c>
      <c r="S688" s="303"/>
      <c r="T688" s="348"/>
    </row>
    <row r="689" spans="1:20">
      <c r="A689" s="303"/>
      <c r="B689" s="303"/>
      <c r="C689" s="303"/>
      <c r="D689" s="303"/>
      <c r="E689" s="303"/>
      <c r="F689" s="303"/>
      <c r="G689" s="303"/>
      <c r="H689" s="303"/>
      <c r="I689" s="303"/>
      <c r="J689" s="303"/>
      <c r="K689" s="303"/>
      <c r="L689" s="303"/>
      <c r="M689" s="303"/>
      <c r="N689" s="303"/>
      <c r="O689" s="303"/>
      <c r="P689" s="347">
        <f t="shared" si="22"/>
        <v>0</v>
      </c>
      <c r="Q689" s="303"/>
      <c r="R689" s="165">
        <f t="shared" si="23"/>
        <v>0</v>
      </c>
      <c r="S689" s="303"/>
      <c r="T689" s="348"/>
    </row>
    <row r="690" spans="1:20">
      <c r="A690" s="303"/>
      <c r="B690" s="303"/>
      <c r="C690" s="303"/>
      <c r="D690" s="303"/>
      <c r="E690" s="303"/>
      <c r="F690" s="303"/>
      <c r="G690" s="303"/>
      <c r="H690" s="303"/>
      <c r="I690" s="303"/>
      <c r="J690" s="303"/>
      <c r="K690" s="303"/>
      <c r="L690" s="303"/>
      <c r="M690" s="303"/>
      <c r="N690" s="303"/>
      <c r="O690" s="303"/>
      <c r="P690" s="347">
        <f t="shared" si="22"/>
        <v>0</v>
      </c>
      <c r="Q690" s="303"/>
      <c r="R690" s="165">
        <f t="shared" si="23"/>
        <v>0</v>
      </c>
      <c r="S690" s="303"/>
      <c r="T690" s="348"/>
    </row>
    <row r="691" spans="1:20">
      <c r="A691" s="303"/>
      <c r="B691" s="303"/>
      <c r="C691" s="303"/>
      <c r="D691" s="303"/>
      <c r="E691" s="303"/>
      <c r="F691" s="303"/>
      <c r="G691" s="303"/>
      <c r="H691" s="303"/>
      <c r="I691" s="303"/>
      <c r="J691" s="303"/>
      <c r="K691" s="303"/>
      <c r="L691" s="303"/>
      <c r="M691" s="303"/>
      <c r="N691" s="303"/>
      <c r="O691" s="303"/>
      <c r="P691" s="347">
        <f t="shared" si="22"/>
        <v>0</v>
      </c>
      <c r="Q691" s="303"/>
      <c r="R691" s="165">
        <f t="shared" si="23"/>
        <v>0</v>
      </c>
      <c r="S691" s="303"/>
      <c r="T691" s="348"/>
    </row>
    <row r="692" spans="1:20">
      <c r="A692" s="303"/>
      <c r="B692" s="303"/>
      <c r="C692" s="303"/>
      <c r="D692" s="303"/>
      <c r="E692" s="303"/>
      <c r="F692" s="303"/>
      <c r="G692" s="303"/>
      <c r="H692" s="303"/>
      <c r="I692" s="303"/>
      <c r="J692" s="303"/>
      <c r="K692" s="303"/>
      <c r="L692" s="303"/>
      <c r="M692" s="303"/>
      <c r="N692" s="303"/>
      <c r="O692" s="303"/>
      <c r="P692" s="347">
        <f t="shared" ref="P692:P755" si="24">SUM(I692:O692)</f>
        <v>0</v>
      </c>
      <c r="Q692" s="303"/>
      <c r="R692" s="165">
        <f t="shared" si="23"/>
        <v>0</v>
      </c>
      <c r="S692" s="303"/>
      <c r="T692" s="348"/>
    </row>
    <row r="693" spans="1:20">
      <c r="A693" s="303"/>
      <c r="B693" s="303"/>
      <c r="C693" s="303"/>
      <c r="D693" s="303"/>
      <c r="E693" s="303"/>
      <c r="F693" s="303"/>
      <c r="G693" s="303"/>
      <c r="H693" s="303"/>
      <c r="I693" s="303"/>
      <c r="J693" s="303"/>
      <c r="K693" s="303"/>
      <c r="L693" s="303"/>
      <c r="M693" s="303"/>
      <c r="N693" s="303"/>
      <c r="O693" s="303"/>
      <c r="P693" s="347">
        <f t="shared" si="24"/>
        <v>0</v>
      </c>
      <c r="Q693" s="303"/>
      <c r="R693" s="165">
        <f t="shared" si="23"/>
        <v>0</v>
      </c>
      <c r="S693" s="303"/>
      <c r="T693" s="348"/>
    </row>
    <row r="694" spans="1:20">
      <c r="A694" s="303"/>
      <c r="B694" s="303"/>
      <c r="C694" s="303"/>
      <c r="D694" s="303"/>
      <c r="E694" s="303"/>
      <c r="F694" s="303"/>
      <c r="G694" s="303"/>
      <c r="H694" s="303"/>
      <c r="I694" s="303"/>
      <c r="J694" s="303"/>
      <c r="K694" s="303"/>
      <c r="L694" s="303"/>
      <c r="M694" s="303"/>
      <c r="N694" s="303"/>
      <c r="O694" s="303"/>
      <c r="P694" s="347">
        <f t="shared" si="24"/>
        <v>0</v>
      </c>
      <c r="Q694" s="303"/>
      <c r="R694" s="165">
        <f t="shared" si="23"/>
        <v>0</v>
      </c>
      <c r="S694" s="303"/>
      <c r="T694" s="348"/>
    </row>
    <row r="695" spans="1:20">
      <c r="A695" s="303"/>
      <c r="B695" s="303"/>
      <c r="C695" s="303"/>
      <c r="D695" s="303"/>
      <c r="E695" s="303"/>
      <c r="F695" s="303"/>
      <c r="G695" s="303"/>
      <c r="H695" s="303"/>
      <c r="I695" s="303"/>
      <c r="J695" s="303"/>
      <c r="K695" s="303"/>
      <c r="L695" s="303"/>
      <c r="M695" s="303"/>
      <c r="N695" s="303"/>
      <c r="O695" s="303"/>
      <c r="P695" s="347">
        <f t="shared" si="24"/>
        <v>0</v>
      </c>
      <c r="Q695" s="303"/>
      <c r="R695" s="165">
        <f t="shared" si="23"/>
        <v>0</v>
      </c>
      <c r="S695" s="303"/>
      <c r="T695" s="348"/>
    </row>
    <row r="696" spans="1:20">
      <c r="A696" s="303"/>
      <c r="B696" s="303"/>
      <c r="C696" s="303"/>
      <c r="D696" s="303"/>
      <c r="E696" s="303"/>
      <c r="F696" s="303"/>
      <c r="G696" s="303"/>
      <c r="H696" s="303"/>
      <c r="I696" s="303"/>
      <c r="J696" s="303"/>
      <c r="K696" s="303"/>
      <c r="L696" s="303"/>
      <c r="M696" s="303"/>
      <c r="N696" s="303"/>
      <c r="O696" s="303"/>
      <c r="P696" s="347">
        <f t="shared" si="24"/>
        <v>0</v>
      </c>
      <c r="Q696" s="303"/>
      <c r="R696" s="165">
        <f t="shared" si="23"/>
        <v>0</v>
      </c>
      <c r="S696" s="303"/>
      <c r="T696" s="348"/>
    </row>
    <row r="697" spans="1:20">
      <c r="A697" s="303"/>
      <c r="B697" s="303"/>
      <c r="C697" s="303"/>
      <c r="D697" s="303"/>
      <c r="E697" s="303"/>
      <c r="F697" s="303"/>
      <c r="G697" s="303"/>
      <c r="H697" s="303"/>
      <c r="I697" s="303"/>
      <c r="J697" s="303"/>
      <c r="K697" s="303"/>
      <c r="L697" s="303"/>
      <c r="M697" s="303"/>
      <c r="N697" s="303"/>
      <c r="O697" s="303"/>
      <c r="P697" s="347">
        <f t="shared" si="24"/>
        <v>0</v>
      </c>
      <c r="Q697" s="303"/>
      <c r="R697" s="165">
        <f t="shared" si="23"/>
        <v>0</v>
      </c>
      <c r="S697" s="303"/>
      <c r="T697" s="348"/>
    </row>
    <row r="698" spans="1:20">
      <c r="A698" s="303"/>
      <c r="B698" s="303"/>
      <c r="C698" s="303"/>
      <c r="D698" s="303"/>
      <c r="E698" s="303"/>
      <c r="F698" s="303"/>
      <c r="G698" s="303"/>
      <c r="H698" s="303"/>
      <c r="I698" s="303"/>
      <c r="J698" s="303"/>
      <c r="K698" s="303"/>
      <c r="L698" s="303"/>
      <c r="M698" s="303"/>
      <c r="N698" s="303"/>
      <c r="O698" s="303"/>
      <c r="P698" s="347">
        <f t="shared" si="24"/>
        <v>0</v>
      </c>
      <c r="Q698" s="303"/>
      <c r="R698" s="165">
        <f t="shared" si="23"/>
        <v>0</v>
      </c>
      <c r="S698" s="303"/>
      <c r="T698" s="348"/>
    </row>
    <row r="699" spans="1:20">
      <c r="A699" s="303"/>
      <c r="B699" s="303"/>
      <c r="C699" s="303"/>
      <c r="D699" s="303"/>
      <c r="E699" s="303"/>
      <c r="F699" s="303"/>
      <c r="G699" s="303"/>
      <c r="H699" s="303"/>
      <c r="I699" s="303"/>
      <c r="J699" s="303"/>
      <c r="K699" s="303"/>
      <c r="L699" s="303"/>
      <c r="M699" s="303"/>
      <c r="N699" s="303"/>
      <c r="O699" s="303"/>
      <c r="P699" s="347">
        <f t="shared" si="24"/>
        <v>0</v>
      </c>
      <c r="Q699" s="303"/>
      <c r="R699" s="165">
        <f t="shared" si="23"/>
        <v>0</v>
      </c>
      <c r="S699" s="303"/>
      <c r="T699" s="348"/>
    </row>
    <row r="700" spans="1:20">
      <c r="A700" s="303"/>
      <c r="B700" s="303"/>
      <c r="C700" s="303"/>
      <c r="D700" s="303"/>
      <c r="E700" s="303"/>
      <c r="F700" s="303"/>
      <c r="G700" s="303"/>
      <c r="H700" s="303"/>
      <c r="I700" s="303"/>
      <c r="J700" s="303"/>
      <c r="K700" s="303"/>
      <c r="L700" s="303"/>
      <c r="M700" s="303"/>
      <c r="N700" s="303"/>
      <c r="O700" s="303"/>
      <c r="P700" s="347">
        <f t="shared" si="24"/>
        <v>0</v>
      </c>
      <c r="Q700" s="303"/>
      <c r="R700" s="165">
        <f t="shared" si="23"/>
        <v>0</v>
      </c>
      <c r="S700" s="303"/>
      <c r="T700" s="348"/>
    </row>
    <row r="701" spans="1:20">
      <c r="A701" s="303"/>
      <c r="B701" s="303"/>
      <c r="C701" s="303"/>
      <c r="D701" s="303"/>
      <c r="E701" s="303"/>
      <c r="F701" s="303"/>
      <c r="G701" s="303"/>
      <c r="H701" s="303"/>
      <c r="I701" s="303"/>
      <c r="J701" s="303"/>
      <c r="K701" s="303"/>
      <c r="L701" s="303"/>
      <c r="M701" s="303"/>
      <c r="N701" s="303"/>
      <c r="O701" s="303"/>
      <c r="P701" s="347">
        <f t="shared" si="24"/>
        <v>0</v>
      </c>
      <c r="Q701" s="303"/>
      <c r="R701" s="165">
        <f t="shared" si="23"/>
        <v>0</v>
      </c>
      <c r="S701" s="303"/>
      <c r="T701" s="348"/>
    </row>
    <row r="702" spans="1:20">
      <c r="A702" s="303"/>
      <c r="B702" s="303"/>
      <c r="C702" s="303"/>
      <c r="D702" s="303"/>
      <c r="E702" s="303"/>
      <c r="F702" s="303"/>
      <c r="G702" s="303"/>
      <c r="H702" s="303"/>
      <c r="I702" s="303"/>
      <c r="J702" s="303"/>
      <c r="K702" s="303"/>
      <c r="L702" s="303"/>
      <c r="M702" s="303"/>
      <c r="N702" s="303"/>
      <c r="O702" s="303"/>
      <c r="P702" s="347">
        <f t="shared" si="24"/>
        <v>0</v>
      </c>
      <c r="Q702" s="303"/>
      <c r="R702" s="165">
        <f t="shared" si="23"/>
        <v>0</v>
      </c>
      <c r="S702" s="303"/>
      <c r="T702" s="348"/>
    </row>
    <row r="703" spans="1:20">
      <c r="A703" s="303"/>
      <c r="B703" s="303"/>
      <c r="C703" s="303"/>
      <c r="D703" s="303"/>
      <c r="E703" s="303"/>
      <c r="F703" s="303"/>
      <c r="G703" s="303"/>
      <c r="H703" s="303"/>
      <c r="I703" s="303"/>
      <c r="J703" s="303"/>
      <c r="K703" s="303"/>
      <c r="L703" s="303"/>
      <c r="M703" s="303"/>
      <c r="N703" s="303"/>
      <c r="O703" s="303"/>
      <c r="P703" s="347">
        <f t="shared" si="24"/>
        <v>0</v>
      </c>
      <c r="Q703" s="303"/>
      <c r="R703" s="165">
        <f t="shared" si="23"/>
        <v>0</v>
      </c>
      <c r="S703" s="303"/>
      <c r="T703" s="348"/>
    </row>
    <row r="704" spans="1:20">
      <c r="A704" s="303"/>
      <c r="B704" s="303"/>
      <c r="C704" s="303"/>
      <c r="D704" s="303"/>
      <c r="E704" s="303"/>
      <c r="F704" s="303"/>
      <c r="G704" s="303"/>
      <c r="H704" s="303"/>
      <c r="I704" s="303"/>
      <c r="J704" s="303"/>
      <c r="K704" s="303"/>
      <c r="L704" s="303"/>
      <c r="M704" s="303"/>
      <c r="N704" s="303"/>
      <c r="O704" s="303"/>
      <c r="P704" s="347">
        <f t="shared" si="24"/>
        <v>0</v>
      </c>
      <c r="Q704" s="303"/>
      <c r="R704" s="165">
        <f t="shared" si="23"/>
        <v>0</v>
      </c>
      <c r="S704" s="303"/>
      <c r="T704" s="348"/>
    </row>
    <row r="705" spans="1:20">
      <c r="A705" s="303"/>
      <c r="B705" s="303"/>
      <c r="C705" s="303"/>
      <c r="D705" s="303"/>
      <c r="E705" s="303"/>
      <c r="F705" s="303"/>
      <c r="G705" s="303"/>
      <c r="H705" s="303"/>
      <c r="I705" s="303"/>
      <c r="J705" s="303"/>
      <c r="K705" s="303"/>
      <c r="L705" s="303"/>
      <c r="M705" s="303"/>
      <c r="N705" s="303"/>
      <c r="O705" s="303"/>
      <c r="P705" s="347">
        <f t="shared" si="24"/>
        <v>0</v>
      </c>
      <c r="Q705" s="303"/>
      <c r="R705" s="165">
        <f t="shared" si="23"/>
        <v>0</v>
      </c>
      <c r="S705" s="303"/>
      <c r="T705" s="348"/>
    </row>
    <row r="706" spans="1:20">
      <c r="A706" s="303"/>
      <c r="B706" s="303"/>
      <c r="C706" s="303"/>
      <c r="D706" s="303"/>
      <c r="E706" s="303"/>
      <c r="F706" s="303"/>
      <c r="G706" s="303"/>
      <c r="H706" s="303"/>
      <c r="I706" s="303"/>
      <c r="J706" s="303"/>
      <c r="K706" s="303"/>
      <c r="L706" s="303"/>
      <c r="M706" s="303"/>
      <c r="N706" s="303"/>
      <c r="O706" s="303"/>
      <c r="P706" s="347">
        <f t="shared" si="24"/>
        <v>0</v>
      </c>
      <c r="Q706" s="303"/>
      <c r="R706" s="165">
        <f t="shared" si="23"/>
        <v>0</v>
      </c>
      <c r="S706" s="303"/>
      <c r="T706" s="348"/>
    </row>
    <row r="707" spans="1:20">
      <c r="A707" s="303"/>
      <c r="B707" s="303"/>
      <c r="C707" s="303"/>
      <c r="D707" s="303"/>
      <c r="E707" s="303"/>
      <c r="F707" s="303"/>
      <c r="G707" s="303"/>
      <c r="H707" s="303"/>
      <c r="I707" s="303"/>
      <c r="J707" s="303"/>
      <c r="K707" s="303"/>
      <c r="L707" s="303"/>
      <c r="M707" s="303"/>
      <c r="N707" s="303"/>
      <c r="O707" s="303"/>
      <c r="P707" s="347">
        <f t="shared" si="24"/>
        <v>0</v>
      </c>
      <c r="Q707" s="303"/>
      <c r="R707" s="165">
        <f t="shared" si="23"/>
        <v>0</v>
      </c>
      <c r="S707" s="303"/>
      <c r="T707" s="348"/>
    </row>
    <row r="708" spans="1:20">
      <c r="A708" s="303"/>
      <c r="B708" s="303"/>
      <c r="C708" s="303"/>
      <c r="D708" s="303"/>
      <c r="E708" s="303"/>
      <c r="F708" s="303"/>
      <c r="G708" s="303"/>
      <c r="H708" s="303"/>
      <c r="I708" s="303"/>
      <c r="J708" s="303"/>
      <c r="K708" s="303"/>
      <c r="L708" s="303"/>
      <c r="M708" s="303"/>
      <c r="N708" s="303"/>
      <c r="O708" s="303"/>
      <c r="P708" s="347">
        <f t="shared" si="24"/>
        <v>0</v>
      </c>
      <c r="Q708" s="303"/>
      <c r="R708" s="165">
        <f t="shared" si="23"/>
        <v>0</v>
      </c>
      <c r="S708" s="303"/>
      <c r="T708" s="348"/>
    </row>
    <row r="709" spans="1:20">
      <c r="A709" s="303"/>
      <c r="B709" s="303"/>
      <c r="C709" s="303"/>
      <c r="D709" s="303"/>
      <c r="E709" s="303"/>
      <c r="F709" s="303"/>
      <c r="G709" s="303"/>
      <c r="H709" s="303"/>
      <c r="I709" s="303"/>
      <c r="J709" s="303"/>
      <c r="K709" s="303"/>
      <c r="L709" s="303"/>
      <c r="M709" s="303"/>
      <c r="N709" s="303"/>
      <c r="O709" s="303"/>
      <c r="P709" s="347">
        <f t="shared" si="24"/>
        <v>0</v>
      </c>
      <c r="Q709" s="303"/>
      <c r="R709" s="165">
        <f t="shared" si="23"/>
        <v>0</v>
      </c>
      <c r="S709" s="303"/>
      <c r="T709" s="348"/>
    </row>
    <row r="710" spans="1:20">
      <c r="A710" s="303"/>
      <c r="B710" s="303"/>
      <c r="C710" s="303"/>
      <c r="D710" s="303"/>
      <c r="E710" s="303"/>
      <c r="F710" s="303"/>
      <c r="G710" s="303"/>
      <c r="H710" s="303"/>
      <c r="I710" s="303"/>
      <c r="J710" s="303"/>
      <c r="K710" s="303"/>
      <c r="L710" s="303"/>
      <c r="M710" s="303"/>
      <c r="N710" s="303"/>
      <c r="O710" s="303"/>
      <c r="P710" s="347">
        <f t="shared" si="24"/>
        <v>0</v>
      </c>
      <c r="Q710" s="303"/>
      <c r="R710" s="165">
        <f t="shared" si="23"/>
        <v>0</v>
      </c>
      <c r="S710" s="303"/>
      <c r="T710" s="348"/>
    </row>
    <row r="711" spans="1:20">
      <c r="A711" s="303"/>
      <c r="B711" s="303"/>
      <c r="C711" s="303"/>
      <c r="D711" s="303"/>
      <c r="E711" s="303"/>
      <c r="F711" s="303"/>
      <c r="G711" s="303"/>
      <c r="H711" s="303"/>
      <c r="I711" s="303"/>
      <c r="J711" s="303"/>
      <c r="K711" s="303"/>
      <c r="L711" s="303"/>
      <c r="M711" s="303"/>
      <c r="N711" s="303"/>
      <c r="O711" s="303"/>
      <c r="P711" s="347">
        <f t="shared" si="24"/>
        <v>0</v>
      </c>
      <c r="Q711" s="303"/>
      <c r="R711" s="165">
        <f t="shared" si="23"/>
        <v>0</v>
      </c>
      <c r="S711" s="303"/>
      <c r="T711" s="348"/>
    </row>
    <row r="712" spans="1:20">
      <c r="A712" s="303"/>
      <c r="B712" s="303"/>
      <c r="C712" s="303"/>
      <c r="D712" s="303"/>
      <c r="E712" s="303"/>
      <c r="F712" s="303"/>
      <c r="G712" s="303"/>
      <c r="H712" s="303"/>
      <c r="I712" s="303"/>
      <c r="J712" s="303"/>
      <c r="K712" s="303"/>
      <c r="L712" s="303"/>
      <c r="M712" s="303"/>
      <c r="N712" s="303"/>
      <c r="O712" s="303"/>
      <c r="P712" s="347">
        <f t="shared" si="24"/>
        <v>0</v>
      </c>
      <c r="Q712" s="303"/>
      <c r="R712" s="165">
        <f t="shared" si="23"/>
        <v>0</v>
      </c>
      <c r="S712" s="303"/>
      <c r="T712" s="348"/>
    </row>
    <row r="713" spans="1:20">
      <c r="A713" s="303"/>
      <c r="B713" s="303"/>
      <c r="C713" s="303"/>
      <c r="D713" s="303"/>
      <c r="E713" s="303"/>
      <c r="F713" s="303"/>
      <c r="G713" s="303"/>
      <c r="H713" s="303"/>
      <c r="I713" s="303"/>
      <c r="J713" s="303"/>
      <c r="K713" s="303"/>
      <c r="L713" s="303"/>
      <c r="M713" s="303"/>
      <c r="N713" s="303"/>
      <c r="O713" s="303"/>
      <c r="P713" s="347">
        <f t="shared" si="24"/>
        <v>0</v>
      </c>
      <c r="Q713" s="303"/>
      <c r="R713" s="165">
        <f t="shared" si="23"/>
        <v>0</v>
      </c>
      <c r="S713" s="303"/>
      <c r="T713" s="348"/>
    </row>
    <row r="714" spans="1:20">
      <c r="A714" s="303"/>
      <c r="B714" s="303"/>
      <c r="C714" s="303"/>
      <c r="D714" s="303"/>
      <c r="E714" s="303"/>
      <c r="F714" s="303"/>
      <c r="G714" s="303"/>
      <c r="H714" s="303"/>
      <c r="I714" s="303"/>
      <c r="J714" s="303"/>
      <c r="K714" s="303"/>
      <c r="L714" s="303"/>
      <c r="M714" s="303"/>
      <c r="N714" s="303"/>
      <c r="O714" s="303"/>
      <c r="P714" s="347">
        <f t="shared" si="24"/>
        <v>0</v>
      </c>
      <c r="Q714" s="303"/>
      <c r="R714" s="165">
        <f t="shared" si="23"/>
        <v>0</v>
      </c>
      <c r="S714" s="303"/>
      <c r="T714" s="348"/>
    </row>
    <row r="715" spans="1:20">
      <c r="A715" s="303"/>
      <c r="B715" s="303"/>
      <c r="C715" s="303"/>
      <c r="D715" s="303"/>
      <c r="E715" s="303"/>
      <c r="F715" s="303"/>
      <c r="G715" s="303"/>
      <c r="H715" s="303"/>
      <c r="I715" s="303"/>
      <c r="J715" s="303"/>
      <c r="K715" s="303"/>
      <c r="L715" s="303"/>
      <c r="M715" s="303"/>
      <c r="N715" s="303"/>
      <c r="O715" s="303"/>
      <c r="P715" s="347">
        <f t="shared" si="24"/>
        <v>0</v>
      </c>
      <c r="Q715" s="303"/>
      <c r="R715" s="165">
        <f t="shared" si="23"/>
        <v>0</v>
      </c>
      <c r="S715" s="303"/>
      <c r="T715" s="348"/>
    </row>
    <row r="716" spans="1:20">
      <c r="A716" s="303"/>
      <c r="B716" s="303"/>
      <c r="C716" s="303"/>
      <c r="D716" s="303"/>
      <c r="E716" s="303"/>
      <c r="F716" s="303"/>
      <c r="G716" s="303"/>
      <c r="H716" s="303"/>
      <c r="I716" s="303"/>
      <c r="J716" s="303"/>
      <c r="K716" s="303"/>
      <c r="L716" s="303"/>
      <c r="M716" s="303"/>
      <c r="N716" s="303"/>
      <c r="O716" s="303"/>
      <c r="P716" s="347">
        <f t="shared" si="24"/>
        <v>0</v>
      </c>
      <c r="Q716" s="303"/>
      <c r="R716" s="165">
        <f t="shared" si="23"/>
        <v>0</v>
      </c>
      <c r="S716" s="303"/>
      <c r="T716" s="348"/>
    </row>
    <row r="717" spans="1:20">
      <c r="A717" s="303"/>
      <c r="B717" s="303"/>
      <c r="C717" s="303"/>
      <c r="D717" s="303"/>
      <c r="E717" s="303"/>
      <c r="F717" s="303"/>
      <c r="G717" s="303"/>
      <c r="H717" s="303"/>
      <c r="I717" s="303"/>
      <c r="J717" s="303"/>
      <c r="K717" s="303"/>
      <c r="L717" s="303"/>
      <c r="M717" s="303"/>
      <c r="N717" s="303"/>
      <c r="O717" s="303"/>
      <c r="P717" s="347">
        <f t="shared" si="24"/>
        <v>0</v>
      </c>
      <c r="Q717" s="303"/>
      <c r="R717" s="165">
        <f t="shared" si="23"/>
        <v>0</v>
      </c>
      <c r="S717" s="303"/>
      <c r="T717" s="348"/>
    </row>
    <row r="718" spans="1:20">
      <c r="A718" s="303"/>
      <c r="B718" s="303"/>
      <c r="C718" s="303"/>
      <c r="D718" s="303"/>
      <c r="E718" s="303"/>
      <c r="F718" s="303"/>
      <c r="G718" s="303"/>
      <c r="H718" s="303"/>
      <c r="I718" s="303"/>
      <c r="J718" s="303"/>
      <c r="K718" s="303"/>
      <c r="L718" s="303"/>
      <c r="M718" s="303"/>
      <c r="N718" s="303"/>
      <c r="O718" s="303"/>
      <c r="P718" s="347">
        <f t="shared" si="24"/>
        <v>0</v>
      </c>
      <c r="Q718" s="303"/>
      <c r="R718" s="165">
        <f t="shared" si="23"/>
        <v>0</v>
      </c>
      <c r="S718" s="303"/>
      <c r="T718" s="348"/>
    </row>
    <row r="719" spans="1:20">
      <c r="A719" s="303"/>
      <c r="B719" s="303"/>
      <c r="C719" s="303"/>
      <c r="D719" s="303"/>
      <c r="E719" s="303"/>
      <c r="F719" s="303"/>
      <c r="G719" s="303"/>
      <c r="H719" s="303"/>
      <c r="I719" s="303"/>
      <c r="J719" s="303"/>
      <c r="K719" s="303"/>
      <c r="L719" s="303"/>
      <c r="M719" s="303"/>
      <c r="N719" s="303"/>
      <c r="O719" s="303"/>
      <c r="P719" s="347">
        <f t="shared" si="24"/>
        <v>0</v>
      </c>
      <c r="Q719" s="303"/>
      <c r="R719" s="165">
        <f t="shared" si="23"/>
        <v>0</v>
      </c>
      <c r="S719" s="303"/>
      <c r="T719" s="348"/>
    </row>
    <row r="720" spans="1:20">
      <c r="A720" s="303"/>
      <c r="B720" s="303"/>
      <c r="C720" s="303"/>
      <c r="D720" s="303"/>
      <c r="E720" s="303"/>
      <c r="F720" s="303"/>
      <c r="G720" s="303"/>
      <c r="H720" s="303"/>
      <c r="I720" s="303"/>
      <c r="J720" s="303"/>
      <c r="K720" s="303"/>
      <c r="L720" s="303"/>
      <c r="M720" s="303"/>
      <c r="N720" s="303"/>
      <c r="O720" s="303"/>
      <c r="P720" s="347">
        <f t="shared" si="24"/>
        <v>0</v>
      </c>
      <c r="Q720" s="303"/>
      <c r="R720" s="165">
        <f t="shared" si="23"/>
        <v>0</v>
      </c>
      <c r="S720" s="303"/>
      <c r="T720" s="348"/>
    </row>
    <row r="721" spans="1:20">
      <c r="A721" s="303"/>
      <c r="B721" s="303"/>
      <c r="C721" s="303"/>
      <c r="D721" s="303"/>
      <c r="E721" s="303"/>
      <c r="F721" s="303"/>
      <c r="G721" s="303"/>
      <c r="H721" s="303"/>
      <c r="I721" s="303"/>
      <c r="J721" s="303"/>
      <c r="K721" s="303"/>
      <c r="L721" s="303"/>
      <c r="M721" s="303"/>
      <c r="N721" s="303"/>
      <c r="O721" s="303"/>
      <c r="P721" s="347">
        <f t="shared" si="24"/>
        <v>0</v>
      </c>
      <c r="Q721" s="303"/>
      <c r="R721" s="165">
        <f t="shared" si="23"/>
        <v>0</v>
      </c>
      <c r="S721" s="303"/>
      <c r="T721" s="348"/>
    </row>
    <row r="722" spans="1:20">
      <c r="A722" s="303"/>
      <c r="B722" s="303"/>
      <c r="C722" s="303"/>
      <c r="D722" s="303"/>
      <c r="E722" s="303"/>
      <c r="F722" s="303"/>
      <c r="G722" s="303"/>
      <c r="H722" s="303"/>
      <c r="I722" s="303"/>
      <c r="J722" s="303"/>
      <c r="K722" s="303"/>
      <c r="L722" s="303"/>
      <c r="M722" s="303"/>
      <c r="N722" s="303"/>
      <c r="O722" s="303"/>
      <c r="P722" s="347">
        <f t="shared" si="24"/>
        <v>0</v>
      </c>
      <c r="Q722" s="303"/>
      <c r="R722" s="165">
        <f t="shared" si="23"/>
        <v>0</v>
      </c>
      <c r="S722" s="303"/>
      <c r="T722" s="348"/>
    </row>
    <row r="723" spans="1:20">
      <c r="A723" s="303"/>
      <c r="B723" s="303"/>
      <c r="C723" s="303"/>
      <c r="D723" s="303"/>
      <c r="E723" s="303"/>
      <c r="F723" s="303"/>
      <c r="G723" s="303"/>
      <c r="H723" s="303"/>
      <c r="I723" s="303"/>
      <c r="J723" s="303"/>
      <c r="K723" s="303"/>
      <c r="L723" s="303"/>
      <c r="M723" s="303"/>
      <c r="N723" s="303"/>
      <c r="O723" s="303"/>
      <c r="P723" s="347">
        <f t="shared" si="24"/>
        <v>0</v>
      </c>
      <c r="Q723" s="303"/>
      <c r="R723" s="165">
        <f t="shared" si="23"/>
        <v>0</v>
      </c>
      <c r="S723" s="303"/>
      <c r="T723" s="348"/>
    </row>
    <row r="724" spans="1:20">
      <c r="A724" s="303"/>
      <c r="B724" s="303"/>
      <c r="C724" s="303"/>
      <c r="D724" s="303"/>
      <c r="E724" s="303"/>
      <c r="F724" s="303"/>
      <c r="G724" s="303"/>
      <c r="H724" s="303"/>
      <c r="I724" s="303"/>
      <c r="J724" s="303"/>
      <c r="K724" s="303"/>
      <c r="L724" s="303"/>
      <c r="M724" s="303"/>
      <c r="N724" s="303"/>
      <c r="O724" s="303"/>
      <c r="P724" s="347">
        <f t="shared" si="24"/>
        <v>0</v>
      </c>
      <c r="Q724" s="303"/>
      <c r="R724" s="165">
        <f t="shared" si="23"/>
        <v>0</v>
      </c>
      <c r="S724" s="303"/>
      <c r="T724" s="348"/>
    </row>
    <row r="725" spans="1:20">
      <c r="A725" s="303"/>
      <c r="B725" s="303"/>
      <c r="C725" s="303"/>
      <c r="D725" s="303"/>
      <c r="E725" s="303"/>
      <c r="F725" s="303"/>
      <c r="G725" s="303"/>
      <c r="H725" s="303"/>
      <c r="I725" s="303"/>
      <c r="J725" s="303"/>
      <c r="K725" s="303"/>
      <c r="L725" s="303"/>
      <c r="M725" s="303"/>
      <c r="N725" s="303"/>
      <c r="O725" s="303"/>
      <c r="P725" s="347">
        <f t="shared" si="24"/>
        <v>0</v>
      </c>
      <c r="Q725" s="303"/>
      <c r="R725" s="165">
        <f t="shared" si="23"/>
        <v>0</v>
      </c>
      <c r="S725" s="303"/>
      <c r="T725" s="348"/>
    </row>
    <row r="726" spans="1:20">
      <c r="A726" s="303"/>
      <c r="B726" s="303"/>
      <c r="C726" s="303"/>
      <c r="D726" s="303"/>
      <c r="E726" s="303"/>
      <c r="F726" s="303"/>
      <c r="G726" s="303"/>
      <c r="H726" s="303"/>
      <c r="I726" s="303"/>
      <c r="J726" s="303"/>
      <c r="K726" s="303"/>
      <c r="L726" s="303"/>
      <c r="M726" s="303"/>
      <c r="N726" s="303"/>
      <c r="O726" s="303"/>
      <c r="P726" s="347">
        <f t="shared" si="24"/>
        <v>0</v>
      </c>
      <c r="Q726" s="303"/>
      <c r="R726" s="165">
        <f t="shared" si="23"/>
        <v>0</v>
      </c>
      <c r="S726" s="303"/>
      <c r="T726" s="348"/>
    </row>
    <row r="727" spans="1:20">
      <c r="A727" s="303"/>
      <c r="B727" s="303"/>
      <c r="C727" s="303"/>
      <c r="D727" s="303"/>
      <c r="E727" s="303"/>
      <c r="F727" s="303"/>
      <c r="G727" s="303"/>
      <c r="H727" s="303"/>
      <c r="I727" s="303"/>
      <c r="J727" s="303"/>
      <c r="K727" s="303"/>
      <c r="L727" s="303"/>
      <c r="M727" s="303"/>
      <c r="N727" s="303"/>
      <c r="O727" s="303"/>
      <c r="P727" s="347">
        <f t="shared" si="24"/>
        <v>0</v>
      </c>
      <c r="Q727" s="303"/>
      <c r="R727" s="165">
        <f t="shared" si="23"/>
        <v>0</v>
      </c>
      <c r="S727" s="303"/>
      <c r="T727" s="348"/>
    </row>
    <row r="728" spans="1:20">
      <c r="A728" s="303"/>
      <c r="B728" s="303"/>
      <c r="C728" s="303"/>
      <c r="D728" s="303"/>
      <c r="E728" s="303"/>
      <c r="F728" s="303"/>
      <c r="G728" s="303"/>
      <c r="H728" s="303"/>
      <c r="I728" s="303"/>
      <c r="J728" s="303"/>
      <c r="K728" s="303"/>
      <c r="L728" s="303"/>
      <c r="M728" s="303"/>
      <c r="N728" s="303"/>
      <c r="O728" s="303"/>
      <c r="P728" s="347">
        <f t="shared" si="24"/>
        <v>0</v>
      </c>
      <c r="Q728" s="303"/>
      <c r="R728" s="165">
        <f t="shared" si="23"/>
        <v>0</v>
      </c>
      <c r="S728" s="303"/>
      <c r="T728" s="348"/>
    </row>
    <row r="729" spans="1:20">
      <c r="A729" s="303"/>
      <c r="B729" s="303"/>
      <c r="C729" s="303"/>
      <c r="D729" s="303"/>
      <c r="E729" s="303"/>
      <c r="F729" s="303"/>
      <c r="G729" s="303"/>
      <c r="H729" s="303"/>
      <c r="I729" s="303"/>
      <c r="J729" s="303"/>
      <c r="K729" s="303"/>
      <c r="L729" s="303"/>
      <c r="M729" s="303"/>
      <c r="N729" s="303"/>
      <c r="O729" s="303"/>
      <c r="P729" s="347">
        <f t="shared" si="24"/>
        <v>0</v>
      </c>
      <c r="Q729" s="303"/>
      <c r="R729" s="165">
        <f t="shared" si="23"/>
        <v>0</v>
      </c>
      <c r="S729" s="303"/>
      <c r="T729" s="348"/>
    </row>
    <row r="730" spans="1:20">
      <c r="A730" s="303"/>
      <c r="B730" s="303"/>
      <c r="C730" s="303"/>
      <c r="D730" s="303"/>
      <c r="E730" s="303"/>
      <c r="F730" s="303"/>
      <c r="G730" s="303"/>
      <c r="H730" s="303"/>
      <c r="I730" s="303"/>
      <c r="J730" s="303"/>
      <c r="K730" s="303"/>
      <c r="L730" s="303"/>
      <c r="M730" s="303"/>
      <c r="N730" s="303"/>
      <c r="O730" s="303"/>
      <c r="P730" s="347">
        <f t="shared" si="24"/>
        <v>0</v>
      </c>
      <c r="Q730" s="303"/>
      <c r="R730" s="165">
        <f t="shared" ref="R730:R793" si="25">P730-Q730</f>
        <v>0</v>
      </c>
      <c r="S730" s="303"/>
      <c r="T730" s="348"/>
    </row>
    <row r="731" spans="1:20">
      <c r="A731" s="303"/>
      <c r="B731" s="303"/>
      <c r="C731" s="303"/>
      <c r="D731" s="303"/>
      <c r="E731" s="303"/>
      <c r="F731" s="303"/>
      <c r="G731" s="303"/>
      <c r="H731" s="303"/>
      <c r="I731" s="303"/>
      <c r="J731" s="303"/>
      <c r="K731" s="303"/>
      <c r="L731" s="303"/>
      <c r="M731" s="303"/>
      <c r="N731" s="303"/>
      <c r="O731" s="303"/>
      <c r="P731" s="347">
        <f t="shared" si="24"/>
        <v>0</v>
      </c>
      <c r="Q731" s="303"/>
      <c r="R731" s="165">
        <f t="shared" si="25"/>
        <v>0</v>
      </c>
      <c r="S731" s="303"/>
      <c r="T731" s="348"/>
    </row>
    <row r="732" spans="1:20">
      <c r="A732" s="303"/>
      <c r="B732" s="303"/>
      <c r="C732" s="303"/>
      <c r="D732" s="303"/>
      <c r="E732" s="303"/>
      <c r="F732" s="303"/>
      <c r="G732" s="303"/>
      <c r="H732" s="303"/>
      <c r="I732" s="303"/>
      <c r="J732" s="303"/>
      <c r="K732" s="303"/>
      <c r="L732" s="303"/>
      <c r="M732" s="303"/>
      <c r="N732" s="303"/>
      <c r="O732" s="303"/>
      <c r="P732" s="347">
        <f t="shared" si="24"/>
        <v>0</v>
      </c>
      <c r="Q732" s="303"/>
      <c r="R732" s="165">
        <f t="shared" si="25"/>
        <v>0</v>
      </c>
      <c r="S732" s="303"/>
      <c r="T732" s="348"/>
    </row>
    <row r="733" spans="1:20">
      <c r="A733" s="303"/>
      <c r="B733" s="303"/>
      <c r="C733" s="303"/>
      <c r="D733" s="303"/>
      <c r="E733" s="303"/>
      <c r="F733" s="303"/>
      <c r="G733" s="303"/>
      <c r="H733" s="303"/>
      <c r="I733" s="303"/>
      <c r="J733" s="303"/>
      <c r="K733" s="303"/>
      <c r="L733" s="303"/>
      <c r="M733" s="303"/>
      <c r="N733" s="303"/>
      <c r="O733" s="303"/>
      <c r="P733" s="347">
        <f t="shared" si="24"/>
        <v>0</v>
      </c>
      <c r="Q733" s="303"/>
      <c r="R733" s="165">
        <f t="shared" si="25"/>
        <v>0</v>
      </c>
      <c r="S733" s="303"/>
      <c r="T733" s="348"/>
    </row>
    <row r="734" spans="1:20">
      <c r="A734" s="303"/>
      <c r="B734" s="303"/>
      <c r="C734" s="303"/>
      <c r="D734" s="303"/>
      <c r="E734" s="303"/>
      <c r="F734" s="303"/>
      <c r="G734" s="303"/>
      <c r="H734" s="303"/>
      <c r="I734" s="303"/>
      <c r="J734" s="303"/>
      <c r="K734" s="303"/>
      <c r="L734" s="303"/>
      <c r="M734" s="303"/>
      <c r="N734" s="303"/>
      <c r="O734" s="303"/>
      <c r="P734" s="347">
        <f t="shared" si="24"/>
        <v>0</v>
      </c>
      <c r="Q734" s="303"/>
      <c r="R734" s="165">
        <f t="shared" si="25"/>
        <v>0</v>
      </c>
      <c r="S734" s="303"/>
      <c r="T734" s="348"/>
    </row>
    <row r="735" spans="1:20">
      <c r="A735" s="303"/>
      <c r="B735" s="303"/>
      <c r="C735" s="303"/>
      <c r="D735" s="303"/>
      <c r="E735" s="303"/>
      <c r="F735" s="303"/>
      <c r="G735" s="303"/>
      <c r="H735" s="303"/>
      <c r="I735" s="303"/>
      <c r="J735" s="303"/>
      <c r="K735" s="303"/>
      <c r="L735" s="303"/>
      <c r="M735" s="303"/>
      <c r="N735" s="303"/>
      <c r="O735" s="303"/>
      <c r="P735" s="347">
        <f t="shared" si="24"/>
        <v>0</v>
      </c>
      <c r="Q735" s="303"/>
      <c r="R735" s="165">
        <f t="shared" si="25"/>
        <v>0</v>
      </c>
      <c r="S735" s="303"/>
      <c r="T735" s="348"/>
    </row>
    <row r="736" spans="1:20">
      <c r="A736" s="303"/>
      <c r="B736" s="303"/>
      <c r="C736" s="303"/>
      <c r="D736" s="303"/>
      <c r="E736" s="303"/>
      <c r="F736" s="303"/>
      <c r="G736" s="303"/>
      <c r="H736" s="303"/>
      <c r="I736" s="303"/>
      <c r="J736" s="303"/>
      <c r="K736" s="303"/>
      <c r="L736" s="303"/>
      <c r="M736" s="303"/>
      <c r="N736" s="303"/>
      <c r="O736" s="303"/>
      <c r="P736" s="347">
        <f t="shared" si="24"/>
        <v>0</v>
      </c>
      <c r="Q736" s="303"/>
      <c r="R736" s="165">
        <f t="shared" si="25"/>
        <v>0</v>
      </c>
      <c r="S736" s="303"/>
      <c r="T736" s="348"/>
    </row>
    <row r="737" spans="1:20">
      <c r="A737" s="303"/>
      <c r="B737" s="303"/>
      <c r="C737" s="303"/>
      <c r="D737" s="303"/>
      <c r="E737" s="303"/>
      <c r="F737" s="303"/>
      <c r="G737" s="303"/>
      <c r="H737" s="303"/>
      <c r="I737" s="303"/>
      <c r="J737" s="303"/>
      <c r="K737" s="303"/>
      <c r="L737" s="303"/>
      <c r="M737" s="303"/>
      <c r="N737" s="303"/>
      <c r="O737" s="303"/>
      <c r="P737" s="347">
        <f t="shared" si="24"/>
        <v>0</v>
      </c>
      <c r="Q737" s="303"/>
      <c r="R737" s="165">
        <f t="shared" si="25"/>
        <v>0</v>
      </c>
      <c r="S737" s="303"/>
      <c r="T737" s="348"/>
    </row>
    <row r="738" spans="1:20">
      <c r="A738" s="303"/>
      <c r="B738" s="303"/>
      <c r="C738" s="303"/>
      <c r="D738" s="303"/>
      <c r="E738" s="303"/>
      <c r="F738" s="303"/>
      <c r="G738" s="303"/>
      <c r="H738" s="303"/>
      <c r="I738" s="303"/>
      <c r="J738" s="303"/>
      <c r="K738" s="303"/>
      <c r="L738" s="303"/>
      <c r="M738" s="303"/>
      <c r="N738" s="303"/>
      <c r="O738" s="303"/>
      <c r="P738" s="347">
        <f t="shared" si="24"/>
        <v>0</v>
      </c>
      <c r="Q738" s="303"/>
      <c r="R738" s="165">
        <f t="shared" si="25"/>
        <v>0</v>
      </c>
      <c r="S738" s="303"/>
      <c r="T738" s="348"/>
    </row>
    <row r="739" spans="1:20">
      <c r="A739" s="303"/>
      <c r="B739" s="303"/>
      <c r="C739" s="303"/>
      <c r="D739" s="303"/>
      <c r="E739" s="303"/>
      <c r="F739" s="303"/>
      <c r="G739" s="303"/>
      <c r="H739" s="303"/>
      <c r="I739" s="303"/>
      <c r="J739" s="303"/>
      <c r="K739" s="303"/>
      <c r="L739" s="303"/>
      <c r="M739" s="303"/>
      <c r="N739" s="303"/>
      <c r="O739" s="303"/>
      <c r="P739" s="347">
        <f t="shared" si="24"/>
        <v>0</v>
      </c>
      <c r="Q739" s="303"/>
      <c r="R739" s="165">
        <f t="shared" si="25"/>
        <v>0</v>
      </c>
      <c r="S739" s="303"/>
      <c r="T739" s="348"/>
    </row>
    <row r="740" spans="1:20">
      <c r="A740" s="303"/>
      <c r="B740" s="303"/>
      <c r="C740" s="303"/>
      <c r="D740" s="303"/>
      <c r="E740" s="303"/>
      <c r="F740" s="303"/>
      <c r="G740" s="303"/>
      <c r="H740" s="303"/>
      <c r="I740" s="303"/>
      <c r="J740" s="303"/>
      <c r="K740" s="303"/>
      <c r="L740" s="303"/>
      <c r="M740" s="303"/>
      <c r="N740" s="303"/>
      <c r="O740" s="303"/>
      <c r="P740" s="347">
        <f t="shared" si="24"/>
        <v>0</v>
      </c>
      <c r="Q740" s="303"/>
      <c r="R740" s="165">
        <f t="shared" si="25"/>
        <v>0</v>
      </c>
      <c r="S740" s="303"/>
      <c r="T740" s="348"/>
    </row>
    <row r="741" spans="1:20">
      <c r="A741" s="303"/>
      <c r="B741" s="303"/>
      <c r="C741" s="303"/>
      <c r="D741" s="303"/>
      <c r="E741" s="303"/>
      <c r="F741" s="303"/>
      <c r="G741" s="303"/>
      <c r="H741" s="303"/>
      <c r="I741" s="303"/>
      <c r="J741" s="303"/>
      <c r="K741" s="303"/>
      <c r="L741" s="303"/>
      <c r="M741" s="303"/>
      <c r="N741" s="303"/>
      <c r="O741" s="303"/>
      <c r="P741" s="347">
        <f t="shared" si="24"/>
        <v>0</v>
      </c>
      <c r="Q741" s="303"/>
      <c r="R741" s="165">
        <f t="shared" si="25"/>
        <v>0</v>
      </c>
      <c r="S741" s="303"/>
      <c r="T741" s="348"/>
    </row>
    <row r="742" spans="1:20">
      <c r="A742" s="303"/>
      <c r="B742" s="303"/>
      <c r="C742" s="303"/>
      <c r="D742" s="303"/>
      <c r="E742" s="303"/>
      <c r="F742" s="303"/>
      <c r="G742" s="303"/>
      <c r="H742" s="303"/>
      <c r="I742" s="303"/>
      <c r="J742" s="303"/>
      <c r="K742" s="303"/>
      <c r="L742" s="303"/>
      <c r="M742" s="303"/>
      <c r="N742" s="303"/>
      <c r="O742" s="303"/>
      <c r="P742" s="347">
        <f t="shared" si="24"/>
        <v>0</v>
      </c>
      <c r="Q742" s="303"/>
      <c r="R742" s="165">
        <f t="shared" si="25"/>
        <v>0</v>
      </c>
      <c r="S742" s="303"/>
      <c r="T742" s="348"/>
    </row>
    <row r="743" spans="1:20">
      <c r="A743" s="303"/>
      <c r="B743" s="303"/>
      <c r="C743" s="303"/>
      <c r="D743" s="303"/>
      <c r="E743" s="303"/>
      <c r="F743" s="303"/>
      <c r="G743" s="303"/>
      <c r="H743" s="303"/>
      <c r="I743" s="303"/>
      <c r="J743" s="303"/>
      <c r="K743" s="303"/>
      <c r="L743" s="303"/>
      <c r="M743" s="303"/>
      <c r="N743" s="303"/>
      <c r="O743" s="303"/>
      <c r="P743" s="347">
        <f t="shared" si="24"/>
        <v>0</v>
      </c>
      <c r="Q743" s="303"/>
      <c r="R743" s="165">
        <f t="shared" si="25"/>
        <v>0</v>
      </c>
      <c r="S743" s="303"/>
      <c r="T743" s="348"/>
    </row>
    <row r="744" spans="1:20">
      <c r="A744" s="303"/>
      <c r="B744" s="303"/>
      <c r="C744" s="303"/>
      <c r="D744" s="303"/>
      <c r="E744" s="303"/>
      <c r="F744" s="303"/>
      <c r="G744" s="303"/>
      <c r="H744" s="303"/>
      <c r="I744" s="303"/>
      <c r="J744" s="303"/>
      <c r="K744" s="303"/>
      <c r="L744" s="303"/>
      <c r="M744" s="303"/>
      <c r="N744" s="303"/>
      <c r="O744" s="303"/>
      <c r="P744" s="347">
        <f t="shared" si="24"/>
        <v>0</v>
      </c>
      <c r="Q744" s="303"/>
      <c r="R744" s="165">
        <f t="shared" si="25"/>
        <v>0</v>
      </c>
      <c r="S744" s="303"/>
      <c r="T744" s="348"/>
    </row>
    <row r="745" spans="1:20">
      <c r="A745" s="303"/>
      <c r="B745" s="303"/>
      <c r="C745" s="303"/>
      <c r="D745" s="303"/>
      <c r="E745" s="303"/>
      <c r="F745" s="303"/>
      <c r="G745" s="303"/>
      <c r="H745" s="303"/>
      <c r="I745" s="303"/>
      <c r="J745" s="303"/>
      <c r="K745" s="303"/>
      <c r="L745" s="303"/>
      <c r="M745" s="303"/>
      <c r="N745" s="303"/>
      <c r="O745" s="303"/>
      <c r="P745" s="347">
        <f t="shared" si="24"/>
        <v>0</v>
      </c>
      <c r="Q745" s="303"/>
      <c r="R745" s="165">
        <f t="shared" si="25"/>
        <v>0</v>
      </c>
      <c r="S745" s="303"/>
      <c r="T745" s="348"/>
    </row>
    <row r="746" spans="1:20">
      <c r="A746" s="303"/>
      <c r="B746" s="303"/>
      <c r="C746" s="303"/>
      <c r="D746" s="303"/>
      <c r="E746" s="303"/>
      <c r="F746" s="303"/>
      <c r="G746" s="303"/>
      <c r="H746" s="303"/>
      <c r="I746" s="303"/>
      <c r="J746" s="303"/>
      <c r="K746" s="303"/>
      <c r="L746" s="303"/>
      <c r="M746" s="303"/>
      <c r="N746" s="303"/>
      <c r="O746" s="303"/>
      <c r="P746" s="347">
        <f t="shared" si="24"/>
        <v>0</v>
      </c>
      <c r="Q746" s="303"/>
      <c r="R746" s="165">
        <f t="shared" si="25"/>
        <v>0</v>
      </c>
      <c r="S746" s="303"/>
      <c r="T746" s="348"/>
    </row>
    <row r="747" spans="1:20">
      <c r="A747" s="303"/>
      <c r="B747" s="303"/>
      <c r="C747" s="303"/>
      <c r="D747" s="303"/>
      <c r="E747" s="303"/>
      <c r="F747" s="303"/>
      <c r="G747" s="303"/>
      <c r="H747" s="303"/>
      <c r="I747" s="303"/>
      <c r="J747" s="303"/>
      <c r="K747" s="303"/>
      <c r="L747" s="303"/>
      <c r="M747" s="303"/>
      <c r="N747" s="303"/>
      <c r="O747" s="303"/>
      <c r="P747" s="347">
        <f t="shared" si="24"/>
        <v>0</v>
      </c>
      <c r="Q747" s="303"/>
      <c r="R747" s="165">
        <f t="shared" si="25"/>
        <v>0</v>
      </c>
      <c r="S747" s="303"/>
      <c r="T747" s="348"/>
    </row>
    <row r="748" spans="1:20">
      <c r="A748" s="303"/>
      <c r="B748" s="303"/>
      <c r="C748" s="303"/>
      <c r="D748" s="303"/>
      <c r="E748" s="303"/>
      <c r="F748" s="303"/>
      <c r="G748" s="303"/>
      <c r="H748" s="303"/>
      <c r="I748" s="303"/>
      <c r="J748" s="303"/>
      <c r="K748" s="303"/>
      <c r="L748" s="303"/>
      <c r="M748" s="303"/>
      <c r="N748" s="303"/>
      <c r="O748" s="303"/>
      <c r="P748" s="347">
        <f t="shared" si="24"/>
        <v>0</v>
      </c>
      <c r="Q748" s="303"/>
      <c r="R748" s="165">
        <f t="shared" si="25"/>
        <v>0</v>
      </c>
      <c r="S748" s="303"/>
      <c r="T748" s="348"/>
    </row>
    <row r="749" spans="1:20">
      <c r="A749" s="303"/>
      <c r="B749" s="303"/>
      <c r="C749" s="303"/>
      <c r="D749" s="303"/>
      <c r="E749" s="303"/>
      <c r="F749" s="303"/>
      <c r="G749" s="303"/>
      <c r="H749" s="303"/>
      <c r="I749" s="303"/>
      <c r="J749" s="303"/>
      <c r="K749" s="303"/>
      <c r="L749" s="303"/>
      <c r="M749" s="303"/>
      <c r="N749" s="303"/>
      <c r="O749" s="303"/>
      <c r="P749" s="347">
        <f t="shared" si="24"/>
        <v>0</v>
      </c>
      <c r="Q749" s="303"/>
      <c r="R749" s="165">
        <f t="shared" si="25"/>
        <v>0</v>
      </c>
      <c r="S749" s="303"/>
      <c r="T749" s="348"/>
    </row>
    <row r="750" spans="1:20">
      <c r="A750" s="303"/>
      <c r="B750" s="303"/>
      <c r="C750" s="303"/>
      <c r="D750" s="303"/>
      <c r="E750" s="303"/>
      <c r="F750" s="303"/>
      <c r="G750" s="303"/>
      <c r="H750" s="303"/>
      <c r="I750" s="303"/>
      <c r="J750" s="303"/>
      <c r="K750" s="303"/>
      <c r="L750" s="303"/>
      <c r="M750" s="303"/>
      <c r="N750" s="303"/>
      <c r="O750" s="303"/>
      <c r="P750" s="347">
        <f t="shared" si="24"/>
        <v>0</v>
      </c>
      <c r="Q750" s="303"/>
      <c r="R750" s="165">
        <f t="shared" si="25"/>
        <v>0</v>
      </c>
      <c r="S750" s="303"/>
      <c r="T750" s="348"/>
    </row>
    <row r="751" spans="1:20">
      <c r="A751" s="303"/>
      <c r="B751" s="303"/>
      <c r="C751" s="303"/>
      <c r="D751" s="303"/>
      <c r="E751" s="303"/>
      <c r="F751" s="303"/>
      <c r="G751" s="303"/>
      <c r="H751" s="303"/>
      <c r="I751" s="303"/>
      <c r="J751" s="303"/>
      <c r="K751" s="303"/>
      <c r="L751" s="303"/>
      <c r="M751" s="303"/>
      <c r="N751" s="303"/>
      <c r="O751" s="303"/>
      <c r="P751" s="347">
        <f t="shared" si="24"/>
        <v>0</v>
      </c>
      <c r="Q751" s="303"/>
      <c r="R751" s="165">
        <f t="shared" si="25"/>
        <v>0</v>
      </c>
      <c r="S751" s="303"/>
      <c r="T751" s="348"/>
    </row>
    <row r="752" spans="1:20">
      <c r="A752" s="303"/>
      <c r="B752" s="303"/>
      <c r="C752" s="303"/>
      <c r="D752" s="303"/>
      <c r="E752" s="303"/>
      <c r="F752" s="303"/>
      <c r="G752" s="303"/>
      <c r="H752" s="303"/>
      <c r="I752" s="303"/>
      <c r="J752" s="303"/>
      <c r="K752" s="303"/>
      <c r="L752" s="303"/>
      <c r="M752" s="303"/>
      <c r="N752" s="303"/>
      <c r="O752" s="303"/>
      <c r="P752" s="347">
        <f t="shared" si="24"/>
        <v>0</v>
      </c>
      <c r="Q752" s="303"/>
      <c r="R752" s="165">
        <f t="shared" si="25"/>
        <v>0</v>
      </c>
      <c r="S752" s="303"/>
      <c r="T752" s="348"/>
    </row>
    <row r="753" spans="1:20">
      <c r="A753" s="303"/>
      <c r="B753" s="303"/>
      <c r="C753" s="303"/>
      <c r="D753" s="303"/>
      <c r="E753" s="303"/>
      <c r="F753" s="303"/>
      <c r="G753" s="303"/>
      <c r="H753" s="303"/>
      <c r="I753" s="303"/>
      <c r="J753" s="303"/>
      <c r="K753" s="303"/>
      <c r="L753" s="303"/>
      <c r="M753" s="303"/>
      <c r="N753" s="303"/>
      <c r="O753" s="303"/>
      <c r="P753" s="347">
        <f t="shared" si="24"/>
        <v>0</v>
      </c>
      <c r="Q753" s="303"/>
      <c r="R753" s="165">
        <f t="shared" si="25"/>
        <v>0</v>
      </c>
      <c r="S753" s="303"/>
      <c r="T753" s="348"/>
    </row>
    <row r="754" spans="1:20">
      <c r="A754" s="303"/>
      <c r="B754" s="303"/>
      <c r="C754" s="303"/>
      <c r="D754" s="303"/>
      <c r="E754" s="303"/>
      <c r="F754" s="303"/>
      <c r="G754" s="303"/>
      <c r="H754" s="303"/>
      <c r="I754" s="303"/>
      <c r="J754" s="303"/>
      <c r="K754" s="303"/>
      <c r="L754" s="303"/>
      <c r="M754" s="303"/>
      <c r="N754" s="303"/>
      <c r="O754" s="303"/>
      <c r="P754" s="347">
        <f t="shared" si="24"/>
        <v>0</v>
      </c>
      <c r="Q754" s="303"/>
      <c r="R754" s="165">
        <f t="shared" si="25"/>
        <v>0</v>
      </c>
      <c r="S754" s="303"/>
      <c r="T754" s="348"/>
    </row>
    <row r="755" spans="1:20">
      <c r="A755" s="303"/>
      <c r="B755" s="303"/>
      <c r="C755" s="303"/>
      <c r="D755" s="303"/>
      <c r="E755" s="303"/>
      <c r="F755" s="303"/>
      <c r="G755" s="303"/>
      <c r="H755" s="303"/>
      <c r="I755" s="303"/>
      <c r="J755" s="303"/>
      <c r="K755" s="303"/>
      <c r="L755" s="303"/>
      <c r="M755" s="303"/>
      <c r="N755" s="303"/>
      <c r="O755" s="303"/>
      <c r="P755" s="347">
        <f t="shared" si="24"/>
        <v>0</v>
      </c>
      <c r="Q755" s="303"/>
      <c r="R755" s="165">
        <f t="shared" si="25"/>
        <v>0</v>
      </c>
      <c r="S755" s="303"/>
      <c r="T755" s="348"/>
    </row>
    <row r="756" spans="1:20">
      <c r="A756" s="303"/>
      <c r="B756" s="303"/>
      <c r="C756" s="303"/>
      <c r="D756" s="303"/>
      <c r="E756" s="303"/>
      <c r="F756" s="303"/>
      <c r="G756" s="303"/>
      <c r="H756" s="303"/>
      <c r="I756" s="303"/>
      <c r="J756" s="303"/>
      <c r="K756" s="303"/>
      <c r="L756" s="303"/>
      <c r="M756" s="303"/>
      <c r="N756" s="303"/>
      <c r="O756" s="303"/>
      <c r="P756" s="347">
        <f t="shared" ref="P756:P819" si="26">SUM(I756:O756)</f>
        <v>0</v>
      </c>
      <c r="Q756" s="303"/>
      <c r="R756" s="165">
        <f t="shared" si="25"/>
        <v>0</v>
      </c>
      <c r="S756" s="303"/>
      <c r="T756" s="348"/>
    </row>
    <row r="757" spans="1:20">
      <c r="A757" s="303"/>
      <c r="B757" s="303"/>
      <c r="C757" s="303"/>
      <c r="D757" s="303"/>
      <c r="E757" s="303"/>
      <c r="F757" s="303"/>
      <c r="G757" s="303"/>
      <c r="H757" s="303"/>
      <c r="I757" s="303"/>
      <c r="J757" s="303"/>
      <c r="K757" s="303"/>
      <c r="L757" s="303"/>
      <c r="M757" s="303"/>
      <c r="N757" s="303"/>
      <c r="O757" s="303"/>
      <c r="P757" s="347">
        <f t="shared" si="26"/>
        <v>0</v>
      </c>
      <c r="Q757" s="303"/>
      <c r="R757" s="165">
        <f t="shared" si="25"/>
        <v>0</v>
      </c>
      <c r="S757" s="303"/>
      <c r="T757" s="348"/>
    </row>
    <row r="758" spans="1:20">
      <c r="A758" s="303"/>
      <c r="B758" s="303"/>
      <c r="C758" s="303"/>
      <c r="D758" s="303"/>
      <c r="E758" s="303"/>
      <c r="F758" s="303"/>
      <c r="G758" s="303"/>
      <c r="H758" s="303"/>
      <c r="I758" s="303"/>
      <c r="J758" s="303"/>
      <c r="K758" s="303"/>
      <c r="L758" s="303"/>
      <c r="M758" s="303"/>
      <c r="N758" s="303"/>
      <c r="O758" s="303"/>
      <c r="P758" s="347">
        <f t="shared" si="26"/>
        <v>0</v>
      </c>
      <c r="Q758" s="303"/>
      <c r="R758" s="165">
        <f t="shared" si="25"/>
        <v>0</v>
      </c>
      <c r="S758" s="303"/>
      <c r="T758" s="348"/>
    </row>
    <row r="759" spans="1:20">
      <c r="A759" s="303"/>
      <c r="B759" s="303"/>
      <c r="C759" s="303"/>
      <c r="D759" s="303"/>
      <c r="E759" s="303"/>
      <c r="F759" s="303"/>
      <c r="G759" s="303"/>
      <c r="H759" s="303"/>
      <c r="I759" s="303"/>
      <c r="J759" s="303"/>
      <c r="K759" s="303"/>
      <c r="L759" s="303"/>
      <c r="M759" s="303"/>
      <c r="N759" s="303"/>
      <c r="O759" s="303"/>
      <c r="P759" s="347">
        <f t="shared" si="26"/>
        <v>0</v>
      </c>
      <c r="Q759" s="303"/>
      <c r="R759" s="165">
        <f t="shared" si="25"/>
        <v>0</v>
      </c>
      <c r="S759" s="303"/>
      <c r="T759" s="348"/>
    </row>
    <row r="760" spans="1:20">
      <c r="A760" s="303"/>
      <c r="B760" s="303"/>
      <c r="C760" s="303"/>
      <c r="D760" s="303"/>
      <c r="E760" s="303"/>
      <c r="F760" s="303"/>
      <c r="G760" s="303"/>
      <c r="H760" s="303"/>
      <c r="I760" s="303"/>
      <c r="J760" s="303"/>
      <c r="K760" s="303"/>
      <c r="L760" s="303"/>
      <c r="M760" s="303"/>
      <c r="N760" s="303"/>
      <c r="O760" s="303"/>
      <c r="P760" s="347">
        <f t="shared" si="26"/>
        <v>0</v>
      </c>
      <c r="Q760" s="303"/>
      <c r="R760" s="165">
        <f t="shared" si="25"/>
        <v>0</v>
      </c>
      <c r="S760" s="303"/>
      <c r="T760" s="348"/>
    </row>
    <row r="761" spans="1:20">
      <c r="A761" s="303"/>
      <c r="B761" s="303"/>
      <c r="C761" s="303"/>
      <c r="D761" s="303"/>
      <c r="E761" s="303"/>
      <c r="F761" s="303"/>
      <c r="G761" s="303"/>
      <c r="H761" s="303"/>
      <c r="I761" s="303"/>
      <c r="J761" s="303"/>
      <c r="K761" s="303"/>
      <c r="L761" s="303"/>
      <c r="M761" s="303"/>
      <c r="N761" s="303"/>
      <c r="O761" s="303"/>
      <c r="P761" s="347">
        <f t="shared" si="26"/>
        <v>0</v>
      </c>
      <c r="Q761" s="303"/>
      <c r="R761" s="165">
        <f t="shared" si="25"/>
        <v>0</v>
      </c>
      <c r="S761" s="303"/>
      <c r="T761" s="348"/>
    </row>
    <row r="762" spans="1:20">
      <c r="A762" s="303"/>
      <c r="B762" s="303"/>
      <c r="C762" s="303"/>
      <c r="D762" s="303"/>
      <c r="E762" s="303"/>
      <c r="F762" s="303"/>
      <c r="G762" s="303"/>
      <c r="H762" s="303"/>
      <c r="I762" s="303"/>
      <c r="J762" s="303"/>
      <c r="K762" s="303"/>
      <c r="L762" s="303"/>
      <c r="M762" s="303"/>
      <c r="N762" s="303"/>
      <c r="O762" s="303"/>
      <c r="P762" s="347">
        <f t="shared" si="26"/>
        <v>0</v>
      </c>
      <c r="Q762" s="303"/>
      <c r="R762" s="165">
        <f t="shared" si="25"/>
        <v>0</v>
      </c>
      <c r="S762" s="303"/>
      <c r="T762" s="348"/>
    </row>
    <row r="763" spans="1:20">
      <c r="A763" s="303"/>
      <c r="B763" s="303"/>
      <c r="C763" s="303"/>
      <c r="D763" s="303"/>
      <c r="E763" s="303"/>
      <c r="F763" s="303"/>
      <c r="G763" s="303"/>
      <c r="H763" s="303"/>
      <c r="I763" s="303"/>
      <c r="J763" s="303"/>
      <c r="K763" s="303"/>
      <c r="L763" s="303"/>
      <c r="M763" s="303"/>
      <c r="N763" s="303"/>
      <c r="O763" s="303"/>
      <c r="P763" s="347">
        <f t="shared" si="26"/>
        <v>0</v>
      </c>
      <c r="Q763" s="303"/>
      <c r="R763" s="165">
        <f t="shared" si="25"/>
        <v>0</v>
      </c>
      <c r="S763" s="303"/>
      <c r="T763" s="348"/>
    </row>
    <row r="764" spans="1:20">
      <c r="A764" s="303"/>
      <c r="B764" s="303"/>
      <c r="C764" s="303"/>
      <c r="D764" s="303"/>
      <c r="E764" s="303"/>
      <c r="F764" s="303"/>
      <c r="G764" s="303"/>
      <c r="H764" s="303"/>
      <c r="I764" s="303"/>
      <c r="J764" s="303"/>
      <c r="K764" s="303"/>
      <c r="L764" s="303"/>
      <c r="M764" s="303"/>
      <c r="N764" s="303"/>
      <c r="O764" s="303"/>
      <c r="P764" s="347">
        <f t="shared" si="26"/>
        <v>0</v>
      </c>
      <c r="Q764" s="303"/>
      <c r="R764" s="165">
        <f t="shared" si="25"/>
        <v>0</v>
      </c>
      <c r="S764" s="303"/>
      <c r="T764" s="348"/>
    </row>
    <row r="765" spans="1:20">
      <c r="A765" s="303"/>
      <c r="B765" s="303"/>
      <c r="C765" s="303"/>
      <c r="D765" s="303"/>
      <c r="E765" s="303"/>
      <c r="F765" s="303"/>
      <c r="G765" s="303"/>
      <c r="H765" s="303"/>
      <c r="I765" s="303"/>
      <c r="J765" s="303"/>
      <c r="K765" s="303"/>
      <c r="L765" s="303"/>
      <c r="M765" s="303"/>
      <c r="N765" s="303"/>
      <c r="O765" s="303"/>
      <c r="P765" s="347">
        <f t="shared" si="26"/>
        <v>0</v>
      </c>
      <c r="Q765" s="303"/>
      <c r="R765" s="165">
        <f t="shared" si="25"/>
        <v>0</v>
      </c>
      <c r="S765" s="303"/>
      <c r="T765" s="348"/>
    </row>
    <row r="766" spans="1:20">
      <c r="A766" s="303"/>
      <c r="B766" s="303"/>
      <c r="C766" s="303"/>
      <c r="D766" s="303"/>
      <c r="E766" s="303"/>
      <c r="F766" s="303"/>
      <c r="G766" s="303"/>
      <c r="H766" s="303"/>
      <c r="I766" s="303"/>
      <c r="J766" s="303"/>
      <c r="K766" s="303"/>
      <c r="L766" s="303"/>
      <c r="M766" s="303"/>
      <c r="N766" s="303"/>
      <c r="O766" s="303"/>
      <c r="P766" s="347">
        <f t="shared" si="26"/>
        <v>0</v>
      </c>
      <c r="Q766" s="303"/>
      <c r="R766" s="165">
        <f t="shared" si="25"/>
        <v>0</v>
      </c>
      <c r="S766" s="303"/>
      <c r="T766" s="348"/>
    </row>
    <row r="767" spans="1:20">
      <c r="A767" s="303"/>
      <c r="B767" s="303"/>
      <c r="C767" s="303"/>
      <c r="D767" s="303"/>
      <c r="E767" s="303"/>
      <c r="F767" s="303"/>
      <c r="G767" s="303"/>
      <c r="H767" s="303"/>
      <c r="I767" s="303"/>
      <c r="J767" s="303"/>
      <c r="K767" s="303"/>
      <c r="L767" s="303"/>
      <c r="M767" s="303"/>
      <c r="N767" s="303"/>
      <c r="O767" s="303"/>
      <c r="P767" s="347">
        <f t="shared" si="26"/>
        <v>0</v>
      </c>
      <c r="Q767" s="303"/>
      <c r="R767" s="165">
        <f t="shared" si="25"/>
        <v>0</v>
      </c>
      <c r="S767" s="303"/>
      <c r="T767" s="348"/>
    </row>
    <row r="768" spans="1:20">
      <c r="A768" s="303"/>
      <c r="B768" s="303"/>
      <c r="C768" s="303"/>
      <c r="D768" s="303"/>
      <c r="E768" s="303"/>
      <c r="F768" s="303"/>
      <c r="G768" s="303"/>
      <c r="H768" s="303"/>
      <c r="I768" s="303"/>
      <c r="J768" s="303"/>
      <c r="K768" s="303"/>
      <c r="L768" s="303"/>
      <c r="M768" s="303"/>
      <c r="N768" s="303"/>
      <c r="O768" s="303"/>
      <c r="P768" s="347">
        <f t="shared" si="26"/>
        <v>0</v>
      </c>
      <c r="Q768" s="303"/>
      <c r="R768" s="165">
        <f t="shared" si="25"/>
        <v>0</v>
      </c>
      <c r="S768" s="303"/>
      <c r="T768" s="348"/>
    </row>
    <row r="769" spans="1:20">
      <c r="A769" s="303"/>
      <c r="B769" s="303"/>
      <c r="C769" s="303"/>
      <c r="D769" s="303"/>
      <c r="E769" s="303"/>
      <c r="F769" s="303"/>
      <c r="G769" s="303"/>
      <c r="H769" s="303"/>
      <c r="I769" s="303"/>
      <c r="J769" s="303"/>
      <c r="K769" s="303"/>
      <c r="L769" s="303"/>
      <c r="M769" s="303"/>
      <c r="N769" s="303"/>
      <c r="O769" s="303"/>
      <c r="P769" s="347">
        <f t="shared" si="26"/>
        <v>0</v>
      </c>
      <c r="Q769" s="303"/>
      <c r="R769" s="165">
        <f t="shared" si="25"/>
        <v>0</v>
      </c>
      <c r="S769" s="303"/>
      <c r="T769" s="348"/>
    </row>
    <row r="770" spans="1:20">
      <c r="A770" s="303"/>
      <c r="B770" s="303"/>
      <c r="C770" s="303"/>
      <c r="D770" s="303"/>
      <c r="E770" s="303"/>
      <c r="F770" s="303"/>
      <c r="G770" s="303"/>
      <c r="H770" s="303"/>
      <c r="I770" s="303"/>
      <c r="J770" s="303"/>
      <c r="K770" s="303"/>
      <c r="L770" s="303"/>
      <c r="M770" s="303"/>
      <c r="N770" s="303"/>
      <c r="O770" s="303"/>
      <c r="P770" s="347">
        <f t="shared" si="26"/>
        <v>0</v>
      </c>
      <c r="Q770" s="303"/>
      <c r="R770" s="165">
        <f t="shared" si="25"/>
        <v>0</v>
      </c>
      <c r="S770" s="303"/>
      <c r="T770" s="348"/>
    </row>
    <row r="771" spans="1:20">
      <c r="A771" s="303"/>
      <c r="B771" s="303"/>
      <c r="C771" s="303"/>
      <c r="D771" s="303"/>
      <c r="E771" s="303"/>
      <c r="F771" s="303"/>
      <c r="G771" s="303"/>
      <c r="H771" s="303"/>
      <c r="I771" s="303"/>
      <c r="J771" s="303"/>
      <c r="K771" s="303"/>
      <c r="L771" s="303"/>
      <c r="M771" s="303"/>
      <c r="N771" s="303"/>
      <c r="O771" s="303"/>
      <c r="P771" s="347">
        <f t="shared" si="26"/>
        <v>0</v>
      </c>
      <c r="Q771" s="303"/>
      <c r="R771" s="165">
        <f t="shared" si="25"/>
        <v>0</v>
      </c>
      <c r="S771" s="303"/>
      <c r="T771" s="348"/>
    </row>
    <row r="772" spans="1:20">
      <c r="A772" s="303"/>
      <c r="B772" s="303"/>
      <c r="C772" s="303"/>
      <c r="D772" s="303"/>
      <c r="E772" s="303"/>
      <c r="F772" s="303"/>
      <c r="G772" s="303"/>
      <c r="H772" s="303"/>
      <c r="I772" s="303"/>
      <c r="J772" s="303"/>
      <c r="K772" s="303"/>
      <c r="L772" s="303"/>
      <c r="M772" s="303"/>
      <c r="N772" s="303"/>
      <c r="O772" s="303"/>
      <c r="P772" s="347">
        <f t="shared" si="26"/>
        <v>0</v>
      </c>
      <c r="Q772" s="303"/>
      <c r="R772" s="165">
        <f t="shared" si="25"/>
        <v>0</v>
      </c>
      <c r="S772" s="303"/>
      <c r="T772" s="348"/>
    </row>
    <row r="773" spans="1:20">
      <c r="A773" s="303"/>
      <c r="B773" s="303"/>
      <c r="C773" s="303"/>
      <c r="D773" s="303"/>
      <c r="E773" s="303"/>
      <c r="F773" s="303"/>
      <c r="G773" s="303"/>
      <c r="H773" s="303"/>
      <c r="I773" s="303"/>
      <c r="J773" s="303"/>
      <c r="K773" s="303"/>
      <c r="L773" s="303"/>
      <c r="M773" s="303"/>
      <c r="N773" s="303"/>
      <c r="O773" s="303"/>
      <c r="P773" s="347">
        <f t="shared" si="26"/>
        <v>0</v>
      </c>
      <c r="Q773" s="303"/>
      <c r="R773" s="165">
        <f t="shared" si="25"/>
        <v>0</v>
      </c>
      <c r="S773" s="303"/>
      <c r="T773" s="348"/>
    </row>
    <row r="774" spans="1:20">
      <c r="A774" s="303"/>
      <c r="B774" s="303"/>
      <c r="C774" s="303"/>
      <c r="D774" s="303"/>
      <c r="E774" s="303"/>
      <c r="F774" s="303"/>
      <c r="G774" s="303"/>
      <c r="H774" s="303"/>
      <c r="I774" s="303"/>
      <c r="J774" s="303"/>
      <c r="K774" s="303"/>
      <c r="L774" s="303"/>
      <c r="M774" s="303"/>
      <c r="N774" s="303"/>
      <c r="O774" s="303"/>
      <c r="P774" s="347">
        <f t="shared" si="26"/>
        <v>0</v>
      </c>
      <c r="Q774" s="303"/>
      <c r="R774" s="165">
        <f t="shared" si="25"/>
        <v>0</v>
      </c>
      <c r="S774" s="303"/>
      <c r="T774" s="348"/>
    </row>
    <row r="775" spans="1:20">
      <c r="A775" s="303"/>
      <c r="B775" s="303"/>
      <c r="C775" s="303"/>
      <c r="D775" s="303"/>
      <c r="E775" s="303"/>
      <c r="F775" s="303"/>
      <c r="G775" s="303"/>
      <c r="H775" s="303"/>
      <c r="I775" s="303"/>
      <c r="J775" s="303"/>
      <c r="K775" s="303"/>
      <c r="L775" s="303"/>
      <c r="M775" s="303"/>
      <c r="N775" s="303"/>
      <c r="O775" s="303"/>
      <c r="P775" s="347">
        <f t="shared" si="26"/>
        <v>0</v>
      </c>
      <c r="Q775" s="303"/>
      <c r="R775" s="165">
        <f t="shared" si="25"/>
        <v>0</v>
      </c>
      <c r="S775" s="303"/>
      <c r="T775" s="348"/>
    </row>
    <row r="776" spans="1:20">
      <c r="A776" s="303"/>
      <c r="B776" s="303"/>
      <c r="C776" s="303"/>
      <c r="D776" s="303"/>
      <c r="E776" s="303"/>
      <c r="F776" s="303"/>
      <c r="G776" s="303"/>
      <c r="H776" s="303"/>
      <c r="I776" s="303"/>
      <c r="J776" s="303"/>
      <c r="K776" s="303"/>
      <c r="L776" s="303"/>
      <c r="M776" s="303"/>
      <c r="N776" s="303"/>
      <c r="O776" s="303"/>
      <c r="P776" s="347">
        <f t="shared" si="26"/>
        <v>0</v>
      </c>
      <c r="Q776" s="303"/>
      <c r="R776" s="165">
        <f t="shared" si="25"/>
        <v>0</v>
      </c>
      <c r="S776" s="303"/>
      <c r="T776" s="348"/>
    </row>
    <row r="777" spans="1:20">
      <c r="A777" s="303"/>
      <c r="B777" s="303"/>
      <c r="C777" s="303"/>
      <c r="D777" s="303"/>
      <c r="E777" s="303"/>
      <c r="F777" s="303"/>
      <c r="G777" s="303"/>
      <c r="H777" s="303"/>
      <c r="I777" s="303"/>
      <c r="J777" s="303"/>
      <c r="K777" s="303"/>
      <c r="L777" s="303"/>
      <c r="M777" s="303"/>
      <c r="N777" s="303"/>
      <c r="O777" s="303"/>
      <c r="P777" s="347">
        <f t="shared" si="26"/>
        <v>0</v>
      </c>
      <c r="Q777" s="303"/>
      <c r="R777" s="165">
        <f t="shared" si="25"/>
        <v>0</v>
      </c>
      <c r="S777" s="303"/>
      <c r="T777" s="348"/>
    </row>
    <row r="778" spans="1:20">
      <c r="A778" s="303"/>
      <c r="B778" s="303"/>
      <c r="C778" s="303"/>
      <c r="D778" s="303"/>
      <c r="E778" s="303"/>
      <c r="F778" s="303"/>
      <c r="G778" s="303"/>
      <c r="H778" s="303"/>
      <c r="I778" s="303"/>
      <c r="J778" s="303"/>
      <c r="K778" s="303"/>
      <c r="L778" s="303"/>
      <c r="M778" s="303"/>
      <c r="N778" s="303"/>
      <c r="O778" s="303"/>
      <c r="P778" s="347">
        <f t="shared" si="26"/>
        <v>0</v>
      </c>
      <c r="Q778" s="303"/>
      <c r="R778" s="165">
        <f t="shared" si="25"/>
        <v>0</v>
      </c>
      <c r="S778" s="303"/>
      <c r="T778" s="348"/>
    </row>
    <row r="779" spans="1:20">
      <c r="A779" s="303"/>
      <c r="B779" s="303"/>
      <c r="C779" s="303"/>
      <c r="D779" s="303"/>
      <c r="E779" s="303"/>
      <c r="F779" s="303"/>
      <c r="G779" s="303"/>
      <c r="H779" s="303"/>
      <c r="I779" s="303"/>
      <c r="J779" s="303"/>
      <c r="K779" s="303"/>
      <c r="L779" s="303"/>
      <c r="M779" s="303"/>
      <c r="N779" s="303"/>
      <c r="O779" s="303"/>
      <c r="P779" s="347">
        <f t="shared" si="26"/>
        <v>0</v>
      </c>
      <c r="Q779" s="303"/>
      <c r="R779" s="165">
        <f t="shared" si="25"/>
        <v>0</v>
      </c>
      <c r="S779" s="303"/>
      <c r="T779" s="348"/>
    </row>
    <row r="780" spans="1:20">
      <c r="A780" s="303"/>
      <c r="B780" s="303"/>
      <c r="C780" s="303"/>
      <c r="D780" s="303"/>
      <c r="E780" s="303"/>
      <c r="F780" s="303"/>
      <c r="G780" s="303"/>
      <c r="H780" s="303"/>
      <c r="I780" s="303"/>
      <c r="J780" s="303"/>
      <c r="K780" s="303"/>
      <c r="L780" s="303"/>
      <c r="M780" s="303"/>
      <c r="N780" s="303"/>
      <c r="O780" s="303"/>
      <c r="P780" s="347">
        <f t="shared" si="26"/>
        <v>0</v>
      </c>
      <c r="Q780" s="303"/>
      <c r="R780" s="165">
        <f t="shared" si="25"/>
        <v>0</v>
      </c>
      <c r="S780" s="303"/>
      <c r="T780" s="348"/>
    </row>
    <row r="781" spans="1:20">
      <c r="A781" s="303"/>
      <c r="B781" s="303"/>
      <c r="C781" s="303"/>
      <c r="D781" s="303"/>
      <c r="E781" s="303"/>
      <c r="F781" s="303"/>
      <c r="G781" s="303"/>
      <c r="H781" s="303"/>
      <c r="I781" s="303"/>
      <c r="J781" s="303"/>
      <c r="K781" s="303"/>
      <c r="L781" s="303"/>
      <c r="M781" s="303"/>
      <c r="N781" s="303"/>
      <c r="O781" s="303"/>
      <c r="P781" s="347">
        <f t="shared" si="26"/>
        <v>0</v>
      </c>
      <c r="Q781" s="303"/>
      <c r="R781" s="165">
        <f t="shared" si="25"/>
        <v>0</v>
      </c>
      <c r="S781" s="303"/>
      <c r="T781" s="348"/>
    </row>
    <row r="782" spans="1:20">
      <c r="A782" s="303"/>
      <c r="B782" s="303"/>
      <c r="C782" s="303"/>
      <c r="D782" s="303"/>
      <c r="E782" s="303"/>
      <c r="F782" s="303"/>
      <c r="G782" s="303"/>
      <c r="H782" s="303"/>
      <c r="I782" s="303"/>
      <c r="J782" s="303"/>
      <c r="K782" s="303"/>
      <c r="L782" s="303"/>
      <c r="M782" s="303"/>
      <c r="N782" s="303"/>
      <c r="O782" s="303"/>
      <c r="P782" s="347">
        <f t="shared" si="26"/>
        <v>0</v>
      </c>
      <c r="Q782" s="303"/>
      <c r="R782" s="165">
        <f t="shared" si="25"/>
        <v>0</v>
      </c>
      <c r="S782" s="303"/>
      <c r="T782" s="348"/>
    </row>
    <row r="783" spans="1:20">
      <c r="A783" s="303"/>
      <c r="B783" s="303"/>
      <c r="C783" s="303"/>
      <c r="D783" s="303"/>
      <c r="E783" s="303"/>
      <c r="F783" s="303"/>
      <c r="G783" s="303"/>
      <c r="H783" s="303"/>
      <c r="I783" s="303"/>
      <c r="J783" s="303"/>
      <c r="K783" s="303"/>
      <c r="L783" s="303"/>
      <c r="M783" s="303"/>
      <c r="N783" s="303"/>
      <c r="O783" s="303"/>
      <c r="P783" s="347">
        <f t="shared" si="26"/>
        <v>0</v>
      </c>
      <c r="Q783" s="303"/>
      <c r="R783" s="165">
        <f t="shared" si="25"/>
        <v>0</v>
      </c>
      <c r="S783" s="303"/>
      <c r="T783" s="348"/>
    </row>
    <row r="784" spans="1:20">
      <c r="A784" s="303"/>
      <c r="B784" s="303"/>
      <c r="C784" s="303"/>
      <c r="D784" s="303"/>
      <c r="E784" s="303"/>
      <c r="F784" s="303"/>
      <c r="G784" s="303"/>
      <c r="H784" s="303"/>
      <c r="I784" s="303"/>
      <c r="J784" s="303"/>
      <c r="K784" s="303"/>
      <c r="L784" s="303"/>
      <c r="M784" s="303"/>
      <c r="N784" s="303"/>
      <c r="O784" s="303"/>
      <c r="P784" s="347">
        <f t="shared" si="26"/>
        <v>0</v>
      </c>
      <c r="Q784" s="303"/>
      <c r="R784" s="165">
        <f t="shared" si="25"/>
        <v>0</v>
      </c>
      <c r="S784" s="303"/>
      <c r="T784" s="348"/>
    </row>
    <row r="785" spans="1:20">
      <c r="A785" s="303"/>
      <c r="B785" s="303"/>
      <c r="C785" s="303"/>
      <c r="D785" s="303"/>
      <c r="E785" s="303"/>
      <c r="F785" s="303"/>
      <c r="G785" s="303"/>
      <c r="H785" s="303"/>
      <c r="I785" s="303"/>
      <c r="J785" s="303"/>
      <c r="K785" s="303"/>
      <c r="L785" s="303"/>
      <c r="M785" s="303"/>
      <c r="N785" s="303"/>
      <c r="O785" s="303"/>
      <c r="P785" s="347">
        <f t="shared" si="26"/>
        <v>0</v>
      </c>
      <c r="Q785" s="303"/>
      <c r="R785" s="165">
        <f t="shared" si="25"/>
        <v>0</v>
      </c>
      <c r="S785" s="303"/>
      <c r="T785" s="348"/>
    </row>
    <row r="786" spans="1:20">
      <c r="A786" s="303"/>
      <c r="B786" s="303"/>
      <c r="C786" s="303"/>
      <c r="D786" s="303"/>
      <c r="E786" s="303"/>
      <c r="F786" s="303"/>
      <c r="G786" s="303"/>
      <c r="H786" s="303"/>
      <c r="I786" s="303"/>
      <c r="J786" s="303"/>
      <c r="K786" s="303"/>
      <c r="L786" s="303"/>
      <c r="M786" s="303"/>
      <c r="N786" s="303"/>
      <c r="O786" s="303"/>
      <c r="P786" s="347">
        <f t="shared" si="26"/>
        <v>0</v>
      </c>
      <c r="Q786" s="303"/>
      <c r="R786" s="165">
        <f t="shared" si="25"/>
        <v>0</v>
      </c>
      <c r="S786" s="303"/>
      <c r="T786" s="348"/>
    </row>
    <row r="787" spans="1:20">
      <c r="A787" s="303"/>
      <c r="B787" s="303"/>
      <c r="C787" s="303"/>
      <c r="D787" s="303"/>
      <c r="E787" s="303"/>
      <c r="F787" s="303"/>
      <c r="G787" s="303"/>
      <c r="H787" s="303"/>
      <c r="I787" s="303"/>
      <c r="J787" s="303"/>
      <c r="K787" s="303"/>
      <c r="L787" s="303"/>
      <c r="M787" s="303"/>
      <c r="N787" s="303"/>
      <c r="O787" s="303"/>
      <c r="P787" s="347">
        <f t="shared" si="26"/>
        <v>0</v>
      </c>
      <c r="Q787" s="303"/>
      <c r="R787" s="165">
        <f t="shared" si="25"/>
        <v>0</v>
      </c>
      <c r="S787" s="303"/>
      <c r="T787" s="348"/>
    </row>
    <row r="788" spans="1:20">
      <c r="A788" s="303"/>
      <c r="B788" s="303"/>
      <c r="C788" s="303"/>
      <c r="D788" s="303"/>
      <c r="E788" s="303"/>
      <c r="F788" s="303"/>
      <c r="G788" s="303"/>
      <c r="H788" s="303"/>
      <c r="I788" s="303"/>
      <c r="J788" s="303"/>
      <c r="K788" s="303"/>
      <c r="L788" s="303"/>
      <c r="M788" s="303"/>
      <c r="N788" s="303"/>
      <c r="O788" s="303"/>
      <c r="P788" s="347">
        <f t="shared" si="26"/>
        <v>0</v>
      </c>
      <c r="Q788" s="303"/>
      <c r="R788" s="165">
        <f t="shared" si="25"/>
        <v>0</v>
      </c>
      <c r="S788" s="303"/>
      <c r="T788" s="348"/>
    </row>
    <row r="789" spans="1:20">
      <c r="A789" s="303"/>
      <c r="B789" s="303"/>
      <c r="C789" s="303"/>
      <c r="D789" s="303"/>
      <c r="E789" s="303"/>
      <c r="F789" s="303"/>
      <c r="G789" s="303"/>
      <c r="H789" s="303"/>
      <c r="I789" s="303"/>
      <c r="J789" s="303"/>
      <c r="K789" s="303"/>
      <c r="L789" s="303"/>
      <c r="M789" s="303"/>
      <c r="N789" s="303"/>
      <c r="O789" s="303"/>
      <c r="P789" s="347">
        <f t="shared" si="26"/>
        <v>0</v>
      </c>
      <c r="Q789" s="303"/>
      <c r="R789" s="165">
        <f t="shared" si="25"/>
        <v>0</v>
      </c>
      <c r="S789" s="303"/>
      <c r="T789" s="348"/>
    </row>
    <row r="790" spans="1:20">
      <c r="A790" s="303"/>
      <c r="B790" s="303"/>
      <c r="C790" s="303"/>
      <c r="D790" s="303"/>
      <c r="E790" s="303"/>
      <c r="F790" s="303"/>
      <c r="G790" s="303"/>
      <c r="H790" s="303"/>
      <c r="I790" s="303"/>
      <c r="J790" s="303"/>
      <c r="K790" s="303"/>
      <c r="L790" s="303"/>
      <c r="M790" s="303"/>
      <c r="N790" s="303"/>
      <c r="O790" s="303"/>
      <c r="P790" s="347">
        <f t="shared" si="26"/>
        <v>0</v>
      </c>
      <c r="Q790" s="303"/>
      <c r="R790" s="165">
        <f t="shared" si="25"/>
        <v>0</v>
      </c>
      <c r="S790" s="303"/>
      <c r="T790" s="348"/>
    </row>
    <row r="791" spans="1:20">
      <c r="A791" s="303"/>
      <c r="B791" s="303"/>
      <c r="C791" s="303"/>
      <c r="D791" s="303"/>
      <c r="E791" s="303"/>
      <c r="F791" s="303"/>
      <c r="G791" s="303"/>
      <c r="H791" s="303"/>
      <c r="I791" s="303"/>
      <c r="J791" s="303"/>
      <c r="K791" s="303"/>
      <c r="L791" s="303"/>
      <c r="M791" s="303"/>
      <c r="N791" s="303"/>
      <c r="O791" s="303"/>
      <c r="P791" s="347">
        <f t="shared" si="26"/>
        <v>0</v>
      </c>
      <c r="Q791" s="303"/>
      <c r="R791" s="165">
        <f t="shared" si="25"/>
        <v>0</v>
      </c>
      <c r="S791" s="303"/>
      <c r="T791" s="348"/>
    </row>
    <row r="792" spans="1:20">
      <c r="A792" s="303"/>
      <c r="B792" s="303"/>
      <c r="C792" s="303"/>
      <c r="D792" s="303"/>
      <c r="E792" s="303"/>
      <c r="F792" s="303"/>
      <c r="G792" s="303"/>
      <c r="H792" s="303"/>
      <c r="I792" s="303"/>
      <c r="J792" s="303"/>
      <c r="K792" s="303"/>
      <c r="L792" s="303"/>
      <c r="M792" s="303"/>
      <c r="N792" s="303"/>
      <c r="O792" s="303"/>
      <c r="P792" s="347">
        <f t="shared" si="26"/>
        <v>0</v>
      </c>
      <c r="Q792" s="303"/>
      <c r="R792" s="165">
        <f t="shared" si="25"/>
        <v>0</v>
      </c>
      <c r="S792" s="303"/>
      <c r="T792" s="348"/>
    </row>
    <row r="793" spans="1:20">
      <c r="A793" s="303"/>
      <c r="B793" s="303"/>
      <c r="C793" s="303"/>
      <c r="D793" s="303"/>
      <c r="E793" s="303"/>
      <c r="F793" s="303"/>
      <c r="G793" s="303"/>
      <c r="H793" s="303"/>
      <c r="I793" s="303"/>
      <c r="J793" s="303"/>
      <c r="K793" s="303"/>
      <c r="L793" s="303"/>
      <c r="M793" s="303"/>
      <c r="N793" s="303"/>
      <c r="O793" s="303"/>
      <c r="P793" s="347">
        <f t="shared" si="26"/>
        <v>0</v>
      </c>
      <c r="Q793" s="303"/>
      <c r="R793" s="165">
        <f t="shared" si="25"/>
        <v>0</v>
      </c>
      <c r="S793" s="303"/>
      <c r="T793" s="348"/>
    </row>
    <row r="794" spans="1:20">
      <c r="A794" s="303"/>
      <c r="B794" s="303"/>
      <c r="C794" s="303"/>
      <c r="D794" s="303"/>
      <c r="E794" s="303"/>
      <c r="F794" s="303"/>
      <c r="G794" s="303"/>
      <c r="H794" s="303"/>
      <c r="I794" s="303"/>
      <c r="J794" s="303"/>
      <c r="K794" s="303"/>
      <c r="L794" s="303"/>
      <c r="M794" s="303"/>
      <c r="N794" s="303"/>
      <c r="O794" s="303"/>
      <c r="P794" s="347">
        <f t="shared" si="26"/>
        <v>0</v>
      </c>
      <c r="Q794" s="303"/>
      <c r="R794" s="165">
        <f t="shared" ref="R794:R857" si="27">P794-Q794</f>
        <v>0</v>
      </c>
      <c r="S794" s="303"/>
      <c r="T794" s="348"/>
    </row>
    <row r="795" spans="1:20">
      <c r="A795" s="303"/>
      <c r="B795" s="303"/>
      <c r="C795" s="303"/>
      <c r="D795" s="303"/>
      <c r="E795" s="303"/>
      <c r="F795" s="303"/>
      <c r="G795" s="303"/>
      <c r="H795" s="303"/>
      <c r="I795" s="303"/>
      <c r="J795" s="303"/>
      <c r="K795" s="303"/>
      <c r="L795" s="303"/>
      <c r="M795" s="303"/>
      <c r="N795" s="303"/>
      <c r="O795" s="303"/>
      <c r="P795" s="347">
        <f t="shared" si="26"/>
        <v>0</v>
      </c>
      <c r="Q795" s="303"/>
      <c r="R795" s="165">
        <f t="shared" si="27"/>
        <v>0</v>
      </c>
      <c r="S795" s="303"/>
      <c r="T795" s="348"/>
    </row>
    <row r="796" spans="1:20">
      <c r="A796" s="303"/>
      <c r="B796" s="303"/>
      <c r="C796" s="303"/>
      <c r="D796" s="303"/>
      <c r="E796" s="303"/>
      <c r="F796" s="303"/>
      <c r="G796" s="303"/>
      <c r="H796" s="303"/>
      <c r="I796" s="303"/>
      <c r="J796" s="303"/>
      <c r="K796" s="303"/>
      <c r="L796" s="303"/>
      <c r="M796" s="303"/>
      <c r="N796" s="303"/>
      <c r="O796" s="303"/>
      <c r="P796" s="347">
        <f t="shared" si="26"/>
        <v>0</v>
      </c>
      <c r="Q796" s="303"/>
      <c r="R796" s="165">
        <f t="shared" si="27"/>
        <v>0</v>
      </c>
      <c r="S796" s="303"/>
      <c r="T796" s="348"/>
    </row>
    <row r="797" spans="1:20">
      <c r="A797" s="303"/>
      <c r="B797" s="303"/>
      <c r="C797" s="303"/>
      <c r="D797" s="303"/>
      <c r="E797" s="303"/>
      <c r="F797" s="303"/>
      <c r="G797" s="303"/>
      <c r="H797" s="303"/>
      <c r="I797" s="303"/>
      <c r="J797" s="303"/>
      <c r="K797" s="303"/>
      <c r="L797" s="303"/>
      <c r="M797" s="303"/>
      <c r="N797" s="303"/>
      <c r="O797" s="303"/>
      <c r="P797" s="347">
        <f t="shared" si="26"/>
        <v>0</v>
      </c>
      <c r="Q797" s="303"/>
      <c r="R797" s="165">
        <f t="shared" si="27"/>
        <v>0</v>
      </c>
      <c r="S797" s="303"/>
      <c r="T797" s="348"/>
    </row>
    <row r="798" spans="1:20">
      <c r="A798" s="303"/>
      <c r="B798" s="303"/>
      <c r="C798" s="303"/>
      <c r="D798" s="303"/>
      <c r="E798" s="303"/>
      <c r="F798" s="303"/>
      <c r="G798" s="303"/>
      <c r="H798" s="303"/>
      <c r="I798" s="303"/>
      <c r="J798" s="303"/>
      <c r="K798" s="303"/>
      <c r="L798" s="303"/>
      <c r="M798" s="303"/>
      <c r="N798" s="303"/>
      <c r="O798" s="303"/>
      <c r="P798" s="347">
        <f t="shared" si="26"/>
        <v>0</v>
      </c>
      <c r="Q798" s="303"/>
      <c r="R798" s="165">
        <f t="shared" si="27"/>
        <v>0</v>
      </c>
      <c r="S798" s="303"/>
      <c r="T798" s="348"/>
    </row>
    <row r="799" spans="1:20">
      <c r="A799" s="303"/>
      <c r="B799" s="303"/>
      <c r="C799" s="303"/>
      <c r="D799" s="303"/>
      <c r="E799" s="303"/>
      <c r="F799" s="303"/>
      <c r="G799" s="303"/>
      <c r="H799" s="303"/>
      <c r="I799" s="303"/>
      <c r="J799" s="303"/>
      <c r="K799" s="303"/>
      <c r="L799" s="303"/>
      <c r="M799" s="303"/>
      <c r="N799" s="303"/>
      <c r="O799" s="303"/>
      <c r="P799" s="347">
        <f t="shared" si="26"/>
        <v>0</v>
      </c>
      <c r="Q799" s="303"/>
      <c r="R799" s="165">
        <f t="shared" si="27"/>
        <v>0</v>
      </c>
      <c r="S799" s="303"/>
      <c r="T799" s="348"/>
    </row>
    <row r="800" spans="1:20">
      <c r="A800" s="303"/>
      <c r="B800" s="303"/>
      <c r="C800" s="303"/>
      <c r="D800" s="303"/>
      <c r="E800" s="303"/>
      <c r="F800" s="303"/>
      <c r="G800" s="303"/>
      <c r="H800" s="303"/>
      <c r="I800" s="303"/>
      <c r="J800" s="303"/>
      <c r="K800" s="303"/>
      <c r="L800" s="303"/>
      <c r="M800" s="303"/>
      <c r="N800" s="303"/>
      <c r="O800" s="303"/>
      <c r="P800" s="347">
        <f t="shared" si="26"/>
        <v>0</v>
      </c>
      <c r="Q800" s="303"/>
      <c r="R800" s="165">
        <f t="shared" si="27"/>
        <v>0</v>
      </c>
      <c r="S800" s="303"/>
      <c r="T800" s="348"/>
    </row>
    <row r="801" spans="1:20">
      <c r="A801" s="303"/>
      <c r="B801" s="303"/>
      <c r="C801" s="303"/>
      <c r="D801" s="303"/>
      <c r="E801" s="303"/>
      <c r="F801" s="303"/>
      <c r="G801" s="303"/>
      <c r="H801" s="303"/>
      <c r="I801" s="303"/>
      <c r="J801" s="303"/>
      <c r="K801" s="303"/>
      <c r="L801" s="303"/>
      <c r="M801" s="303"/>
      <c r="N801" s="303"/>
      <c r="O801" s="303"/>
      <c r="P801" s="347">
        <f t="shared" si="26"/>
        <v>0</v>
      </c>
      <c r="Q801" s="303"/>
      <c r="R801" s="165">
        <f t="shared" si="27"/>
        <v>0</v>
      </c>
      <c r="S801" s="303"/>
      <c r="T801" s="348"/>
    </row>
    <row r="802" spans="1:20">
      <c r="A802" s="303"/>
      <c r="B802" s="303"/>
      <c r="C802" s="303"/>
      <c r="D802" s="303"/>
      <c r="E802" s="303"/>
      <c r="F802" s="303"/>
      <c r="G802" s="303"/>
      <c r="H802" s="303"/>
      <c r="I802" s="303"/>
      <c r="J802" s="303"/>
      <c r="K802" s="303"/>
      <c r="L802" s="303"/>
      <c r="M802" s="303"/>
      <c r="N802" s="303"/>
      <c r="O802" s="303"/>
      <c r="P802" s="347">
        <f t="shared" si="26"/>
        <v>0</v>
      </c>
      <c r="Q802" s="303"/>
      <c r="R802" s="165">
        <f t="shared" si="27"/>
        <v>0</v>
      </c>
      <c r="S802" s="303"/>
      <c r="T802" s="348"/>
    </row>
    <row r="803" spans="1:20">
      <c r="A803" s="303"/>
      <c r="B803" s="303"/>
      <c r="C803" s="303"/>
      <c r="D803" s="303"/>
      <c r="E803" s="303"/>
      <c r="F803" s="303"/>
      <c r="G803" s="303"/>
      <c r="H803" s="303"/>
      <c r="I803" s="303"/>
      <c r="J803" s="303"/>
      <c r="K803" s="303"/>
      <c r="L803" s="303"/>
      <c r="M803" s="303"/>
      <c r="N803" s="303"/>
      <c r="O803" s="303"/>
      <c r="P803" s="347">
        <f t="shared" si="26"/>
        <v>0</v>
      </c>
      <c r="Q803" s="303"/>
      <c r="R803" s="165">
        <f t="shared" si="27"/>
        <v>0</v>
      </c>
      <c r="S803" s="303"/>
      <c r="T803" s="348"/>
    </row>
    <row r="804" spans="1:20">
      <c r="A804" s="303"/>
      <c r="B804" s="303"/>
      <c r="C804" s="303"/>
      <c r="D804" s="303"/>
      <c r="E804" s="303"/>
      <c r="F804" s="303"/>
      <c r="G804" s="303"/>
      <c r="H804" s="303"/>
      <c r="I804" s="303"/>
      <c r="J804" s="303"/>
      <c r="K804" s="303"/>
      <c r="L804" s="303"/>
      <c r="M804" s="303"/>
      <c r="N804" s="303"/>
      <c r="O804" s="303"/>
      <c r="P804" s="347">
        <f t="shared" si="26"/>
        <v>0</v>
      </c>
      <c r="Q804" s="303"/>
      <c r="R804" s="165">
        <f t="shared" si="27"/>
        <v>0</v>
      </c>
      <c r="S804" s="303"/>
      <c r="T804" s="348"/>
    </row>
    <row r="805" spans="1:20">
      <c r="A805" s="303"/>
      <c r="B805" s="303"/>
      <c r="C805" s="303"/>
      <c r="D805" s="303"/>
      <c r="E805" s="303"/>
      <c r="F805" s="303"/>
      <c r="G805" s="303"/>
      <c r="H805" s="303"/>
      <c r="I805" s="303"/>
      <c r="J805" s="303"/>
      <c r="K805" s="303"/>
      <c r="L805" s="303"/>
      <c r="M805" s="303"/>
      <c r="N805" s="303"/>
      <c r="O805" s="303"/>
      <c r="P805" s="347">
        <f t="shared" si="26"/>
        <v>0</v>
      </c>
      <c r="Q805" s="303"/>
      <c r="R805" s="165">
        <f t="shared" si="27"/>
        <v>0</v>
      </c>
      <c r="S805" s="303"/>
      <c r="T805" s="348"/>
    </row>
    <row r="806" spans="1:20">
      <c r="A806" s="303"/>
      <c r="B806" s="303"/>
      <c r="C806" s="303"/>
      <c r="D806" s="303"/>
      <c r="E806" s="303"/>
      <c r="F806" s="303"/>
      <c r="G806" s="303"/>
      <c r="H806" s="303"/>
      <c r="I806" s="303"/>
      <c r="J806" s="303"/>
      <c r="K806" s="303"/>
      <c r="L806" s="303"/>
      <c r="M806" s="303"/>
      <c r="N806" s="303"/>
      <c r="O806" s="303"/>
      <c r="P806" s="347">
        <f t="shared" si="26"/>
        <v>0</v>
      </c>
      <c r="Q806" s="303"/>
      <c r="R806" s="165">
        <f t="shared" si="27"/>
        <v>0</v>
      </c>
      <c r="S806" s="303"/>
      <c r="T806" s="348"/>
    </row>
    <row r="807" spans="1:20">
      <c r="A807" s="303"/>
      <c r="B807" s="303"/>
      <c r="C807" s="303"/>
      <c r="D807" s="303"/>
      <c r="E807" s="303"/>
      <c r="F807" s="303"/>
      <c r="G807" s="303"/>
      <c r="H807" s="303"/>
      <c r="I807" s="303"/>
      <c r="J807" s="303"/>
      <c r="K807" s="303"/>
      <c r="L807" s="303"/>
      <c r="M807" s="303"/>
      <c r="N807" s="303"/>
      <c r="O807" s="303"/>
      <c r="P807" s="347">
        <f t="shared" si="26"/>
        <v>0</v>
      </c>
      <c r="Q807" s="303"/>
      <c r="R807" s="165">
        <f t="shared" si="27"/>
        <v>0</v>
      </c>
      <c r="S807" s="303"/>
      <c r="T807" s="348"/>
    </row>
    <row r="808" spans="1:20">
      <c r="A808" s="303"/>
      <c r="B808" s="303"/>
      <c r="C808" s="303"/>
      <c r="D808" s="303"/>
      <c r="E808" s="303"/>
      <c r="F808" s="303"/>
      <c r="G808" s="303"/>
      <c r="H808" s="303"/>
      <c r="I808" s="303"/>
      <c r="J808" s="303"/>
      <c r="K808" s="303"/>
      <c r="L808" s="303"/>
      <c r="M808" s="303"/>
      <c r="N808" s="303"/>
      <c r="O808" s="303"/>
      <c r="P808" s="347">
        <f t="shared" si="26"/>
        <v>0</v>
      </c>
      <c r="Q808" s="303"/>
      <c r="R808" s="165">
        <f t="shared" si="27"/>
        <v>0</v>
      </c>
      <c r="S808" s="303"/>
      <c r="T808" s="348"/>
    </row>
    <row r="809" spans="1:20">
      <c r="A809" s="303"/>
      <c r="B809" s="303"/>
      <c r="C809" s="303"/>
      <c r="D809" s="303"/>
      <c r="E809" s="303"/>
      <c r="F809" s="303"/>
      <c r="G809" s="303"/>
      <c r="H809" s="303"/>
      <c r="I809" s="303"/>
      <c r="J809" s="303"/>
      <c r="K809" s="303"/>
      <c r="L809" s="303"/>
      <c r="M809" s="303"/>
      <c r="N809" s="303"/>
      <c r="O809" s="303"/>
      <c r="P809" s="347">
        <f t="shared" si="26"/>
        <v>0</v>
      </c>
      <c r="Q809" s="303"/>
      <c r="R809" s="165">
        <f t="shared" si="27"/>
        <v>0</v>
      </c>
      <c r="S809" s="303"/>
      <c r="T809" s="348"/>
    </row>
    <row r="810" spans="1:20">
      <c r="A810" s="303"/>
      <c r="B810" s="303"/>
      <c r="C810" s="303"/>
      <c r="D810" s="303"/>
      <c r="E810" s="303"/>
      <c r="F810" s="303"/>
      <c r="G810" s="303"/>
      <c r="H810" s="303"/>
      <c r="I810" s="303"/>
      <c r="J810" s="303"/>
      <c r="K810" s="303"/>
      <c r="L810" s="303"/>
      <c r="M810" s="303"/>
      <c r="N810" s="303"/>
      <c r="O810" s="303"/>
      <c r="P810" s="347">
        <f t="shared" si="26"/>
        <v>0</v>
      </c>
      <c r="Q810" s="303"/>
      <c r="R810" s="165">
        <f t="shared" si="27"/>
        <v>0</v>
      </c>
      <c r="S810" s="303"/>
      <c r="T810" s="348"/>
    </row>
    <row r="811" spans="1:20">
      <c r="A811" s="303"/>
      <c r="B811" s="303"/>
      <c r="C811" s="303"/>
      <c r="D811" s="303"/>
      <c r="E811" s="303"/>
      <c r="F811" s="303"/>
      <c r="G811" s="303"/>
      <c r="H811" s="303"/>
      <c r="I811" s="303"/>
      <c r="J811" s="303"/>
      <c r="K811" s="303"/>
      <c r="L811" s="303"/>
      <c r="M811" s="303"/>
      <c r="N811" s="303"/>
      <c r="O811" s="303"/>
      <c r="P811" s="347">
        <f t="shared" si="26"/>
        <v>0</v>
      </c>
      <c r="Q811" s="303"/>
      <c r="R811" s="165">
        <f t="shared" si="27"/>
        <v>0</v>
      </c>
      <c r="S811" s="303"/>
      <c r="T811" s="348"/>
    </row>
    <row r="812" spans="1:20">
      <c r="A812" s="303"/>
      <c r="B812" s="303"/>
      <c r="C812" s="303"/>
      <c r="D812" s="303"/>
      <c r="E812" s="303"/>
      <c r="F812" s="303"/>
      <c r="G812" s="303"/>
      <c r="H812" s="303"/>
      <c r="I812" s="303"/>
      <c r="J812" s="303"/>
      <c r="K812" s="303"/>
      <c r="L812" s="303"/>
      <c r="M812" s="303"/>
      <c r="N812" s="303"/>
      <c r="O812" s="303"/>
      <c r="P812" s="347">
        <f t="shared" si="26"/>
        <v>0</v>
      </c>
      <c r="Q812" s="303"/>
      <c r="R812" s="165">
        <f t="shared" si="27"/>
        <v>0</v>
      </c>
      <c r="S812" s="303"/>
      <c r="T812" s="348"/>
    </row>
    <row r="813" spans="1:20">
      <c r="A813" s="303"/>
      <c r="B813" s="303"/>
      <c r="C813" s="303"/>
      <c r="D813" s="303"/>
      <c r="E813" s="303"/>
      <c r="F813" s="303"/>
      <c r="G813" s="303"/>
      <c r="H813" s="303"/>
      <c r="I813" s="303"/>
      <c r="J813" s="303"/>
      <c r="K813" s="303"/>
      <c r="L813" s="303"/>
      <c r="M813" s="303"/>
      <c r="N813" s="303"/>
      <c r="O813" s="303"/>
      <c r="P813" s="347">
        <f t="shared" si="26"/>
        <v>0</v>
      </c>
      <c r="Q813" s="303"/>
      <c r="R813" s="165">
        <f t="shared" si="27"/>
        <v>0</v>
      </c>
      <c r="S813" s="303"/>
      <c r="T813" s="348"/>
    </row>
    <row r="814" spans="1:20">
      <c r="A814" s="303"/>
      <c r="B814" s="303"/>
      <c r="C814" s="303"/>
      <c r="D814" s="303"/>
      <c r="E814" s="303"/>
      <c r="F814" s="303"/>
      <c r="G814" s="303"/>
      <c r="H814" s="303"/>
      <c r="I814" s="303"/>
      <c r="J814" s="303"/>
      <c r="K814" s="303"/>
      <c r="L814" s="303"/>
      <c r="M814" s="303"/>
      <c r="N814" s="303"/>
      <c r="O814" s="303"/>
      <c r="P814" s="347">
        <f t="shared" si="26"/>
        <v>0</v>
      </c>
      <c r="Q814" s="303"/>
      <c r="R814" s="165">
        <f t="shared" si="27"/>
        <v>0</v>
      </c>
      <c r="S814" s="303"/>
      <c r="T814" s="348"/>
    </row>
    <row r="815" spans="1:20">
      <c r="A815" s="303"/>
      <c r="B815" s="303"/>
      <c r="C815" s="303"/>
      <c r="D815" s="303"/>
      <c r="E815" s="303"/>
      <c r="F815" s="303"/>
      <c r="G815" s="303"/>
      <c r="H815" s="303"/>
      <c r="I815" s="303"/>
      <c r="J815" s="303"/>
      <c r="K815" s="303"/>
      <c r="L815" s="303"/>
      <c r="M815" s="303"/>
      <c r="N815" s="303"/>
      <c r="O815" s="303"/>
      <c r="P815" s="347">
        <f t="shared" si="26"/>
        <v>0</v>
      </c>
      <c r="Q815" s="303"/>
      <c r="R815" s="165">
        <f t="shared" si="27"/>
        <v>0</v>
      </c>
      <c r="S815" s="303"/>
      <c r="T815" s="348"/>
    </row>
    <row r="816" spans="1:20">
      <c r="A816" s="303"/>
      <c r="B816" s="303"/>
      <c r="C816" s="303"/>
      <c r="D816" s="303"/>
      <c r="E816" s="303"/>
      <c r="F816" s="303"/>
      <c r="G816" s="303"/>
      <c r="H816" s="303"/>
      <c r="I816" s="303"/>
      <c r="J816" s="303"/>
      <c r="K816" s="303"/>
      <c r="L816" s="303"/>
      <c r="M816" s="303"/>
      <c r="N816" s="303"/>
      <c r="O816" s="303"/>
      <c r="P816" s="347">
        <f t="shared" si="26"/>
        <v>0</v>
      </c>
      <c r="Q816" s="303"/>
      <c r="R816" s="165">
        <f t="shared" si="27"/>
        <v>0</v>
      </c>
      <c r="S816" s="303"/>
      <c r="T816" s="348"/>
    </row>
    <row r="817" spans="1:20">
      <c r="A817" s="303"/>
      <c r="B817" s="303"/>
      <c r="C817" s="303"/>
      <c r="D817" s="303"/>
      <c r="E817" s="303"/>
      <c r="F817" s="303"/>
      <c r="G817" s="303"/>
      <c r="H817" s="303"/>
      <c r="I817" s="303"/>
      <c r="J817" s="303"/>
      <c r="K817" s="303"/>
      <c r="L817" s="303"/>
      <c r="M817" s="303"/>
      <c r="N817" s="303"/>
      <c r="O817" s="303"/>
      <c r="P817" s="347">
        <f t="shared" si="26"/>
        <v>0</v>
      </c>
      <c r="Q817" s="303"/>
      <c r="R817" s="165">
        <f t="shared" si="27"/>
        <v>0</v>
      </c>
      <c r="S817" s="303"/>
      <c r="T817" s="348"/>
    </row>
    <row r="818" spans="1:20">
      <c r="A818" s="303"/>
      <c r="B818" s="303"/>
      <c r="C818" s="303"/>
      <c r="D818" s="303"/>
      <c r="E818" s="303"/>
      <c r="F818" s="303"/>
      <c r="G818" s="303"/>
      <c r="H818" s="303"/>
      <c r="I818" s="303"/>
      <c r="J818" s="303"/>
      <c r="K818" s="303"/>
      <c r="L818" s="303"/>
      <c r="M818" s="303"/>
      <c r="N818" s="303"/>
      <c r="O818" s="303"/>
      <c r="P818" s="347">
        <f t="shared" si="26"/>
        <v>0</v>
      </c>
      <c r="Q818" s="303"/>
      <c r="R818" s="165">
        <f t="shared" si="27"/>
        <v>0</v>
      </c>
      <c r="S818" s="303"/>
      <c r="T818" s="348"/>
    </row>
    <row r="819" spans="1:20">
      <c r="A819" s="303"/>
      <c r="B819" s="303"/>
      <c r="C819" s="303"/>
      <c r="D819" s="303"/>
      <c r="E819" s="303"/>
      <c r="F819" s="303"/>
      <c r="G819" s="303"/>
      <c r="H819" s="303"/>
      <c r="I819" s="303"/>
      <c r="J819" s="303"/>
      <c r="K819" s="303"/>
      <c r="L819" s="303"/>
      <c r="M819" s="303"/>
      <c r="N819" s="303"/>
      <c r="O819" s="303"/>
      <c r="P819" s="347">
        <f t="shared" si="26"/>
        <v>0</v>
      </c>
      <c r="Q819" s="303"/>
      <c r="R819" s="165">
        <f t="shared" si="27"/>
        <v>0</v>
      </c>
      <c r="S819" s="303"/>
      <c r="T819" s="348"/>
    </row>
    <row r="820" spans="1:20">
      <c r="A820" s="303"/>
      <c r="B820" s="303"/>
      <c r="C820" s="303"/>
      <c r="D820" s="303"/>
      <c r="E820" s="303"/>
      <c r="F820" s="303"/>
      <c r="G820" s="303"/>
      <c r="H820" s="303"/>
      <c r="I820" s="303"/>
      <c r="J820" s="303"/>
      <c r="K820" s="303"/>
      <c r="L820" s="303"/>
      <c r="M820" s="303"/>
      <c r="N820" s="303"/>
      <c r="O820" s="303"/>
      <c r="P820" s="347">
        <f t="shared" ref="P820:P883" si="28">SUM(I820:O820)</f>
        <v>0</v>
      </c>
      <c r="Q820" s="303"/>
      <c r="R820" s="165">
        <f t="shared" si="27"/>
        <v>0</v>
      </c>
      <c r="S820" s="303"/>
      <c r="T820" s="348"/>
    </row>
    <row r="821" spans="1:20">
      <c r="A821" s="303"/>
      <c r="B821" s="303"/>
      <c r="C821" s="303"/>
      <c r="D821" s="303"/>
      <c r="E821" s="303"/>
      <c r="F821" s="303"/>
      <c r="G821" s="303"/>
      <c r="H821" s="303"/>
      <c r="I821" s="303"/>
      <c r="J821" s="303"/>
      <c r="K821" s="303"/>
      <c r="L821" s="303"/>
      <c r="M821" s="303"/>
      <c r="N821" s="303"/>
      <c r="O821" s="303"/>
      <c r="P821" s="347">
        <f t="shared" si="28"/>
        <v>0</v>
      </c>
      <c r="Q821" s="303"/>
      <c r="R821" s="165">
        <f t="shared" si="27"/>
        <v>0</v>
      </c>
      <c r="S821" s="303"/>
      <c r="T821" s="348"/>
    </row>
    <row r="822" spans="1:20">
      <c r="A822" s="303"/>
      <c r="B822" s="303"/>
      <c r="C822" s="303"/>
      <c r="D822" s="303"/>
      <c r="E822" s="303"/>
      <c r="F822" s="303"/>
      <c r="G822" s="303"/>
      <c r="H822" s="303"/>
      <c r="I822" s="303"/>
      <c r="J822" s="303"/>
      <c r="K822" s="303"/>
      <c r="L822" s="303"/>
      <c r="M822" s="303"/>
      <c r="N822" s="303"/>
      <c r="O822" s="303"/>
      <c r="P822" s="347">
        <f t="shared" si="28"/>
        <v>0</v>
      </c>
      <c r="Q822" s="303"/>
      <c r="R822" s="165">
        <f t="shared" si="27"/>
        <v>0</v>
      </c>
      <c r="S822" s="303"/>
      <c r="T822" s="348"/>
    </row>
    <row r="823" spans="1:20">
      <c r="A823" s="303"/>
      <c r="B823" s="303"/>
      <c r="C823" s="303"/>
      <c r="D823" s="303"/>
      <c r="E823" s="303"/>
      <c r="F823" s="303"/>
      <c r="G823" s="303"/>
      <c r="H823" s="303"/>
      <c r="I823" s="303"/>
      <c r="J823" s="303"/>
      <c r="K823" s="303"/>
      <c r="L823" s="303"/>
      <c r="M823" s="303"/>
      <c r="N823" s="303"/>
      <c r="O823" s="303"/>
      <c r="P823" s="347">
        <f t="shared" si="28"/>
        <v>0</v>
      </c>
      <c r="Q823" s="303"/>
      <c r="R823" s="165">
        <f t="shared" si="27"/>
        <v>0</v>
      </c>
      <c r="S823" s="303"/>
      <c r="T823" s="348"/>
    </row>
    <row r="824" spans="1:20">
      <c r="A824" s="303"/>
      <c r="B824" s="303"/>
      <c r="C824" s="303"/>
      <c r="D824" s="303"/>
      <c r="E824" s="303"/>
      <c r="F824" s="303"/>
      <c r="G824" s="303"/>
      <c r="H824" s="303"/>
      <c r="I824" s="303"/>
      <c r="J824" s="303"/>
      <c r="K824" s="303"/>
      <c r="L824" s="303"/>
      <c r="M824" s="303"/>
      <c r="N824" s="303"/>
      <c r="O824" s="303"/>
      <c r="P824" s="347">
        <f t="shared" si="28"/>
        <v>0</v>
      </c>
      <c r="Q824" s="303"/>
      <c r="R824" s="165">
        <f t="shared" si="27"/>
        <v>0</v>
      </c>
      <c r="S824" s="303"/>
      <c r="T824" s="348"/>
    </row>
    <row r="825" spans="1:20">
      <c r="A825" s="303"/>
      <c r="B825" s="303"/>
      <c r="C825" s="303"/>
      <c r="D825" s="303"/>
      <c r="E825" s="303"/>
      <c r="F825" s="303"/>
      <c r="G825" s="303"/>
      <c r="H825" s="303"/>
      <c r="I825" s="303"/>
      <c r="J825" s="303"/>
      <c r="K825" s="303"/>
      <c r="L825" s="303"/>
      <c r="M825" s="303"/>
      <c r="N825" s="303"/>
      <c r="O825" s="303"/>
      <c r="P825" s="347">
        <f t="shared" si="28"/>
        <v>0</v>
      </c>
      <c r="Q825" s="303"/>
      <c r="R825" s="165">
        <f t="shared" si="27"/>
        <v>0</v>
      </c>
      <c r="S825" s="303"/>
      <c r="T825" s="348"/>
    </row>
    <row r="826" spans="1:20">
      <c r="A826" s="303"/>
      <c r="B826" s="303"/>
      <c r="C826" s="303"/>
      <c r="D826" s="303"/>
      <c r="E826" s="303"/>
      <c r="F826" s="303"/>
      <c r="G826" s="303"/>
      <c r="H826" s="303"/>
      <c r="I826" s="303"/>
      <c r="J826" s="303"/>
      <c r="K826" s="303"/>
      <c r="L826" s="303"/>
      <c r="M826" s="303"/>
      <c r="N826" s="303"/>
      <c r="O826" s="303"/>
      <c r="P826" s="347">
        <f t="shared" si="28"/>
        <v>0</v>
      </c>
      <c r="Q826" s="303"/>
      <c r="R826" s="165">
        <f t="shared" si="27"/>
        <v>0</v>
      </c>
      <c r="S826" s="303"/>
      <c r="T826" s="348"/>
    </row>
    <row r="827" spans="1:20">
      <c r="A827" s="303"/>
      <c r="B827" s="303"/>
      <c r="C827" s="303"/>
      <c r="D827" s="303"/>
      <c r="E827" s="303"/>
      <c r="F827" s="303"/>
      <c r="G827" s="303"/>
      <c r="H827" s="303"/>
      <c r="I827" s="303"/>
      <c r="J827" s="303"/>
      <c r="K827" s="303"/>
      <c r="L827" s="303"/>
      <c r="M827" s="303"/>
      <c r="N827" s="303"/>
      <c r="O827" s="303"/>
      <c r="P827" s="347">
        <f t="shared" si="28"/>
        <v>0</v>
      </c>
      <c r="Q827" s="303"/>
      <c r="R827" s="165">
        <f t="shared" si="27"/>
        <v>0</v>
      </c>
      <c r="S827" s="303"/>
      <c r="T827" s="348"/>
    </row>
    <row r="828" spans="1:20">
      <c r="A828" s="303"/>
      <c r="B828" s="303"/>
      <c r="C828" s="303"/>
      <c r="D828" s="303"/>
      <c r="E828" s="303"/>
      <c r="F828" s="303"/>
      <c r="G828" s="303"/>
      <c r="H828" s="303"/>
      <c r="I828" s="303"/>
      <c r="J828" s="303"/>
      <c r="K828" s="303"/>
      <c r="L828" s="303"/>
      <c r="M828" s="303"/>
      <c r="N828" s="303"/>
      <c r="O828" s="303"/>
      <c r="P828" s="347">
        <f t="shared" si="28"/>
        <v>0</v>
      </c>
      <c r="Q828" s="303"/>
      <c r="R828" s="165">
        <f t="shared" si="27"/>
        <v>0</v>
      </c>
      <c r="S828" s="303"/>
      <c r="T828" s="348"/>
    </row>
    <row r="829" spans="1:20">
      <c r="A829" s="303"/>
      <c r="B829" s="303"/>
      <c r="C829" s="303"/>
      <c r="D829" s="303"/>
      <c r="E829" s="303"/>
      <c r="F829" s="303"/>
      <c r="G829" s="303"/>
      <c r="H829" s="303"/>
      <c r="I829" s="303"/>
      <c r="J829" s="303"/>
      <c r="K829" s="303"/>
      <c r="L829" s="303"/>
      <c r="M829" s="303"/>
      <c r="N829" s="303"/>
      <c r="O829" s="303"/>
      <c r="P829" s="347">
        <f t="shared" si="28"/>
        <v>0</v>
      </c>
      <c r="Q829" s="303"/>
      <c r="R829" s="165">
        <f t="shared" si="27"/>
        <v>0</v>
      </c>
      <c r="S829" s="303"/>
      <c r="T829" s="348"/>
    </row>
    <row r="830" spans="1:20">
      <c r="A830" s="303"/>
      <c r="B830" s="303"/>
      <c r="C830" s="303"/>
      <c r="D830" s="303"/>
      <c r="E830" s="303"/>
      <c r="F830" s="303"/>
      <c r="G830" s="303"/>
      <c r="H830" s="303"/>
      <c r="I830" s="303"/>
      <c r="J830" s="303"/>
      <c r="K830" s="303"/>
      <c r="L830" s="303"/>
      <c r="M830" s="303"/>
      <c r="N830" s="303"/>
      <c r="O830" s="303"/>
      <c r="P830" s="347">
        <f t="shared" si="28"/>
        <v>0</v>
      </c>
      <c r="Q830" s="303"/>
      <c r="R830" s="165">
        <f t="shared" si="27"/>
        <v>0</v>
      </c>
      <c r="S830" s="303"/>
      <c r="T830" s="348"/>
    </row>
    <row r="831" spans="1:20">
      <c r="A831" s="303"/>
      <c r="B831" s="303"/>
      <c r="C831" s="303"/>
      <c r="D831" s="303"/>
      <c r="E831" s="303"/>
      <c r="F831" s="303"/>
      <c r="G831" s="303"/>
      <c r="H831" s="303"/>
      <c r="I831" s="303"/>
      <c r="J831" s="303"/>
      <c r="K831" s="303"/>
      <c r="L831" s="303"/>
      <c r="M831" s="303"/>
      <c r="N831" s="303"/>
      <c r="O831" s="303"/>
      <c r="P831" s="347">
        <f t="shared" si="28"/>
        <v>0</v>
      </c>
      <c r="Q831" s="303"/>
      <c r="R831" s="165">
        <f t="shared" si="27"/>
        <v>0</v>
      </c>
      <c r="S831" s="303"/>
      <c r="T831" s="348"/>
    </row>
    <row r="832" spans="1:20">
      <c r="A832" s="303"/>
      <c r="B832" s="303"/>
      <c r="C832" s="303"/>
      <c r="D832" s="303"/>
      <c r="E832" s="303"/>
      <c r="F832" s="303"/>
      <c r="G832" s="303"/>
      <c r="H832" s="303"/>
      <c r="I832" s="303"/>
      <c r="J832" s="303"/>
      <c r="K832" s="303"/>
      <c r="L832" s="303"/>
      <c r="M832" s="303"/>
      <c r="N832" s="303"/>
      <c r="O832" s="303"/>
      <c r="P832" s="347">
        <f t="shared" si="28"/>
        <v>0</v>
      </c>
      <c r="Q832" s="303"/>
      <c r="R832" s="165">
        <f t="shared" si="27"/>
        <v>0</v>
      </c>
      <c r="S832" s="303"/>
      <c r="T832" s="348"/>
    </row>
    <row r="833" spans="1:20">
      <c r="A833" s="303"/>
      <c r="B833" s="303"/>
      <c r="C833" s="303"/>
      <c r="D833" s="303"/>
      <c r="E833" s="303"/>
      <c r="F833" s="303"/>
      <c r="G833" s="303"/>
      <c r="H833" s="303"/>
      <c r="I833" s="303"/>
      <c r="J833" s="303"/>
      <c r="K833" s="303"/>
      <c r="L833" s="303"/>
      <c r="M833" s="303"/>
      <c r="N833" s="303"/>
      <c r="O833" s="303"/>
      <c r="P833" s="347">
        <f t="shared" si="28"/>
        <v>0</v>
      </c>
      <c r="Q833" s="303"/>
      <c r="R833" s="165">
        <f t="shared" si="27"/>
        <v>0</v>
      </c>
      <c r="S833" s="303"/>
      <c r="T833" s="348"/>
    </row>
    <row r="834" spans="1:20">
      <c r="A834" s="303"/>
      <c r="B834" s="303"/>
      <c r="C834" s="303"/>
      <c r="D834" s="303"/>
      <c r="E834" s="303"/>
      <c r="F834" s="303"/>
      <c r="G834" s="303"/>
      <c r="H834" s="303"/>
      <c r="I834" s="303"/>
      <c r="J834" s="303"/>
      <c r="K834" s="303"/>
      <c r="L834" s="303"/>
      <c r="M834" s="303"/>
      <c r="N834" s="303"/>
      <c r="O834" s="303"/>
      <c r="P834" s="347">
        <f t="shared" si="28"/>
        <v>0</v>
      </c>
      <c r="Q834" s="303"/>
      <c r="R834" s="165">
        <f t="shared" si="27"/>
        <v>0</v>
      </c>
      <c r="S834" s="303"/>
      <c r="T834" s="348"/>
    </row>
    <row r="835" spans="1:20">
      <c r="A835" s="303"/>
      <c r="B835" s="303"/>
      <c r="C835" s="303"/>
      <c r="D835" s="303"/>
      <c r="E835" s="303"/>
      <c r="F835" s="303"/>
      <c r="G835" s="303"/>
      <c r="H835" s="303"/>
      <c r="I835" s="303"/>
      <c r="J835" s="303"/>
      <c r="K835" s="303"/>
      <c r="L835" s="303"/>
      <c r="M835" s="303"/>
      <c r="N835" s="303"/>
      <c r="O835" s="303"/>
      <c r="P835" s="347">
        <f t="shared" si="28"/>
        <v>0</v>
      </c>
      <c r="Q835" s="303"/>
      <c r="R835" s="165">
        <f t="shared" si="27"/>
        <v>0</v>
      </c>
      <c r="S835" s="303"/>
      <c r="T835" s="348"/>
    </row>
    <row r="836" spans="1:20">
      <c r="A836" s="303"/>
      <c r="B836" s="303"/>
      <c r="C836" s="303"/>
      <c r="D836" s="303"/>
      <c r="E836" s="303"/>
      <c r="F836" s="303"/>
      <c r="G836" s="303"/>
      <c r="H836" s="303"/>
      <c r="I836" s="303"/>
      <c r="J836" s="303"/>
      <c r="K836" s="303"/>
      <c r="L836" s="303"/>
      <c r="M836" s="303"/>
      <c r="N836" s="303"/>
      <c r="O836" s="303"/>
      <c r="P836" s="347">
        <f t="shared" si="28"/>
        <v>0</v>
      </c>
      <c r="Q836" s="303"/>
      <c r="R836" s="165">
        <f t="shared" si="27"/>
        <v>0</v>
      </c>
      <c r="S836" s="303"/>
      <c r="T836" s="348"/>
    </row>
    <row r="837" spans="1:20">
      <c r="A837" s="303"/>
      <c r="B837" s="303"/>
      <c r="C837" s="303"/>
      <c r="D837" s="303"/>
      <c r="E837" s="303"/>
      <c r="F837" s="303"/>
      <c r="G837" s="303"/>
      <c r="H837" s="303"/>
      <c r="I837" s="303"/>
      <c r="J837" s="303"/>
      <c r="K837" s="303"/>
      <c r="L837" s="303"/>
      <c r="M837" s="303"/>
      <c r="N837" s="303"/>
      <c r="O837" s="303"/>
      <c r="P837" s="347">
        <f t="shared" si="28"/>
        <v>0</v>
      </c>
      <c r="Q837" s="303"/>
      <c r="R837" s="165">
        <f t="shared" si="27"/>
        <v>0</v>
      </c>
      <c r="S837" s="303"/>
      <c r="T837" s="348"/>
    </row>
    <row r="838" spans="1:20">
      <c r="A838" s="303"/>
      <c r="B838" s="303"/>
      <c r="C838" s="303"/>
      <c r="D838" s="303"/>
      <c r="E838" s="303"/>
      <c r="F838" s="303"/>
      <c r="G838" s="303"/>
      <c r="H838" s="303"/>
      <c r="I838" s="303"/>
      <c r="J838" s="303"/>
      <c r="K838" s="303"/>
      <c r="L838" s="303"/>
      <c r="M838" s="303"/>
      <c r="N838" s="303"/>
      <c r="O838" s="303"/>
      <c r="P838" s="347">
        <f t="shared" si="28"/>
        <v>0</v>
      </c>
      <c r="Q838" s="303"/>
      <c r="R838" s="165">
        <f t="shared" si="27"/>
        <v>0</v>
      </c>
      <c r="S838" s="303"/>
      <c r="T838" s="348"/>
    </row>
    <row r="839" spans="1:20">
      <c r="A839" s="303"/>
      <c r="B839" s="303"/>
      <c r="C839" s="303"/>
      <c r="D839" s="303"/>
      <c r="E839" s="303"/>
      <c r="F839" s="303"/>
      <c r="G839" s="303"/>
      <c r="H839" s="303"/>
      <c r="I839" s="303"/>
      <c r="J839" s="303"/>
      <c r="K839" s="303"/>
      <c r="L839" s="303"/>
      <c r="M839" s="303"/>
      <c r="N839" s="303"/>
      <c r="O839" s="303"/>
      <c r="P839" s="347">
        <f t="shared" si="28"/>
        <v>0</v>
      </c>
      <c r="Q839" s="303"/>
      <c r="R839" s="165">
        <f t="shared" si="27"/>
        <v>0</v>
      </c>
      <c r="S839" s="303"/>
      <c r="T839" s="348"/>
    </row>
    <row r="840" spans="1:20">
      <c r="A840" s="303"/>
      <c r="B840" s="303"/>
      <c r="C840" s="303"/>
      <c r="D840" s="303"/>
      <c r="E840" s="303"/>
      <c r="F840" s="303"/>
      <c r="G840" s="303"/>
      <c r="H840" s="303"/>
      <c r="I840" s="303"/>
      <c r="J840" s="303"/>
      <c r="K840" s="303"/>
      <c r="L840" s="303"/>
      <c r="M840" s="303"/>
      <c r="N840" s="303"/>
      <c r="O840" s="303"/>
      <c r="P840" s="347">
        <f t="shared" si="28"/>
        <v>0</v>
      </c>
      <c r="Q840" s="303"/>
      <c r="R840" s="165">
        <f t="shared" si="27"/>
        <v>0</v>
      </c>
      <c r="S840" s="303"/>
      <c r="T840" s="348"/>
    </row>
    <row r="841" spans="1:20">
      <c r="A841" s="303"/>
      <c r="B841" s="303"/>
      <c r="C841" s="303"/>
      <c r="D841" s="303"/>
      <c r="E841" s="303"/>
      <c r="F841" s="303"/>
      <c r="G841" s="303"/>
      <c r="H841" s="303"/>
      <c r="I841" s="303"/>
      <c r="J841" s="303"/>
      <c r="K841" s="303"/>
      <c r="L841" s="303"/>
      <c r="M841" s="303"/>
      <c r="N841" s="303"/>
      <c r="O841" s="303"/>
      <c r="P841" s="347">
        <f t="shared" si="28"/>
        <v>0</v>
      </c>
      <c r="Q841" s="303"/>
      <c r="R841" s="165">
        <f t="shared" si="27"/>
        <v>0</v>
      </c>
      <c r="S841" s="303"/>
      <c r="T841" s="348"/>
    </row>
    <row r="842" spans="1:20">
      <c r="A842" s="303"/>
      <c r="B842" s="303"/>
      <c r="C842" s="303"/>
      <c r="D842" s="303"/>
      <c r="E842" s="303"/>
      <c r="F842" s="303"/>
      <c r="G842" s="303"/>
      <c r="H842" s="303"/>
      <c r="I842" s="303"/>
      <c r="J842" s="303"/>
      <c r="K842" s="303"/>
      <c r="L842" s="303"/>
      <c r="M842" s="303"/>
      <c r="N842" s="303"/>
      <c r="O842" s="303"/>
      <c r="P842" s="347">
        <f t="shared" si="28"/>
        <v>0</v>
      </c>
      <c r="Q842" s="303"/>
      <c r="R842" s="165">
        <f t="shared" si="27"/>
        <v>0</v>
      </c>
      <c r="S842" s="303"/>
      <c r="T842" s="348"/>
    </row>
    <row r="843" spans="1:20">
      <c r="A843" s="303"/>
      <c r="B843" s="303"/>
      <c r="C843" s="303"/>
      <c r="D843" s="303"/>
      <c r="E843" s="303"/>
      <c r="F843" s="303"/>
      <c r="G843" s="303"/>
      <c r="H843" s="303"/>
      <c r="I843" s="303"/>
      <c r="J843" s="303"/>
      <c r="K843" s="303"/>
      <c r="L843" s="303"/>
      <c r="M843" s="303"/>
      <c r="N843" s="303"/>
      <c r="O843" s="303"/>
      <c r="P843" s="347">
        <f t="shared" si="28"/>
        <v>0</v>
      </c>
      <c r="Q843" s="303"/>
      <c r="R843" s="165">
        <f t="shared" si="27"/>
        <v>0</v>
      </c>
      <c r="S843" s="303"/>
      <c r="T843" s="348"/>
    </row>
    <row r="844" spans="1:20">
      <c r="A844" s="303"/>
      <c r="B844" s="303"/>
      <c r="C844" s="303"/>
      <c r="D844" s="303"/>
      <c r="E844" s="303"/>
      <c r="F844" s="303"/>
      <c r="G844" s="303"/>
      <c r="H844" s="303"/>
      <c r="I844" s="303"/>
      <c r="J844" s="303"/>
      <c r="K844" s="303"/>
      <c r="L844" s="303"/>
      <c r="M844" s="303"/>
      <c r="N844" s="303"/>
      <c r="O844" s="303"/>
      <c r="P844" s="347">
        <f t="shared" si="28"/>
        <v>0</v>
      </c>
      <c r="Q844" s="303"/>
      <c r="R844" s="165">
        <f t="shared" si="27"/>
        <v>0</v>
      </c>
      <c r="S844" s="303"/>
      <c r="T844" s="348"/>
    </row>
    <row r="845" spans="1:20">
      <c r="A845" s="303"/>
      <c r="B845" s="303"/>
      <c r="C845" s="303"/>
      <c r="D845" s="303"/>
      <c r="E845" s="303"/>
      <c r="F845" s="303"/>
      <c r="G845" s="303"/>
      <c r="H845" s="303"/>
      <c r="I845" s="303"/>
      <c r="J845" s="303"/>
      <c r="K845" s="303"/>
      <c r="L845" s="303"/>
      <c r="M845" s="303"/>
      <c r="N845" s="303"/>
      <c r="O845" s="303"/>
      <c r="P845" s="347">
        <f t="shared" si="28"/>
        <v>0</v>
      </c>
      <c r="Q845" s="303"/>
      <c r="R845" s="165">
        <f t="shared" si="27"/>
        <v>0</v>
      </c>
      <c r="S845" s="303"/>
      <c r="T845" s="348"/>
    </row>
    <row r="846" spans="1:20">
      <c r="A846" s="303"/>
      <c r="B846" s="303"/>
      <c r="C846" s="303"/>
      <c r="D846" s="303"/>
      <c r="E846" s="303"/>
      <c r="F846" s="303"/>
      <c r="G846" s="303"/>
      <c r="H846" s="303"/>
      <c r="I846" s="303"/>
      <c r="J846" s="303"/>
      <c r="K846" s="303"/>
      <c r="L846" s="303"/>
      <c r="M846" s="303"/>
      <c r="N846" s="303"/>
      <c r="O846" s="303"/>
      <c r="P846" s="347">
        <f t="shared" si="28"/>
        <v>0</v>
      </c>
      <c r="Q846" s="303"/>
      <c r="R846" s="165">
        <f t="shared" si="27"/>
        <v>0</v>
      </c>
      <c r="S846" s="303"/>
      <c r="T846" s="348"/>
    </row>
    <row r="847" spans="1:20">
      <c r="A847" s="303"/>
      <c r="B847" s="303"/>
      <c r="C847" s="303"/>
      <c r="D847" s="303"/>
      <c r="E847" s="303"/>
      <c r="F847" s="303"/>
      <c r="G847" s="303"/>
      <c r="H847" s="303"/>
      <c r="I847" s="303"/>
      <c r="J847" s="303"/>
      <c r="K847" s="303"/>
      <c r="L847" s="303"/>
      <c r="M847" s="303"/>
      <c r="N847" s="303"/>
      <c r="O847" s="303"/>
      <c r="P847" s="347">
        <f t="shared" si="28"/>
        <v>0</v>
      </c>
      <c r="Q847" s="303"/>
      <c r="R847" s="165">
        <f t="shared" si="27"/>
        <v>0</v>
      </c>
      <c r="S847" s="303"/>
      <c r="T847" s="348"/>
    </row>
    <row r="848" spans="1:20">
      <c r="A848" s="303"/>
      <c r="B848" s="303"/>
      <c r="C848" s="303"/>
      <c r="D848" s="303"/>
      <c r="E848" s="303"/>
      <c r="F848" s="303"/>
      <c r="G848" s="303"/>
      <c r="H848" s="303"/>
      <c r="I848" s="303"/>
      <c r="J848" s="303"/>
      <c r="K848" s="303"/>
      <c r="L848" s="303"/>
      <c r="M848" s="303"/>
      <c r="N848" s="303"/>
      <c r="O848" s="303"/>
      <c r="P848" s="347">
        <f t="shared" si="28"/>
        <v>0</v>
      </c>
      <c r="Q848" s="303"/>
      <c r="R848" s="165">
        <f t="shared" si="27"/>
        <v>0</v>
      </c>
      <c r="S848" s="303"/>
      <c r="T848" s="348"/>
    </row>
    <row r="849" spans="1:20">
      <c r="A849" s="303"/>
      <c r="B849" s="303"/>
      <c r="C849" s="303"/>
      <c r="D849" s="303"/>
      <c r="E849" s="303"/>
      <c r="F849" s="303"/>
      <c r="G849" s="303"/>
      <c r="H849" s="303"/>
      <c r="I849" s="303"/>
      <c r="J849" s="303"/>
      <c r="K849" s="303"/>
      <c r="L849" s="303"/>
      <c r="M849" s="303"/>
      <c r="N849" s="303"/>
      <c r="O849" s="303"/>
      <c r="P849" s="347">
        <f t="shared" si="28"/>
        <v>0</v>
      </c>
      <c r="Q849" s="303"/>
      <c r="R849" s="165">
        <f t="shared" si="27"/>
        <v>0</v>
      </c>
      <c r="S849" s="303"/>
      <c r="T849" s="348"/>
    </row>
    <row r="850" spans="1:20">
      <c r="A850" s="303"/>
      <c r="B850" s="303"/>
      <c r="C850" s="303"/>
      <c r="D850" s="303"/>
      <c r="E850" s="303"/>
      <c r="F850" s="303"/>
      <c r="G850" s="303"/>
      <c r="H850" s="303"/>
      <c r="I850" s="303"/>
      <c r="J850" s="303"/>
      <c r="K850" s="303"/>
      <c r="L850" s="303"/>
      <c r="M850" s="303"/>
      <c r="N850" s="303"/>
      <c r="O850" s="303"/>
      <c r="P850" s="347">
        <f t="shared" si="28"/>
        <v>0</v>
      </c>
      <c r="Q850" s="303"/>
      <c r="R850" s="165">
        <f t="shared" si="27"/>
        <v>0</v>
      </c>
      <c r="S850" s="303"/>
      <c r="T850" s="348"/>
    </row>
    <row r="851" spans="1:20">
      <c r="A851" s="303"/>
      <c r="B851" s="303"/>
      <c r="C851" s="303"/>
      <c r="D851" s="303"/>
      <c r="E851" s="303"/>
      <c r="F851" s="303"/>
      <c r="G851" s="303"/>
      <c r="H851" s="303"/>
      <c r="I851" s="303"/>
      <c r="J851" s="303"/>
      <c r="K851" s="303"/>
      <c r="L851" s="303"/>
      <c r="M851" s="303"/>
      <c r="N851" s="303"/>
      <c r="O851" s="303"/>
      <c r="P851" s="347">
        <f t="shared" si="28"/>
        <v>0</v>
      </c>
      <c r="Q851" s="303"/>
      <c r="R851" s="165">
        <f t="shared" si="27"/>
        <v>0</v>
      </c>
      <c r="S851" s="303"/>
      <c r="T851" s="348"/>
    </row>
    <row r="852" spans="1:20">
      <c r="A852" s="303"/>
      <c r="B852" s="303"/>
      <c r="C852" s="303"/>
      <c r="D852" s="303"/>
      <c r="E852" s="303"/>
      <c r="F852" s="303"/>
      <c r="G852" s="303"/>
      <c r="H852" s="303"/>
      <c r="I852" s="303"/>
      <c r="J852" s="303"/>
      <c r="K852" s="303"/>
      <c r="L852" s="303"/>
      <c r="M852" s="303"/>
      <c r="N852" s="303"/>
      <c r="O852" s="303"/>
      <c r="P852" s="347">
        <f t="shared" si="28"/>
        <v>0</v>
      </c>
      <c r="Q852" s="303"/>
      <c r="R852" s="165">
        <f t="shared" si="27"/>
        <v>0</v>
      </c>
      <c r="S852" s="303"/>
      <c r="T852" s="348"/>
    </row>
    <row r="853" spans="1:20">
      <c r="A853" s="303"/>
      <c r="B853" s="303"/>
      <c r="C853" s="303"/>
      <c r="D853" s="303"/>
      <c r="E853" s="303"/>
      <c r="F853" s="303"/>
      <c r="G853" s="303"/>
      <c r="H853" s="303"/>
      <c r="I853" s="303"/>
      <c r="J853" s="303"/>
      <c r="K853" s="303"/>
      <c r="L853" s="303"/>
      <c r="M853" s="303"/>
      <c r="N853" s="303"/>
      <c r="O853" s="303"/>
      <c r="P853" s="347">
        <f t="shared" si="28"/>
        <v>0</v>
      </c>
      <c r="Q853" s="303"/>
      <c r="R853" s="165">
        <f t="shared" si="27"/>
        <v>0</v>
      </c>
      <c r="S853" s="303"/>
      <c r="T853" s="348"/>
    </row>
    <row r="854" spans="1:20">
      <c r="A854" s="303"/>
      <c r="B854" s="303"/>
      <c r="C854" s="303"/>
      <c r="D854" s="303"/>
      <c r="E854" s="303"/>
      <c r="F854" s="303"/>
      <c r="G854" s="303"/>
      <c r="H854" s="303"/>
      <c r="I854" s="303"/>
      <c r="J854" s="303"/>
      <c r="K854" s="303"/>
      <c r="L854" s="303"/>
      <c r="M854" s="303"/>
      <c r="N854" s="303"/>
      <c r="O854" s="303"/>
      <c r="P854" s="347">
        <f t="shared" si="28"/>
        <v>0</v>
      </c>
      <c r="Q854" s="303"/>
      <c r="R854" s="165">
        <f t="shared" si="27"/>
        <v>0</v>
      </c>
      <c r="S854" s="303"/>
      <c r="T854" s="348"/>
    </row>
    <row r="855" spans="1:20">
      <c r="A855" s="303"/>
      <c r="B855" s="303"/>
      <c r="C855" s="303"/>
      <c r="D855" s="303"/>
      <c r="E855" s="303"/>
      <c r="F855" s="303"/>
      <c r="G855" s="303"/>
      <c r="H855" s="303"/>
      <c r="I855" s="303"/>
      <c r="J855" s="303"/>
      <c r="K855" s="303"/>
      <c r="L855" s="303"/>
      <c r="M855" s="303"/>
      <c r="N855" s="303"/>
      <c r="O855" s="303"/>
      <c r="P855" s="347">
        <f t="shared" si="28"/>
        <v>0</v>
      </c>
      <c r="Q855" s="303"/>
      <c r="R855" s="165">
        <f t="shared" si="27"/>
        <v>0</v>
      </c>
      <c r="S855" s="303"/>
      <c r="T855" s="348"/>
    </row>
    <row r="856" spans="1:20">
      <c r="A856" s="303"/>
      <c r="B856" s="303"/>
      <c r="C856" s="303"/>
      <c r="D856" s="303"/>
      <c r="E856" s="303"/>
      <c r="F856" s="303"/>
      <c r="G856" s="303"/>
      <c r="H856" s="303"/>
      <c r="I856" s="303"/>
      <c r="J856" s="303"/>
      <c r="K856" s="303"/>
      <c r="L856" s="303"/>
      <c r="M856" s="303"/>
      <c r="N856" s="303"/>
      <c r="O856" s="303"/>
      <c r="P856" s="347">
        <f t="shared" si="28"/>
        <v>0</v>
      </c>
      <c r="Q856" s="303"/>
      <c r="R856" s="165">
        <f t="shared" si="27"/>
        <v>0</v>
      </c>
      <c r="S856" s="303"/>
      <c r="T856" s="348"/>
    </row>
    <row r="857" spans="1:20">
      <c r="A857" s="303"/>
      <c r="B857" s="303"/>
      <c r="C857" s="303"/>
      <c r="D857" s="303"/>
      <c r="E857" s="303"/>
      <c r="F857" s="303"/>
      <c r="G857" s="303"/>
      <c r="H857" s="303"/>
      <c r="I857" s="303"/>
      <c r="J857" s="303"/>
      <c r="K857" s="303"/>
      <c r="L857" s="303"/>
      <c r="M857" s="303"/>
      <c r="N857" s="303"/>
      <c r="O857" s="303"/>
      <c r="P857" s="347">
        <f t="shared" si="28"/>
        <v>0</v>
      </c>
      <c r="Q857" s="303"/>
      <c r="R857" s="165">
        <f t="shared" si="27"/>
        <v>0</v>
      </c>
      <c r="S857" s="303"/>
      <c r="T857" s="348"/>
    </row>
    <row r="858" spans="1:20">
      <c r="A858" s="303"/>
      <c r="B858" s="303"/>
      <c r="C858" s="303"/>
      <c r="D858" s="303"/>
      <c r="E858" s="303"/>
      <c r="F858" s="303"/>
      <c r="G858" s="303"/>
      <c r="H858" s="303"/>
      <c r="I858" s="303"/>
      <c r="J858" s="303"/>
      <c r="K858" s="303"/>
      <c r="L858" s="303"/>
      <c r="M858" s="303"/>
      <c r="N858" s="303"/>
      <c r="O858" s="303"/>
      <c r="P858" s="347">
        <f t="shared" si="28"/>
        <v>0</v>
      </c>
      <c r="Q858" s="303"/>
      <c r="R858" s="165">
        <f t="shared" ref="R858:R921" si="29">P858-Q858</f>
        <v>0</v>
      </c>
      <c r="S858" s="303"/>
      <c r="T858" s="348"/>
    </row>
    <row r="859" spans="1:20">
      <c r="A859" s="303"/>
      <c r="B859" s="303"/>
      <c r="C859" s="303"/>
      <c r="D859" s="303"/>
      <c r="E859" s="303"/>
      <c r="F859" s="303"/>
      <c r="G859" s="303"/>
      <c r="H859" s="303"/>
      <c r="I859" s="303"/>
      <c r="J859" s="303"/>
      <c r="K859" s="303"/>
      <c r="L859" s="303"/>
      <c r="M859" s="303"/>
      <c r="N859" s="303"/>
      <c r="O859" s="303"/>
      <c r="P859" s="347">
        <f t="shared" si="28"/>
        <v>0</v>
      </c>
      <c r="Q859" s="303"/>
      <c r="R859" s="165">
        <f t="shared" si="29"/>
        <v>0</v>
      </c>
      <c r="S859" s="303"/>
      <c r="T859" s="348"/>
    </row>
    <row r="860" spans="1:20">
      <c r="A860" s="303"/>
      <c r="B860" s="303"/>
      <c r="C860" s="303"/>
      <c r="D860" s="303"/>
      <c r="E860" s="303"/>
      <c r="F860" s="303"/>
      <c r="G860" s="303"/>
      <c r="H860" s="303"/>
      <c r="I860" s="303"/>
      <c r="J860" s="303"/>
      <c r="K860" s="303"/>
      <c r="L860" s="303"/>
      <c r="M860" s="303"/>
      <c r="N860" s="303"/>
      <c r="O860" s="303"/>
      <c r="P860" s="347">
        <f t="shared" si="28"/>
        <v>0</v>
      </c>
      <c r="Q860" s="303"/>
      <c r="R860" s="165">
        <f t="shared" si="29"/>
        <v>0</v>
      </c>
      <c r="S860" s="303"/>
      <c r="T860" s="348"/>
    </row>
    <row r="861" spans="1:20">
      <c r="A861" s="303"/>
      <c r="B861" s="303"/>
      <c r="C861" s="303"/>
      <c r="D861" s="303"/>
      <c r="E861" s="303"/>
      <c r="F861" s="303"/>
      <c r="G861" s="303"/>
      <c r="H861" s="303"/>
      <c r="I861" s="303"/>
      <c r="J861" s="303"/>
      <c r="K861" s="303"/>
      <c r="L861" s="303"/>
      <c r="M861" s="303"/>
      <c r="N861" s="303"/>
      <c r="O861" s="303"/>
      <c r="P861" s="347">
        <f t="shared" si="28"/>
        <v>0</v>
      </c>
      <c r="Q861" s="303"/>
      <c r="R861" s="165">
        <f t="shared" si="29"/>
        <v>0</v>
      </c>
      <c r="S861" s="303"/>
      <c r="T861" s="348"/>
    </row>
    <row r="862" spans="1:20">
      <c r="A862" s="303"/>
      <c r="B862" s="303"/>
      <c r="C862" s="303"/>
      <c r="D862" s="303"/>
      <c r="E862" s="303"/>
      <c r="F862" s="303"/>
      <c r="G862" s="303"/>
      <c r="H862" s="303"/>
      <c r="I862" s="303"/>
      <c r="J862" s="303"/>
      <c r="K862" s="303"/>
      <c r="L862" s="303"/>
      <c r="M862" s="303"/>
      <c r="N862" s="303"/>
      <c r="O862" s="303"/>
      <c r="P862" s="347">
        <f t="shared" si="28"/>
        <v>0</v>
      </c>
      <c r="Q862" s="303"/>
      <c r="R862" s="165">
        <f t="shared" si="29"/>
        <v>0</v>
      </c>
      <c r="S862" s="303"/>
      <c r="T862" s="348"/>
    </row>
    <row r="863" spans="1:20">
      <c r="A863" s="303"/>
      <c r="B863" s="303"/>
      <c r="C863" s="303"/>
      <c r="D863" s="303"/>
      <c r="E863" s="303"/>
      <c r="F863" s="303"/>
      <c r="G863" s="303"/>
      <c r="H863" s="303"/>
      <c r="I863" s="303"/>
      <c r="J863" s="303"/>
      <c r="K863" s="303"/>
      <c r="L863" s="303"/>
      <c r="M863" s="303"/>
      <c r="N863" s="303"/>
      <c r="O863" s="303"/>
      <c r="P863" s="347">
        <f t="shared" si="28"/>
        <v>0</v>
      </c>
      <c r="Q863" s="303"/>
      <c r="R863" s="165">
        <f t="shared" si="29"/>
        <v>0</v>
      </c>
      <c r="S863" s="303"/>
      <c r="T863" s="348"/>
    </row>
    <row r="864" spans="1:20">
      <c r="A864" s="303"/>
      <c r="B864" s="303"/>
      <c r="C864" s="303"/>
      <c r="D864" s="303"/>
      <c r="E864" s="303"/>
      <c r="F864" s="303"/>
      <c r="G864" s="303"/>
      <c r="H864" s="303"/>
      <c r="I864" s="303"/>
      <c r="J864" s="303"/>
      <c r="K864" s="303"/>
      <c r="L864" s="303"/>
      <c r="M864" s="303"/>
      <c r="N864" s="303"/>
      <c r="O864" s="303"/>
      <c r="P864" s="347">
        <f t="shared" si="28"/>
        <v>0</v>
      </c>
      <c r="Q864" s="303"/>
      <c r="R864" s="165">
        <f t="shared" si="29"/>
        <v>0</v>
      </c>
      <c r="S864" s="303"/>
      <c r="T864" s="348"/>
    </row>
    <row r="865" spans="1:20">
      <c r="A865" s="303"/>
      <c r="B865" s="303"/>
      <c r="C865" s="303"/>
      <c r="D865" s="303"/>
      <c r="E865" s="303"/>
      <c r="F865" s="303"/>
      <c r="G865" s="303"/>
      <c r="H865" s="303"/>
      <c r="I865" s="303"/>
      <c r="J865" s="303"/>
      <c r="K865" s="303"/>
      <c r="L865" s="303"/>
      <c r="M865" s="303"/>
      <c r="N865" s="303"/>
      <c r="O865" s="303"/>
      <c r="P865" s="347">
        <f t="shared" si="28"/>
        <v>0</v>
      </c>
      <c r="Q865" s="303"/>
      <c r="R865" s="165">
        <f t="shared" si="29"/>
        <v>0</v>
      </c>
      <c r="S865" s="303"/>
      <c r="T865" s="348"/>
    </row>
    <row r="866" spans="1:20">
      <c r="A866" s="303"/>
      <c r="B866" s="303"/>
      <c r="C866" s="303"/>
      <c r="D866" s="303"/>
      <c r="E866" s="303"/>
      <c r="F866" s="303"/>
      <c r="G866" s="303"/>
      <c r="H866" s="303"/>
      <c r="I866" s="303"/>
      <c r="J866" s="303"/>
      <c r="K866" s="303"/>
      <c r="L866" s="303"/>
      <c r="M866" s="303"/>
      <c r="N866" s="303"/>
      <c r="O866" s="303"/>
      <c r="P866" s="347">
        <f t="shared" si="28"/>
        <v>0</v>
      </c>
      <c r="Q866" s="303"/>
      <c r="R866" s="165">
        <f t="shared" si="29"/>
        <v>0</v>
      </c>
      <c r="S866" s="303"/>
      <c r="T866" s="348"/>
    </row>
    <row r="867" spans="1:20">
      <c r="A867" s="303"/>
      <c r="B867" s="303"/>
      <c r="C867" s="303"/>
      <c r="D867" s="303"/>
      <c r="E867" s="303"/>
      <c r="F867" s="303"/>
      <c r="G867" s="303"/>
      <c r="H867" s="303"/>
      <c r="I867" s="303"/>
      <c r="J867" s="303"/>
      <c r="K867" s="303"/>
      <c r="L867" s="303"/>
      <c r="M867" s="303"/>
      <c r="N867" s="303"/>
      <c r="O867" s="303"/>
      <c r="P867" s="347">
        <f t="shared" si="28"/>
        <v>0</v>
      </c>
      <c r="Q867" s="303"/>
      <c r="R867" s="165">
        <f t="shared" si="29"/>
        <v>0</v>
      </c>
      <c r="S867" s="303"/>
      <c r="T867" s="348"/>
    </row>
    <row r="868" spans="1:20">
      <c r="A868" s="303"/>
      <c r="B868" s="303"/>
      <c r="C868" s="303"/>
      <c r="D868" s="303"/>
      <c r="E868" s="303"/>
      <c r="F868" s="303"/>
      <c r="G868" s="303"/>
      <c r="H868" s="303"/>
      <c r="I868" s="303"/>
      <c r="J868" s="303"/>
      <c r="K868" s="303"/>
      <c r="L868" s="303"/>
      <c r="M868" s="303"/>
      <c r="N868" s="303"/>
      <c r="O868" s="303"/>
      <c r="P868" s="347">
        <f t="shared" si="28"/>
        <v>0</v>
      </c>
      <c r="Q868" s="303"/>
      <c r="R868" s="165">
        <f t="shared" si="29"/>
        <v>0</v>
      </c>
      <c r="S868" s="303"/>
      <c r="T868" s="348"/>
    </row>
    <row r="869" spans="1:20">
      <c r="A869" s="303"/>
      <c r="B869" s="303"/>
      <c r="C869" s="303"/>
      <c r="D869" s="303"/>
      <c r="E869" s="303"/>
      <c r="F869" s="303"/>
      <c r="G869" s="303"/>
      <c r="H869" s="303"/>
      <c r="I869" s="303"/>
      <c r="J869" s="303"/>
      <c r="K869" s="303"/>
      <c r="L869" s="303"/>
      <c r="M869" s="303"/>
      <c r="N869" s="303"/>
      <c r="O869" s="303"/>
      <c r="P869" s="347">
        <f t="shared" si="28"/>
        <v>0</v>
      </c>
      <c r="Q869" s="303"/>
      <c r="R869" s="165">
        <f t="shared" si="29"/>
        <v>0</v>
      </c>
      <c r="S869" s="303"/>
      <c r="T869" s="348"/>
    </row>
    <row r="870" spans="1:20">
      <c r="A870" s="303"/>
      <c r="B870" s="303"/>
      <c r="C870" s="303"/>
      <c r="D870" s="303"/>
      <c r="E870" s="303"/>
      <c r="F870" s="303"/>
      <c r="G870" s="303"/>
      <c r="H870" s="303"/>
      <c r="I870" s="303"/>
      <c r="J870" s="303"/>
      <c r="K870" s="303"/>
      <c r="L870" s="303"/>
      <c r="M870" s="303"/>
      <c r="N870" s="303"/>
      <c r="O870" s="303"/>
      <c r="P870" s="347">
        <f t="shared" si="28"/>
        <v>0</v>
      </c>
      <c r="Q870" s="303"/>
      <c r="R870" s="165">
        <f t="shared" si="29"/>
        <v>0</v>
      </c>
      <c r="S870" s="303"/>
      <c r="T870" s="348"/>
    </row>
    <row r="871" spans="1:20">
      <c r="A871" s="303"/>
      <c r="B871" s="303"/>
      <c r="C871" s="303"/>
      <c r="D871" s="303"/>
      <c r="E871" s="303"/>
      <c r="F871" s="303"/>
      <c r="G871" s="303"/>
      <c r="H871" s="303"/>
      <c r="I871" s="303"/>
      <c r="J871" s="303"/>
      <c r="K871" s="303"/>
      <c r="L871" s="303"/>
      <c r="M871" s="303"/>
      <c r="N871" s="303"/>
      <c r="O871" s="303"/>
      <c r="P871" s="347">
        <f t="shared" si="28"/>
        <v>0</v>
      </c>
      <c r="Q871" s="303"/>
      <c r="R871" s="165">
        <f t="shared" si="29"/>
        <v>0</v>
      </c>
      <c r="S871" s="303"/>
      <c r="T871" s="348"/>
    </row>
    <row r="872" spans="1:20">
      <c r="A872" s="303"/>
      <c r="B872" s="303"/>
      <c r="C872" s="303"/>
      <c r="D872" s="303"/>
      <c r="E872" s="303"/>
      <c r="F872" s="303"/>
      <c r="G872" s="303"/>
      <c r="H872" s="303"/>
      <c r="I872" s="303"/>
      <c r="J872" s="303"/>
      <c r="K872" s="303"/>
      <c r="L872" s="303"/>
      <c r="M872" s="303"/>
      <c r="N872" s="303"/>
      <c r="O872" s="303"/>
      <c r="P872" s="347">
        <f t="shared" si="28"/>
        <v>0</v>
      </c>
      <c r="Q872" s="303"/>
      <c r="R872" s="165">
        <f t="shared" si="29"/>
        <v>0</v>
      </c>
      <c r="S872" s="303"/>
      <c r="T872" s="348"/>
    </row>
    <row r="873" spans="1:20">
      <c r="A873" s="303"/>
      <c r="B873" s="303"/>
      <c r="C873" s="303"/>
      <c r="D873" s="303"/>
      <c r="E873" s="303"/>
      <c r="F873" s="303"/>
      <c r="G873" s="303"/>
      <c r="H873" s="303"/>
      <c r="I873" s="303"/>
      <c r="J873" s="303"/>
      <c r="K873" s="303"/>
      <c r="L873" s="303"/>
      <c r="M873" s="303"/>
      <c r="N873" s="303"/>
      <c r="O873" s="303"/>
      <c r="P873" s="347">
        <f t="shared" si="28"/>
        <v>0</v>
      </c>
      <c r="Q873" s="303"/>
      <c r="R873" s="165">
        <f t="shared" si="29"/>
        <v>0</v>
      </c>
      <c r="S873" s="303"/>
      <c r="T873" s="348"/>
    </row>
    <row r="874" spans="1:20">
      <c r="A874" s="303"/>
      <c r="B874" s="303"/>
      <c r="C874" s="303"/>
      <c r="D874" s="303"/>
      <c r="E874" s="303"/>
      <c r="F874" s="303"/>
      <c r="G874" s="303"/>
      <c r="H874" s="303"/>
      <c r="I874" s="303"/>
      <c r="J874" s="303"/>
      <c r="K874" s="303"/>
      <c r="L874" s="303"/>
      <c r="M874" s="303"/>
      <c r="N874" s="303"/>
      <c r="O874" s="303"/>
      <c r="P874" s="347">
        <f t="shared" si="28"/>
        <v>0</v>
      </c>
      <c r="Q874" s="303"/>
      <c r="R874" s="165">
        <f t="shared" si="29"/>
        <v>0</v>
      </c>
      <c r="S874" s="303"/>
      <c r="T874" s="348"/>
    </row>
    <row r="875" spans="1:20">
      <c r="A875" s="303"/>
      <c r="B875" s="303"/>
      <c r="C875" s="303"/>
      <c r="D875" s="303"/>
      <c r="E875" s="303"/>
      <c r="F875" s="303"/>
      <c r="G875" s="303"/>
      <c r="H875" s="303"/>
      <c r="I875" s="303"/>
      <c r="J875" s="303"/>
      <c r="K875" s="303"/>
      <c r="L875" s="303"/>
      <c r="M875" s="303"/>
      <c r="N875" s="303"/>
      <c r="O875" s="303"/>
      <c r="P875" s="347">
        <f t="shared" si="28"/>
        <v>0</v>
      </c>
      <c r="Q875" s="303"/>
      <c r="R875" s="165">
        <f t="shared" si="29"/>
        <v>0</v>
      </c>
      <c r="S875" s="303"/>
      <c r="T875" s="348"/>
    </row>
    <row r="876" spans="1:20">
      <c r="A876" s="303"/>
      <c r="B876" s="303"/>
      <c r="C876" s="303"/>
      <c r="D876" s="303"/>
      <c r="E876" s="303"/>
      <c r="F876" s="303"/>
      <c r="G876" s="303"/>
      <c r="H876" s="303"/>
      <c r="I876" s="303"/>
      <c r="J876" s="303"/>
      <c r="K876" s="303"/>
      <c r="L876" s="303"/>
      <c r="M876" s="303"/>
      <c r="N876" s="303"/>
      <c r="O876" s="303"/>
      <c r="P876" s="347">
        <f t="shared" si="28"/>
        <v>0</v>
      </c>
      <c r="Q876" s="303"/>
      <c r="R876" s="165">
        <f t="shared" si="29"/>
        <v>0</v>
      </c>
      <c r="S876" s="303"/>
      <c r="T876" s="348"/>
    </row>
    <row r="877" spans="1:20">
      <c r="A877" s="303"/>
      <c r="B877" s="303"/>
      <c r="C877" s="303"/>
      <c r="D877" s="303"/>
      <c r="E877" s="303"/>
      <c r="F877" s="303"/>
      <c r="G877" s="303"/>
      <c r="H877" s="303"/>
      <c r="I877" s="303"/>
      <c r="J877" s="303"/>
      <c r="K877" s="303"/>
      <c r="L877" s="303"/>
      <c r="M877" s="303"/>
      <c r="N877" s="303"/>
      <c r="O877" s="303"/>
      <c r="P877" s="347">
        <f t="shared" si="28"/>
        <v>0</v>
      </c>
      <c r="Q877" s="303"/>
      <c r="R877" s="165">
        <f t="shared" si="29"/>
        <v>0</v>
      </c>
      <c r="S877" s="303"/>
      <c r="T877" s="348"/>
    </row>
    <row r="878" spans="1:20">
      <c r="A878" s="303"/>
      <c r="B878" s="303"/>
      <c r="C878" s="303"/>
      <c r="D878" s="303"/>
      <c r="E878" s="303"/>
      <c r="F878" s="303"/>
      <c r="G878" s="303"/>
      <c r="H878" s="303"/>
      <c r="I878" s="303"/>
      <c r="J878" s="303"/>
      <c r="K878" s="303"/>
      <c r="L878" s="303"/>
      <c r="M878" s="303"/>
      <c r="N878" s="303"/>
      <c r="O878" s="303"/>
      <c r="P878" s="347">
        <f t="shared" si="28"/>
        <v>0</v>
      </c>
      <c r="Q878" s="303"/>
      <c r="R878" s="165">
        <f t="shared" si="29"/>
        <v>0</v>
      </c>
      <c r="S878" s="303"/>
      <c r="T878" s="348"/>
    </row>
    <row r="879" spans="1:20">
      <c r="A879" s="303"/>
      <c r="B879" s="303"/>
      <c r="C879" s="303"/>
      <c r="D879" s="303"/>
      <c r="E879" s="303"/>
      <c r="F879" s="303"/>
      <c r="G879" s="303"/>
      <c r="H879" s="303"/>
      <c r="I879" s="303"/>
      <c r="J879" s="303"/>
      <c r="K879" s="303"/>
      <c r="L879" s="303"/>
      <c r="M879" s="303"/>
      <c r="N879" s="303"/>
      <c r="O879" s="303"/>
      <c r="P879" s="347">
        <f t="shared" si="28"/>
        <v>0</v>
      </c>
      <c r="Q879" s="303"/>
      <c r="R879" s="165">
        <f t="shared" si="29"/>
        <v>0</v>
      </c>
      <c r="S879" s="303"/>
      <c r="T879" s="348"/>
    </row>
    <row r="880" spans="1:20">
      <c r="A880" s="303"/>
      <c r="B880" s="303"/>
      <c r="C880" s="303"/>
      <c r="D880" s="303"/>
      <c r="E880" s="303"/>
      <c r="F880" s="303"/>
      <c r="G880" s="303"/>
      <c r="H880" s="303"/>
      <c r="I880" s="303"/>
      <c r="J880" s="303"/>
      <c r="K880" s="303"/>
      <c r="L880" s="303"/>
      <c r="M880" s="303"/>
      <c r="N880" s="303"/>
      <c r="O880" s="303"/>
      <c r="P880" s="347">
        <f t="shared" si="28"/>
        <v>0</v>
      </c>
      <c r="Q880" s="303"/>
      <c r="R880" s="165">
        <f t="shared" si="29"/>
        <v>0</v>
      </c>
      <c r="S880" s="303"/>
      <c r="T880" s="348"/>
    </row>
    <row r="881" spans="1:20">
      <c r="A881" s="303"/>
      <c r="B881" s="303"/>
      <c r="C881" s="303"/>
      <c r="D881" s="303"/>
      <c r="E881" s="303"/>
      <c r="F881" s="303"/>
      <c r="G881" s="303"/>
      <c r="H881" s="303"/>
      <c r="I881" s="303"/>
      <c r="J881" s="303"/>
      <c r="K881" s="303"/>
      <c r="L881" s="303"/>
      <c r="M881" s="303"/>
      <c r="N881" s="303"/>
      <c r="O881" s="303"/>
      <c r="P881" s="347">
        <f t="shared" si="28"/>
        <v>0</v>
      </c>
      <c r="Q881" s="303"/>
      <c r="R881" s="165">
        <f t="shared" si="29"/>
        <v>0</v>
      </c>
      <c r="S881" s="303"/>
      <c r="T881" s="348"/>
    </row>
    <row r="882" spans="1:20">
      <c r="A882" s="303"/>
      <c r="B882" s="303"/>
      <c r="C882" s="303"/>
      <c r="D882" s="303"/>
      <c r="E882" s="303"/>
      <c r="F882" s="303"/>
      <c r="G882" s="303"/>
      <c r="H882" s="303"/>
      <c r="I882" s="303"/>
      <c r="J882" s="303"/>
      <c r="K882" s="303"/>
      <c r="L882" s="303"/>
      <c r="M882" s="303"/>
      <c r="N882" s="303"/>
      <c r="O882" s="303"/>
      <c r="P882" s="347">
        <f t="shared" si="28"/>
        <v>0</v>
      </c>
      <c r="Q882" s="303"/>
      <c r="R882" s="165">
        <f t="shared" si="29"/>
        <v>0</v>
      </c>
      <c r="S882" s="303"/>
      <c r="T882" s="348"/>
    </row>
    <row r="883" spans="1:20">
      <c r="A883" s="303"/>
      <c r="B883" s="303"/>
      <c r="C883" s="303"/>
      <c r="D883" s="303"/>
      <c r="E883" s="303"/>
      <c r="F883" s="303"/>
      <c r="G883" s="303"/>
      <c r="H883" s="303"/>
      <c r="I883" s="303"/>
      <c r="J883" s="303"/>
      <c r="K883" s="303"/>
      <c r="L883" s="303"/>
      <c r="M883" s="303"/>
      <c r="N883" s="303"/>
      <c r="O883" s="303"/>
      <c r="P883" s="347">
        <f t="shared" si="28"/>
        <v>0</v>
      </c>
      <c r="Q883" s="303"/>
      <c r="R883" s="165">
        <f t="shared" si="29"/>
        <v>0</v>
      </c>
      <c r="S883" s="303"/>
      <c r="T883" s="348"/>
    </row>
    <row r="884" spans="1:20">
      <c r="A884" s="303"/>
      <c r="B884" s="303"/>
      <c r="C884" s="303"/>
      <c r="D884" s="303"/>
      <c r="E884" s="303"/>
      <c r="F884" s="303"/>
      <c r="G884" s="303"/>
      <c r="H884" s="303"/>
      <c r="I884" s="303"/>
      <c r="J884" s="303"/>
      <c r="K884" s="303"/>
      <c r="L884" s="303"/>
      <c r="M884" s="303"/>
      <c r="N884" s="303"/>
      <c r="O884" s="303"/>
      <c r="P884" s="347">
        <f t="shared" ref="P884:P947" si="30">SUM(I884:O884)</f>
        <v>0</v>
      </c>
      <c r="Q884" s="303"/>
      <c r="R884" s="165">
        <f t="shared" si="29"/>
        <v>0</v>
      </c>
      <c r="S884" s="303"/>
      <c r="T884" s="348"/>
    </row>
    <row r="885" spans="1:20">
      <c r="A885" s="303"/>
      <c r="B885" s="303"/>
      <c r="C885" s="303"/>
      <c r="D885" s="303"/>
      <c r="E885" s="303"/>
      <c r="F885" s="303"/>
      <c r="G885" s="303"/>
      <c r="H885" s="303"/>
      <c r="I885" s="303"/>
      <c r="J885" s="303"/>
      <c r="K885" s="303"/>
      <c r="L885" s="303"/>
      <c r="M885" s="303"/>
      <c r="N885" s="303"/>
      <c r="O885" s="303"/>
      <c r="P885" s="347">
        <f t="shared" si="30"/>
        <v>0</v>
      </c>
      <c r="Q885" s="303"/>
      <c r="R885" s="165">
        <f t="shared" si="29"/>
        <v>0</v>
      </c>
      <c r="S885" s="303"/>
      <c r="T885" s="348"/>
    </row>
    <row r="886" spans="1:20">
      <c r="A886" s="303"/>
      <c r="B886" s="303"/>
      <c r="C886" s="303"/>
      <c r="D886" s="303"/>
      <c r="E886" s="303"/>
      <c r="F886" s="303"/>
      <c r="G886" s="303"/>
      <c r="H886" s="303"/>
      <c r="I886" s="303"/>
      <c r="J886" s="303"/>
      <c r="K886" s="303"/>
      <c r="L886" s="303"/>
      <c r="M886" s="303"/>
      <c r="N886" s="303"/>
      <c r="O886" s="303"/>
      <c r="P886" s="347">
        <f t="shared" si="30"/>
        <v>0</v>
      </c>
      <c r="Q886" s="303"/>
      <c r="R886" s="165">
        <f t="shared" si="29"/>
        <v>0</v>
      </c>
      <c r="S886" s="303"/>
      <c r="T886" s="348"/>
    </row>
    <row r="887" spans="1:20">
      <c r="A887" s="303"/>
      <c r="B887" s="303"/>
      <c r="C887" s="303"/>
      <c r="D887" s="303"/>
      <c r="E887" s="303"/>
      <c r="F887" s="303"/>
      <c r="G887" s="303"/>
      <c r="H887" s="303"/>
      <c r="I887" s="303"/>
      <c r="J887" s="303"/>
      <c r="K887" s="303"/>
      <c r="L887" s="303"/>
      <c r="M887" s="303"/>
      <c r="N887" s="303"/>
      <c r="O887" s="303"/>
      <c r="P887" s="347">
        <f t="shared" si="30"/>
        <v>0</v>
      </c>
      <c r="Q887" s="303"/>
      <c r="R887" s="165">
        <f t="shared" si="29"/>
        <v>0</v>
      </c>
      <c r="S887" s="303"/>
      <c r="T887" s="348"/>
    </row>
    <row r="888" spans="1:20">
      <c r="A888" s="303"/>
      <c r="B888" s="303"/>
      <c r="C888" s="303"/>
      <c r="D888" s="303"/>
      <c r="E888" s="303"/>
      <c r="F888" s="303"/>
      <c r="G888" s="303"/>
      <c r="H888" s="303"/>
      <c r="I888" s="303"/>
      <c r="J888" s="303"/>
      <c r="K888" s="303"/>
      <c r="L888" s="303"/>
      <c r="M888" s="303"/>
      <c r="N888" s="303"/>
      <c r="O888" s="303"/>
      <c r="P888" s="347">
        <f t="shared" si="30"/>
        <v>0</v>
      </c>
      <c r="Q888" s="303"/>
      <c r="R888" s="165">
        <f t="shared" si="29"/>
        <v>0</v>
      </c>
      <c r="S888" s="303"/>
      <c r="T888" s="348"/>
    </row>
    <row r="889" spans="1:20">
      <c r="A889" s="303"/>
      <c r="B889" s="303"/>
      <c r="C889" s="303"/>
      <c r="D889" s="303"/>
      <c r="E889" s="303"/>
      <c r="F889" s="303"/>
      <c r="G889" s="303"/>
      <c r="H889" s="303"/>
      <c r="I889" s="303"/>
      <c r="J889" s="303"/>
      <c r="K889" s="303"/>
      <c r="L889" s="303"/>
      <c r="M889" s="303"/>
      <c r="N889" s="303"/>
      <c r="O889" s="303"/>
      <c r="P889" s="347">
        <f t="shared" si="30"/>
        <v>0</v>
      </c>
      <c r="Q889" s="303"/>
      <c r="R889" s="165">
        <f t="shared" si="29"/>
        <v>0</v>
      </c>
      <c r="S889" s="303"/>
      <c r="T889" s="348"/>
    </row>
    <row r="890" spans="1:20">
      <c r="A890" s="303"/>
      <c r="B890" s="303"/>
      <c r="C890" s="303"/>
      <c r="D890" s="303"/>
      <c r="E890" s="303"/>
      <c r="F890" s="303"/>
      <c r="G890" s="303"/>
      <c r="H890" s="303"/>
      <c r="I890" s="303"/>
      <c r="J890" s="303"/>
      <c r="K890" s="303"/>
      <c r="L890" s="303"/>
      <c r="M890" s="303"/>
      <c r="N890" s="303"/>
      <c r="O890" s="303"/>
      <c r="P890" s="347">
        <f t="shared" si="30"/>
        <v>0</v>
      </c>
      <c r="Q890" s="303"/>
      <c r="R890" s="165">
        <f t="shared" si="29"/>
        <v>0</v>
      </c>
      <c r="S890" s="303"/>
      <c r="T890" s="348"/>
    </row>
    <row r="891" spans="1:20">
      <c r="A891" s="303"/>
      <c r="B891" s="303"/>
      <c r="C891" s="303"/>
      <c r="D891" s="303"/>
      <c r="E891" s="303"/>
      <c r="F891" s="303"/>
      <c r="G891" s="303"/>
      <c r="H891" s="303"/>
      <c r="I891" s="303"/>
      <c r="J891" s="303"/>
      <c r="K891" s="303"/>
      <c r="L891" s="303"/>
      <c r="M891" s="303"/>
      <c r="N891" s="303"/>
      <c r="O891" s="303"/>
      <c r="P891" s="347">
        <f t="shared" si="30"/>
        <v>0</v>
      </c>
      <c r="Q891" s="303"/>
      <c r="R891" s="165">
        <f t="shared" si="29"/>
        <v>0</v>
      </c>
      <c r="S891" s="303"/>
      <c r="T891" s="348"/>
    </row>
    <row r="892" spans="1:20">
      <c r="A892" s="303"/>
      <c r="B892" s="303"/>
      <c r="C892" s="303"/>
      <c r="D892" s="303"/>
      <c r="E892" s="303"/>
      <c r="F892" s="303"/>
      <c r="G892" s="303"/>
      <c r="H892" s="303"/>
      <c r="I892" s="303"/>
      <c r="J892" s="303"/>
      <c r="K892" s="303"/>
      <c r="L892" s="303"/>
      <c r="M892" s="303"/>
      <c r="N892" s="303"/>
      <c r="O892" s="303"/>
      <c r="P892" s="347">
        <f t="shared" si="30"/>
        <v>0</v>
      </c>
      <c r="Q892" s="303"/>
      <c r="R892" s="165">
        <f t="shared" si="29"/>
        <v>0</v>
      </c>
      <c r="S892" s="303"/>
      <c r="T892" s="348"/>
    </row>
    <row r="893" spans="1:20">
      <c r="A893" s="303"/>
      <c r="B893" s="303"/>
      <c r="C893" s="303"/>
      <c r="D893" s="303"/>
      <c r="E893" s="303"/>
      <c r="F893" s="303"/>
      <c r="G893" s="303"/>
      <c r="H893" s="303"/>
      <c r="I893" s="303"/>
      <c r="J893" s="303"/>
      <c r="K893" s="303"/>
      <c r="L893" s="303"/>
      <c r="M893" s="303"/>
      <c r="N893" s="303"/>
      <c r="O893" s="303"/>
      <c r="P893" s="347">
        <f t="shared" si="30"/>
        <v>0</v>
      </c>
      <c r="Q893" s="303"/>
      <c r="R893" s="165">
        <f t="shared" si="29"/>
        <v>0</v>
      </c>
      <c r="S893" s="303"/>
      <c r="T893" s="348"/>
    </row>
    <row r="894" spans="1:20">
      <c r="A894" s="303"/>
      <c r="B894" s="303"/>
      <c r="C894" s="303"/>
      <c r="D894" s="303"/>
      <c r="E894" s="303"/>
      <c r="F894" s="303"/>
      <c r="G894" s="303"/>
      <c r="H894" s="303"/>
      <c r="I894" s="303"/>
      <c r="J894" s="303"/>
      <c r="K894" s="303"/>
      <c r="L894" s="303"/>
      <c r="M894" s="303"/>
      <c r="N894" s="303"/>
      <c r="O894" s="303"/>
      <c r="P894" s="347">
        <f t="shared" si="30"/>
        <v>0</v>
      </c>
      <c r="Q894" s="303"/>
      <c r="R894" s="165">
        <f t="shared" si="29"/>
        <v>0</v>
      </c>
      <c r="S894" s="303"/>
      <c r="T894" s="348"/>
    </row>
    <row r="895" spans="1:20">
      <c r="A895" s="303"/>
      <c r="B895" s="303"/>
      <c r="C895" s="303"/>
      <c r="D895" s="303"/>
      <c r="E895" s="303"/>
      <c r="F895" s="303"/>
      <c r="G895" s="303"/>
      <c r="H895" s="303"/>
      <c r="I895" s="303"/>
      <c r="J895" s="303"/>
      <c r="K895" s="303"/>
      <c r="L895" s="303"/>
      <c r="M895" s="303"/>
      <c r="N895" s="303"/>
      <c r="O895" s="303"/>
      <c r="P895" s="347">
        <f t="shared" si="30"/>
        <v>0</v>
      </c>
      <c r="Q895" s="303"/>
      <c r="R895" s="165">
        <f t="shared" si="29"/>
        <v>0</v>
      </c>
      <c r="S895" s="303"/>
      <c r="T895" s="348"/>
    </row>
    <row r="896" spans="1:20">
      <c r="A896" s="303"/>
      <c r="B896" s="303"/>
      <c r="C896" s="303"/>
      <c r="D896" s="303"/>
      <c r="E896" s="303"/>
      <c r="F896" s="303"/>
      <c r="G896" s="303"/>
      <c r="H896" s="303"/>
      <c r="I896" s="303"/>
      <c r="J896" s="303"/>
      <c r="K896" s="303"/>
      <c r="L896" s="303"/>
      <c r="M896" s="303"/>
      <c r="N896" s="303"/>
      <c r="O896" s="303"/>
      <c r="P896" s="347">
        <f t="shared" si="30"/>
        <v>0</v>
      </c>
      <c r="Q896" s="303"/>
      <c r="R896" s="165">
        <f t="shared" si="29"/>
        <v>0</v>
      </c>
      <c r="S896" s="303"/>
      <c r="T896" s="348"/>
    </row>
    <row r="897" spans="1:20">
      <c r="A897" s="303"/>
      <c r="B897" s="303"/>
      <c r="C897" s="303"/>
      <c r="D897" s="303"/>
      <c r="E897" s="303"/>
      <c r="F897" s="303"/>
      <c r="G897" s="303"/>
      <c r="H897" s="303"/>
      <c r="I897" s="303"/>
      <c r="J897" s="303"/>
      <c r="K897" s="303"/>
      <c r="L897" s="303"/>
      <c r="M897" s="303"/>
      <c r="N897" s="303"/>
      <c r="O897" s="303"/>
      <c r="P897" s="347">
        <f t="shared" si="30"/>
        <v>0</v>
      </c>
      <c r="Q897" s="303"/>
      <c r="R897" s="165">
        <f t="shared" si="29"/>
        <v>0</v>
      </c>
      <c r="S897" s="303"/>
      <c r="T897" s="348"/>
    </row>
    <row r="898" spans="1:20">
      <c r="A898" s="303"/>
      <c r="B898" s="303"/>
      <c r="C898" s="303"/>
      <c r="D898" s="303"/>
      <c r="E898" s="303"/>
      <c r="F898" s="303"/>
      <c r="G898" s="303"/>
      <c r="H898" s="303"/>
      <c r="I898" s="303"/>
      <c r="J898" s="303"/>
      <c r="K898" s="303"/>
      <c r="L898" s="303"/>
      <c r="M898" s="303"/>
      <c r="N898" s="303"/>
      <c r="O898" s="303"/>
      <c r="P898" s="347">
        <f t="shared" si="30"/>
        <v>0</v>
      </c>
      <c r="Q898" s="303"/>
      <c r="R898" s="165">
        <f t="shared" si="29"/>
        <v>0</v>
      </c>
      <c r="S898" s="303"/>
      <c r="T898" s="348"/>
    </row>
    <row r="899" spans="1:20">
      <c r="A899" s="303"/>
      <c r="B899" s="303"/>
      <c r="C899" s="303"/>
      <c r="D899" s="303"/>
      <c r="E899" s="303"/>
      <c r="F899" s="303"/>
      <c r="G899" s="303"/>
      <c r="H899" s="303"/>
      <c r="I899" s="303"/>
      <c r="J899" s="303"/>
      <c r="K899" s="303"/>
      <c r="L899" s="303"/>
      <c r="M899" s="303"/>
      <c r="N899" s="303"/>
      <c r="O899" s="303"/>
      <c r="P899" s="347">
        <f t="shared" si="30"/>
        <v>0</v>
      </c>
      <c r="Q899" s="303"/>
      <c r="R899" s="165">
        <f t="shared" si="29"/>
        <v>0</v>
      </c>
      <c r="S899" s="303"/>
      <c r="T899" s="348"/>
    </row>
    <row r="900" spans="1:20">
      <c r="A900" s="303"/>
      <c r="B900" s="303"/>
      <c r="C900" s="303"/>
      <c r="D900" s="303"/>
      <c r="E900" s="303"/>
      <c r="F900" s="303"/>
      <c r="G900" s="303"/>
      <c r="H900" s="303"/>
      <c r="I900" s="303"/>
      <c r="J900" s="303"/>
      <c r="K900" s="303"/>
      <c r="L900" s="303"/>
      <c r="M900" s="303"/>
      <c r="N900" s="303"/>
      <c r="O900" s="303"/>
      <c r="P900" s="347">
        <f t="shared" si="30"/>
        <v>0</v>
      </c>
      <c r="Q900" s="303"/>
      <c r="R900" s="165">
        <f t="shared" si="29"/>
        <v>0</v>
      </c>
      <c r="S900" s="303"/>
      <c r="T900" s="348"/>
    </row>
    <row r="901" spans="1:20">
      <c r="A901" s="303"/>
      <c r="B901" s="303"/>
      <c r="C901" s="303"/>
      <c r="D901" s="303"/>
      <c r="E901" s="303"/>
      <c r="F901" s="303"/>
      <c r="G901" s="303"/>
      <c r="H901" s="303"/>
      <c r="I901" s="303"/>
      <c r="J901" s="303"/>
      <c r="K901" s="303"/>
      <c r="L901" s="303"/>
      <c r="M901" s="303"/>
      <c r="N901" s="303"/>
      <c r="O901" s="303"/>
      <c r="P901" s="347">
        <f t="shared" si="30"/>
        <v>0</v>
      </c>
      <c r="Q901" s="303"/>
      <c r="R901" s="165">
        <f t="shared" si="29"/>
        <v>0</v>
      </c>
      <c r="S901" s="303"/>
      <c r="T901" s="348"/>
    </row>
    <row r="902" spans="1:20">
      <c r="A902" s="303"/>
      <c r="B902" s="303"/>
      <c r="C902" s="303"/>
      <c r="D902" s="303"/>
      <c r="E902" s="303"/>
      <c r="F902" s="303"/>
      <c r="G902" s="303"/>
      <c r="H902" s="303"/>
      <c r="I902" s="303"/>
      <c r="J902" s="303"/>
      <c r="K902" s="303"/>
      <c r="L902" s="303"/>
      <c r="M902" s="303"/>
      <c r="N902" s="303"/>
      <c r="O902" s="303"/>
      <c r="P902" s="347">
        <f t="shared" si="30"/>
        <v>0</v>
      </c>
      <c r="Q902" s="303"/>
      <c r="R902" s="165">
        <f t="shared" si="29"/>
        <v>0</v>
      </c>
      <c r="S902" s="303"/>
      <c r="T902" s="348"/>
    </row>
    <row r="903" spans="1:20">
      <c r="A903" s="303"/>
      <c r="B903" s="303"/>
      <c r="C903" s="303"/>
      <c r="D903" s="303"/>
      <c r="E903" s="303"/>
      <c r="F903" s="303"/>
      <c r="G903" s="303"/>
      <c r="H903" s="303"/>
      <c r="I903" s="303"/>
      <c r="J903" s="303"/>
      <c r="K903" s="303"/>
      <c r="L903" s="303"/>
      <c r="M903" s="303"/>
      <c r="N903" s="303"/>
      <c r="O903" s="303"/>
      <c r="P903" s="347">
        <f t="shared" si="30"/>
        <v>0</v>
      </c>
      <c r="Q903" s="303"/>
      <c r="R903" s="165">
        <f t="shared" si="29"/>
        <v>0</v>
      </c>
      <c r="S903" s="303"/>
      <c r="T903" s="348"/>
    </row>
    <row r="904" spans="1:20">
      <c r="A904" s="303"/>
      <c r="B904" s="303"/>
      <c r="C904" s="303"/>
      <c r="D904" s="303"/>
      <c r="E904" s="303"/>
      <c r="F904" s="303"/>
      <c r="G904" s="303"/>
      <c r="H904" s="303"/>
      <c r="I904" s="303"/>
      <c r="J904" s="303"/>
      <c r="K904" s="303"/>
      <c r="L904" s="303"/>
      <c r="M904" s="303"/>
      <c r="N904" s="303"/>
      <c r="O904" s="303"/>
      <c r="P904" s="347">
        <f t="shared" si="30"/>
        <v>0</v>
      </c>
      <c r="Q904" s="303"/>
      <c r="R904" s="165">
        <f t="shared" si="29"/>
        <v>0</v>
      </c>
      <c r="S904" s="303"/>
      <c r="T904" s="348"/>
    </row>
    <row r="905" spans="1:20">
      <c r="A905" s="303"/>
      <c r="B905" s="303"/>
      <c r="C905" s="303"/>
      <c r="D905" s="303"/>
      <c r="E905" s="303"/>
      <c r="F905" s="303"/>
      <c r="G905" s="303"/>
      <c r="H905" s="303"/>
      <c r="I905" s="303"/>
      <c r="J905" s="303"/>
      <c r="K905" s="303"/>
      <c r="L905" s="303"/>
      <c r="M905" s="303"/>
      <c r="N905" s="303"/>
      <c r="O905" s="303"/>
      <c r="P905" s="347">
        <f t="shared" si="30"/>
        <v>0</v>
      </c>
      <c r="Q905" s="303"/>
      <c r="R905" s="165">
        <f t="shared" si="29"/>
        <v>0</v>
      </c>
      <c r="S905" s="303"/>
      <c r="T905" s="348"/>
    </row>
    <row r="906" spans="1:20">
      <c r="A906" s="303"/>
      <c r="B906" s="303"/>
      <c r="C906" s="303"/>
      <c r="D906" s="303"/>
      <c r="E906" s="303"/>
      <c r="F906" s="303"/>
      <c r="G906" s="303"/>
      <c r="H906" s="303"/>
      <c r="I906" s="303"/>
      <c r="J906" s="303"/>
      <c r="K906" s="303"/>
      <c r="L906" s="303"/>
      <c r="M906" s="303"/>
      <c r="N906" s="303"/>
      <c r="O906" s="303"/>
      <c r="P906" s="347">
        <f t="shared" si="30"/>
        <v>0</v>
      </c>
      <c r="Q906" s="303"/>
      <c r="R906" s="165">
        <f t="shared" si="29"/>
        <v>0</v>
      </c>
      <c r="S906" s="303"/>
      <c r="T906" s="348"/>
    </row>
    <row r="907" spans="1:20">
      <c r="A907" s="303"/>
      <c r="B907" s="303"/>
      <c r="C907" s="303"/>
      <c r="D907" s="303"/>
      <c r="E907" s="303"/>
      <c r="F907" s="303"/>
      <c r="G907" s="303"/>
      <c r="H907" s="303"/>
      <c r="I907" s="303"/>
      <c r="J907" s="303"/>
      <c r="K907" s="303"/>
      <c r="L907" s="303"/>
      <c r="M907" s="303"/>
      <c r="N907" s="303"/>
      <c r="O907" s="303"/>
      <c r="P907" s="347">
        <f t="shared" si="30"/>
        <v>0</v>
      </c>
      <c r="Q907" s="303"/>
      <c r="R907" s="165">
        <f t="shared" si="29"/>
        <v>0</v>
      </c>
      <c r="S907" s="303"/>
      <c r="T907" s="348"/>
    </row>
    <row r="908" spans="1:20">
      <c r="A908" s="303"/>
      <c r="B908" s="303"/>
      <c r="C908" s="303"/>
      <c r="D908" s="303"/>
      <c r="E908" s="303"/>
      <c r="F908" s="303"/>
      <c r="G908" s="303"/>
      <c r="H908" s="303"/>
      <c r="I908" s="303"/>
      <c r="J908" s="303"/>
      <c r="K908" s="303"/>
      <c r="L908" s="303"/>
      <c r="M908" s="303"/>
      <c r="N908" s="303"/>
      <c r="O908" s="303"/>
      <c r="P908" s="347">
        <f t="shared" si="30"/>
        <v>0</v>
      </c>
      <c r="Q908" s="303"/>
      <c r="R908" s="165">
        <f t="shared" si="29"/>
        <v>0</v>
      </c>
      <c r="S908" s="303"/>
      <c r="T908" s="348"/>
    </row>
    <row r="909" spans="1:20">
      <c r="A909" s="303"/>
      <c r="B909" s="303"/>
      <c r="C909" s="303"/>
      <c r="D909" s="303"/>
      <c r="E909" s="303"/>
      <c r="F909" s="303"/>
      <c r="G909" s="303"/>
      <c r="H909" s="303"/>
      <c r="I909" s="303"/>
      <c r="J909" s="303"/>
      <c r="K909" s="303"/>
      <c r="L909" s="303"/>
      <c r="M909" s="303"/>
      <c r="N909" s="303"/>
      <c r="O909" s="303"/>
      <c r="P909" s="347">
        <f t="shared" si="30"/>
        <v>0</v>
      </c>
      <c r="Q909" s="303"/>
      <c r="R909" s="165">
        <f t="shared" si="29"/>
        <v>0</v>
      </c>
      <c r="S909" s="303"/>
      <c r="T909" s="348"/>
    </row>
    <row r="910" spans="1:20">
      <c r="A910" s="303"/>
      <c r="B910" s="303"/>
      <c r="C910" s="303"/>
      <c r="D910" s="303"/>
      <c r="E910" s="303"/>
      <c r="F910" s="303"/>
      <c r="G910" s="303"/>
      <c r="H910" s="303"/>
      <c r="I910" s="303"/>
      <c r="J910" s="303"/>
      <c r="K910" s="303"/>
      <c r="L910" s="303"/>
      <c r="M910" s="303"/>
      <c r="N910" s="303"/>
      <c r="O910" s="303"/>
      <c r="P910" s="347">
        <f t="shared" si="30"/>
        <v>0</v>
      </c>
      <c r="Q910" s="303"/>
      <c r="R910" s="165">
        <f t="shared" si="29"/>
        <v>0</v>
      </c>
      <c r="S910" s="303"/>
      <c r="T910" s="348"/>
    </row>
    <row r="911" spans="1:20">
      <c r="A911" s="303"/>
      <c r="B911" s="303"/>
      <c r="C911" s="303"/>
      <c r="D911" s="303"/>
      <c r="E911" s="303"/>
      <c r="F911" s="303"/>
      <c r="G911" s="303"/>
      <c r="H911" s="303"/>
      <c r="I911" s="303"/>
      <c r="J911" s="303"/>
      <c r="K911" s="303"/>
      <c r="L911" s="303"/>
      <c r="M911" s="303"/>
      <c r="N911" s="303"/>
      <c r="O911" s="303"/>
      <c r="P911" s="347">
        <f t="shared" si="30"/>
        <v>0</v>
      </c>
      <c r="Q911" s="303"/>
      <c r="R911" s="165">
        <f t="shared" si="29"/>
        <v>0</v>
      </c>
      <c r="S911" s="303"/>
      <c r="T911" s="348"/>
    </row>
    <row r="912" spans="1:20">
      <c r="A912" s="303"/>
      <c r="B912" s="303"/>
      <c r="C912" s="303"/>
      <c r="D912" s="303"/>
      <c r="E912" s="303"/>
      <c r="F912" s="303"/>
      <c r="G912" s="303"/>
      <c r="H912" s="303"/>
      <c r="I912" s="303"/>
      <c r="J912" s="303"/>
      <c r="K912" s="303"/>
      <c r="L912" s="303"/>
      <c r="M912" s="303"/>
      <c r="N912" s="303"/>
      <c r="O912" s="303"/>
      <c r="P912" s="347">
        <f t="shared" si="30"/>
        <v>0</v>
      </c>
      <c r="Q912" s="303"/>
      <c r="R912" s="165">
        <f t="shared" si="29"/>
        <v>0</v>
      </c>
      <c r="S912" s="303"/>
      <c r="T912" s="348"/>
    </row>
    <row r="913" spans="1:20">
      <c r="A913" s="303"/>
      <c r="B913" s="303"/>
      <c r="C913" s="303"/>
      <c r="D913" s="303"/>
      <c r="E913" s="303"/>
      <c r="F913" s="303"/>
      <c r="G913" s="303"/>
      <c r="H913" s="303"/>
      <c r="I913" s="303"/>
      <c r="J913" s="303"/>
      <c r="K913" s="303"/>
      <c r="L913" s="303"/>
      <c r="M913" s="303"/>
      <c r="N913" s="303"/>
      <c r="O913" s="303"/>
      <c r="P913" s="347">
        <f t="shared" si="30"/>
        <v>0</v>
      </c>
      <c r="Q913" s="303"/>
      <c r="R913" s="165">
        <f t="shared" si="29"/>
        <v>0</v>
      </c>
      <c r="S913" s="303"/>
      <c r="T913" s="348"/>
    </row>
    <row r="914" spans="1:20">
      <c r="A914" s="303"/>
      <c r="B914" s="303"/>
      <c r="C914" s="303"/>
      <c r="D914" s="303"/>
      <c r="E914" s="303"/>
      <c r="F914" s="303"/>
      <c r="G914" s="303"/>
      <c r="H914" s="303"/>
      <c r="I914" s="303"/>
      <c r="J914" s="303"/>
      <c r="K914" s="303"/>
      <c r="L914" s="303"/>
      <c r="M914" s="303"/>
      <c r="N914" s="303"/>
      <c r="O914" s="303"/>
      <c r="P914" s="347">
        <f t="shared" si="30"/>
        <v>0</v>
      </c>
      <c r="Q914" s="303"/>
      <c r="R914" s="165">
        <f t="shared" si="29"/>
        <v>0</v>
      </c>
      <c r="S914" s="303"/>
      <c r="T914" s="348"/>
    </row>
    <row r="915" spans="1:20">
      <c r="A915" s="303"/>
      <c r="B915" s="303"/>
      <c r="C915" s="303"/>
      <c r="D915" s="303"/>
      <c r="E915" s="303"/>
      <c r="F915" s="303"/>
      <c r="G915" s="303"/>
      <c r="H915" s="303"/>
      <c r="I915" s="303"/>
      <c r="J915" s="303"/>
      <c r="K915" s="303"/>
      <c r="L915" s="303"/>
      <c r="M915" s="303"/>
      <c r="N915" s="303"/>
      <c r="O915" s="303"/>
      <c r="P915" s="347">
        <f t="shared" si="30"/>
        <v>0</v>
      </c>
      <c r="Q915" s="303"/>
      <c r="R915" s="165">
        <f t="shared" si="29"/>
        <v>0</v>
      </c>
      <c r="S915" s="303"/>
      <c r="T915" s="348"/>
    </row>
    <row r="916" spans="1:20">
      <c r="A916" s="303"/>
      <c r="B916" s="303"/>
      <c r="C916" s="303"/>
      <c r="D916" s="303"/>
      <c r="E916" s="303"/>
      <c r="F916" s="303"/>
      <c r="G916" s="303"/>
      <c r="H916" s="303"/>
      <c r="I916" s="303"/>
      <c r="J916" s="303"/>
      <c r="K916" s="303"/>
      <c r="L916" s="303"/>
      <c r="M916" s="303"/>
      <c r="N916" s="303"/>
      <c r="O916" s="303"/>
      <c r="P916" s="347">
        <f t="shared" si="30"/>
        <v>0</v>
      </c>
      <c r="Q916" s="303"/>
      <c r="R916" s="165">
        <f t="shared" si="29"/>
        <v>0</v>
      </c>
      <c r="S916" s="303"/>
      <c r="T916" s="348"/>
    </row>
    <row r="917" spans="1:20">
      <c r="A917" s="303"/>
      <c r="B917" s="303"/>
      <c r="C917" s="303"/>
      <c r="D917" s="303"/>
      <c r="E917" s="303"/>
      <c r="F917" s="303"/>
      <c r="G917" s="303"/>
      <c r="H917" s="303"/>
      <c r="I917" s="303"/>
      <c r="J917" s="303"/>
      <c r="K917" s="303"/>
      <c r="L917" s="303"/>
      <c r="M917" s="303"/>
      <c r="N917" s="303"/>
      <c r="O917" s="303"/>
      <c r="P917" s="347">
        <f t="shared" si="30"/>
        <v>0</v>
      </c>
      <c r="Q917" s="303"/>
      <c r="R917" s="165">
        <f t="shared" si="29"/>
        <v>0</v>
      </c>
      <c r="S917" s="303"/>
      <c r="T917" s="348"/>
    </row>
    <row r="918" spans="1:20">
      <c r="A918" s="303"/>
      <c r="B918" s="303"/>
      <c r="C918" s="303"/>
      <c r="D918" s="303"/>
      <c r="E918" s="303"/>
      <c r="F918" s="303"/>
      <c r="G918" s="303"/>
      <c r="H918" s="303"/>
      <c r="I918" s="303"/>
      <c r="J918" s="303"/>
      <c r="K918" s="303"/>
      <c r="L918" s="303"/>
      <c r="M918" s="303"/>
      <c r="N918" s="303"/>
      <c r="O918" s="303"/>
      <c r="P918" s="347">
        <f t="shared" si="30"/>
        <v>0</v>
      </c>
      <c r="Q918" s="303"/>
      <c r="R918" s="165">
        <f t="shared" si="29"/>
        <v>0</v>
      </c>
      <c r="S918" s="303"/>
      <c r="T918" s="348"/>
    </row>
    <row r="919" spans="1:20">
      <c r="A919" s="303"/>
      <c r="B919" s="303"/>
      <c r="C919" s="303"/>
      <c r="D919" s="303"/>
      <c r="E919" s="303"/>
      <c r="F919" s="303"/>
      <c r="G919" s="303"/>
      <c r="H919" s="303"/>
      <c r="I919" s="303"/>
      <c r="J919" s="303"/>
      <c r="K919" s="303"/>
      <c r="L919" s="303"/>
      <c r="M919" s="303"/>
      <c r="N919" s="303"/>
      <c r="O919" s="303"/>
      <c r="P919" s="347">
        <f t="shared" si="30"/>
        <v>0</v>
      </c>
      <c r="Q919" s="303"/>
      <c r="R919" s="165">
        <f t="shared" si="29"/>
        <v>0</v>
      </c>
      <c r="S919" s="303"/>
      <c r="T919" s="348"/>
    </row>
    <row r="920" spans="1:20">
      <c r="A920" s="303"/>
      <c r="B920" s="303"/>
      <c r="C920" s="303"/>
      <c r="D920" s="303"/>
      <c r="E920" s="303"/>
      <c r="F920" s="303"/>
      <c r="G920" s="303"/>
      <c r="H920" s="303"/>
      <c r="I920" s="303"/>
      <c r="J920" s="303"/>
      <c r="K920" s="303"/>
      <c r="L920" s="303"/>
      <c r="M920" s="303"/>
      <c r="N920" s="303"/>
      <c r="O920" s="303"/>
      <c r="P920" s="347">
        <f t="shared" si="30"/>
        <v>0</v>
      </c>
      <c r="Q920" s="303"/>
      <c r="R920" s="165">
        <f t="shared" si="29"/>
        <v>0</v>
      </c>
      <c r="S920" s="303"/>
      <c r="T920" s="348"/>
    </row>
    <row r="921" spans="1:20">
      <c r="A921" s="303"/>
      <c r="B921" s="303"/>
      <c r="C921" s="303"/>
      <c r="D921" s="303"/>
      <c r="E921" s="303"/>
      <c r="F921" s="303"/>
      <c r="G921" s="303"/>
      <c r="H921" s="303"/>
      <c r="I921" s="303"/>
      <c r="J921" s="303"/>
      <c r="K921" s="303"/>
      <c r="L921" s="303"/>
      <c r="M921" s="303"/>
      <c r="N921" s="303"/>
      <c r="O921" s="303"/>
      <c r="P921" s="347">
        <f t="shared" si="30"/>
        <v>0</v>
      </c>
      <c r="Q921" s="303"/>
      <c r="R921" s="165">
        <f t="shared" si="29"/>
        <v>0</v>
      </c>
      <c r="S921" s="303"/>
      <c r="T921" s="348"/>
    </row>
    <row r="922" spans="1:20">
      <c r="A922" s="303"/>
      <c r="B922" s="303"/>
      <c r="C922" s="303"/>
      <c r="D922" s="303"/>
      <c r="E922" s="303"/>
      <c r="F922" s="303"/>
      <c r="G922" s="303"/>
      <c r="H922" s="303"/>
      <c r="I922" s="303"/>
      <c r="J922" s="303"/>
      <c r="K922" s="303"/>
      <c r="L922" s="303"/>
      <c r="M922" s="303"/>
      <c r="N922" s="303"/>
      <c r="O922" s="303"/>
      <c r="P922" s="347">
        <f t="shared" si="30"/>
        <v>0</v>
      </c>
      <c r="Q922" s="303"/>
      <c r="R922" s="165">
        <f t="shared" ref="R922:R985" si="31">P922-Q922</f>
        <v>0</v>
      </c>
      <c r="S922" s="303"/>
      <c r="T922" s="348"/>
    </row>
    <row r="923" spans="1:20">
      <c r="A923" s="303"/>
      <c r="B923" s="303"/>
      <c r="C923" s="303"/>
      <c r="D923" s="303"/>
      <c r="E923" s="303"/>
      <c r="F923" s="303"/>
      <c r="G923" s="303"/>
      <c r="H923" s="303"/>
      <c r="I923" s="303"/>
      <c r="J923" s="303"/>
      <c r="K923" s="303"/>
      <c r="L923" s="303"/>
      <c r="M923" s="303"/>
      <c r="N923" s="303"/>
      <c r="O923" s="303"/>
      <c r="P923" s="347">
        <f t="shared" si="30"/>
        <v>0</v>
      </c>
      <c r="Q923" s="303"/>
      <c r="R923" s="165">
        <f t="shared" si="31"/>
        <v>0</v>
      </c>
      <c r="S923" s="303"/>
      <c r="T923" s="348"/>
    </row>
    <row r="924" spans="1:20">
      <c r="A924" s="303"/>
      <c r="B924" s="303"/>
      <c r="C924" s="303"/>
      <c r="D924" s="303"/>
      <c r="E924" s="303"/>
      <c r="F924" s="303"/>
      <c r="G924" s="303"/>
      <c r="H924" s="303"/>
      <c r="I924" s="303"/>
      <c r="J924" s="303"/>
      <c r="K924" s="303"/>
      <c r="L924" s="303"/>
      <c r="M924" s="303"/>
      <c r="N924" s="303"/>
      <c r="O924" s="303"/>
      <c r="P924" s="347">
        <f t="shared" si="30"/>
        <v>0</v>
      </c>
      <c r="Q924" s="303"/>
      <c r="R924" s="165">
        <f t="shared" si="31"/>
        <v>0</v>
      </c>
      <c r="S924" s="303"/>
      <c r="T924" s="348"/>
    </row>
    <row r="925" spans="1:20">
      <c r="A925" s="303"/>
      <c r="B925" s="303"/>
      <c r="C925" s="303"/>
      <c r="D925" s="303"/>
      <c r="E925" s="303"/>
      <c r="F925" s="303"/>
      <c r="G925" s="303"/>
      <c r="H925" s="303"/>
      <c r="I925" s="303"/>
      <c r="J925" s="303"/>
      <c r="K925" s="303"/>
      <c r="L925" s="303"/>
      <c r="M925" s="303"/>
      <c r="N925" s="303"/>
      <c r="O925" s="303"/>
      <c r="P925" s="347">
        <f t="shared" si="30"/>
        <v>0</v>
      </c>
      <c r="Q925" s="303"/>
      <c r="R925" s="165">
        <f t="shared" si="31"/>
        <v>0</v>
      </c>
      <c r="S925" s="303"/>
      <c r="T925" s="348"/>
    </row>
    <row r="926" spans="1:20">
      <c r="A926" s="303"/>
      <c r="B926" s="303"/>
      <c r="C926" s="303"/>
      <c r="D926" s="303"/>
      <c r="E926" s="303"/>
      <c r="F926" s="303"/>
      <c r="G926" s="303"/>
      <c r="H926" s="303"/>
      <c r="I926" s="303"/>
      <c r="J926" s="303"/>
      <c r="K926" s="303"/>
      <c r="L926" s="303"/>
      <c r="M926" s="303"/>
      <c r="N926" s="303"/>
      <c r="O926" s="303"/>
      <c r="P926" s="347">
        <f t="shared" si="30"/>
        <v>0</v>
      </c>
      <c r="Q926" s="303"/>
      <c r="R926" s="165">
        <f t="shared" si="31"/>
        <v>0</v>
      </c>
      <c r="S926" s="303"/>
      <c r="T926" s="348"/>
    </row>
    <row r="927" spans="1:20">
      <c r="A927" s="303"/>
      <c r="B927" s="303"/>
      <c r="C927" s="303"/>
      <c r="D927" s="303"/>
      <c r="E927" s="303"/>
      <c r="F927" s="303"/>
      <c r="G927" s="303"/>
      <c r="H927" s="303"/>
      <c r="I927" s="303"/>
      <c r="J927" s="303"/>
      <c r="K927" s="303"/>
      <c r="L927" s="303"/>
      <c r="M927" s="303"/>
      <c r="N927" s="303"/>
      <c r="O927" s="303"/>
      <c r="P927" s="347">
        <f t="shared" si="30"/>
        <v>0</v>
      </c>
      <c r="Q927" s="303"/>
      <c r="R927" s="165">
        <f t="shared" si="31"/>
        <v>0</v>
      </c>
      <c r="S927" s="303"/>
      <c r="T927" s="348"/>
    </row>
    <row r="928" spans="1:20">
      <c r="A928" s="303"/>
      <c r="B928" s="303"/>
      <c r="C928" s="303"/>
      <c r="D928" s="303"/>
      <c r="E928" s="303"/>
      <c r="F928" s="303"/>
      <c r="G928" s="303"/>
      <c r="H928" s="303"/>
      <c r="I928" s="303"/>
      <c r="J928" s="303"/>
      <c r="K928" s="303"/>
      <c r="L928" s="303"/>
      <c r="M928" s="303"/>
      <c r="N928" s="303"/>
      <c r="O928" s="303"/>
      <c r="P928" s="347">
        <f t="shared" si="30"/>
        <v>0</v>
      </c>
      <c r="Q928" s="303"/>
      <c r="R928" s="165">
        <f t="shared" si="31"/>
        <v>0</v>
      </c>
      <c r="S928" s="303"/>
      <c r="T928" s="348"/>
    </row>
    <row r="929" spans="1:20">
      <c r="A929" s="303"/>
      <c r="B929" s="303"/>
      <c r="C929" s="303"/>
      <c r="D929" s="303"/>
      <c r="E929" s="303"/>
      <c r="F929" s="303"/>
      <c r="G929" s="303"/>
      <c r="H929" s="303"/>
      <c r="I929" s="303"/>
      <c r="J929" s="303"/>
      <c r="K929" s="303"/>
      <c r="L929" s="303"/>
      <c r="M929" s="303"/>
      <c r="N929" s="303"/>
      <c r="O929" s="303"/>
      <c r="P929" s="347">
        <f t="shared" si="30"/>
        <v>0</v>
      </c>
      <c r="Q929" s="303"/>
      <c r="R929" s="165">
        <f t="shared" si="31"/>
        <v>0</v>
      </c>
      <c r="S929" s="303"/>
      <c r="T929" s="348"/>
    </row>
    <row r="930" spans="1:20">
      <c r="A930" s="303"/>
      <c r="B930" s="303"/>
      <c r="C930" s="303"/>
      <c r="D930" s="303"/>
      <c r="E930" s="303"/>
      <c r="F930" s="303"/>
      <c r="G930" s="303"/>
      <c r="H930" s="303"/>
      <c r="I930" s="303"/>
      <c r="J930" s="303"/>
      <c r="K930" s="303"/>
      <c r="L930" s="303"/>
      <c r="M930" s="303"/>
      <c r="N930" s="303"/>
      <c r="O930" s="303"/>
      <c r="P930" s="347">
        <f t="shared" si="30"/>
        <v>0</v>
      </c>
      <c r="Q930" s="303"/>
      <c r="R930" s="165">
        <f t="shared" si="31"/>
        <v>0</v>
      </c>
      <c r="S930" s="303"/>
      <c r="T930" s="348"/>
    </row>
    <row r="931" spans="1:20">
      <c r="A931" s="303"/>
      <c r="B931" s="303"/>
      <c r="C931" s="303"/>
      <c r="D931" s="303"/>
      <c r="E931" s="303"/>
      <c r="F931" s="303"/>
      <c r="G931" s="303"/>
      <c r="H931" s="303"/>
      <c r="I931" s="303"/>
      <c r="J931" s="303"/>
      <c r="K931" s="303"/>
      <c r="L931" s="303"/>
      <c r="M931" s="303"/>
      <c r="N931" s="303"/>
      <c r="O931" s="303"/>
      <c r="P931" s="347">
        <f t="shared" si="30"/>
        <v>0</v>
      </c>
      <c r="Q931" s="303"/>
      <c r="R931" s="165">
        <f t="shared" si="31"/>
        <v>0</v>
      </c>
      <c r="S931" s="303"/>
      <c r="T931" s="348"/>
    </row>
    <row r="932" spans="1:20">
      <c r="A932" s="303"/>
      <c r="B932" s="303"/>
      <c r="C932" s="303"/>
      <c r="D932" s="303"/>
      <c r="E932" s="303"/>
      <c r="F932" s="303"/>
      <c r="G932" s="303"/>
      <c r="H932" s="303"/>
      <c r="I932" s="303"/>
      <c r="J932" s="303"/>
      <c r="K932" s="303"/>
      <c r="L932" s="303"/>
      <c r="M932" s="303"/>
      <c r="N932" s="303"/>
      <c r="O932" s="303"/>
      <c r="P932" s="347">
        <f t="shared" si="30"/>
        <v>0</v>
      </c>
      <c r="Q932" s="303"/>
      <c r="R932" s="165">
        <f t="shared" si="31"/>
        <v>0</v>
      </c>
      <c r="S932" s="303"/>
      <c r="T932" s="348"/>
    </row>
    <row r="933" spans="1:20">
      <c r="A933" s="303"/>
      <c r="B933" s="303"/>
      <c r="C933" s="303"/>
      <c r="D933" s="303"/>
      <c r="E933" s="303"/>
      <c r="F933" s="303"/>
      <c r="G933" s="303"/>
      <c r="H933" s="303"/>
      <c r="I933" s="303"/>
      <c r="J933" s="303"/>
      <c r="K933" s="303"/>
      <c r="L933" s="303"/>
      <c r="M933" s="303"/>
      <c r="N933" s="303"/>
      <c r="O933" s="303"/>
      <c r="P933" s="347">
        <f t="shared" si="30"/>
        <v>0</v>
      </c>
      <c r="Q933" s="303"/>
      <c r="R933" s="165">
        <f t="shared" si="31"/>
        <v>0</v>
      </c>
      <c r="S933" s="303"/>
      <c r="T933" s="348"/>
    </row>
    <row r="934" spans="1:20">
      <c r="A934" s="303"/>
      <c r="B934" s="303"/>
      <c r="C934" s="303"/>
      <c r="D934" s="303"/>
      <c r="E934" s="303"/>
      <c r="F934" s="303"/>
      <c r="G934" s="303"/>
      <c r="H934" s="303"/>
      <c r="I934" s="303"/>
      <c r="J934" s="303"/>
      <c r="K934" s="303"/>
      <c r="L934" s="303"/>
      <c r="M934" s="303"/>
      <c r="N934" s="303"/>
      <c r="O934" s="303"/>
      <c r="P934" s="347">
        <f t="shared" si="30"/>
        <v>0</v>
      </c>
      <c r="Q934" s="303"/>
      <c r="R934" s="165">
        <f t="shared" si="31"/>
        <v>0</v>
      </c>
      <c r="S934" s="303"/>
      <c r="T934" s="348"/>
    </row>
    <row r="935" spans="1:20">
      <c r="A935" s="303"/>
      <c r="B935" s="303"/>
      <c r="C935" s="303"/>
      <c r="D935" s="303"/>
      <c r="E935" s="303"/>
      <c r="F935" s="303"/>
      <c r="G935" s="303"/>
      <c r="H935" s="303"/>
      <c r="I935" s="303"/>
      <c r="J935" s="303"/>
      <c r="K935" s="303"/>
      <c r="L935" s="303"/>
      <c r="M935" s="303"/>
      <c r="N935" s="303"/>
      <c r="O935" s="303"/>
      <c r="P935" s="347">
        <f t="shared" si="30"/>
        <v>0</v>
      </c>
      <c r="Q935" s="303"/>
      <c r="R935" s="165">
        <f t="shared" si="31"/>
        <v>0</v>
      </c>
      <c r="S935" s="303"/>
      <c r="T935" s="348"/>
    </row>
    <row r="936" spans="1:20">
      <c r="A936" s="303"/>
      <c r="B936" s="303"/>
      <c r="C936" s="303"/>
      <c r="D936" s="303"/>
      <c r="E936" s="303"/>
      <c r="F936" s="303"/>
      <c r="G936" s="303"/>
      <c r="H936" s="303"/>
      <c r="I936" s="303"/>
      <c r="J936" s="303"/>
      <c r="K936" s="303"/>
      <c r="L936" s="303"/>
      <c r="M936" s="303"/>
      <c r="N936" s="303"/>
      <c r="O936" s="303"/>
      <c r="P936" s="347">
        <f t="shared" si="30"/>
        <v>0</v>
      </c>
      <c r="Q936" s="303"/>
      <c r="R936" s="165">
        <f t="shared" si="31"/>
        <v>0</v>
      </c>
      <c r="S936" s="303"/>
      <c r="T936" s="348"/>
    </row>
    <row r="937" spans="1:20">
      <c r="A937" s="303"/>
      <c r="B937" s="303"/>
      <c r="C937" s="303"/>
      <c r="D937" s="303"/>
      <c r="E937" s="303"/>
      <c r="F937" s="303"/>
      <c r="G937" s="303"/>
      <c r="H937" s="303"/>
      <c r="I937" s="303"/>
      <c r="J937" s="303"/>
      <c r="K937" s="303"/>
      <c r="L937" s="303"/>
      <c r="M937" s="303"/>
      <c r="N937" s="303"/>
      <c r="O937" s="303"/>
      <c r="P937" s="347">
        <f t="shared" si="30"/>
        <v>0</v>
      </c>
      <c r="Q937" s="303"/>
      <c r="R937" s="165">
        <f t="shared" si="31"/>
        <v>0</v>
      </c>
      <c r="S937" s="303"/>
      <c r="T937" s="348"/>
    </row>
    <row r="938" spans="1:20">
      <c r="A938" s="303"/>
      <c r="B938" s="303"/>
      <c r="C938" s="303"/>
      <c r="D938" s="303"/>
      <c r="E938" s="303"/>
      <c r="F938" s="303"/>
      <c r="G938" s="303"/>
      <c r="H938" s="303"/>
      <c r="I938" s="303"/>
      <c r="J938" s="303"/>
      <c r="K938" s="303"/>
      <c r="L938" s="303"/>
      <c r="M938" s="303"/>
      <c r="N938" s="303"/>
      <c r="O938" s="303"/>
      <c r="P938" s="347">
        <f t="shared" si="30"/>
        <v>0</v>
      </c>
      <c r="Q938" s="303"/>
      <c r="R938" s="165">
        <f t="shared" si="31"/>
        <v>0</v>
      </c>
      <c r="S938" s="303"/>
      <c r="T938" s="348"/>
    </row>
    <row r="939" spans="1:20">
      <c r="A939" s="303"/>
      <c r="B939" s="303"/>
      <c r="C939" s="303"/>
      <c r="D939" s="303"/>
      <c r="E939" s="303"/>
      <c r="F939" s="303"/>
      <c r="G939" s="303"/>
      <c r="H939" s="303"/>
      <c r="I939" s="303"/>
      <c r="J939" s="303"/>
      <c r="K939" s="303"/>
      <c r="L939" s="303"/>
      <c r="M939" s="303"/>
      <c r="N939" s="303"/>
      <c r="O939" s="303"/>
      <c r="P939" s="347">
        <f t="shared" si="30"/>
        <v>0</v>
      </c>
      <c r="Q939" s="303"/>
      <c r="R939" s="165">
        <f t="shared" si="31"/>
        <v>0</v>
      </c>
      <c r="S939" s="303"/>
      <c r="T939" s="348"/>
    </row>
    <row r="940" spans="1:20">
      <c r="A940" s="303"/>
      <c r="B940" s="303"/>
      <c r="C940" s="303"/>
      <c r="D940" s="303"/>
      <c r="E940" s="303"/>
      <c r="F940" s="303"/>
      <c r="G940" s="303"/>
      <c r="H940" s="303"/>
      <c r="I940" s="303"/>
      <c r="J940" s="303"/>
      <c r="K940" s="303"/>
      <c r="L940" s="303"/>
      <c r="M940" s="303"/>
      <c r="N940" s="303"/>
      <c r="O940" s="303"/>
      <c r="P940" s="347">
        <f t="shared" si="30"/>
        <v>0</v>
      </c>
      <c r="Q940" s="303"/>
      <c r="R940" s="165">
        <f t="shared" si="31"/>
        <v>0</v>
      </c>
      <c r="S940" s="303"/>
      <c r="T940" s="348"/>
    </row>
    <row r="941" spans="1:20">
      <c r="A941" s="303"/>
      <c r="B941" s="303"/>
      <c r="C941" s="303"/>
      <c r="D941" s="303"/>
      <c r="E941" s="303"/>
      <c r="F941" s="303"/>
      <c r="G941" s="303"/>
      <c r="H941" s="303"/>
      <c r="I941" s="303"/>
      <c r="J941" s="303"/>
      <c r="K941" s="303"/>
      <c r="L941" s="303"/>
      <c r="M941" s="303"/>
      <c r="N941" s="303"/>
      <c r="O941" s="303"/>
      <c r="P941" s="347">
        <f t="shared" si="30"/>
        <v>0</v>
      </c>
      <c r="Q941" s="303"/>
      <c r="R941" s="165">
        <f t="shared" si="31"/>
        <v>0</v>
      </c>
      <c r="S941" s="303"/>
      <c r="T941" s="348"/>
    </row>
    <row r="942" spans="1:20">
      <c r="A942" s="303"/>
      <c r="B942" s="303"/>
      <c r="C942" s="303"/>
      <c r="D942" s="303"/>
      <c r="E942" s="303"/>
      <c r="F942" s="303"/>
      <c r="G942" s="303"/>
      <c r="H942" s="303"/>
      <c r="I942" s="303"/>
      <c r="J942" s="303"/>
      <c r="K942" s="303"/>
      <c r="L942" s="303"/>
      <c r="M942" s="303"/>
      <c r="N942" s="303"/>
      <c r="O942" s="303"/>
      <c r="P942" s="347">
        <f t="shared" si="30"/>
        <v>0</v>
      </c>
      <c r="Q942" s="303"/>
      <c r="R942" s="165">
        <f t="shared" si="31"/>
        <v>0</v>
      </c>
      <c r="S942" s="303"/>
      <c r="T942" s="348"/>
    </row>
    <row r="943" spans="1:20">
      <c r="A943" s="303"/>
      <c r="B943" s="303"/>
      <c r="C943" s="303"/>
      <c r="D943" s="303"/>
      <c r="E943" s="303"/>
      <c r="F943" s="303"/>
      <c r="G943" s="303"/>
      <c r="H943" s="303"/>
      <c r="I943" s="303"/>
      <c r="J943" s="303"/>
      <c r="K943" s="303"/>
      <c r="L943" s="303"/>
      <c r="M943" s="303"/>
      <c r="N943" s="303"/>
      <c r="O943" s="303"/>
      <c r="P943" s="347">
        <f t="shared" si="30"/>
        <v>0</v>
      </c>
      <c r="Q943" s="303"/>
      <c r="R943" s="165">
        <f t="shared" si="31"/>
        <v>0</v>
      </c>
      <c r="S943" s="303"/>
      <c r="T943" s="348"/>
    </row>
    <row r="944" spans="1:20">
      <c r="A944" s="303"/>
      <c r="B944" s="303"/>
      <c r="C944" s="303"/>
      <c r="D944" s="303"/>
      <c r="E944" s="303"/>
      <c r="F944" s="303"/>
      <c r="G944" s="303"/>
      <c r="H944" s="303"/>
      <c r="I944" s="303"/>
      <c r="J944" s="303"/>
      <c r="K944" s="303"/>
      <c r="L944" s="303"/>
      <c r="M944" s="303"/>
      <c r="N944" s="303"/>
      <c r="O944" s="303"/>
      <c r="P944" s="347">
        <f t="shared" si="30"/>
        <v>0</v>
      </c>
      <c r="Q944" s="303"/>
      <c r="R944" s="165">
        <f t="shared" si="31"/>
        <v>0</v>
      </c>
      <c r="S944" s="303"/>
      <c r="T944" s="348"/>
    </row>
    <row r="945" spans="1:20">
      <c r="A945" s="303"/>
      <c r="B945" s="303"/>
      <c r="C945" s="303"/>
      <c r="D945" s="303"/>
      <c r="E945" s="303"/>
      <c r="F945" s="303"/>
      <c r="G945" s="303"/>
      <c r="H945" s="303"/>
      <c r="I945" s="303"/>
      <c r="J945" s="303"/>
      <c r="K945" s="303"/>
      <c r="L945" s="303"/>
      <c r="M945" s="303"/>
      <c r="N945" s="303"/>
      <c r="O945" s="303"/>
      <c r="P945" s="347">
        <f t="shared" si="30"/>
        <v>0</v>
      </c>
      <c r="Q945" s="303"/>
      <c r="R945" s="165">
        <f t="shared" si="31"/>
        <v>0</v>
      </c>
      <c r="S945" s="303"/>
      <c r="T945" s="348"/>
    </row>
    <row r="946" spans="1:20">
      <c r="A946" s="303"/>
      <c r="B946" s="303"/>
      <c r="C946" s="303"/>
      <c r="D946" s="303"/>
      <c r="E946" s="303"/>
      <c r="F946" s="303"/>
      <c r="G946" s="303"/>
      <c r="H946" s="303"/>
      <c r="I946" s="303"/>
      <c r="J946" s="303"/>
      <c r="K946" s="303"/>
      <c r="L946" s="303"/>
      <c r="M946" s="303"/>
      <c r="N946" s="303"/>
      <c r="O946" s="303"/>
      <c r="P946" s="347">
        <f t="shared" si="30"/>
        <v>0</v>
      </c>
      <c r="Q946" s="303"/>
      <c r="R946" s="165">
        <f t="shared" si="31"/>
        <v>0</v>
      </c>
      <c r="S946" s="303"/>
      <c r="T946" s="348"/>
    </row>
    <row r="947" spans="1:20">
      <c r="A947" s="303"/>
      <c r="B947" s="303"/>
      <c r="C947" s="303"/>
      <c r="D947" s="303"/>
      <c r="E947" s="303"/>
      <c r="F947" s="303"/>
      <c r="G947" s="303"/>
      <c r="H947" s="303"/>
      <c r="I947" s="303"/>
      <c r="J947" s="303"/>
      <c r="K947" s="303"/>
      <c r="L947" s="303"/>
      <c r="M947" s="303"/>
      <c r="N947" s="303"/>
      <c r="O947" s="303"/>
      <c r="P947" s="347">
        <f t="shared" si="30"/>
        <v>0</v>
      </c>
      <c r="Q947" s="303"/>
      <c r="R947" s="165">
        <f t="shared" si="31"/>
        <v>0</v>
      </c>
      <c r="S947" s="303"/>
      <c r="T947" s="348"/>
    </row>
    <row r="948" spans="1:20">
      <c r="A948" s="303"/>
      <c r="B948" s="303"/>
      <c r="C948" s="303"/>
      <c r="D948" s="303"/>
      <c r="E948" s="303"/>
      <c r="F948" s="303"/>
      <c r="G948" s="303"/>
      <c r="H948" s="303"/>
      <c r="I948" s="303"/>
      <c r="J948" s="303"/>
      <c r="K948" s="303"/>
      <c r="L948" s="303"/>
      <c r="M948" s="303"/>
      <c r="N948" s="303"/>
      <c r="O948" s="303"/>
      <c r="P948" s="347">
        <f t="shared" ref="P948:P1000" si="32">SUM(I948:O948)</f>
        <v>0</v>
      </c>
      <c r="Q948" s="303"/>
      <c r="R948" s="165">
        <f t="shared" si="31"/>
        <v>0</v>
      </c>
      <c r="S948" s="303"/>
      <c r="T948" s="348"/>
    </row>
    <row r="949" spans="1:20">
      <c r="A949" s="303"/>
      <c r="B949" s="303"/>
      <c r="C949" s="303"/>
      <c r="D949" s="303"/>
      <c r="E949" s="303"/>
      <c r="F949" s="303"/>
      <c r="G949" s="303"/>
      <c r="H949" s="303"/>
      <c r="I949" s="303"/>
      <c r="J949" s="303"/>
      <c r="K949" s="303"/>
      <c r="L949" s="303"/>
      <c r="M949" s="303"/>
      <c r="N949" s="303"/>
      <c r="O949" s="303"/>
      <c r="P949" s="347">
        <f t="shared" si="32"/>
        <v>0</v>
      </c>
      <c r="Q949" s="303"/>
      <c r="R949" s="165">
        <f t="shared" si="31"/>
        <v>0</v>
      </c>
      <c r="S949" s="303"/>
      <c r="T949" s="348"/>
    </row>
    <row r="950" spans="1:20">
      <c r="A950" s="303"/>
      <c r="B950" s="303"/>
      <c r="C950" s="303"/>
      <c r="D950" s="303"/>
      <c r="E950" s="303"/>
      <c r="F950" s="303"/>
      <c r="G950" s="303"/>
      <c r="H950" s="303"/>
      <c r="I950" s="303"/>
      <c r="J950" s="303"/>
      <c r="K950" s="303"/>
      <c r="L950" s="303"/>
      <c r="M950" s="303"/>
      <c r="N950" s="303"/>
      <c r="O950" s="303"/>
      <c r="P950" s="347">
        <f t="shared" si="32"/>
        <v>0</v>
      </c>
      <c r="Q950" s="303"/>
      <c r="R950" s="165">
        <f t="shared" si="31"/>
        <v>0</v>
      </c>
      <c r="S950" s="303"/>
      <c r="T950" s="348"/>
    </row>
    <row r="951" spans="1:20">
      <c r="A951" s="303"/>
      <c r="B951" s="303"/>
      <c r="C951" s="303"/>
      <c r="D951" s="303"/>
      <c r="E951" s="303"/>
      <c r="F951" s="303"/>
      <c r="G951" s="303"/>
      <c r="H951" s="303"/>
      <c r="I951" s="303"/>
      <c r="J951" s="303"/>
      <c r="K951" s="303"/>
      <c r="L951" s="303"/>
      <c r="M951" s="303"/>
      <c r="N951" s="303"/>
      <c r="O951" s="303"/>
      <c r="P951" s="347">
        <f t="shared" si="32"/>
        <v>0</v>
      </c>
      <c r="Q951" s="303"/>
      <c r="R951" s="165">
        <f t="shared" si="31"/>
        <v>0</v>
      </c>
      <c r="S951" s="303"/>
      <c r="T951" s="348"/>
    </row>
    <row r="952" spans="1:20">
      <c r="A952" s="303"/>
      <c r="B952" s="303"/>
      <c r="C952" s="303"/>
      <c r="D952" s="303"/>
      <c r="E952" s="303"/>
      <c r="F952" s="303"/>
      <c r="G952" s="303"/>
      <c r="H952" s="303"/>
      <c r="I952" s="303"/>
      <c r="J952" s="303"/>
      <c r="K952" s="303"/>
      <c r="L952" s="303"/>
      <c r="M952" s="303"/>
      <c r="N952" s="303"/>
      <c r="O952" s="303"/>
      <c r="P952" s="347">
        <f t="shared" si="32"/>
        <v>0</v>
      </c>
      <c r="Q952" s="303"/>
      <c r="R952" s="165">
        <f t="shared" si="31"/>
        <v>0</v>
      </c>
      <c r="S952" s="303"/>
      <c r="T952" s="348"/>
    </row>
    <row r="953" spans="1:20">
      <c r="A953" s="303"/>
      <c r="B953" s="303"/>
      <c r="C953" s="303"/>
      <c r="D953" s="303"/>
      <c r="E953" s="303"/>
      <c r="F953" s="303"/>
      <c r="G953" s="303"/>
      <c r="H953" s="303"/>
      <c r="I953" s="303"/>
      <c r="J953" s="303"/>
      <c r="K953" s="303"/>
      <c r="L953" s="303"/>
      <c r="M953" s="303"/>
      <c r="N953" s="303"/>
      <c r="O953" s="303"/>
      <c r="P953" s="347">
        <f t="shared" si="32"/>
        <v>0</v>
      </c>
      <c r="Q953" s="303"/>
      <c r="R953" s="165">
        <f t="shared" si="31"/>
        <v>0</v>
      </c>
      <c r="S953" s="303"/>
      <c r="T953" s="348"/>
    </row>
    <row r="954" spans="1:20">
      <c r="A954" s="303"/>
      <c r="B954" s="303"/>
      <c r="C954" s="303"/>
      <c r="D954" s="303"/>
      <c r="E954" s="303"/>
      <c r="F954" s="303"/>
      <c r="G954" s="303"/>
      <c r="H954" s="303"/>
      <c r="I954" s="303"/>
      <c r="J954" s="303"/>
      <c r="K954" s="303"/>
      <c r="L954" s="303"/>
      <c r="M954" s="303"/>
      <c r="N954" s="303"/>
      <c r="O954" s="303"/>
      <c r="P954" s="347">
        <f t="shared" si="32"/>
        <v>0</v>
      </c>
      <c r="Q954" s="303"/>
      <c r="R954" s="165">
        <f t="shared" si="31"/>
        <v>0</v>
      </c>
      <c r="S954" s="303"/>
      <c r="T954" s="348"/>
    </row>
    <row r="955" spans="1:20">
      <c r="A955" s="303"/>
      <c r="B955" s="303"/>
      <c r="C955" s="303"/>
      <c r="D955" s="303"/>
      <c r="E955" s="303"/>
      <c r="F955" s="303"/>
      <c r="G955" s="303"/>
      <c r="H955" s="303"/>
      <c r="I955" s="303"/>
      <c r="J955" s="303"/>
      <c r="K955" s="303"/>
      <c r="L955" s="303"/>
      <c r="M955" s="303"/>
      <c r="N955" s="303"/>
      <c r="O955" s="303"/>
      <c r="P955" s="347">
        <f t="shared" si="32"/>
        <v>0</v>
      </c>
      <c r="Q955" s="303"/>
      <c r="R955" s="165">
        <f t="shared" si="31"/>
        <v>0</v>
      </c>
      <c r="S955" s="303"/>
      <c r="T955" s="348"/>
    </row>
    <row r="956" spans="1:20">
      <c r="A956" s="303"/>
      <c r="B956" s="303"/>
      <c r="C956" s="303"/>
      <c r="D956" s="303"/>
      <c r="E956" s="303"/>
      <c r="F956" s="303"/>
      <c r="G956" s="303"/>
      <c r="H956" s="303"/>
      <c r="I956" s="303"/>
      <c r="J956" s="303"/>
      <c r="K956" s="303"/>
      <c r="L956" s="303"/>
      <c r="M956" s="303"/>
      <c r="N956" s="303"/>
      <c r="O956" s="303"/>
      <c r="P956" s="347">
        <f t="shared" si="32"/>
        <v>0</v>
      </c>
      <c r="Q956" s="303"/>
      <c r="R956" s="165">
        <f t="shared" si="31"/>
        <v>0</v>
      </c>
      <c r="S956" s="303"/>
      <c r="T956" s="348"/>
    </row>
    <row r="957" spans="1:20">
      <c r="A957" s="303"/>
      <c r="B957" s="303"/>
      <c r="C957" s="303"/>
      <c r="D957" s="303"/>
      <c r="E957" s="303"/>
      <c r="F957" s="303"/>
      <c r="G957" s="303"/>
      <c r="H957" s="303"/>
      <c r="I957" s="303"/>
      <c r="J957" s="303"/>
      <c r="K957" s="303"/>
      <c r="L957" s="303"/>
      <c r="M957" s="303"/>
      <c r="N957" s="303"/>
      <c r="O957" s="303"/>
      <c r="P957" s="347">
        <f t="shared" si="32"/>
        <v>0</v>
      </c>
      <c r="Q957" s="303"/>
      <c r="R957" s="165">
        <f t="shared" si="31"/>
        <v>0</v>
      </c>
      <c r="S957" s="303"/>
      <c r="T957" s="348"/>
    </row>
    <row r="958" spans="1:20">
      <c r="A958" s="303"/>
      <c r="B958" s="303"/>
      <c r="C958" s="303"/>
      <c r="D958" s="303"/>
      <c r="E958" s="303"/>
      <c r="F958" s="303"/>
      <c r="G958" s="303"/>
      <c r="H958" s="303"/>
      <c r="I958" s="303"/>
      <c r="J958" s="303"/>
      <c r="K958" s="303"/>
      <c r="L958" s="303"/>
      <c r="M958" s="303"/>
      <c r="N958" s="303"/>
      <c r="O958" s="303"/>
      <c r="P958" s="347">
        <f t="shared" si="32"/>
        <v>0</v>
      </c>
      <c r="Q958" s="303"/>
      <c r="R958" s="165">
        <f t="shared" si="31"/>
        <v>0</v>
      </c>
      <c r="S958" s="303"/>
      <c r="T958" s="348"/>
    </row>
    <row r="959" spans="1:20">
      <c r="A959" s="303"/>
      <c r="B959" s="303"/>
      <c r="C959" s="303"/>
      <c r="D959" s="303"/>
      <c r="E959" s="303"/>
      <c r="F959" s="303"/>
      <c r="G959" s="303"/>
      <c r="H959" s="303"/>
      <c r="I959" s="303"/>
      <c r="J959" s="303"/>
      <c r="K959" s="303"/>
      <c r="L959" s="303"/>
      <c r="M959" s="303"/>
      <c r="N959" s="303"/>
      <c r="O959" s="303"/>
      <c r="P959" s="347">
        <f t="shared" si="32"/>
        <v>0</v>
      </c>
      <c r="Q959" s="303"/>
      <c r="R959" s="165">
        <f t="shared" si="31"/>
        <v>0</v>
      </c>
      <c r="S959" s="303"/>
      <c r="T959" s="348"/>
    </row>
    <row r="960" spans="1:20">
      <c r="A960" s="303"/>
      <c r="B960" s="303"/>
      <c r="C960" s="303"/>
      <c r="D960" s="303"/>
      <c r="E960" s="303"/>
      <c r="F960" s="303"/>
      <c r="G960" s="303"/>
      <c r="H960" s="303"/>
      <c r="I960" s="303"/>
      <c r="J960" s="303"/>
      <c r="K960" s="303"/>
      <c r="L960" s="303"/>
      <c r="M960" s="303"/>
      <c r="N960" s="303"/>
      <c r="O960" s="303"/>
      <c r="P960" s="347">
        <f t="shared" si="32"/>
        <v>0</v>
      </c>
      <c r="Q960" s="303"/>
      <c r="R960" s="165">
        <f t="shared" si="31"/>
        <v>0</v>
      </c>
      <c r="S960" s="303"/>
      <c r="T960" s="348"/>
    </row>
    <row r="961" spans="1:20">
      <c r="A961" s="303"/>
      <c r="B961" s="303"/>
      <c r="C961" s="303"/>
      <c r="D961" s="303"/>
      <c r="E961" s="303"/>
      <c r="F961" s="303"/>
      <c r="G961" s="303"/>
      <c r="H961" s="303"/>
      <c r="I961" s="303"/>
      <c r="J961" s="303"/>
      <c r="K961" s="303"/>
      <c r="L961" s="303"/>
      <c r="M961" s="303"/>
      <c r="N961" s="303"/>
      <c r="O961" s="303"/>
      <c r="P961" s="347">
        <f t="shared" si="32"/>
        <v>0</v>
      </c>
      <c r="Q961" s="303"/>
      <c r="R961" s="165">
        <f t="shared" si="31"/>
        <v>0</v>
      </c>
      <c r="S961" s="303"/>
      <c r="T961" s="348"/>
    </row>
    <row r="962" spans="1:20">
      <c r="A962" s="303"/>
      <c r="B962" s="303"/>
      <c r="C962" s="303"/>
      <c r="D962" s="303"/>
      <c r="E962" s="303"/>
      <c r="F962" s="303"/>
      <c r="G962" s="303"/>
      <c r="H962" s="303"/>
      <c r="I962" s="303"/>
      <c r="J962" s="303"/>
      <c r="K962" s="303"/>
      <c r="L962" s="303"/>
      <c r="M962" s="303"/>
      <c r="N962" s="303"/>
      <c r="O962" s="303"/>
      <c r="P962" s="347">
        <f t="shared" si="32"/>
        <v>0</v>
      </c>
      <c r="Q962" s="303"/>
      <c r="R962" s="165">
        <f t="shared" si="31"/>
        <v>0</v>
      </c>
      <c r="S962" s="303"/>
      <c r="T962" s="348"/>
    </row>
    <row r="963" spans="1:20">
      <c r="A963" s="303"/>
      <c r="B963" s="303"/>
      <c r="C963" s="303"/>
      <c r="D963" s="303"/>
      <c r="E963" s="303"/>
      <c r="F963" s="303"/>
      <c r="G963" s="303"/>
      <c r="H963" s="303"/>
      <c r="I963" s="303"/>
      <c r="J963" s="303"/>
      <c r="K963" s="303"/>
      <c r="L963" s="303"/>
      <c r="M963" s="303"/>
      <c r="N963" s="303"/>
      <c r="O963" s="303"/>
      <c r="P963" s="347">
        <f t="shared" si="32"/>
        <v>0</v>
      </c>
      <c r="Q963" s="303"/>
      <c r="R963" s="165">
        <f t="shared" si="31"/>
        <v>0</v>
      </c>
      <c r="S963" s="303"/>
      <c r="T963" s="348"/>
    </row>
    <row r="964" spans="1:20">
      <c r="A964" s="303"/>
      <c r="B964" s="303"/>
      <c r="C964" s="303"/>
      <c r="D964" s="303"/>
      <c r="E964" s="303"/>
      <c r="F964" s="303"/>
      <c r="G964" s="303"/>
      <c r="H964" s="303"/>
      <c r="I964" s="303"/>
      <c r="J964" s="303"/>
      <c r="K964" s="303"/>
      <c r="L964" s="303"/>
      <c r="M964" s="303"/>
      <c r="N964" s="303"/>
      <c r="O964" s="303"/>
      <c r="P964" s="347">
        <f t="shared" si="32"/>
        <v>0</v>
      </c>
      <c r="Q964" s="303"/>
      <c r="R964" s="165">
        <f t="shared" si="31"/>
        <v>0</v>
      </c>
      <c r="S964" s="303"/>
      <c r="T964" s="348"/>
    </row>
    <row r="965" spans="1:20">
      <c r="A965" s="303"/>
      <c r="B965" s="303"/>
      <c r="C965" s="303"/>
      <c r="D965" s="303"/>
      <c r="E965" s="303"/>
      <c r="F965" s="303"/>
      <c r="G965" s="303"/>
      <c r="H965" s="303"/>
      <c r="I965" s="303"/>
      <c r="J965" s="303"/>
      <c r="K965" s="303"/>
      <c r="L965" s="303"/>
      <c r="M965" s="303"/>
      <c r="N965" s="303"/>
      <c r="O965" s="303"/>
      <c r="P965" s="347">
        <f t="shared" si="32"/>
        <v>0</v>
      </c>
      <c r="Q965" s="303"/>
      <c r="R965" s="165">
        <f t="shared" si="31"/>
        <v>0</v>
      </c>
      <c r="S965" s="303"/>
      <c r="T965" s="348"/>
    </row>
    <row r="966" spans="1:20">
      <c r="A966" s="303"/>
      <c r="B966" s="303"/>
      <c r="C966" s="303"/>
      <c r="D966" s="303"/>
      <c r="E966" s="303"/>
      <c r="F966" s="303"/>
      <c r="G966" s="303"/>
      <c r="H966" s="303"/>
      <c r="I966" s="303"/>
      <c r="J966" s="303"/>
      <c r="K966" s="303"/>
      <c r="L966" s="303"/>
      <c r="M966" s="303"/>
      <c r="N966" s="303"/>
      <c r="O966" s="303"/>
      <c r="P966" s="347">
        <f t="shared" si="32"/>
        <v>0</v>
      </c>
      <c r="Q966" s="303"/>
      <c r="R966" s="165">
        <f t="shared" si="31"/>
        <v>0</v>
      </c>
      <c r="S966" s="303"/>
      <c r="T966" s="348"/>
    </row>
    <row r="967" spans="1:20">
      <c r="A967" s="303"/>
      <c r="B967" s="303"/>
      <c r="C967" s="303"/>
      <c r="D967" s="303"/>
      <c r="E967" s="303"/>
      <c r="F967" s="303"/>
      <c r="G967" s="303"/>
      <c r="H967" s="303"/>
      <c r="I967" s="303"/>
      <c r="J967" s="303"/>
      <c r="K967" s="303"/>
      <c r="L967" s="303"/>
      <c r="M967" s="303"/>
      <c r="N967" s="303"/>
      <c r="O967" s="303"/>
      <c r="P967" s="347">
        <f t="shared" si="32"/>
        <v>0</v>
      </c>
      <c r="Q967" s="303"/>
      <c r="R967" s="165">
        <f t="shared" si="31"/>
        <v>0</v>
      </c>
      <c r="S967" s="303"/>
      <c r="T967" s="348"/>
    </row>
    <row r="968" spans="1:20">
      <c r="A968" s="303"/>
      <c r="B968" s="303"/>
      <c r="C968" s="303"/>
      <c r="D968" s="303"/>
      <c r="E968" s="303"/>
      <c r="F968" s="303"/>
      <c r="G968" s="303"/>
      <c r="H968" s="303"/>
      <c r="I968" s="303"/>
      <c r="J968" s="303"/>
      <c r="K968" s="303"/>
      <c r="L968" s="303"/>
      <c r="M968" s="303"/>
      <c r="N968" s="303"/>
      <c r="O968" s="303"/>
      <c r="P968" s="347">
        <f t="shared" si="32"/>
        <v>0</v>
      </c>
      <c r="Q968" s="303"/>
      <c r="R968" s="165">
        <f t="shared" si="31"/>
        <v>0</v>
      </c>
      <c r="S968" s="303"/>
      <c r="T968" s="348"/>
    </row>
    <row r="969" spans="1:20">
      <c r="A969" s="303"/>
      <c r="B969" s="303"/>
      <c r="C969" s="303"/>
      <c r="D969" s="303"/>
      <c r="E969" s="303"/>
      <c r="F969" s="303"/>
      <c r="G969" s="303"/>
      <c r="H969" s="303"/>
      <c r="I969" s="303"/>
      <c r="J969" s="303"/>
      <c r="K969" s="303"/>
      <c r="L969" s="303"/>
      <c r="M969" s="303"/>
      <c r="N969" s="303"/>
      <c r="O969" s="303"/>
      <c r="P969" s="347">
        <f t="shared" si="32"/>
        <v>0</v>
      </c>
      <c r="Q969" s="303"/>
      <c r="R969" s="165">
        <f t="shared" si="31"/>
        <v>0</v>
      </c>
      <c r="S969" s="303"/>
      <c r="T969" s="348"/>
    </row>
    <row r="970" spans="1:20">
      <c r="A970" s="303"/>
      <c r="B970" s="303"/>
      <c r="C970" s="303"/>
      <c r="D970" s="303"/>
      <c r="E970" s="303"/>
      <c r="F970" s="303"/>
      <c r="G970" s="303"/>
      <c r="H970" s="303"/>
      <c r="I970" s="303"/>
      <c r="J970" s="303"/>
      <c r="K970" s="303"/>
      <c r="L970" s="303"/>
      <c r="M970" s="303"/>
      <c r="N970" s="303"/>
      <c r="O970" s="303"/>
      <c r="P970" s="347">
        <f t="shared" si="32"/>
        <v>0</v>
      </c>
      <c r="Q970" s="303"/>
      <c r="R970" s="165">
        <f t="shared" si="31"/>
        <v>0</v>
      </c>
      <c r="S970" s="303"/>
      <c r="T970" s="348"/>
    </row>
    <row r="971" spans="1:20">
      <c r="A971" s="303"/>
      <c r="B971" s="303"/>
      <c r="C971" s="303"/>
      <c r="D971" s="303"/>
      <c r="E971" s="303"/>
      <c r="F971" s="303"/>
      <c r="G971" s="303"/>
      <c r="H971" s="303"/>
      <c r="I971" s="303"/>
      <c r="J971" s="303"/>
      <c r="K971" s="303"/>
      <c r="L971" s="303"/>
      <c r="M971" s="303"/>
      <c r="N971" s="303"/>
      <c r="O971" s="303"/>
      <c r="P971" s="347">
        <f t="shared" si="32"/>
        <v>0</v>
      </c>
      <c r="Q971" s="303"/>
      <c r="R971" s="165">
        <f t="shared" si="31"/>
        <v>0</v>
      </c>
      <c r="S971" s="303"/>
      <c r="T971" s="348"/>
    </row>
    <row r="972" spans="1:20">
      <c r="A972" s="303"/>
      <c r="B972" s="303"/>
      <c r="C972" s="303"/>
      <c r="D972" s="303"/>
      <c r="E972" s="303"/>
      <c r="F972" s="303"/>
      <c r="G972" s="303"/>
      <c r="H972" s="303"/>
      <c r="I972" s="303"/>
      <c r="J972" s="303"/>
      <c r="K972" s="303"/>
      <c r="L972" s="303"/>
      <c r="M972" s="303"/>
      <c r="N972" s="303"/>
      <c r="O972" s="303"/>
      <c r="P972" s="347">
        <f t="shared" si="32"/>
        <v>0</v>
      </c>
      <c r="Q972" s="303"/>
      <c r="R972" s="165">
        <f t="shared" si="31"/>
        <v>0</v>
      </c>
      <c r="S972" s="303"/>
      <c r="T972" s="348"/>
    </row>
    <row r="973" spans="1:20">
      <c r="A973" s="303"/>
      <c r="B973" s="303"/>
      <c r="C973" s="303"/>
      <c r="D973" s="303"/>
      <c r="E973" s="303"/>
      <c r="F973" s="303"/>
      <c r="G973" s="303"/>
      <c r="H973" s="303"/>
      <c r="I973" s="303"/>
      <c r="J973" s="303"/>
      <c r="K973" s="303"/>
      <c r="L973" s="303"/>
      <c r="M973" s="303"/>
      <c r="N973" s="303"/>
      <c r="O973" s="303"/>
      <c r="P973" s="347">
        <f t="shared" si="32"/>
        <v>0</v>
      </c>
      <c r="Q973" s="303"/>
      <c r="R973" s="165">
        <f t="shared" si="31"/>
        <v>0</v>
      </c>
      <c r="S973" s="303"/>
      <c r="T973" s="348"/>
    </row>
    <row r="974" spans="1:20">
      <c r="A974" s="303"/>
      <c r="B974" s="303"/>
      <c r="C974" s="303"/>
      <c r="D974" s="303"/>
      <c r="E974" s="303"/>
      <c r="F974" s="303"/>
      <c r="G974" s="303"/>
      <c r="H974" s="303"/>
      <c r="I974" s="303"/>
      <c r="J974" s="303"/>
      <c r="K974" s="303"/>
      <c r="L974" s="303"/>
      <c r="M974" s="303"/>
      <c r="N974" s="303"/>
      <c r="O974" s="303"/>
      <c r="P974" s="347">
        <f t="shared" si="32"/>
        <v>0</v>
      </c>
      <c r="Q974" s="303"/>
      <c r="R974" s="165">
        <f t="shared" si="31"/>
        <v>0</v>
      </c>
      <c r="S974" s="303"/>
      <c r="T974" s="348"/>
    </row>
    <row r="975" spans="1:20">
      <c r="A975" s="303"/>
      <c r="B975" s="303"/>
      <c r="C975" s="303"/>
      <c r="D975" s="303"/>
      <c r="E975" s="303"/>
      <c r="F975" s="303"/>
      <c r="G975" s="303"/>
      <c r="H975" s="303"/>
      <c r="I975" s="303"/>
      <c r="J975" s="303"/>
      <c r="K975" s="303"/>
      <c r="L975" s="303"/>
      <c r="M975" s="303"/>
      <c r="N975" s="303"/>
      <c r="O975" s="303"/>
      <c r="P975" s="347">
        <f t="shared" si="32"/>
        <v>0</v>
      </c>
      <c r="Q975" s="303"/>
      <c r="R975" s="165">
        <f t="shared" si="31"/>
        <v>0</v>
      </c>
      <c r="S975" s="303"/>
      <c r="T975" s="348"/>
    </row>
    <row r="976" spans="1:20">
      <c r="A976" s="303"/>
      <c r="B976" s="303"/>
      <c r="C976" s="303"/>
      <c r="D976" s="303"/>
      <c r="E976" s="303"/>
      <c r="F976" s="303"/>
      <c r="G976" s="303"/>
      <c r="H976" s="303"/>
      <c r="I976" s="303"/>
      <c r="J976" s="303"/>
      <c r="K976" s="303"/>
      <c r="L976" s="303"/>
      <c r="M976" s="303"/>
      <c r="N976" s="303"/>
      <c r="O976" s="303"/>
      <c r="P976" s="347">
        <f t="shared" si="32"/>
        <v>0</v>
      </c>
      <c r="Q976" s="303"/>
      <c r="R976" s="165">
        <f t="shared" si="31"/>
        <v>0</v>
      </c>
      <c r="S976" s="303"/>
      <c r="T976" s="348"/>
    </row>
    <row r="977" spans="1:20">
      <c r="A977" s="303"/>
      <c r="B977" s="303"/>
      <c r="C977" s="303"/>
      <c r="D977" s="303"/>
      <c r="E977" s="303"/>
      <c r="F977" s="303"/>
      <c r="G977" s="303"/>
      <c r="H977" s="303"/>
      <c r="I977" s="303"/>
      <c r="J977" s="303"/>
      <c r="K977" s="303"/>
      <c r="L977" s="303"/>
      <c r="M977" s="303"/>
      <c r="N977" s="303"/>
      <c r="O977" s="303"/>
      <c r="P977" s="347">
        <f t="shared" si="32"/>
        <v>0</v>
      </c>
      <c r="Q977" s="303"/>
      <c r="R977" s="165">
        <f t="shared" si="31"/>
        <v>0</v>
      </c>
      <c r="S977" s="303"/>
      <c r="T977" s="348"/>
    </row>
    <row r="978" spans="1:20">
      <c r="A978" s="303"/>
      <c r="B978" s="303"/>
      <c r="C978" s="303"/>
      <c r="D978" s="303"/>
      <c r="E978" s="303"/>
      <c r="F978" s="303"/>
      <c r="G978" s="303"/>
      <c r="H978" s="303"/>
      <c r="I978" s="303"/>
      <c r="J978" s="303"/>
      <c r="K978" s="303"/>
      <c r="L978" s="303"/>
      <c r="M978" s="303"/>
      <c r="N978" s="303"/>
      <c r="O978" s="303"/>
      <c r="P978" s="347">
        <f t="shared" si="32"/>
        <v>0</v>
      </c>
      <c r="Q978" s="303"/>
      <c r="R978" s="165">
        <f t="shared" si="31"/>
        <v>0</v>
      </c>
      <c r="S978" s="303"/>
      <c r="T978" s="348"/>
    </row>
    <row r="979" spans="1:20">
      <c r="A979" s="303"/>
      <c r="B979" s="303"/>
      <c r="C979" s="303"/>
      <c r="D979" s="303"/>
      <c r="E979" s="303"/>
      <c r="F979" s="303"/>
      <c r="G979" s="303"/>
      <c r="H979" s="303"/>
      <c r="I979" s="303"/>
      <c r="J979" s="303"/>
      <c r="K979" s="303"/>
      <c r="L979" s="303"/>
      <c r="M979" s="303"/>
      <c r="N979" s="303"/>
      <c r="O979" s="303"/>
      <c r="P979" s="347">
        <f t="shared" si="32"/>
        <v>0</v>
      </c>
      <c r="Q979" s="303"/>
      <c r="R979" s="165">
        <f t="shared" si="31"/>
        <v>0</v>
      </c>
      <c r="S979" s="303"/>
      <c r="T979" s="348"/>
    </row>
    <row r="980" spans="1:20">
      <c r="A980" s="303"/>
      <c r="B980" s="303"/>
      <c r="C980" s="303"/>
      <c r="D980" s="303"/>
      <c r="E980" s="303"/>
      <c r="F980" s="303"/>
      <c r="G980" s="303"/>
      <c r="H980" s="303"/>
      <c r="I980" s="303"/>
      <c r="J980" s="303"/>
      <c r="K980" s="303"/>
      <c r="L980" s="303"/>
      <c r="M980" s="303"/>
      <c r="N980" s="303"/>
      <c r="O980" s="303"/>
      <c r="P980" s="347">
        <f t="shared" si="32"/>
        <v>0</v>
      </c>
      <c r="Q980" s="303"/>
      <c r="R980" s="165">
        <f t="shared" si="31"/>
        <v>0</v>
      </c>
      <c r="S980" s="303"/>
      <c r="T980" s="348"/>
    </row>
    <row r="981" spans="1:20">
      <c r="A981" s="303"/>
      <c r="B981" s="303"/>
      <c r="C981" s="303"/>
      <c r="D981" s="303"/>
      <c r="E981" s="303"/>
      <c r="F981" s="303"/>
      <c r="G981" s="303"/>
      <c r="H981" s="303"/>
      <c r="I981" s="303"/>
      <c r="J981" s="303"/>
      <c r="K981" s="303"/>
      <c r="L981" s="303"/>
      <c r="M981" s="303"/>
      <c r="N981" s="303"/>
      <c r="O981" s="303"/>
      <c r="P981" s="347">
        <f t="shared" si="32"/>
        <v>0</v>
      </c>
      <c r="Q981" s="303"/>
      <c r="R981" s="165">
        <f t="shared" si="31"/>
        <v>0</v>
      </c>
      <c r="S981" s="303"/>
      <c r="T981" s="348"/>
    </row>
    <row r="982" spans="1:20">
      <c r="A982" s="303"/>
      <c r="B982" s="303"/>
      <c r="C982" s="303"/>
      <c r="D982" s="303"/>
      <c r="E982" s="303"/>
      <c r="F982" s="303"/>
      <c r="G982" s="303"/>
      <c r="H982" s="303"/>
      <c r="I982" s="303"/>
      <c r="J982" s="303"/>
      <c r="K982" s="303"/>
      <c r="L982" s="303"/>
      <c r="M982" s="303"/>
      <c r="N982" s="303"/>
      <c r="O982" s="303"/>
      <c r="P982" s="347">
        <f t="shared" si="32"/>
        <v>0</v>
      </c>
      <c r="Q982" s="303"/>
      <c r="R982" s="165">
        <f t="shared" si="31"/>
        <v>0</v>
      </c>
      <c r="S982" s="303"/>
      <c r="T982" s="348"/>
    </row>
    <row r="983" spans="1:20">
      <c r="A983" s="303"/>
      <c r="B983" s="303"/>
      <c r="C983" s="303"/>
      <c r="D983" s="303"/>
      <c r="E983" s="303"/>
      <c r="F983" s="303"/>
      <c r="G983" s="303"/>
      <c r="H983" s="303"/>
      <c r="I983" s="303"/>
      <c r="J983" s="303"/>
      <c r="K983" s="303"/>
      <c r="L983" s="303"/>
      <c r="M983" s="303"/>
      <c r="N983" s="303"/>
      <c r="O983" s="303"/>
      <c r="P983" s="347">
        <f t="shared" si="32"/>
        <v>0</v>
      </c>
      <c r="Q983" s="303"/>
      <c r="R983" s="165">
        <f t="shared" si="31"/>
        <v>0</v>
      </c>
      <c r="S983" s="303"/>
      <c r="T983" s="348"/>
    </row>
    <row r="984" spans="1:20">
      <c r="A984" s="303"/>
      <c r="B984" s="303"/>
      <c r="C984" s="303"/>
      <c r="D984" s="303"/>
      <c r="E984" s="303"/>
      <c r="F984" s="303"/>
      <c r="G984" s="303"/>
      <c r="H984" s="303"/>
      <c r="I984" s="303"/>
      <c r="J984" s="303"/>
      <c r="K984" s="303"/>
      <c r="L984" s="303"/>
      <c r="M984" s="303"/>
      <c r="N984" s="303"/>
      <c r="O984" s="303"/>
      <c r="P984" s="347">
        <f t="shared" si="32"/>
        <v>0</v>
      </c>
      <c r="Q984" s="303"/>
      <c r="R984" s="165">
        <f t="shared" si="31"/>
        <v>0</v>
      </c>
      <c r="S984" s="303"/>
      <c r="T984" s="348"/>
    </row>
    <row r="985" spans="1:20">
      <c r="A985" s="303"/>
      <c r="B985" s="303"/>
      <c r="C985" s="303"/>
      <c r="D985" s="303"/>
      <c r="E985" s="303"/>
      <c r="F985" s="303"/>
      <c r="G985" s="303"/>
      <c r="H985" s="303"/>
      <c r="I985" s="303"/>
      <c r="J985" s="303"/>
      <c r="K985" s="303"/>
      <c r="L985" s="303"/>
      <c r="M985" s="303"/>
      <c r="N985" s="303"/>
      <c r="O985" s="303"/>
      <c r="P985" s="347">
        <f t="shared" si="32"/>
        <v>0</v>
      </c>
      <c r="Q985" s="303"/>
      <c r="R985" s="165">
        <f t="shared" si="31"/>
        <v>0</v>
      </c>
      <c r="S985" s="303"/>
      <c r="T985" s="348"/>
    </row>
    <row r="986" spans="1:20">
      <c r="A986" s="303"/>
      <c r="B986" s="303"/>
      <c r="C986" s="303"/>
      <c r="D986" s="303"/>
      <c r="E986" s="303"/>
      <c r="F986" s="303"/>
      <c r="G986" s="303"/>
      <c r="H986" s="303"/>
      <c r="I986" s="303"/>
      <c r="J986" s="303"/>
      <c r="K986" s="303"/>
      <c r="L986" s="303"/>
      <c r="M986" s="303"/>
      <c r="N986" s="303"/>
      <c r="O986" s="303"/>
      <c r="P986" s="347">
        <f t="shared" si="32"/>
        <v>0</v>
      </c>
      <c r="Q986" s="303"/>
      <c r="R986" s="165">
        <f t="shared" ref="R986:R1000" si="33">P986-Q986</f>
        <v>0</v>
      </c>
      <c r="S986" s="303"/>
      <c r="T986" s="348"/>
    </row>
    <row r="987" spans="1:20">
      <c r="A987" s="303"/>
      <c r="B987" s="303"/>
      <c r="C987" s="303"/>
      <c r="D987" s="303"/>
      <c r="E987" s="303"/>
      <c r="F987" s="303"/>
      <c r="G987" s="303"/>
      <c r="H987" s="303"/>
      <c r="I987" s="303"/>
      <c r="J987" s="303"/>
      <c r="K987" s="303"/>
      <c r="L987" s="303"/>
      <c r="M987" s="303"/>
      <c r="N987" s="303"/>
      <c r="O987" s="303"/>
      <c r="P987" s="347">
        <f t="shared" si="32"/>
        <v>0</v>
      </c>
      <c r="Q987" s="303"/>
      <c r="R987" s="165">
        <f t="shared" si="33"/>
        <v>0</v>
      </c>
      <c r="S987" s="303"/>
      <c r="T987" s="348"/>
    </row>
    <row r="988" spans="1:20">
      <c r="A988" s="303"/>
      <c r="B988" s="303"/>
      <c r="C988" s="303"/>
      <c r="D988" s="303"/>
      <c r="E988" s="303"/>
      <c r="F988" s="303"/>
      <c r="G988" s="303"/>
      <c r="H988" s="303"/>
      <c r="I988" s="303"/>
      <c r="J988" s="303"/>
      <c r="K988" s="303"/>
      <c r="L988" s="303"/>
      <c r="M988" s="303"/>
      <c r="N988" s="303"/>
      <c r="O988" s="303"/>
      <c r="P988" s="347">
        <f t="shared" si="32"/>
        <v>0</v>
      </c>
      <c r="Q988" s="303"/>
      <c r="R988" s="165">
        <f t="shared" si="33"/>
        <v>0</v>
      </c>
      <c r="S988" s="303"/>
      <c r="T988" s="348"/>
    </row>
    <row r="989" spans="1:20">
      <c r="A989" s="303"/>
      <c r="B989" s="303"/>
      <c r="C989" s="303"/>
      <c r="D989" s="303"/>
      <c r="E989" s="303"/>
      <c r="F989" s="303"/>
      <c r="G989" s="303"/>
      <c r="H989" s="303"/>
      <c r="I989" s="303"/>
      <c r="J989" s="303"/>
      <c r="K989" s="303"/>
      <c r="L989" s="303"/>
      <c r="M989" s="303"/>
      <c r="N989" s="303"/>
      <c r="O989" s="303"/>
      <c r="P989" s="347">
        <f t="shared" si="32"/>
        <v>0</v>
      </c>
      <c r="Q989" s="303"/>
      <c r="R989" s="165">
        <f t="shared" si="33"/>
        <v>0</v>
      </c>
      <c r="S989" s="303"/>
      <c r="T989" s="348"/>
    </row>
    <row r="990" spans="1:20">
      <c r="A990" s="303"/>
      <c r="B990" s="303"/>
      <c r="C990" s="303"/>
      <c r="D990" s="303"/>
      <c r="E990" s="303"/>
      <c r="F990" s="303"/>
      <c r="G990" s="303"/>
      <c r="H990" s="303"/>
      <c r="I990" s="303"/>
      <c r="J990" s="303"/>
      <c r="K990" s="303"/>
      <c r="L990" s="303"/>
      <c r="M990" s="303"/>
      <c r="N990" s="303"/>
      <c r="O990" s="303"/>
      <c r="P990" s="347">
        <f t="shared" si="32"/>
        <v>0</v>
      </c>
      <c r="Q990" s="303"/>
      <c r="R990" s="165">
        <f t="shared" si="33"/>
        <v>0</v>
      </c>
      <c r="S990" s="303"/>
      <c r="T990" s="348"/>
    </row>
    <row r="991" spans="1:20">
      <c r="A991" s="303"/>
      <c r="B991" s="303"/>
      <c r="C991" s="303"/>
      <c r="D991" s="303"/>
      <c r="E991" s="303"/>
      <c r="F991" s="303"/>
      <c r="G991" s="303"/>
      <c r="H991" s="303"/>
      <c r="I991" s="303"/>
      <c r="J991" s="303"/>
      <c r="K991" s="303"/>
      <c r="L991" s="303"/>
      <c r="M991" s="303"/>
      <c r="N991" s="303"/>
      <c r="O991" s="303"/>
      <c r="P991" s="347">
        <f t="shared" si="32"/>
        <v>0</v>
      </c>
      <c r="Q991" s="303"/>
      <c r="R991" s="165">
        <f t="shared" si="33"/>
        <v>0</v>
      </c>
      <c r="S991" s="303"/>
      <c r="T991" s="348"/>
    </row>
    <row r="992" spans="1:20">
      <c r="A992" s="303"/>
      <c r="B992" s="303"/>
      <c r="C992" s="303"/>
      <c r="D992" s="303"/>
      <c r="E992" s="303"/>
      <c r="F992" s="303"/>
      <c r="G992" s="303"/>
      <c r="H992" s="303"/>
      <c r="I992" s="303"/>
      <c r="J992" s="303"/>
      <c r="K992" s="303"/>
      <c r="L992" s="303"/>
      <c r="M992" s="303"/>
      <c r="N992" s="303"/>
      <c r="O992" s="303"/>
      <c r="P992" s="347">
        <f t="shared" si="32"/>
        <v>0</v>
      </c>
      <c r="Q992" s="303"/>
      <c r="R992" s="165">
        <f t="shared" si="33"/>
        <v>0</v>
      </c>
      <c r="S992" s="303"/>
      <c r="T992" s="348"/>
    </row>
    <row r="993" spans="1:20">
      <c r="A993" s="303"/>
      <c r="B993" s="303"/>
      <c r="C993" s="303"/>
      <c r="D993" s="303"/>
      <c r="E993" s="303"/>
      <c r="F993" s="303"/>
      <c r="G993" s="303"/>
      <c r="H993" s="303"/>
      <c r="I993" s="303"/>
      <c r="J993" s="303"/>
      <c r="K993" s="303"/>
      <c r="L993" s="303"/>
      <c r="M993" s="303"/>
      <c r="N993" s="303"/>
      <c r="O993" s="303"/>
      <c r="P993" s="347">
        <f t="shared" si="32"/>
        <v>0</v>
      </c>
      <c r="Q993" s="303"/>
      <c r="R993" s="165">
        <f t="shared" si="33"/>
        <v>0</v>
      </c>
      <c r="S993" s="303"/>
      <c r="T993" s="348"/>
    </row>
    <row r="994" spans="1:20">
      <c r="A994" s="303"/>
      <c r="B994" s="303"/>
      <c r="C994" s="303"/>
      <c r="D994" s="303"/>
      <c r="E994" s="303"/>
      <c r="F994" s="303"/>
      <c r="G994" s="303"/>
      <c r="H994" s="303"/>
      <c r="I994" s="303"/>
      <c r="J994" s="303"/>
      <c r="K994" s="303"/>
      <c r="L994" s="303"/>
      <c r="M994" s="303"/>
      <c r="N994" s="303"/>
      <c r="O994" s="303"/>
      <c r="P994" s="347">
        <f t="shared" si="32"/>
        <v>0</v>
      </c>
      <c r="Q994" s="303"/>
      <c r="R994" s="165">
        <f t="shared" si="33"/>
        <v>0</v>
      </c>
      <c r="S994" s="303"/>
      <c r="T994" s="348"/>
    </row>
    <row r="995" spans="1:20">
      <c r="A995" s="303"/>
      <c r="B995" s="303"/>
      <c r="C995" s="303"/>
      <c r="D995" s="303"/>
      <c r="E995" s="303"/>
      <c r="F995" s="303"/>
      <c r="G995" s="303"/>
      <c r="H995" s="303"/>
      <c r="I995" s="303"/>
      <c r="J995" s="303"/>
      <c r="K995" s="303"/>
      <c r="L995" s="303"/>
      <c r="M995" s="303"/>
      <c r="N995" s="303"/>
      <c r="O995" s="303"/>
      <c r="P995" s="347">
        <f t="shared" si="32"/>
        <v>0</v>
      </c>
      <c r="Q995" s="303"/>
      <c r="R995" s="165">
        <f t="shared" si="33"/>
        <v>0</v>
      </c>
      <c r="S995" s="303"/>
      <c r="T995" s="348"/>
    </row>
    <row r="996" spans="1:20">
      <c r="A996" s="303"/>
      <c r="B996" s="303"/>
      <c r="C996" s="303"/>
      <c r="D996" s="303"/>
      <c r="E996" s="303"/>
      <c r="F996" s="303"/>
      <c r="G996" s="303"/>
      <c r="H996" s="303"/>
      <c r="I996" s="303"/>
      <c r="J996" s="303"/>
      <c r="K996" s="303"/>
      <c r="L996" s="303"/>
      <c r="M996" s="303"/>
      <c r="N996" s="303"/>
      <c r="O996" s="303"/>
      <c r="P996" s="347">
        <f t="shared" si="32"/>
        <v>0</v>
      </c>
      <c r="Q996" s="303"/>
      <c r="R996" s="165">
        <f t="shared" si="33"/>
        <v>0</v>
      </c>
      <c r="S996" s="303"/>
      <c r="T996" s="348"/>
    </row>
    <row r="997" spans="1:20">
      <c r="A997" s="303"/>
      <c r="B997" s="303"/>
      <c r="C997" s="303"/>
      <c r="D997" s="303"/>
      <c r="E997" s="303"/>
      <c r="F997" s="303"/>
      <c r="G997" s="303"/>
      <c r="H997" s="303"/>
      <c r="I997" s="303"/>
      <c r="J997" s="303"/>
      <c r="K997" s="303"/>
      <c r="L997" s="303"/>
      <c r="M997" s="303"/>
      <c r="N997" s="303"/>
      <c r="O997" s="303"/>
      <c r="P997" s="347">
        <f t="shared" si="32"/>
        <v>0</v>
      </c>
      <c r="Q997" s="303"/>
      <c r="R997" s="165">
        <f t="shared" si="33"/>
        <v>0</v>
      </c>
      <c r="S997" s="303"/>
      <c r="T997" s="348"/>
    </row>
    <row r="998" spans="1:20">
      <c r="A998" s="303"/>
      <c r="B998" s="303"/>
      <c r="C998" s="303"/>
      <c r="D998" s="303"/>
      <c r="E998" s="303"/>
      <c r="F998" s="303"/>
      <c r="G998" s="303"/>
      <c r="H998" s="303"/>
      <c r="I998" s="303"/>
      <c r="J998" s="303"/>
      <c r="K998" s="303"/>
      <c r="L998" s="303"/>
      <c r="M998" s="303"/>
      <c r="N998" s="303"/>
      <c r="O998" s="303"/>
      <c r="P998" s="347">
        <f t="shared" si="32"/>
        <v>0</v>
      </c>
      <c r="Q998" s="303"/>
      <c r="R998" s="165">
        <f t="shared" si="33"/>
        <v>0</v>
      </c>
      <c r="S998" s="303"/>
      <c r="T998" s="348"/>
    </row>
    <row r="999" spans="1:20">
      <c r="A999" s="303"/>
      <c r="B999" s="303"/>
      <c r="C999" s="303"/>
      <c r="D999" s="303"/>
      <c r="E999" s="303"/>
      <c r="F999" s="303"/>
      <c r="G999" s="303"/>
      <c r="H999" s="303"/>
      <c r="I999" s="303"/>
      <c r="J999" s="303"/>
      <c r="K999" s="303"/>
      <c r="L999" s="303"/>
      <c r="M999" s="303"/>
      <c r="N999" s="303"/>
      <c r="O999" s="303"/>
      <c r="P999" s="347">
        <f t="shared" si="32"/>
        <v>0</v>
      </c>
      <c r="Q999" s="303"/>
      <c r="R999" s="165">
        <f t="shared" si="33"/>
        <v>0</v>
      </c>
      <c r="S999" s="303"/>
      <c r="T999" s="348"/>
    </row>
    <row r="1000" spans="1:20">
      <c r="A1000" s="303"/>
      <c r="B1000" s="303"/>
      <c r="C1000" s="303"/>
      <c r="D1000" s="303"/>
      <c r="E1000" s="303"/>
      <c r="F1000" s="303"/>
      <c r="G1000" s="303"/>
      <c r="H1000" s="303"/>
      <c r="I1000" s="303"/>
      <c r="J1000" s="303"/>
      <c r="K1000" s="303"/>
      <c r="L1000" s="303"/>
      <c r="M1000" s="303"/>
      <c r="N1000" s="303"/>
      <c r="O1000" s="303"/>
      <c r="P1000" s="347">
        <f t="shared" si="32"/>
        <v>0</v>
      </c>
      <c r="Q1000" s="303"/>
      <c r="R1000" s="165">
        <f t="shared" si="33"/>
        <v>0</v>
      </c>
      <c r="S1000" s="303"/>
      <c r="T1000" s="348"/>
    </row>
    <row r="1001" spans="1:20" s="247" customFormat="1">
      <c r="H1001" s="94"/>
    </row>
    <row r="1002" spans="1:20" s="247" customFormat="1">
      <c r="H1002" s="94"/>
    </row>
    <row r="1003" spans="1:20" s="247" customFormat="1">
      <c r="H1003" s="94"/>
    </row>
    <row r="1004" spans="1:20" s="247" customFormat="1">
      <c r="H1004" s="94"/>
    </row>
    <row r="1005" spans="1:20" s="247" customFormat="1">
      <c r="H1005" s="94"/>
    </row>
    <row r="1006" spans="1:20" s="247" customFormat="1">
      <c r="H1006" s="94"/>
    </row>
    <row r="1007" spans="1:20" s="247" customFormat="1">
      <c r="H1007" s="94"/>
    </row>
    <row r="1008" spans="1:20" s="247" customFormat="1">
      <c r="H1008" s="94"/>
    </row>
    <row r="1009" spans="8:8" s="247" customFormat="1">
      <c r="H1009" s="94"/>
    </row>
    <row r="1010" spans="8:8" s="247" customFormat="1">
      <c r="H1010" s="94"/>
    </row>
    <row r="1011" spans="8:8" s="247" customFormat="1">
      <c r="H1011" s="94"/>
    </row>
  </sheetData>
  <sheetProtection password="CDF4"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custom" errorStyle="information" allowBlank="1" showInputMessage="1" showErrorMessage="1" error="Please enter the number of proposed units in section five." sqref="P13 P20:P1000">
      <formula1>C13 &lt;&gt; ""</formula1>
    </dataValidation>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9:S12 S4:S6"/>
  </dataValidations>
  <printOptions horizontalCentered="1"/>
  <pageMargins left="0.7" right="0.7" top="0.75" bottom="0.75" header="0.3" footer="0.3"/>
  <pageSetup scale="40" fitToHeight="0" orientation="landscape" r:id="rId1"/>
</worksheet>
</file>

<file path=xl/worksheets/sheet3.xml><?xml version="1.0" encoding="utf-8"?>
<worksheet xmlns="http://schemas.openxmlformats.org/spreadsheetml/2006/main" xmlns:r="http://schemas.openxmlformats.org/officeDocument/2006/relationships">
  <sheetPr codeName="Sheet4">
    <pageSetUpPr fitToPage="1"/>
  </sheetPr>
  <dimension ref="A1:EB1000"/>
  <sheetViews>
    <sheetView showZeros="0" showWhiteSpace="0" zoomScale="90" zoomScaleNormal="90" zoomScaleSheetLayoutView="50" zoomScalePageLayoutView="70" workbookViewId="0">
      <pane xSplit="4" ySplit="12" topLeftCell="R13" activePane="bottomRight" state="frozen"/>
      <selection pane="topRight" activeCell="E1" sqref="E1"/>
      <selection pane="bottomLeft" activeCell="A13" sqref="A13"/>
      <selection pane="bottomRight" activeCell="W20" sqref="W20"/>
    </sheetView>
  </sheetViews>
  <sheetFormatPr defaultColWidth="0" defaultRowHeight="14.25"/>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c r="A4" s="331" t="s">
        <v>10</v>
      </c>
      <c r="B4" s="244" t="str">
        <f>'Start Here'!B4:D4</f>
        <v>Pinole</v>
      </c>
      <c r="C4" s="332"/>
      <c r="D4" s="78"/>
      <c r="E4" s="78"/>
      <c r="F4" s="78"/>
      <c r="G4" s="78"/>
      <c r="H4" s="78"/>
      <c r="I4" s="78"/>
      <c r="J4" s="78"/>
      <c r="L4" s="411" t="s">
        <v>1376</v>
      </c>
      <c r="M4" s="412"/>
      <c r="N4" s="412"/>
      <c r="O4" s="413"/>
      <c r="Q4" s="78"/>
      <c r="R4" s="78"/>
      <c r="S4" s="78"/>
      <c r="Z4" s="78"/>
      <c r="AA4" s="78"/>
      <c r="AB4" s="78"/>
      <c r="AI4" s="81"/>
      <c r="AR4" s="108"/>
      <c r="AS4" s="81"/>
      <c r="AT4" s="78"/>
    </row>
    <row r="5" spans="1:46" s="79" customFormat="1" ht="25.5" customHeight="1">
      <c r="A5" s="331" t="s">
        <v>36</v>
      </c>
      <c r="B5" s="243">
        <f>'Start Here'!B5</f>
        <v>2018</v>
      </c>
      <c r="C5" s="333" t="s">
        <v>52</v>
      </c>
      <c r="D5" s="9"/>
      <c r="E5" s="78"/>
      <c r="F5" s="78"/>
      <c r="G5" s="78"/>
      <c r="L5" s="84" t="s">
        <v>108</v>
      </c>
      <c r="M5" s="273"/>
      <c r="N5" s="273"/>
      <c r="O5" s="274"/>
      <c r="AI5" s="81"/>
      <c r="AR5" s="108"/>
      <c r="AS5" s="81"/>
      <c r="AT5" s="78"/>
    </row>
    <row r="6" spans="1:46" s="261" customFormat="1">
      <c r="AI6" s="272"/>
      <c r="AR6" s="271"/>
      <c r="AS6" s="272"/>
      <c r="AT6" s="275"/>
    </row>
    <row r="7" spans="1:46" s="238" customFormat="1" ht="23.25" customHeight="1">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c r="A9" s="400" t="s">
        <v>43</v>
      </c>
      <c r="B9" s="403"/>
      <c r="C9" s="403"/>
      <c r="D9" s="403"/>
      <c r="E9" s="404"/>
      <c r="F9" s="400" t="s">
        <v>114</v>
      </c>
      <c r="G9" s="404"/>
      <c r="H9" s="400" t="s">
        <v>1297</v>
      </c>
      <c r="I9" s="403"/>
      <c r="J9" s="403"/>
      <c r="K9" s="403"/>
      <c r="L9" s="403"/>
      <c r="M9" s="403"/>
      <c r="N9" s="403"/>
      <c r="O9" s="404"/>
      <c r="P9" s="276"/>
      <c r="Q9" s="400" t="s">
        <v>68</v>
      </c>
      <c r="R9" s="403"/>
      <c r="S9" s="403"/>
      <c r="T9" s="403"/>
      <c r="U9" s="403"/>
      <c r="V9" s="403"/>
      <c r="W9" s="404"/>
      <c r="X9" s="276"/>
      <c r="Y9" s="276"/>
      <c r="Z9" s="400" t="s">
        <v>69</v>
      </c>
      <c r="AA9" s="403"/>
      <c r="AB9" s="403"/>
      <c r="AC9" s="403"/>
      <c r="AD9" s="403"/>
      <c r="AE9" s="403"/>
      <c r="AF9" s="403"/>
      <c r="AG9" s="403"/>
      <c r="AH9" s="404"/>
      <c r="AI9" s="277"/>
      <c r="AJ9" s="230" t="s">
        <v>115</v>
      </c>
      <c r="AK9" s="230" t="s">
        <v>116</v>
      </c>
      <c r="AL9" s="400" t="s">
        <v>6</v>
      </c>
      <c r="AM9" s="404"/>
      <c r="AN9" s="230" t="s">
        <v>7</v>
      </c>
      <c r="AO9" s="230" t="s">
        <v>117</v>
      </c>
      <c r="AP9" s="400" t="s">
        <v>120</v>
      </c>
      <c r="AQ9" s="403"/>
      <c r="AR9" s="404"/>
      <c r="AS9" s="85" t="s">
        <v>58</v>
      </c>
      <c r="AT9" s="82"/>
    </row>
    <row r="10" spans="1:46" s="10" customFormat="1" ht="23.25" customHeight="1">
      <c r="A10" s="419">
        <v>1</v>
      </c>
      <c r="B10" s="420"/>
      <c r="C10" s="420"/>
      <c r="D10" s="420"/>
      <c r="E10" s="421"/>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c r="A12" s="317" t="s">
        <v>138</v>
      </c>
      <c r="B12" s="281"/>
      <c r="C12" s="281"/>
      <c r="D12" s="282"/>
      <c r="E12" s="283"/>
      <c r="F12" s="281"/>
      <c r="G12" s="281"/>
      <c r="H12" s="282">
        <f>SUM(H13:H1000)</f>
        <v>0</v>
      </c>
      <c r="I12" s="282">
        <f t="shared" ref="I12:AH12" si="0">SUM(I13:I1000)</f>
        <v>0</v>
      </c>
      <c r="J12" s="282">
        <f t="shared" si="0"/>
        <v>0</v>
      </c>
      <c r="K12" s="282">
        <f t="shared" si="0"/>
        <v>0</v>
      </c>
      <c r="L12" s="282">
        <f t="shared" si="0"/>
        <v>0</v>
      </c>
      <c r="M12" s="282">
        <f t="shared" si="0"/>
        <v>0</v>
      </c>
      <c r="N12" s="282">
        <f t="shared" si="0"/>
        <v>9</v>
      </c>
      <c r="O12" s="282"/>
      <c r="P12" s="282">
        <f t="shared" si="0"/>
        <v>8</v>
      </c>
      <c r="Q12" s="282">
        <f t="shared" si="0"/>
        <v>0</v>
      </c>
      <c r="R12" s="282">
        <f t="shared" si="0"/>
        <v>0</v>
      </c>
      <c r="S12" s="282">
        <f t="shared" si="0"/>
        <v>0</v>
      </c>
      <c r="T12" s="282">
        <f t="shared" si="0"/>
        <v>0</v>
      </c>
      <c r="U12" s="282">
        <f t="shared" si="0"/>
        <v>0</v>
      </c>
      <c r="V12" s="282">
        <f t="shared" si="0"/>
        <v>0</v>
      </c>
      <c r="W12" s="282">
        <f t="shared" si="0"/>
        <v>2</v>
      </c>
      <c r="X12" s="282"/>
      <c r="Y12" s="263">
        <f t="shared" si="0"/>
        <v>2</v>
      </c>
      <c r="Z12" s="282">
        <f t="shared" si="0"/>
        <v>0</v>
      </c>
      <c r="AA12" s="282">
        <f t="shared" si="0"/>
        <v>0</v>
      </c>
      <c r="AB12" s="282">
        <f t="shared" si="0"/>
        <v>0</v>
      </c>
      <c r="AC12" s="282">
        <f t="shared" si="0"/>
        <v>0</v>
      </c>
      <c r="AD12" s="282">
        <f t="shared" si="0"/>
        <v>0</v>
      </c>
      <c r="AE12" s="282">
        <f t="shared" si="0"/>
        <v>0</v>
      </c>
      <c r="AF12" s="282">
        <f t="shared" si="0"/>
        <v>2</v>
      </c>
      <c r="AG12" s="282"/>
      <c r="AH12" s="263">
        <f t="shared" si="0"/>
        <v>2</v>
      </c>
      <c r="AI12" s="186">
        <f>SUM(AI13:AI1000)</f>
        <v>0</v>
      </c>
      <c r="AJ12" s="187">
        <f>COUNTIF(AJ13:AJ1000,"Y")</f>
        <v>0</v>
      </c>
      <c r="AK12" s="327"/>
      <c r="AL12" s="327"/>
      <c r="AM12" s="327"/>
      <c r="AN12" s="327"/>
      <c r="AO12" s="327"/>
      <c r="AP12" s="193">
        <f>SUM(AP13:AP1000)</f>
        <v>1</v>
      </c>
      <c r="AQ12" s="193">
        <f>SUM(AQ13:AQ1000)</f>
        <v>0</v>
      </c>
      <c r="AR12" s="193">
        <f>SUM(AR13:AR1000)</f>
        <v>0</v>
      </c>
      <c r="AS12" s="192"/>
      <c r="AT12" s="319"/>
    </row>
    <row r="13" spans="1:46" s="2" customFormat="1" ht="12.95" customHeight="1">
      <c r="A13" s="11"/>
      <c r="B13" s="11"/>
      <c r="C13" s="11"/>
      <c r="D13" s="11"/>
      <c r="E13" s="11"/>
      <c r="F13" s="11"/>
      <c r="G13" s="11"/>
      <c r="H13" s="284"/>
      <c r="I13" s="284"/>
      <c r="J13" s="284"/>
      <c r="K13" s="284"/>
      <c r="L13" s="284"/>
      <c r="M13" s="284"/>
      <c r="N13" s="284"/>
      <c r="O13" s="285"/>
      <c r="P13" s="352">
        <f t="shared" ref="P13:P76" si="1">SUM(H13:N13)</f>
        <v>0</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c r="AL13" s="11"/>
      <c r="AM13" s="11"/>
      <c r="AN13" s="11"/>
      <c r="AO13" s="11"/>
      <c r="AP13" s="11"/>
      <c r="AQ13" s="11"/>
      <c r="AR13" s="11"/>
      <c r="AS13" s="288"/>
      <c r="AT13" s="232"/>
    </row>
    <row r="14" spans="1:46" s="2" customFormat="1" ht="12.95" customHeight="1">
      <c r="A14" s="11" t="s">
        <v>1410</v>
      </c>
      <c r="B14" s="11" t="s">
        <v>1410</v>
      </c>
      <c r="C14" s="11" t="s">
        <v>1411</v>
      </c>
      <c r="D14" s="11"/>
      <c r="E14" s="11" t="s">
        <v>1412</v>
      </c>
      <c r="F14" s="11" t="s">
        <v>1392</v>
      </c>
      <c r="G14" s="11" t="s">
        <v>1393</v>
      </c>
      <c r="H14" s="284"/>
      <c r="I14" s="284"/>
      <c r="J14" s="284"/>
      <c r="K14" s="284"/>
      <c r="L14" s="284"/>
      <c r="M14" s="284"/>
      <c r="N14" s="284"/>
      <c r="O14" s="285"/>
      <c r="P14" s="352"/>
      <c r="Q14" s="165"/>
      <c r="R14" s="165"/>
      <c r="S14" s="165"/>
      <c r="T14" s="165"/>
      <c r="U14" s="165"/>
      <c r="V14" s="11"/>
      <c r="W14" s="11">
        <v>1</v>
      </c>
      <c r="X14" s="286">
        <v>43235</v>
      </c>
      <c r="Y14" s="291">
        <v>1</v>
      </c>
      <c r="Z14" s="165"/>
      <c r="AA14" s="165"/>
      <c r="AB14" s="165"/>
      <c r="AC14" s="165"/>
      <c r="AD14" s="165"/>
      <c r="AE14" s="165"/>
      <c r="AF14" s="165">
        <v>1</v>
      </c>
      <c r="AG14" s="286">
        <v>43333</v>
      </c>
      <c r="AH14" s="291">
        <v>1</v>
      </c>
      <c r="AI14" s="287"/>
      <c r="AJ14" s="11"/>
      <c r="AK14" s="11" t="s">
        <v>1495</v>
      </c>
      <c r="AL14" s="11"/>
      <c r="AM14" s="11"/>
      <c r="AN14" s="11"/>
      <c r="AO14" s="11"/>
      <c r="AP14" s="11">
        <v>1</v>
      </c>
      <c r="AQ14" s="11"/>
      <c r="AR14" s="11" t="s">
        <v>1393</v>
      </c>
      <c r="AS14" s="288"/>
      <c r="AT14" s="232"/>
    </row>
    <row r="15" spans="1:46" s="2" customFormat="1" ht="12.95" customHeight="1">
      <c r="A15" s="11" t="s">
        <v>1387</v>
      </c>
      <c r="B15" s="11" t="s">
        <v>1387</v>
      </c>
      <c r="C15" s="11" t="s">
        <v>1413</v>
      </c>
      <c r="D15" s="11"/>
      <c r="E15" s="11" t="s">
        <v>1414</v>
      </c>
      <c r="F15" s="11" t="s">
        <v>1388</v>
      </c>
      <c r="G15" s="11" t="s">
        <v>1389</v>
      </c>
      <c r="H15" s="284"/>
      <c r="I15" s="284"/>
      <c r="J15" s="284"/>
      <c r="K15" s="289"/>
      <c r="L15" s="284"/>
      <c r="M15" s="284"/>
      <c r="N15" s="284">
        <v>1</v>
      </c>
      <c r="O15" s="285">
        <v>43137</v>
      </c>
      <c r="P15" s="352">
        <v>1</v>
      </c>
      <c r="Q15" s="11"/>
      <c r="R15" s="11"/>
      <c r="S15" s="11"/>
      <c r="T15" s="290"/>
      <c r="U15" s="11"/>
      <c r="V15" s="11"/>
      <c r="W15" s="11">
        <v>1</v>
      </c>
      <c r="X15" s="286">
        <v>43145</v>
      </c>
      <c r="Y15" s="291">
        <v>1</v>
      </c>
      <c r="Z15" s="165"/>
      <c r="AA15" s="165"/>
      <c r="AB15" s="165"/>
      <c r="AC15" s="165"/>
      <c r="AD15" s="165"/>
      <c r="AE15" s="165"/>
      <c r="AF15" s="165">
        <v>1</v>
      </c>
      <c r="AG15" s="286">
        <v>43223</v>
      </c>
      <c r="AH15" s="291">
        <f t="shared" ref="AH15:AH31" si="3">SUM(Z15:AF15)</f>
        <v>1</v>
      </c>
      <c r="AI15" s="287"/>
      <c r="AJ15" s="11"/>
      <c r="AK15" s="11" t="s">
        <v>1495</v>
      </c>
      <c r="AL15" s="11"/>
      <c r="AM15" s="11"/>
      <c r="AN15" s="11"/>
      <c r="AO15" s="11"/>
      <c r="AP15" s="11"/>
      <c r="AQ15" s="11"/>
      <c r="AR15" s="11"/>
      <c r="AS15" s="288"/>
      <c r="AT15" s="232"/>
    </row>
    <row r="16" spans="1:46" s="2" customFormat="1" ht="12.75">
      <c r="A16" s="11" t="s">
        <v>1407</v>
      </c>
      <c r="B16" s="11" t="s">
        <v>1407</v>
      </c>
      <c r="C16" s="11" t="s">
        <v>1408</v>
      </c>
      <c r="D16" s="11"/>
      <c r="E16" s="11" t="s">
        <v>1409</v>
      </c>
      <c r="F16" s="11" t="s">
        <v>1392</v>
      </c>
      <c r="G16" s="11" t="s">
        <v>1393</v>
      </c>
      <c r="H16" s="284"/>
      <c r="I16" s="284"/>
      <c r="J16" s="284"/>
      <c r="K16" s="284"/>
      <c r="L16" s="284"/>
      <c r="M16" s="284"/>
      <c r="N16" s="284">
        <v>1</v>
      </c>
      <c r="O16" s="285">
        <v>43157</v>
      </c>
      <c r="P16" s="352">
        <v>1</v>
      </c>
      <c r="Q16" s="11"/>
      <c r="R16" s="11"/>
      <c r="S16" s="11"/>
      <c r="T16" s="11"/>
      <c r="U16" s="11"/>
      <c r="V16" s="11"/>
      <c r="W16" s="11"/>
      <c r="X16" s="286"/>
      <c r="Y16" s="291">
        <f t="shared" si="2"/>
        <v>0</v>
      </c>
      <c r="Z16" s="165"/>
      <c r="AA16" s="165"/>
      <c r="AB16" s="165"/>
      <c r="AC16" s="165"/>
      <c r="AD16" s="165"/>
      <c r="AE16" s="165"/>
      <c r="AF16" s="165"/>
      <c r="AG16" s="286"/>
      <c r="AH16" s="291">
        <f t="shared" si="3"/>
        <v>0</v>
      </c>
      <c r="AI16" s="287"/>
      <c r="AJ16" s="11"/>
      <c r="AK16" s="11" t="s">
        <v>1496</v>
      </c>
      <c r="AL16" s="11"/>
      <c r="AM16" s="11"/>
      <c r="AN16" s="11"/>
      <c r="AO16" s="11"/>
      <c r="AP16" s="11"/>
      <c r="AQ16" s="11"/>
      <c r="AR16" s="11"/>
      <c r="AS16" s="288"/>
      <c r="AT16" s="232"/>
    </row>
    <row r="17" spans="1:46" s="2" customFormat="1" ht="12.75">
      <c r="A17" s="11" t="s">
        <v>1407</v>
      </c>
      <c r="B17" s="11" t="s">
        <v>1407</v>
      </c>
      <c r="C17" s="11" t="s">
        <v>1408</v>
      </c>
      <c r="D17" s="11"/>
      <c r="E17" s="11" t="s">
        <v>1409</v>
      </c>
      <c r="F17" s="11" t="s">
        <v>1388</v>
      </c>
      <c r="G17" s="11" t="s">
        <v>1389</v>
      </c>
      <c r="H17" s="284"/>
      <c r="I17" s="284"/>
      <c r="J17" s="284"/>
      <c r="K17" s="284"/>
      <c r="L17" s="284"/>
      <c r="M17" s="284"/>
      <c r="N17" s="284">
        <v>2</v>
      </c>
      <c r="O17" s="285">
        <v>43157</v>
      </c>
      <c r="P17" s="352">
        <v>1</v>
      </c>
      <c r="Q17" s="11"/>
      <c r="R17" s="11"/>
      <c r="S17" s="11"/>
      <c r="T17" s="11"/>
      <c r="U17" s="11"/>
      <c r="V17" s="11"/>
      <c r="W17" s="11"/>
      <c r="X17" s="286"/>
      <c r="Y17" s="291">
        <f t="shared" si="2"/>
        <v>0</v>
      </c>
      <c r="Z17" s="165"/>
      <c r="AA17" s="165"/>
      <c r="AB17" s="165"/>
      <c r="AC17" s="165"/>
      <c r="AD17" s="165"/>
      <c r="AE17" s="165"/>
      <c r="AF17" s="165"/>
      <c r="AG17" s="286"/>
      <c r="AH17" s="291">
        <f t="shared" si="3"/>
        <v>0</v>
      </c>
      <c r="AI17" s="287"/>
      <c r="AJ17" s="11"/>
      <c r="AK17" s="11" t="s">
        <v>1496</v>
      </c>
      <c r="AL17" s="11"/>
      <c r="AM17" s="11"/>
      <c r="AN17" s="11"/>
      <c r="AO17" s="11"/>
      <c r="AP17" s="11"/>
      <c r="AQ17" s="11"/>
      <c r="AR17" s="11"/>
      <c r="AS17" s="288"/>
      <c r="AT17" s="232"/>
    </row>
    <row r="18" spans="1:46" s="2" customFormat="1" ht="12.75">
      <c r="A18" s="11" t="s">
        <v>1404</v>
      </c>
      <c r="B18" s="11" t="s">
        <v>1404</v>
      </c>
      <c r="C18" s="11" t="s">
        <v>1405</v>
      </c>
      <c r="D18" s="11"/>
      <c r="E18" s="11" t="s">
        <v>1406</v>
      </c>
      <c r="F18" s="11" t="s">
        <v>1392</v>
      </c>
      <c r="G18" s="11" t="s">
        <v>1389</v>
      </c>
      <c r="H18" s="284"/>
      <c r="I18" s="284"/>
      <c r="J18" s="284"/>
      <c r="K18" s="284"/>
      <c r="L18" s="284"/>
      <c r="M18" s="284"/>
      <c r="N18" s="284">
        <v>2</v>
      </c>
      <c r="O18" s="285">
        <v>43257</v>
      </c>
      <c r="P18" s="352">
        <v>2</v>
      </c>
      <c r="Q18" s="11"/>
      <c r="R18" s="11"/>
      <c r="S18" s="11"/>
      <c r="T18" s="11"/>
      <c r="U18" s="11"/>
      <c r="V18" s="11"/>
      <c r="W18" s="11"/>
      <c r="X18" s="286"/>
      <c r="Y18" s="291">
        <f t="shared" si="2"/>
        <v>0</v>
      </c>
      <c r="Z18" s="165"/>
      <c r="AA18" s="165"/>
      <c r="AB18" s="165"/>
      <c r="AC18" s="165"/>
      <c r="AD18" s="165"/>
      <c r="AE18" s="165"/>
      <c r="AF18" s="165"/>
      <c r="AG18" s="286"/>
      <c r="AH18" s="291">
        <f t="shared" si="3"/>
        <v>0</v>
      </c>
      <c r="AI18" s="287"/>
      <c r="AJ18" s="11"/>
      <c r="AK18" s="11" t="s">
        <v>1495</v>
      </c>
      <c r="AL18" s="11"/>
      <c r="AM18" s="11"/>
      <c r="AN18" s="11"/>
      <c r="AO18" s="11"/>
      <c r="AP18" s="11"/>
      <c r="AQ18" s="11"/>
      <c r="AR18" s="11"/>
      <c r="AS18" s="288"/>
      <c r="AT18" s="232"/>
    </row>
    <row r="19" spans="1:46" s="2" customFormat="1" ht="12.75">
      <c r="A19" s="11" t="s">
        <v>1396</v>
      </c>
      <c r="B19" s="11" t="s">
        <v>1396</v>
      </c>
      <c r="C19" s="11" t="s">
        <v>1403</v>
      </c>
      <c r="D19" s="11"/>
      <c r="E19" s="11" t="s">
        <v>1397</v>
      </c>
      <c r="F19" s="11" t="s">
        <v>1388</v>
      </c>
      <c r="G19" s="11" t="s">
        <v>1389</v>
      </c>
      <c r="H19" s="284"/>
      <c r="I19" s="284"/>
      <c r="J19" s="284"/>
      <c r="K19" s="284"/>
      <c r="L19" s="284"/>
      <c r="M19" s="284"/>
      <c r="N19" s="284">
        <v>1</v>
      </c>
      <c r="O19" s="285">
        <v>43299</v>
      </c>
      <c r="P19" s="352">
        <v>1</v>
      </c>
      <c r="Q19" s="11"/>
      <c r="R19" s="11"/>
      <c r="S19" s="11"/>
      <c r="T19" s="11"/>
      <c r="U19" s="11"/>
      <c r="V19" s="11"/>
      <c r="W19" s="11"/>
      <c r="X19" s="286"/>
      <c r="Y19" s="291">
        <f t="shared" si="2"/>
        <v>0</v>
      </c>
      <c r="Z19" s="165"/>
      <c r="AA19" s="165"/>
      <c r="AB19" s="165"/>
      <c r="AC19" s="165"/>
      <c r="AD19" s="165"/>
      <c r="AE19" s="165"/>
      <c r="AF19" s="165"/>
      <c r="AG19" s="286"/>
      <c r="AH19" s="291">
        <f t="shared" si="3"/>
        <v>0</v>
      </c>
      <c r="AI19" s="287"/>
      <c r="AJ19" s="11"/>
      <c r="AK19" s="11" t="s">
        <v>1495</v>
      </c>
      <c r="AL19" s="11"/>
      <c r="AM19" s="11"/>
      <c r="AN19" s="11"/>
      <c r="AO19" s="11"/>
      <c r="AP19" s="11"/>
      <c r="AQ19" s="11"/>
      <c r="AR19" s="11"/>
      <c r="AS19" s="288"/>
      <c r="AT19" s="232"/>
    </row>
    <row r="20" spans="1:46" s="2" customFormat="1" ht="12.75">
      <c r="A20" s="11" t="s">
        <v>1400</v>
      </c>
      <c r="B20" s="11" t="s">
        <v>1400</v>
      </c>
      <c r="C20" s="11" t="s">
        <v>1402</v>
      </c>
      <c r="D20" s="11"/>
      <c r="E20" s="11" t="s">
        <v>1399</v>
      </c>
      <c r="F20" s="11" t="s">
        <v>1388</v>
      </c>
      <c r="G20" s="11" t="s">
        <v>1389</v>
      </c>
      <c r="H20" s="284"/>
      <c r="I20" s="284"/>
      <c r="J20" s="284"/>
      <c r="K20" s="284"/>
      <c r="L20" s="284"/>
      <c r="M20" s="284"/>
      <c r="N20" s="284">
        <v>1</v>
      </c>
      <c r="O20" s="285">
        <v>43412</v>
      </c>
      <c r="P20" s="352">
        <v>1</v>
      </c>
      <c r="Q20" s="11"/>
      <c r="R20" s="11"/>
      <c r="S20" s="11"/>
      <c r="T20" s="11"/>
      <c r="U20" s="11"/>
      <c r="V20" s="11"/>
      <c r="W20" s="11"/>
      <c r="X20" s="286"/>
      <c r="Y20" s="291">
        <f t="shared" si="2"/>
        <v>0</v>
      </c>
      <c r="Z20" s="165"/>
      <c r="AA20" s="165"/>
      <c r="AB20" s="165"/>
      <c r="AC20" s="165"/>
      <c r="AD20" s="165"/>
      <c r="AE20" s="165"/>
      <c r="AF20" s="165"/>
      <c r="AG20" s="286"/>
      <c r="AH20" s="291">
        <f t="shared" si="3"/>
        <v>0</v>
      </c>
      <c r="AI20" s="287"/>
      <c r="AJ20" s="11"/>
      <c r="AK20" s="11" t="s">
        <v>1495</v>
      </c>
      <c r="AL20" s="11"/>
      <c r="AM20" s="11"/>
      <c r="AN20" s="11"/>
      <c r="AO20" s="11"/>
      <c r="AP20" s="11"/>
      <c r="AQ20" s="11"/>
      <c r="AR20" s="11"/>
      <c r="AS20" s="288"/>
      <c r="AT20" s="232"/>
    </row>
    <row r="21" spans="1:46" s="2" customFormat="1" ht="12.75">
      <c r="A21" s="11" t="s">
        <v>1395</v>
      </c>
      <c r="B21" s="11" t="s">
        <v>1395</v>
      </c>
      <c r="C21" s="11" t="s">
        <v>1394</v>
      </c>
      <c r="D21" s="11"/>
      <c r="E21" s="11" t="s">
        <v>1401</v>
      </c>
      <c r="F21" s="11" t="s">
        <v>1392</v>
      </c>
      <c r="G21" s="11" t="s">
        <v>1393</v>
      </c>
      <c r="H21" s="284"/>
      <c r="I21" s="284"/>
      <c r="J21" s="284"/>
      <c r="K21" s="284"/>
      <c r="L21" s="284"/>
      <c r="M21" s="284"/>
      <c r="N21" s="284">
        <v>1</v>
      </c>
      <c r="O21" s="285">
        <v>43430</v>
      </c>
      <c r="P21" s="352">
        <v>1</v>
      </c>
      <c r="Q21" s="11"/>
      <c r="R21" s="11"/>
      <c r="S21" s="11"/>
      <c r="T21" s="11"/>
      <c r="U21" s="11"/>
      <c r="V21" s="11"/>
      <c r="W21" s="11"/>
      <c r="X21" s="286"/>
      <c r="Y21" s="291">
        <f t="shared" si="2"/>
        <v>0</v>
      </c>
      <c r="Z21" s="165"/>
      <c r="AA21" s="165"/>
      <c r="AB21" s="165"/>
      <c r="AC21" s="165"/>
      <c r="AD21" s="165"/>
      <c r="AE21" s="165"/>
      <c r="AF21" s="165"/>
      <c r="AG21" s="286"/>
      <c r="AH21" s="291">
        <f t="shared" si="3"/>
        <v>0</v>
      </c>
      <c r="AI21" s="287"/>
      <c r="AJ21" s="11"/>
      <c r="AK21" s="11" t="s">
        <v>1495</v>
      </c>
      <c r="AL21" s="11"/>
      <c r="AM21" s="11"/>
      <c r="AN21" s="11"/>
      <c r="AO21" s="11"/>
      <c r="AP21" s="11"/>
      <c r="AQ21" s="11"/>
      <c r="AR21" s="11"/>
      <c r="AS21" s="288"/>
      <c r="AT21" s="232"/>
    </row>
    <row r="22" spans="1:46" s="2" customFormat="1" ht="12.75">
      <c r="A22" s="11"/>
      <c r="B22" s="11"/>
      <c r="C22" s="11"/>
      <c r="D22" s="11"/>
      <c r="E22" s="11"/>
      <c r="F22" s="11"/>
      <c r="G22" s="11"/>
      <c r="H22" s="284"/>
      <c r="I22" s="284"/>
      <c r="J22" s="284"/>
      <c r="K22" s="284"/>
      <c r="L22" s="284"/>
      <c r="M22" s="284"/>
      <c r="N22" s="284"/>
      <c r="O22" s="285"/>
      <c r="P22" s="352">
        <f t="shared" si="1"/>
        <v>0</v>
      </c>
      <c r="Q22" s="11"/>
      <c r="R22" s="11"/>
      <c r="S22" s="11"/>
      <c r="T22" s="11"/>
      <c r="U22" s="11"/>
      <c r="V22" s="11"/>
      <c r="W22" s="11"/>
      <c r="X22" s="286"/>
      <c r="Y22" s="291">
        <f t="shared" si="2"/>
        <v>0</v>
      </c>
      <c r="Z22" s="165"/>
      <c r="AA22" s="165"/>
      <c r="AB22" s="165"/>
      <c r="AC22" s="165"/>
      <c r="AD22" s="165"/>
      <c r="AE22" s="165"/>
      <c r="AF22" s="165"/>
      <c r="AG22" s="286"/>
      <c r="AH22" s="291">
        <f t="shared" si="3"/>
        <v>0</v>
      </c>
      <c r="AI22" s="287"/>
      <c r="AJ22" s="11"/>
      <c r="AK22" s="11"/>
      <c r="AL22" s="11"/>
      <c r="AM22" s="11"/>
      <c r="AN22" s="11"/>
      <c r="AO22" s="11"/>
      <c r="AP22" s="11"/>
      <c r="AQ22" s="11"/>
      <c r="AR22" s="11"/>
      <c r="AS22" s="288"/>
      <c r="AT22" s="232"/>
    </row>
    <row r="23" spans="1:46" s="2" customFormat="1" ht="12.75">
      <c r="A23" s="11"/>
      <c r="B23" s="11"/>
      <c r="C23" s="11"/>
      <c r="D23" s="11"/>
      <c r="E23" s="11"/>
      <c r="F23" s="11"/>
      <c r="G23" s="11"/>
      <c r="H23" s="284"/>
      <c r="I23" s="284"/>
      <c r="J23" s="284"/>
      <c r="K23" s="284"/>
      <c r="L23" s="284"/>
      <c r="M23" s="284"/>
      <c r="N23" s="284"/>
      <c r="O23" s="285"/>
      <c r="P23" s="352">
        <f t="shared" si="1"/>
        <v>0</v>
      </c>
      <c r="Q23" s="11"/>
      <c r="R23" s="11"/>
      <c r="S23" s="11"/>
      <c r="T23" s="11"/>
      <c r="U23" s="11"/>
      <c r="V23" s="11"/>
      <c r="W23" s="11"/>
      <c r="X23" s="286"/>
      <c r="Y23" s="291">
        <f t="shared" si="2"/>
        <v>0</v>
      </c>
      <c r="Z23" s="165"/>
      <c r="AA23" s="165"/>
      <c r="AB23" s="165"/>
      <c r="AC23" s="165"/>
      <c r="AD23" s="165"/>
      <c r="AE23" s="165"/>
      <c r="AF23" s="165"/>
      <c r="AG23" s="286"/>
      <c r="AH23" s="291">
        <f t="shared" si="3"/>
        <v>0</v>
      </c>
      <c r="AI23" s="287"/>
      <c r="AJ23" s="11"/>
      <c r="AK23" s="11"/>
      <c r="AL23" s="11"/>
      <c r="AM23" s="11"/>
      <c r="AN23" s="11"/>
      <c r="AO23" s="11"/>
      <c r="AP23" s="11"/>
      <c r="AQ23" s="11"/>
      <c r="AR23" s="11"/>
      <c r="AS23" s="288"/>
      <c r="AT23" s="232"/>
    </row>
    <row r="24" spans="1:46" s="2" customFormat="1" ht="12.75">
      <c r="A24" s="11"/>
      <c r="B24" s="11"/>
      <c r="C24" s="11"/>
      <c r="D24" s="11"/>
      <c r="E24" s="11"/>
      <c r="F24" s="11"/>
      <c r="G24" s="11"/>
      <c r="H24" s="284"/>
      <c r="I24" s="284"/>
      <c r="J24" s="284"/>
      <c r="K24" s="284"/>
      <c r="L24" s="284"/>
      <c r="M24" s="284"/>
      <c r="N24" s="284"/>
      <c r="O24" s="285"/>
      <c r="P24" s="352">
        <f t="shared" si="1"/>
        <v>0</v>
      </c>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c r="AK24" s="11"/>
      <c r="AL24" s="11"/>
      <c r="AM24" s="11"/>
      <c r="AN24" s="11"/>
      <c r="AO24" s="11"/>
      <c r="AP24" s="11"/>
      <c r="AQ24" s="11"/>
      <c r="AR24" s="11"/>
      <c r="AS24" s="288"/>
      <c r="AT24" s="232"/>
    </row>
    <row r="25" spans="1:46" s="2" customFormat="1" ht="12.75">
      <c r="A25" s="11"/>
      <c r="B25" s="11"/>
      <c r="C25" s="11"/>
      <c r="D25" s="11"/>
      <c r="E25" s="11"/>
      <c r="F25" s="11"/>
      <c r="G25" s="11"/>
      <c r="H25" s="284"/>
      <c r="I25" s="284"/>
      <c r="J25" s="284"/>
      <c r="K25" s="284"/>
      <c r="L25" s="284"/>
      <c r="M25" s="284"/>
      <c r="N25" s="284"/>
      <c r="O25" s="285"/>
      <c r="P25" s="352">
        <f t="shared" si="1"/>
        <v>0</v>
      </c>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c r="AK25" s="11"/>
      <c r="AL25" s="11"/>
      <c r="AM25" s="11"/>
      <c r="AN25" s="11"/>
      <c r="AO25" s="11"/>
      <c r="AP25" s="11"/>
      <c r="AQ25" s="11"/>
      <c r="AR25" s="11"/>
      <c r="AS25" s="288"/>
      <c r="AT25" s="232"/>
    </row>
    <row r="26" spans="1:46" s="2" customFormat="1" ht="12.75">
      <c r="A26" s="11"/>
      <c r="B26" s="11"/>
      <c r="C26" s="11"/>
      <c r="D26" s="11"/>
      <c r="E26" s="11"/>
      <c r="F26" s="11"/>
      <c r="G26" s="11"/>
      <c r="H26" s="284"/>
      <c r="I26" s="284"/>
      <c r="J26" s="284"/>
      <c r="K26" s="284"/>
      <c r="L26" s="284"/>
      <c r="M26" s="284"/>
      <c r="N26" s="284"/>
      <c r="O26" s="285"/>
      <c r="P26" s="352">
        <f t="shared" si="1"/>
        <v>0</v>
      </c>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c r="AK26" s="11"/>
      <c r="AL26" s="11"/>
      <c r="AM26" s="11"/>
      <c r="AN26" s="11"/>
      <c r="AO26" s="11"/>
      <c r="AP26" s="11"/>
      <c r="AQ26" s="11"/>
      <c r="AR26" s="11"/>
      <c r="AS26" s="288"/>
      <c r="AT26" s="232"/>
    </row>
    <row r="27" spans="1:46" s="2" customFormat="1" ht="12.75">
      <c r="A27" s="11"/>
      <c r="B27" s="11"/>
      <c r="C27" s="11"/>
      <c r="D27" s="11"/>
      <c r="E27" s="11"/>
      <c r="F27" s="11"/>
      <c r="G27" s="11"/>
      <c r="H27" s="284"/>
      <c r="I27" s="284"/>
      <c r="J27" s="284"/>
      <c r="K27" s="284"/>
      <c r="L27" s="284"/>
      <c r="M27" s="284"/>
      <c r="N27" s="284"/>
      <c r="O27" s="285"/>
      <c r="P27" s="352">
        <f t="shared" si="1"/>
        <v>0</v>
      </c>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c r="AK27" s="11"/>
      <c r="AL27" s="11"/>
      <c r="AM27" s="11"/>
      <c r="AN27" s="11"/>
      <c r="AO27" s="11"/>
      <c r="AP27" s="11"/>
      <c r="AQ27" s="11"/>
      <c r="AR27" s="11"/>
      <c r="AS27" s="288"/>
      <c r="AT27" s="232"/>
    </row>
    <row r="28" spans="1:46" s="2" customFormat="1" ht="12.75">
      <c r="A28" s="11"/>
      <c r="B28" s="11"/>
      <c r="C28" s="11"/>
      <c r="D28" s="11"/>
      <c r="E28" s="11"/>
      <c r="F28" s="11"/>
      <c r="G28" s="11"/>
      <c r="H28" s="284"/>
      <c r="I28" s="284"/>
      <c r="J28" s="284"/>
      <c r="K28" s="284"/>
      <c r="L28" s="284"/>
      <c r="M28" s="284"/>
      <c r="N28" s="284"/>
      <c r="O28" s="285"/>
      <c r="P28" s="352">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c r="A29" s="11"/>
      <c r="B29" s="11"/>
      <c r="C29" s="11"/>
      <c r="D29" s="11"/>
      <c r="E29" s="11"/>
      <c r="F29" s="11"/>
      <c r="G29" s="11"/>
      <c r="H29" s="284"/>
      <c r="I29" s="284"/>
      <c r="J29" s="284"/>
      <c r="K29" s="284"/>
      <c r="L29" s="284"/>
      <c r="M29" s="284"/>
      <c r="N29" s="284"/>
      <c r="O29" s="285"/>
      <c r="P29" s="352">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c r="A30" s="11"/>
      <c r="B30" s="11"/>
      <c r="C30" s="11"/>
      <c r="D30" s="11"/>
      <c r="E30" s="11"/>
      <c r="F30" s="11"/>
      <c r="G30" s="11"/>
      <c r="H30" s="284"/>
      <c r="I30" s="284"/>
      <c r="J30" s="284"/>
      <c r="K30" s="284"/>
      <c r="L30" s="284"/>
      <c r="M30" s="284"/>
      <c r="N30" s="284"/>
      <c r="O30" s="285"/>
      <c r="P30" s="352">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c r="A31" s="11"/>
      <c r="B31" s="11"/>
      <c r="C31" s="11"/>
      <c r="D31" s="11"/>
      <c r="E31" s="11"/>
      <c r="F31" s="11"/>
      <c r="G31" s="11"/>
      <c r="H31" s="284"/>
      <c r="I31" s="284"/>
      <c r="J31" s="284"/>
      <c r="K31" s="284"/>
      <c r="L31" s="284"/>
      <c r="M31" s="284"/>
      <c r="N31" s="284"/>
      <c r="O31" s="285"/>
      <c r="P31" s="352">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c r="A32" s="11"/>
      <c r="B32" s="11"/>
      <c r="C32" s="11"/>
      <c r="D32" s="11"/>
      <c r="E32" s="11"/>
      <c r="F32" s="11"/>
      <c r="G32" s="11"/>
      <c r="H32" s="284"/>
      <c r="I32" s="284"/>
      <c r="J32" s="284"/>
      <c r="K32" s="284"/>
      <c r="L32" s="284"/>
      <c r="M32" s="284"/>
      <c r="N32" s="284"/>
      <c r="O32" s="285"/>
      <c r="P32" s="352">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c r="A33" s="11"/>
      <c r="B33" s="11"/>
      <c r="C33" s="11"/>
      <c r="D33" s="11"/>
      <c r="E33" s="11"/>
      <c r="F33" s="11"/>
      <c r="G33" s="11"/>
      <c r="H33" s="284"/>
      <c r="I33" s="284"/>
      <c r="J33" s="284"/>
      <c r="K33" s="284"/>
      <c r="L33" s="284"/>
      <c r="M33" s="284"/>
      <c r="N33" s="284"/>
      <c r="O33" s="285"/>
      <c r="P33" s="352">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c r="A34" s="353"/>
      <c r="B34" s="353"/>
      <c r="C34" s="353"/>
      <c r="D34" s="353"/>
      <c r="E34" s="353"/>
      <c r="F34" s="353"/>
      <c r="G34" s="353"/>
      <c r="H34" s="354"/>
      <c r="I34" s="354"/>
      <c r="J34" s="354"/>
      <c r="K34" s="354"/>
      <c r="L34" s="354"/>
      <c r="M34" s="354"/>
      <c r="N34" s="354"/>
      <c r="O34" s="354"/>
      <c r="P34" s="352">
        <f t="shared" si="1"/>
        <v>0</v>
      </c>
      <c r="Q34" s="353"/>
      <c r="R34" s="353"/>
      <c r="S34" s="353"/>
      <c r="T34" s="353"/>
      <c r="U34" s="353"/>
      <c r="V34" s="353"/>
      <c r="W34" s="353"/>
      <c r="X34" s="286"/>
      <c r="Y34" s="291">
        <f t="shared" si="2"/>
        <v>0</v>
      </c>
      <c r="Z34" s="355"/>
      <c r="AA34" s="355"/>
      <c r="AB34" s="355"/>
      <c r="AC34" s="355"/>
      <c r="AD34" s="355"/>
      <c r="AE34" s="355"/>
      <c r="AF34" s="355"/>
      <c r="AG34" s="353"/>
      <c r="AH34" s="291">
        <f t="shared" si="4"/>
        <v>0</v>
      </c>
      <c r="AI34" s="355"/>
      <c r="AJ34" s="353"/>
      <c r="AK34" s="353"/>
      <c r="AL34" s="11"/>
      <c r="AM34" s="11"/>
      <c r="AN34" s="353"/>
      <c r="AO34" s="353"/>
      <c r="AP34" s="353"/>
      <c r="AQ34" s="353"/>
      <c r="AR34" s="356"/>
      <c r="AS34" s="35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c r="A35" s="290"/>
      <c r="B35" s="290"/>
      <c r="C35" s="290"/>
      <c r="D35" s="290"/>
      <c r="E35" s="290"/>
      <c r="F35" s="290"/>
      <c r="G35" s="290"/>
      <c r="H35" s="289"/>
      <c r="I35" s="289"/>
      <c r="J35" s="289"/>
      <c r="K35" s="289"/>
      <c r="L35" s="289"/>
      <c r="M35" s="289"/>
      <c r="N35" s="289"/>
      <c r="O35" s="289"/>
      <c r="P35" s="352">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8"/>
      <c r="AS35" s="288"/>
      <c r="AT35" s="320"/>
    </row>
    <row r="36" spans="1:132" s="88" customFormat="1" ht="16.899999999999999" customHeight="1">
      <c r="A36" s="290"/>
      <c r="B36" s="290"/>
      <c r="C36" s="290"/>
      <c r="D36" s="290"/>
      <c r="E36" s="290"/>
      <c r="F36" s="290"/>
      <c r="G36" s="290"/>
      <c r="H36" s="289"/>
      <c r="I36" s="289"/>
      <c r="J36" s="289"/>
      <c r="K36" s="289"/>
      <c r="L36" s="289"/>
      <c r="M36" s="289"/>
      <c r="N36" s="289"/>
      <c r="O36" s="289"/>
      <c r="P36" s="352">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8"/>
      <c r="AS36" s="288"/>
      <c r="AT36" s="320"/>
    </row>
    <row r="37" spans="1:132" s="88" customFormat="1" ht="12.75">
      <c r="A37" s="290"/>
      <c r="B37" s="290"/>
      <c r="C37" s="290"/>
      <c r="D37" s="290"/>
      <c r="E37" s="290"/>
      <c r="F37" s="290"/>
      <c r="G37" s="290"/>
      <c r="H37" s="289"/>
      <c r="I37" s="289"/>
      <c r="J37" s="289"/>
      <c r="K37" s="289"/>
      <c r="L37" s="289"/>
      <c r="M37" s="289"/>
      <c r="N37" s="289"/>
      <c r="O37" s="289"/>
      <c r="P37" s="352">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8"/>
      <c r="AS37" s="288"/>
      <c r="AT37" s="320"/>
    </row>
    <row r="38" spans="1:132" s="88" customFormat="1" ht="12.75">
      <c r="A38" s="290"/>
      <c r="B38" s="290"/>
      <c r="C38" s="290"/>
      <c r="D38" s="290"/>
      <c r="E38" s="290"/>
      <c r="F38" s="290"/>
      <c r="G38" s="290"/>
      <c r="H38" s="289"/>
      <c r="I38" s="289"/>
      <c r="J38" s="289"/>
      <c r="K38" s="289"/>
      <c r="L38" s="289"/>
      <c r="M38" s="289"/>
      <c r="N38" s="289"/>
      <c r="O38" s="289"/>
      <c r="P38" s="352">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8"/>
      <c r="AS38" s="288"/>
      <c r="AT38" s="320"/>
    </row>
    <row r="39" spans="1:132" s="88" customFormat="1" ht="12.75">
      <c r="A39" s="290"/>
      <c r="B39" s="290"/>
      <c r="C39" s="290"/>
      <c r="D39" s="290"/>
      <c r="E39" s="290"/>
      <c r="F39" s="290"/>
      <c r="G39" s="290"/>
      <c r="H39" s="289"/>
      <c r="I39" s="289"/>
      <c r="J39" s="289"/>
      <c r="K39" s="289"/>
      <c r="L39" s="289"/>
      <c r="M39" s="289"/>
      <c r="N39" s="289"/>
      <c r="O39" s="289"/>
      <c r="P39" s="352">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8"/>
      <c r="AS39" s="288"/>
      <c r="AT39" s="320"/>
    </row>
    <row r="40" spans="1:132" s="88" customFormat="1" ht="12.75">
      <c r="A40" s="290"/>
      <c r="B40" s="290"/>
      <c r="C40" s="290"/>
      <c r="D40" s="290"/>
      <c r="E40" s="290"/>
      <c r="F40" s="290"/>
      <c r="G40" s="290"/>
      <c r="H40" s="289"/>
      <c r="I40" s="289"/>
      <c r="J40" s="289"/>
      <c r="K40" s="289"/>
      <c r="L40" s="289"/>
      <c r="M40" s="289"/>
      <c r="N40" s="289"/>
      <c r="O40" s="289"/>
      <c r="P40" s="352">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8"/>
      <c r="AS40" s="288"/>
      <c r="AT40" s="320"/>
    </row>
    <row r="41" spans="1:132" s="88" customFormat="1" ht="12.75">
      <c r="A41" s="290"/>
      <c r="B41" s="290"/>
      <c r="C41" s="290"/>
      <c r="D41" s="290"/>
      <c r="E41" s="290"/>
      <c r="F41" s="290"/>
      <c r="G41" s="290"/>
      <c r="H41" s="289"/>
      <c r="I41" s="289"/>
      <c r="J41" s="289"/>
      <c r="K41" s="289"/>
      <c r="L41" s="289"/>
      <c r="M41" s="289"/>
      <c r="N41" s="289"/>
      <c r="O41" s="289"/>
      <c r="P41" s="352">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8"/>
      <c r="AS41" s="288"/>
      <c r="AT41" s="320"/>
    </row>
    <row r="42" spans="1:132" s="88" customFormat="1" ht="12.75">
      <c r="A42" s="290"/>
      <c r="B42" s="290"/>
      <c r="C42" s="290"/>
      <c r="D42" s="290"/>
      <c r="E42" s="290"/>
      <c r="F42" s="290"/>
      <c r="G42" s="290"/>
      <c r="H42" s="289"/>
      <c r="I42" s="289"/>
      <c r="J42" s="289"/>
      <c r="K42" s="289"/>
      <c r="L42" s="289"/>
      <c r="M42" s="289"/>
      <c r="N42" s="289"/>
      <c r="O42" s="289"/>
      <c r="P42" s="352">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8"/>
      <c r="AS42" s="288"/>
      <c r="AT42" s="320"/>
    </row>
    <row r="43" spans="1:132" s="88" customFormat="1" ht="12.75">
      <c r="A43" s="290"/>
      <c r="B43" s="290"/>
      <c r="C43" s="290"/>
      <c r="D43" s="290"/>
      <c r="E43" s="290"/>
      <c r="F43" s="290"/>
      <c r="G43" s="290"/>
      <c r="H43" s="289"/>
      <c r="I43" s="289"/>
      <c r="J43" s="289"/>
      <c r="K43" s="289"/>
      <c r="L43" s="289"/>
      <c r="M43" s="289"/>
      <c r="N43" s="289"/>
      <c r="O43" s="289"/>
      <c r="P43" s="352">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8"/>
      <c r="AS43" s="288"/>
      <c r="AT43" s="320"/>
    </row>
    <row r="44" spans="1:132" s="88" customFormat="1" ht="12.75">
      <c r="A44" s="290"/>
      <c r="B44" s="290"/>
      <c r="C44" s="290"/>
      <c r="D44" s="290"/>
      <c r="E44" s="290"/>
      <c r="F44" s="290"/>
      <c r="G44" s="290"/>
      <c r="H44" s="289"/>
      <c r="I44" s="289"/>
      <c r="J44" s="289"/>
      <c r="K44" s="289"/>
      <c r="L44" s="289"/>
      <c r="M44" s="289"/>
      <c r="N44" s="289"/>
      <c r="O44" s="289"/>
      <c r="P44" s="352">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8"/>
      <c r="AS44" s="288"/>
      <c r="AT44" s="320"/>
    </row>
    <row r="45" spans="1:132" s="88" customFormat="1" ht="12.75">
      <c r="A45" s="290"/>
      <c r="B45" s="290"/>
      <c r="C45" s="290"/>
      <c r="D45" s="290"/>
      <c r="E45" s="290"/>
      <c r="F45" s="290"/>
      <c r="G45" s="290"/>
      <c r="H45" s="289"/>
      <c r="I45" s="289"/>
      <c r="J45" s="289"/>
      <c r="K45" s="289"/>
      <c r="L45" s="289"/>
      <c r="M45" s="289"/>
      <c r="N45" s="289"/>
      <c r="O45" s="289"/>
      <c r="P45" s="352">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8"/>
      <c r="AS45" s="288"/>
      <c r="AT45" s="320"/>
    </row>
    <row r="46" spans="1:132" s="88" customFormat="1" ht="12.75">
      <c r="A46" s="290"/>
      <c r="B46" s="290"/>
      <c r="C46" s="290"/>
      <c r="D46" s="290"/>
      <c r="E46" s="290"/>
      <c r="F46" s="290"/>
      <c r="G46" s="290"/>
      <c r="H46" s="289"/>
      <c r="I46" s="289"/>
      <c r="J46" s="289"/>
      <c r="K46" s="289"/>
      <c r="L46" s="289"/>
      <c r="M46" s="289"/>
      <c r="N46" s="289"/>
      <c r="O46" s="289"/>
      <c r="P46" s="352">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8"/>
      <c r="AS46" s="288"/>
      <c r="AT46" s="320"/>
    </row>
    <row r="47" spans="1:132" s="88" customFormat="1" ht="12.75">
      <c r="A47" s="290"/>
      <c r="B47" s="290"/>
      <c r="C47" s="290"/>
      <c r="D47" s="290"/>
      <c r="E47" s="290"/>
      <c r="F47" s="290"/>
      <c r="G47" s="290"/>
      <c r="H47" s="289"/>
      <c r="I47" s="289"/>
      <c r="J47" s="289"/>
      <c r="K47" s="289"/>
      <c r="L47" s="289"/>
      <c r="M47" s="289"/>
      <c r="N47" s="289"/>
      <c r="O47" s="289"/>
      <c r="P47" s="352">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8"/>
      <c r="AS47" s="288"/>
      <c r="AT47" s="320"/>
    </row>
    <row r="48" spans="1:132" s="272" customFormat="1" ht="16.5" customHeight="1">
      <c r="A48" s="290"/>
      <c r="B48" s="290"/>
      <c r="C48" s="290"/>
      <c r="D48" s="290"/>
      <c r="E48" s="290"/>
      <c r="F48" s="290"/>
      <c r="G48" s="290"/>
      <c r="H48" s="289"/>
      <c r="I48" s="289"/>
      <c r="J48" s="289"/>
      <c r="K48" s="289"/>
      <c r="L48" s="289"/>
      <c r="M48" s="289"/>
      <c r="N48" s="289"/>
      <c r="O48" s="289"/>
      <c r="P48" s="352">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8"/>
      <c r="AS48" s="288"/>
      <c r="AT48" s="321"/>
    </row>
    <row r="49" spans="1:46" s="272" customFormat="1">
      <c r="A49" s="290"/>
      <c r="B49" s="290"/>
      <c r="C49" s="290"/>
      <c r="D49" s="290"/>
      <c r="E49" s="290"/>
      <c r="F49" s="290"/>
      <c r="G49" s="290"/>
      <c r="H49" s="289"/>
      <c r="I49" s="289"/>
      <c r="J49" s="289"/>
      <c r="K49" s="289"/>
      <c r="L49" s="289"/>
      <c r="M49" s="289"/>
      <c r="N49" s="289"/>
      <c r="O49" s="289"/>
      <c r="P49" s="352">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8"/>
      <c r="AS49" s="288"/>
      <c r="AT49" s="321"/>
    </row>
    <row r="50" spans="1:46" s="87" customFormat="1" ht="15.75">
      <c r="A50" s="353"/>
      <c r="B50" s="353"/>
      <c r="C50" s="353"/>
      <c r="D50" s="353"/>
      <c r="E50" s="353"/>
      <c r="F50" s="353"/>
      <c r="G50" s="353"/>
      <c r="H50" s="354"/>
      <c r="I50" s="354"/>
      <c r="J50" s="354"/>
      <c r="K50" s="354"/>
      <c r="L50" s="354"/>
      <c r="M50" s="354"/>
      <c r="N50" s="354"/>
      <c r="O50" s="354"/>
      <c r="P50" s="352">
        <f t="shared" si="1"/>
        <v>0</v>
      </c>
      <c r="Q50" s="353"/>
      <c r="R50" s="353"/>
      <c r="S50" s="353"/>
      <c r="T50" s="353"/>
      <c r="U50" s="353"/>
      <c r="V50" s="353"/>
      <c r="W50" s="353"/>
      <c r="X50" s="286"/>
      <c r="Y50" s="291">
        <f t="shared" si="2"/>
        <v>0</v>
      </c>
      <c r="Z50" s="355"/>
      <c r="AA50" s="355"/>
      <c r="AB50" s="355"/>
      <c r="AC50" s="355"/>
      <c r="AD50" s="355"/>
      <c r="AE50" s="355"/>
      <c r="AF50" s="355"/>
      <c r="AG50" s="353"/>
      <c r="AH50" s="291">
        <f t="shared" si="4"/>
        <v>0</v>
      </c>
      <c r="AI50" s="355"/>
      <c r="AJ50" s="353"/>
      <c r="AK50" s="353"/>
      <c r="AL50" s="11"/>
      <c r="AM50" s="11"/>
      <c r="AN50" s="353"/>
      <c r="AO50" s="353"/>
      <c r="AP50" s="353"/>
      <c r="AQ50" s="353"/>
      <c r="AR50" s="356"/>
      <c r="AS50" s="357"/>
      <c r="AT50" s="123"/>
    </row>
    <row r="51" spans="1:46" s="87" customFormat="1" ht="15.75">
      <c r="A51" s="353"/>
      <c r="B51" s="353"/>
      <c r="C51" s="353"/>
      <c r="D51" s="353"/>
      <c r="E51" s="353"/>
      <c r="F51" s="353"/>
      <c r="G51" s="353"/>
      <c r="H51" s="354"/>
      <c r="I51" s="354"/>
      <c r="J51" s="354"/>
      <c r="K51" s="354"/>
      <c r="L51" s="354"/>
      <c r="M51" s="354"/>
      <c r="N51" s="354"/>
      <c r="O51" s="354"/>
      <c r="P51" s="352">
        <f t="shared" si="1"/>
        <v>0</v>
      </c>
      <c r="Q51" s="353"/>
      <c r="R51" s="353"/>
      <c r="S51" s="353"/>
      <c r="T51" s="353"/>
      <c r="U51" s="353"/>
      <c r="V51" s="353"/>
      <c r="W51" s="353"/>
      <c r="X51" s="286"/>
      <c r="Y51" s="291">
        <f t="shared" si="2"/>
        <v>0</v>
      </c>
      <c r="Z51" s="355"/>
      <c r="AA51" s="355"/>
      <c r="AB51" s="355"/>
      <c r="AC51" s="355"/>
      <c r="AD51" s="355"/>
      <c r="AE51" s="355"/>
      <c r="AF51" s="355"/>
      <c r="AG51" s="353"/>
      <c r="AH51" s="291">
        <f t="shared" si="4"/>
        <v>0</v>
      </c>
      <c r="AI51" s="355"/>
      <c r="AJ51" s="353"/>
      <c r="AK51" s="353"/>
      <c r="AL51" s="11"/>
      <c r="AM51" s="11"/>
      <c r="AN51" s="353"/>
      <c r="AO51" s="353"/>
      <c r="AP51" s="353"/>
      <c r="AQ51" s="353"/>
      <c r="AR51" s="356"/>
      <c r="AS51" s="357"/>
      <c r="AT51" s="123"/>
    </row>
    <row r="52" spans="1:46" s="272" customFormat="1">
      <c r="A52" s="290"/>
      <c r="B52" s="290"/>
      <c r="C52" s="290"/>
      <c r="D52" s="290"/>
      <c r="E52" s="290"/>
      <c r="F52" s="290"/>
      <c r="G52" s="290"/>
      <c r="H52" s="289"/>
      <c r="I52" s="289"/>
      <c r="J52" s="289"/>
      <c r="K52" s="289"/>
      <c r="L52" s="289"/>
      <c r="M52" s="289"/>
      <c r="N52" s="289"/>
      <c r="O52" s="289"/>
      <c r="P52" s="352">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8"/>
      <c r="AS52" s="288"/>
      <c r="AT52" s="321"/>
    </row>
    <row r="53" spans="1:46" s="89" customFormat="1" ht="12.75">
      <c r="A53" s="353"/>
      <c r="B53" s="353"/>
      <c r="C53" s="353"/>
      <c r="D53" s="353"/>
      <c r="E53" s="353"/>
      <c r="F53" s="353"/>
      <c r="G53" s="353"/>
      <c r="H53" s="354"/>
      <c r="I53" s="354"/>
      <c r="J53" s="354"/>
      <c r="K53" s="354"/>
      <c r="L53" s="354"/>
      <c r="M53" s="354"/>
      <c r="N53" s="354"/>
      <c r="O53" s="354"/>
      <c r="P53" s="352">
        <f t="shared" si="1"/>
        <v>0</v>
      </c>
      <c r="Q53" s="353"/>
      <c r="R53" s="353"/>
      <c r="S53" s="353"/>
      <c r="T53" s="353"/>
      <c r="U53" s="353"/>
      <c r="V53" s="353"/>
      <c r="W53" s="353"/>
      <c r="X53" s="286"/>
      <c r="Y53" s="291">
        <f t="shared" si="2"/>
        <v>0</v>
      </c>
      <c r="Z53" s="355"/>
      <c r="AA53" s="355"/>
      <c r="AB53" s="355"/>
      <c r="AC53" s="355"/>
      <c r="AD53" s="355"/>
      <c r="AE53" s="355"/>
      <c r="AF53" s="355"/>
      <c r="AG53" s="353"/>
      <c r="AH53" s="291">
        <f t="shared" si="4"/>
        <v>0</v>
      </c>
      <c r="AI53" s="355"/>
      <c r="AJ53" s="353"/>
      <c r="AK53" s="353"/>
      <c r="AL53" s="11"/>
      <c r="AM53" s="11"/>
      <c r="AN53" s="353"/>
      <c r="AO53" s="353"/>
      <c r="AP53" s="353"/>
      <c r="AQ53" s="353"/>
      <c r="AR53" s="356"/>
      <c r="AS53" s="357"/>
      <c r="AT53" s="322"/>
    </row>
    <row r="54" spans="1:46" s="89" customFormat="1" ht="12.75">
      <c r="A54" s="353"/>
      <c r="B54" s="353"/>
      <c r="C54" s="353"/>
      <c r="D54" s="353"/>
      <c r="E54" s="353"/>
      <c r="F54" s="353"/>
      <c r="G54" s="353"/>
      <c r="H54" s="354"/>
      <c r="I54" s="354"/>
      <c r="J54" s="354"/>
      <c r="K54" s="354"/>
      <c r="L54" s="354"/>
      <c r="M54" s="354"/>
      <c r="N54" s="354"/>
      <c r="O54" s="354"/>
      <c r="P54" s="352">
        <f t="shared" si="1"/>
        <v>0</v>
      </c>
      <c r="Q54" s="353"/>
      <c r="R54" s="353"/>
      <c r="S54" s="353"/>
      <c r="T54" s="353"/>
      <c r="U54" s="353"/>
      <c r="V54" s="353"/>
      <c r="W54" s="353"/>
      <c r="X54" s="286"/>
      <c r="Y54" s="291">
        <f t="shared" si="2"/>
        <v>0</v>
      </c>
      <c r="Z54" s="355"/>
      <c r="AA54" s="355"/>
      <c r="AB54" s="355"/>
      <c r="AC54" s="355"/>
      <c r="AD54" s="355"/>
      <c r="AE54" s="355"/>
      <c r="AF54" s="355"/>
      <c r="AG54" s="353"/>
      <c r="AH54" s="291">
        <f t="shared" si="4"/>
        <v>0</v>
      </c>
      <c r="AI54" s="355"/>
      <c r="AJ54" s="353"/>
      <c r="AK54" s="353"/>
      <c r="AL54" s="11"/>
      <c r="AM54" s="11"/>
      <c r="AN54" s="353"/>
      <c r="AO54" s="353"/>
      <c r="AP54" s="353"/>
      <c r="AQ54" s="353"/>
      <c r="AR54" s="356"/>
      <c r="AS54" s="357"/>
      <c r="AT54" s="322"/>
    </row>
    <row r="55" spans="1:46" s="272" customFormat="1">
      <c r="A55" s="290"/>
      <c r="B55" s="290"/>
      <c r="C55" s="290"/>
      <c r="D55" s="290"/>
      <c r="E55" s="290"/>
      <c r="F55" s="290"/>
      <c r="G55" s="290"/>
      <c r="H55" s="289"/>
      <c r="I55" s="289"/>
      <c r="J55" s="289"/>
      <c r="K55" s="289"/>
      <c r="L55" s="289"/>
      <c r="M55" s="289"/>
      <c r="N55" s="289"/>
      <c r="O55" s="289"/>
      <c r="P55" s="352">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8"/>
      <c r="AS55" s="288"/>
      <c r="AT55" s="321"/>
    </row>
    <row r="56" spans="1:46" s="272" customFormat="1">
      <c r="A56" s="290"/>
      <c r="B56" s="290"/>
      <c r="C56" s="290"/>
      <c r="D56" s="290"/>
      <c r="E56" s="290"/>
      <c r="F56" s="290"/>
      <c r="G56" s="290"/>
      <c r="H56" s="289"/>
      <c r="I56" s="289"/>
      <c r="J56" s="289"/>
      <c r="K56" s="289"/>
      <c r="L56" s="289"/>
      <c r="M56" s="289"/>
      <c r="N56" s="289"/>
      <c r="O56" s="289"/>
      <c r="P56" s="352">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8"/>
      <c r="AS56" s="288"/>
      <c r="AT56" s="321"/>
    </row>
    <row r="57" spans="1:46" s="272" customFormat="1">
      <c r="A57" s="290"/>
      <c r="B57" s="290"/>
      <c r="C57" s="290"/>
      <c r="D57" s="290"/>
      <c r="E57" s="290"/>
      <c r="F57" s="290"/>
      <c r="G57" s="290"/>
      <c r="H57" s="289"/>
      <c r="I57" s="289"/>
      <c r="J57" s="289"/>
      <c r="K57" s="289"/>
      <c r="L57" s="289"/>
      <c r="M57" s="289"/>
      <c r="N57" s="289"/>
      <c r="O57" s="289"/>
      <c r="P57" s="352">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8"/>
      <c r="AS57" s="288"/>
      <c r="AT57" s="321"/>
    </row>
    <row r="58" spans="1:46" s="272" customFormat="1">
      <c r="A58" s="290"/>
      <c r="B58" s="290"/>
      <c r="C58" s="290"/>
      <c r="D58" s="290"/>
      <c r="E58" s="290"/>
      <c r="F58" s="290"/>
      <c r="G58" s="290"/>
      <c r="H58" s="289"/>
      <c r="I58" s="289"/>
      <c r="J58" s="289"/>
      <c r="K58" s="289"/>
      <c r="L58" s="289"/>
      <c r="M58" s="289"/>
      <c r="N58" s="289"/>
      <c r="O58" s="289"/>
      <c r="P58" s="352">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8"/>
      <c r="AS58" s="288"/>
      <c r="AT58" s="321"/>
    </row>
    <row r="59" spans="1:46" s="272" customFormat="1">
      <c r="A59" s="290"/>
      <c r="B59" s="290"/>
      <c r="C59" s="290"/>
      <c r="D59" s="290"/>
      <c r="E59" s="290"/>
      <c r="F59" s="290"/>
      <c r="G59" s="290"/>
      <c r="H59" s="289"/>
      <c r="I59" s="289"/>
      <c r="J59" s="289"/>
      <c r="K59" s="289"/>
      <c r="L59" s="289"/>
      <c r="M59" s="289"/>
      <c r="N59" s="289"/>
      <c r="O59" s="289"/>
      <c r="P59" s="352">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8"/>
      <c r="AS59" s="288"/>
      <c r="AT59" s="321"/>
    </row>
    <row r="60" spans="1:46" s="272" customFormat="1">
      <c r="A60" s="290"/>
      <c r="B60" s="290"/>
      <c r="C60" s="290"/>
      <c r="D60" s="290"/>
      <c r="E60" s="290"/>
      <c r="F60" s="290"/>
      <c r="G60" s="290"/>
      <c r="H60" s="289"/>
      <c r="I60" s="289"/>
      <c r="J60" s="289"/>
      <c r="K60" s="289"/>
      <c r="L60" s="289"/>
      <c r="M60" s="289"/>
      <c r="N60" s="289"/>
      <c r="O60" s="289"/>
      <c r="P60" s="352">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8"/>
      <c r="AS60" s="288"/>
      <c r="AT60" s="321"/>
    </row>
    <row r="61" spans="1:46" s="272" customFormat="1">
      <c r="A61" s="290"/>
      <c r="B61" s="290"/>
      <c r="C61" s="290"/>
      <c r="D61" s="290"/>
      <c r="E61" s="290"/>
      <c r="F61" s="290"/>
      <c r="G61" s="290"/>
      <c r="H61" s="289"/>
      <c r="I61" s="289"/>
      <c r="J61" s="289"/>
      <c r="K61" s="289"/>
      <c r="L61" s="289"/>
      <c r="M61" s="289"/>
      <c r="N61" s="289"/>
      <c r="O61" s="289"/>
      <c r="P61" s="352">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8"/>
      <c r="AS61" s="288"/>
      <c r="AT61" s="321"/>
    </row>
    <row r="62" spans="1:46" s="272" customFormat="1" ht="13.9" customHeight="1">
      <c r="A62" s="290"/>
      <c r="B62" s="290"/>
      <c r="C62" s="290"/>
      <c r="D62" s="290"/>
      <c r="E62" s="290"/>
      <c r="F62" s="290"/>
      <c r="G62" s="290"/>
      <c r="H62" s="289"/>
      <c r="I62" s="289"/>
      <c r="J62" s="289"/>
      <c r="K62" s="289"/>
      <c r="L62" s="289"/>
      <c r="M62" s="289"/>
      <c r="N62" s="289"/>
      <c r="O62" s="289"/>
      <c r="P62" s="352">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8"/>
      <c r="AS62" s="288"/>
      <c r="AT62" s="321"/>
    </row>
    <row r="63" spans="1:46" s="272" customFormat="1">
      <c r="A63" s="290"/>
      <c r="B63" s="290"/>
      <c r="C63" s="290"/>
      <c r="D63" s="290"/>
      <c r="E63" s="290"/>
      <c r="F63" s="290"/>
      <c r="G63" s="290"/>
      <c r="H63" s="289"/>
      <c r="I63" s="289"/>
      <c r="J63" s="289"/>
      <c r="K63" s="289"/>
      <c r="L63" s="289"/>
      <c r="M63" s="289"/>
      <c r="N63" s="289"/>
      <c r="O63" s="289"/>
      <c r="P63" s="352">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8"/>
      <c r="AS63" s="288"/>
      <c r="AT63" s="321"/>
    </row>
    <row r="64" spans="1:46" s="272" customFormat="1" ht="15" customHeight="1">
      <c r="A64" s="290"/>
      <c r="B64" s="290"/>
      <c r="C64" s="290"/>
      <c r="D64" s="290"/>
      <c r="E64" s="290"/>
      <c r="F64" s="290"/>
      <c r="G64" s="290"/>
      <c r="H64" s="289"/>
      <c r="I64" s="289"/>
      <c r="J64" s="289"/>
      <c r="K64" s="289"/>
      <c r="L64" s="289"/>
      <c r="M64" s="289"/>
      <c r="N64" s="289"/>
      <c r="O64" s="289"/>
      <c r="P64" s="352">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8"/>
      <c r="AS64" s="288"/>
      <c r="AT64" s="321"/>
    </row>
    <row r="65" spans="1:46" s="272" customFormat="1">
      <c r="A65" s="290"/>
      <c r="B65" s="290"/>
      <c r="C65" s="290"/>
      <c r="D65" s="290"/>
      <c r="E65" s="290"/>
      <c r="F65" s="290"/>
      <c r="G65" s="290"/>
      <c r="H65" s="289"/>
      <c r="I65" s="289"/>
      <c r="J65" s="289"/>
      <c r="K65" s="289"/>
      <c r="L65" s="289"/>
      <c r="M65" s="289"/>
      <c r="N65" s="289"/>
      <c r="O65" s="289"/>
      <c r="P65" s="352">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8"/>
      <c r="AS65" s="288"/>
      <c r="AT65" s="321"/>
    </row>
    <row r="66" spans="1:46" s="87" customFormat="1" ht="15.75">
      <c r="A66" s="353"/>
      <c r="B66" s="353"/>
      <c r="C66" s="353"/>
      <c r="D66" s="353"/>
      <c r="E66" s="353"/>
      <c r="F66" s="353"/>
      <c r="G66" s="353"/>
      <c r="H66" s="354"/>
      <c r="I66" s="354"/>
      <c r="J66" s="354"/>
      <c r="K66" s="354"/>
      <c r="L66" s="354"/>
      <c r="M66" s="354"/>
      <c r="N66" s="354"/>
      <c r="O66" s="354"/>
      <c r="P66" s="352">
        <f t="shared" si="1"/>
        <v>0</v>
      </c>
      <c r="Q66" s="353"/>
      <c r="R66" s="353"/>
      <c r="S66" s="353"/>
      <c r="T66" s="353"/>
      <c r="U66" s="353"/>
      <c r="V66" s="353"/>
      <c r="W66" s="353"/>
      <c r="X66" s="286"/>
      <c r="Y66" s="291">
        <f t="shared" si="2"/>
        <v>0</v>
      </c>
      <c r="Z66" s="355"/>
      <c r="AA66" s="355"/>
      <c r="AB66" s="355"/>
      <c r="AC66" s="355"/>
      <c r="AD66" s="355"/>
      <c r="AE66" s="355"/>
      <c r="AF66" s="355"/>
      <c r="AG66" s="353"/>
      <c r="AH66" s="291">
        <f t="shared" si="4"/>
        <v>0</v>
      </c>
      <c r="AI66" s="355"/>
      <c r="AJ66" s="353"/>
      <c r="AK66" s="353"/>
      <c r="AL66" s="11"/>
      <c r="AM66" s="11"/>
      <c r="AN66" s="353"/>
      <c r="AO66" s="353"/>
      <c r="AP66" s="353"/>
      <c r="AQ66" s="353"/>
      <c r="AR66" s="356"/>
      <c r="AS66" s="357"/>
      <c r="AT66" s="123"/>
    </row>
    <row r="67" spans="1:46" s="87" customFormat="1" ht="15.75">
      <c r="A67" s="353"/>
      <c r="B67" s="353"/>
      <c r="C67" s="353"/>
      <c r="D67" s="353"/>
      <c r="E67" s="353"/>
      <c r="F67" s="353"/>
      <c r="G67" s="353"/>
      <c r="H67" s="354"/>
      <c r="I67" s="354"/>
      <c r="J67" s="354"/>
      <c r="K67" s="354"/>
      <c r="L67" s="354"/>
      <c r="M67" s="354"/>
      <c r="N67" s="354"/>
      <c r="O67" s="354"/>
      <c r="P67" s="352">
        <f t="shared" si="1"/>
        <v>0</v>
      </c>
      <c r="Q67" s="353"/>
      <c r="R67" s="353"/>
      <c r="S67" s="353"/>
      <c r="T67" s="353"/>
      <c r="U67" s="353"/>
      <c r="V67" s="353"/>
      <c r="W67" s="353"/>
      <c r="X67" s="286"/>
      <c r="Y67" s="291">
        <f t="shared" si="2"/>
        <v>0</v>
      </c>
      <c r="Z67" s="355"/>
      <c r="AA67" s="355"/>
      <c r="AB67" s="355"/>
      <c r="AC67" s="355"/>
      <c r="AD67" s="355"/>
      <c r="AE67" s="355"/>
      <c r="AF67" s="355"/>
      <c r="AG67" s="353"/>
      <c r="AH67" s="291">
        <f t="shared" si="4"/>
        <v>0</v>
      </c>
      <c r="AI67" s="355"/>
      <c r="AJ67" s="353"/>
      <c r="AK67" s="353"/>
      <c r="AL67" s="11"/>
      <c r="AM67" s="11"/>
      <c r="AN67" s="353"/>
      <c r="AO67" s="353"/>
      <c r="AP67" s="353"/>
      <c r="AQ67" s="353"/>
      <c r="AR67" s="356"/>
      <c r="AS67" s="357"/>
      <c r="AT67" s="123"/>
    </row>
    <row r="68" spans="1:46" s="89" customFormat="1" ht="12.75">
      <c r="A68" s="353"/>
      <c r="B68" s="353"/>
      <c r="C68" s="353"/>
      <c r="D68" s="353"/>
      <c r="E68" s="353"/>
      <c r="F68" s="353"/>
      <c r="G68" s="353"/>
      <c r="H68" s="354"/>
      <c r="I68" s="354"/>
      <c r="J68" s="354"/>
      <c r="K68" s="354"/>
      <c r="L68" s="354"/>
      <c r="M68" s="354"/>
      <c r="N68" s="354"/>
      <c r="O68" s="354"/>
      <c r="P68" s="352">
        <f t="shared" si="1"/>
        <v>0</v>
      </c>
      <c r="Q68" s="353"/>
      <c r="R68" s="353"/>
      <c r="S68" s="353"/>
      <c r="T68" s="353"/>
      <c r="U68" s="353"/>
      <c r="V68" s="353"/>
      <c r="W68" s="353"/>
      <c r="X68" s="286"/>
      <c r="Y68" s="291">
        <f t="shared" si="2"/>
        <v>0</v>
      </c>
      <c r="Z68" s="355"/>
      <c r="AA68" s="355"/>
      <c r="AB68" s="355"/>
      <c r="AC68" s="355"/>
      <c r="AD68" s="355"/>
      <c r="AE68" s="355"/>
      <c r="AF68" s="355"/>
      <c r="AG68" s="353"/>
      <c r="AH68" s="291">
        <f t="shared" si="4"/>
        <v>0</v>
      </c>
      <c r="AI68" s="355"/>
      <c r="AJ68" s="353"/>
      <c r="AK68" s="353"/>
      <c r="AL68" s="11"/>
      <c r="AM68" s="11"/>
      <c r="AN68" s="353"/>
      <c r="AO68" s="353"/>
      <c r="AP68" s="353"/>
      <c r="AQ68" s="353"/>
      <c r="AR68" s="356"/>
      <c r="AS68" s="357"/>
      <c r="AT68" s="322"/>
    </row>
    <row r="69" spans="1:46" s="88" customFormat="1" ht="17.45" customHeight="1">
      <c r="A69" s="290"/>
      <c r="B69" s="290"/>
      <c r="C69" s="290"/>
      <c r="D69" s="290"/>
      <c r="E69" s="290"/>
      <c r="F69" s="290"/>
      <c r="G69" s="290"/>
      <c r="H69" s="289"/>
      <c r="I69" s="289"/>
      <c r="J69" s="289"/>
      <c r="K69" s="289"/>
      <c r="L69" s="289"/>
      <c r="M69" s="289"/>
      <c r="N69" s="289"/>
      <c r="O69" s="289"/>
      <c r="P69" s="352">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8"/>
      <c r="AS69" s="288"/>
      <c r="AT69" s="320"/>
    </row>
    <row r="70" spans="1:46" s="88" customFormat="1" ht="12.75">
      <c r="A70" s="290"/>
      <c r="B70" s="290"/>
      <c r="C70" s="290"/>
      <c r="D70" s="290"/>
      <c r="E70" s="290"/>
      <c r="F70" s="290"/>
      <c r="G70" s="290"/>
      <c r="H70" s="289"/>
      <c r="I70" s="289"/>
      <c r="J70" s="289"/>
      <c r="K70" s="289"/>
      <c r="L70" s="289"/>
      <c r="M70" s="289"/>
      <c r="N70" s="289"/>
      <c r="O70" s="289"/>
      <c r="P70" s="352">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8"/>
      <c r="AS70" s="288"/>
      <c r="AT70" s="320"/>
    </row>
    <row r="71" spans="1:46" s="88" customFormat="1" ht="12.75">
      <c r="A71" s="290"/>
      <c r="B71" s="290"/>
      <c r="C71" s="290"/>
      <c r="D71" s="290"/>
      <c r="E71" s="290"/>
      <c r="F71" s="290"/>
      <c r="G71" s="290"/>
      <c r="H71" s="289"/>
      <c r="I71" s="289"/>
      <c r="J71" s="289"/>
      <c r="K71" s="289"/>
      <c r="L71" s="289"/>
      <c r="M71" s="289"/>
      <c r="N71" s="289"/>
      <c r="O71" s="289"/>
      <c r="P71" s="352">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8"/>
      <c r="AS71" s="288"/>
      <c r="AT71" s="320"/>
    </row>
    <row r="72" spans="1:46" s="88" customFormat="1" ht="12.75">
      <c r="A72" s="290"/>
      <c r="B72" s="290"/>
      <c r="C72" s="290"/>
      <c r="D72" s="290"/>
      <c r="E72" s="290"/>
      <c r="F72" s="290"/>
      <c r="G72" s="290"/>
      <c r="H72" s="289"/>
      <c r="I72" s="289"/>
      <c r="J72" s="289"/>
      <c r="K72" s="289"/>
      <c r="L72" s="289"/>
      <c r="M72" s="289"/>
      <c r="N72" s="289"/>
      <c r="O72" s="289"/>
      <c r="P72" s="352">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8"/>
      <c r="AS72" s="288"/>
      <c r="AT72" s="320"/>
    </row>
    <row r="73" spans="1:46" s="88" customFormat="1" ht="12.75">
      <c r="A73" s="290"/>
      <c r="B73" s="290"/>
      <c r="C73" s="290"/>
      <c r="D73" s="290"/>
      <c r="E73" s="290"/>
      <c r="F73" s="290"/>
      <c r="G73" s="290"/>
      <c r="H73" s="289"/>
      <c r="I73" s="289"/>
      <c r="J73" s="289"/>
      <c r="K73" s="289"/>
      <c r="L73" s="289"/>
      <c r="M73" s="289"/>
      <c r="N73" s="289"/>
      <c r="O73" s="289"/>
      <c r="P73" s="352">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8"/>
      <c r="AS73" s="288"/>
      <c r="AT73" s="320"/>
    </row>
    <row r="74" spans="1:46" s="88" customFormat="1" ht="12.75">
      <c r="A74" s="290"/>
      <c r="B74" s="290"/>
      <c r="C74" s="290"/>
      <c r="D74" s="290"/>
      <c r="E74" s="290"/>
      <c r="F74" s="290"/>
      <c r="G74" s="290"/>
      <c r="H74" s="289"/>
      <c r="I74" s="289"/>
      <c r="J74" s="289"/>
      <c r="K74" s="289"/>
      <c r="L74" s="289"/>
      <c r="M74" s="289"/>
      <c r="N74" s="289"/>
      <c r="O74" s="289"/>
      <c r="P74" s="352">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8"/>
      <c r="AS74" s="288"/>
      <c r="AT74" s="320"/>
    </row>
    <row r="75" spans="1:46" s="88" customFormat="1" ht="12.75">
      <c r="A75" s="290"/>
      <c r="B75" s="290"/>
      <c r="C75" s="290"/>
      <c r="D75" s="290"/>
      <c r="E75" s="290"/>
      <c r="F75" s="290"/>
      <c r="G75" s="290"/>
      <c r="H75" s="289"/>
      <c r="I75" s="289"/>
      <c r="J75" s="289"/>
      <c r="K75" s="289"/>
      <c r="L75" s="289"/>
      <c r="M75" s="289"/>
      <c r="N75" s="289"/>
      <c r="O75" s="289"/>
      <c r="P75" s="352">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8"/>
      <c r="AS75" s="288"/>
      <c r="AT75" s="320"/>
    </row>
    <row r="76" spans="1:46" s="88" customFormat="1" ht="12.75">
      <c r="A76" s="290"/>
      <c r="B76" s="290"/>
      <c r="C76" s="290"/>
      <c r="D76" s="290"/>
      <c r="E76" s="290"/>
      <c r="F76" s="290"/>
      <c r="G76" s="290"/>
      <c r="H76" s="289"/>
      <c r="I76" s="289"/>
      <c r="J76" s="289"/>
      <c r="K76" s="289"/>
      <c r="L76" s="289"/>
      <c r="M76" s="289"/>
      <c r="N76" s="289"/>
      <c r="O76" s="289"/>
      <c r="P76" s="352">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8"/>
      <c r="AS76" s="288"/>
      <c r="AT76" s="320"/>
    </row>
    <row r="77" spans="1:46" s="88" customFormat="1" ht="12.75">
      <c r="A77" s="290"/>
      <c r="B77" s="290"/>
      <c r="C77" s="290"/>
      <c r="D77" s="290"/>
      <c r="E77" s="290"/>
      <c r="F77" s="290"/>
      <c r="G77" s="290"/>
      <c r="H77" s="289"/>
      <c r="I77" s="289"/>
      <c r="J77" s="289"/>
      <c r="K77" s="289"/>
      <c r="L77" s="289"/>
      <c r="M77" s="289"/>
      <c r="N77" s="289"/>
      <c r="O77" s="289"/>
      <c r="P77" s="352">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8"/>
      <c r="AS77" s="288"/>
      <c r="AT77" s="320"/>
    </row>
    <row r="78" spans="1:46" s="88" customFormat="1" ht="12.75">
      <c r="A78" s="290"/>
      <c r="B78" s="290"/>
      <c r="C78" s="290"/>
      <c r="D78" s="290"/>
      <c r="E78" s="290"/>
      <c r="F78" s="290"/>
      <c r="G78" s="290"/>
      <c r="H78" s="289"/>
      <c r="I78" s="289"/>
      <c r="J78" s="289"/>
      <c r="K78" s="289"/>
      <c r="L78" s="289"/>
      <c r="M78" s="289"/>
      <c r="N78" s="289"/>
      <c r="O78" s="289"/>
      <c r="P78" s="352">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8"/>
      <c r="AS78" s="288"/>
      <c r="AT78" s="320"/>
    </row>
    <row r="79" spans="1:46" s="88" customFormat="1" ht="12.75">
      <c r="A79" s="290"/>
      <c r="B79" s="290"/>
      <c r="C79" s="290"/>
      <c r="D79" s="290"/>
      <c r="E79" s="290"/>
      <c r="F79" s="290"/>
      <c r="G79" s="290"/>
      <c r="H79" s="289"/>
      <c r="I79" s="289"/>
      <c r="J79" s="289"/>
      <c r="K79" s="289"/>
      <c r="L79" s="289"/>
      <c r="M79" s="289"/>
      <c r="N79" s="289"/>
      <c r="O79" s="289"/>
      <c r="P79" s="352">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8"/>
      <c r="AS79" s="288"/>
      <c r="AT79" s="320"/>
    </row>
    <row r="80" spans="1:46" s="90" customFormat="1" ht="15.75">
      <c r="A80" s="359"/>
      <c r="B80" s="359"/>
      <c r="C80" s="359"/>
      <c r="D80" s="359"/>
      <c r="E80" s="359"/>
      <c r="F80" s="359"/>
      <c r="G80" s="359"/>
      <c r="H80" s="360"/>
      <c r="I80" s="360"/>
      <c r="J80" s="360"/>
      <c r="K80" s="360"/>
      <c r="L80" s="360"/>
      <c r="M80" s="360"/>
      <c r="N80" s="360"/>
      <c r="O80" s="360"/>
      <c r="P80" s="352">
        <f t="shared" si="5"/>
        <v>0</v>
      </c>
      <c r="Q80" s="359"/>
      <c r="R80" s="359"/>
      <c r="S80" s="359"/>
      <c r="T80" s="359"/>
      <c r="U80" s="359"/>
      <c r="V80" s="359"/>
      <c r="W80" s="359"/>
      <c r="X80" s="286"/>
      <c r="Y80" s="291">
        <f t="shared" si="6"/>
        <v>0</v>
      </c>
      <c r="Z80" s="355"/>
      <c r="AA80" s="355"/>
      <c r="AB80" s="355"/>
      <c r="AC80" s="355"/>
      <c r="AD80" s="355"/>
      <c r="AE80" s="355"/>
      <c r="AF80" s="355"/>
      <c r="AG80" s="359"/>
      <c r="AH80" s="291">
        <f t="shared" si="4"/>
        <v>0</v>
      </c>
      <c r="AI80" s="355"/>
      <c r="AJ80" s="359"/>
      <c r="AK80" s="359"/>
      <c r="AL80" s="11"/>
      <c r="AM80" s="11"/>
      <c r="AN80" s="359"/>
      <c r="AO80" s="359"/>
      <c r="AP80" s="359"/>
      <c r="AQ80" s="359"/>
      <c r="AR80" s="117"/>
      <c r="AS80" s="357"/>
      <c r="AT80" s="323"/>
    </row>
    <row r="81" spans="1:46" s="90" customFormat="1" ht="15.75">
      <c r="A81" s="359"/>
      <c r="B81" s="359"/>
      <c r="C81" s="359"/>
      <c r="D81" s="359"/>
      <c r="E81" s="359"/>
      <c r="F81" s="359"/>
      <c r="G81" s="359"/>
      <c r="H81" s="360"/>
      <c r="I81" s="360"/>
      <c r="J81" s="360"/>
      <c r="K81" s="360"/>
      <c r="L81" s="360"/>
      <c r="M81" s="360"/>
      <c r="N81" s="360"/>
      <c r="O81" s="360"/>
      <c r="P81" s="352">
        <f t="shared" si="5"/>
        <v>0</v>
      </c>
      <c r="Q81" s="359"/>
      <c r="R81" s="359"/>
      <c r="S81" s="359"/>
      <c r="T81" s="359"/>
      <c r="U81" s="359"/>
      <c r="V81" s="359"/>
      <c r="W81" s="359"/>
      <c r="X81" s="286"/>
      <c r="Y81" s="291">
        <f t="shared" si="6"/>
        <v>0</v>
      </c>
      <c r="Z81" s="355"/>
      <c r="AA81" s="355"/>
      <c r="AB81" s="355"/>
      <c r="AC81" s="355"/>
      <c r="AD81" s="355"/>
      <c r="AE81" s="355"/>
      <c r="AF81" s="355"/>
      <c r="AG81" s="359"/>
      <c r="AH81" s="291">
        <f t="shared" si="4"/>
        <v>0</v>
      </c>
      <c r="AI81" s="355"/>
      <c r="AJ81" s="359"/>
      <c r="AK81" s="359"/>
      <c r="AL81" s="11"/>
      <c r="AM81" s="11"/>
      <c r="AN81" s="359"/>
      <c r="AO81" s="359"/>
      <c r="AP81" s="359"/>
      <c r="AQ81" s="359"/>
      <c r="AR81" s="117"/>
      <c r="AS81" s="357"/>
      <c r="AT81" s="323"/>
    </row>
    <row r="82" spans="1:46" s="272" customFormat="1" ht="16.899999999999999" customHeight="1">
      <c r="A82" s="290"/>
      <c r="B82" s="290"/>
      <c r="C82" s="290"/>
      <c r="D82" s="290"/>
      <c r="E82" s="290"/>
      <c r="F82" s="290"/>
      <c r="G82" s="290"/>
      <c r="H82" s="289"/>
      <c r="I82" s="289"/>
      <c r="J82" s="289"/>
      <c r="K82" s="289"/>
      <c r="L82" s="289"/>
      <c r="M82" s="289"/>
      <c r="N82" s="289"/>
      <c r="O82" s="289"/>
      <c r="P82" s="352">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8"/>
      <c r="AS82" s="288"/>
      <c r="AT82" s="321"/>
    </row>
    <row r="83" spans="1:46" s="272" customFormat="1">
      <c r="A83" s="290"/>
      <c r="B83" s="290"/>
      <c r="C83" s="290"/>
      <c r="D83" s="290"/>
      <c r="E83" s="290"/>
      <c r="F83" s="290"/>
      <c r="G83" s="290"/>
      <c r="H83" s="289"/>
      <c r="I83" s="289"/>
      <c r="J83" s="289"/>
      <c r="K83" s="289"/>
      <c r="L83" s="289"/>
      <c r="M83" s="289"/>
      <c r="N83" s="289"/>
      <c r="O83" s="289"/>
      <c r="P83" s="352">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8"/>
      <c r="AS83" s="288"/>
      <c r="AT83" s="321"/>
    </row>
    <row r="84" spans="1:46" s="272" customFormat="1">
      <c r="A84" s="290"/>
      <c r="B84" s="290"/>
      <c r="C84" s="290"/>
      <c r="D84" s="290"/>
      <c r="E84" s="290"/>
      <c r="F84" s="290"/>
      <c r="G84" s="290"/>
      <c r="H84" s="289"/>
      <c r="I84" s="289"/>
      <c r="J84" s="289"/>
      <c r="K84" s="289"/>
      <c r="L84" s="289"/>
      <c r="M84" s="289"/>
      <c r="N84" s="289"/>
      <c r="O84" s="289"/>
      <c r="P84" s="352">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8"/>
      <c r="AS84" s="288"/>
      <c r="AT84" s="321"/>
    </row>
    <row r="85" spans="1:46" s="272" customFormat="1" ht="15.75" customHeight="1">
      <c r="A85" s="290"/>
      <c r="B85" s="290"/>
      <c r="C85" s="290"/>
      <c r="D85" s="290"/>
      <c r="E85" s="290"/>
      <c r="F85" s="290"/>
      <c r="G85" s="290"/>
      <c r="H85" s="289"/>
      <c r="I85" s="289"/>
      <c r="J85" s="289"/>
      <c r="K85" s="289"/>
      <c r="L85" s="289"/>
      <c r="M85" s="289"/>
      <c r="N85" s="289"/>
      <c r="O85" s="289"/>
      <c r="P85" s="352">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8"/>
      <c r="AS85" s="288"/>
      <c r="AT85" s="321"/>
    </row>
    <row r="86" spans="1:46" s="272" customFormat="1">
      <c r="A86" s="290"/>
      <c r="B86" s="290"/>
      <c r="C86" s="290"/>
      <c r="D86" s="290"/>
      <c r="E86" s="290"/>
      <c r="F86" s="290"/>
      <c r="G86" s="290"/>
      <c r="H86" s="289"/>
      <c r="I86" s="289"/>
      <c r="J86" s="289"/>
      <c r="K86" s="289"/>
      <c r="L86" s="289"/>
      <c r="M86" s="289"/>
      <c r="N86" s="289"/>
      <c r="O86" s="289"/>
      <c r="P86" s="352">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8"/>
      <c r="AS86" s="288"/>
      <c r="AT86" s="321"/>
    </row>
    <row r="87" spans="1:46" s="272" customFormat="1">
      <c r="A87" s="290"/>
      <c r="B87" s="290"/>
      <c r="C87" s="290"/>
      <c r="D87" s="290"/>
      <c r="E87" s="290"/>
      <c r="F87" s="290"/>
      <c r="G87" s="290"/>
      <c r="H87" s="289"/>
      <c r="I87" s="289"/>
      <c r="J87" s="289"/>
      <c r="K87" s="289"/>
      <c r="L87" s="289"/>
      <c r="M87" s="289"/>
      <c r="N87" s="289"/>
      <c r="O87" s="289"/>
      <c r="P87" s="352">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8"/>
      <c r="AS87" s="288"/>
      <c r="AT87" s="321"/>
    </row>
    <row r="88" spans="1:46" s="272" customFormat="1">
      <c r="A88" s="290"/>
      <c r="B88" s="290"/>
      <c r="C88" s="290"/>
      <c r="D88" s="290"/>
      <c r="E88" s="290"/>
      <c r="F88" s="290"/>
      <c r="G88" s="290"/>
      <c r="H88" s="289"/>
      <c r="I88" s="289"/>
      <c r="J88" s="289"/>
      <c r="K88" s="289"/>
      <c r="L88" s="289"/>
      <c r="M88" s="289"/>
      <c r="N88" s="289"/>
      <c r="O88" s="289"/>
      <c r="P88" s="352">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8"/>
      <c r="AS88" s="288"/>
      <c r="AT88" s="321"/>
    </row>
    <row r="89" spans="1:46" s="272" customFormat="1">
      <c r="A89" s="290"/>
      <c r="B89" s="290"/>
      <c r="C89" s="290"/>
      <c r="D89" s="290"/>
      <c r="E89" s="290"/>
      <c r="F89" s="290"/>
      <c r="G89" s="290"/>
      <c r="H89" s="289"/>
      <c r="I89" s="289"/>
      <c r="J89" s="289"/>
      <c r="K89" s="289"/>
      <c r="L89" s="289"/>
      <c r="M89" s="289"/>
      <c r="N89" s="289"/>
      <c r="O89" s="289"/>
      <c r="P89" s="352">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8"/>
      <c r="AS89" s="288"/>
      <c r="AT89" s="321"/>
    </row>
    <row r="90" spans="1:46" s="90" customFormat="1" ht="15.75">
      <c r="A90" s="359"/>
      <c r="B90" s="359"/>
      <c r="C90" s="359"/>
      <c r="D90" s="359"/>
      <c r="E90" s="359"/>
      <c r="F90" s="359"/>
      <c r="G90" s="359"/>
      <c r="H90" s="360"/>
      <c r="I90" s="360"/>
      <c r="J90" s="360"/>
      <c r="K90" s="360"/>
      <c r="L90" s="360"/>
      <c r="M90" s="360"/>
      <c r="N90" s="360"/>
      <c r="O90" s="360"/>
      <c r="P90" s="352">
        <f t="shared" si="5"/>
        <v>0</v>
      </c>
      <c r="Q90" s="359"/>
      <c r="R90" s="359"/>
      <c r="S90" s="359"/>
      <c r="T90" s="359"/>
      <c r="U90" s="359"/>
      <c r="V90" s="359"/>
      <c r="W90" s="359"/>
      <c r="X90" s="286"/>
      <c r="Y90" s="291">
        <f t="shared" si="6"/>
        <v>0</v>
      </c>
      <c r="Z90" s="355"/>
      <c r="AA90" s="355"/>
      <c r="AB90" s="355"/>
      <c r="AC90" s="355"/>
      <c r="AD90" s="355"/>
      <c r="AE90" s="355"/>
      <c r="AF90" s="355"/>
      <c r="AG90" s="359"/>
      <c r="AH90" s="291">
        <f t="shared" si="4"/>
        <v>0</v>
      </c>
      <c r="AI90" s="355"/>
      <c r="AJ90" s="359"/>
      <c r="AK90" s="359"/>
      <c r="AL90" s="11"/>
      <c r="AM90" s="11"/>
      <c r="AN90" s="359"/>
      <c r="AO90" s="359"/>
      <c r="AP90" s="359"/>
      <c r="AQ90" s="359"/>
      <c r="AR90" s="117"/>
      <c r="AS90" s="357"/>
      <c r="AT90" s="323"/>
    </row>
    <row r="91" spans="1:46" s="90" customFormat="1" ht="15.75">
      <c r="A91" s="359"/>
      <c r="B91" s="359"/>
      <c r="C91" s="359"/>
      <c r="D91" s="359"/>
      <c r="E91" s="359"/>
      <c r="F91" s="359"/>
      <c r="G91" s="359"/>
      <c r="H91" s="360"/>
      <c r="I91" s="360"/>
      <c r="J91" s="360"/>
      <c r="K91" s="360"/>
      <c r="L91" s="360"/>
      <c r="M91" s="360"/>
      <c r="N91" s="360"/>
      <c r="O91" s="360"/>
      <c r="P91" s="352">
        <f t="shared" si="5"/>
        <v>0</v>
      </c>
      <c r="Q91" s="359"/>
      <c r="R91" s="359"/>
      <c r="S91" s="359"/>
      <c r="T91" s="359"/>
      <c r="U91" s="359"/>
      <c r="V91" s="359"/>
      <c r="W91" s="359"/>
      <c r="X91" s="286"/>
      <c r="Y91" s="291">
        <f t="shared" si="6"/>
        <v>0</v>
      </c>
      <c r="Z91" s="355"/>
      <c r="AA91" s="355"/>
      <c r="AB91" s="355"/>
      <c r="AC91" s="355"/>
      <c r="AD91" s="355"/>
      <c r="AE91" s="355"/>
      <c r="AF91" s="355"/>
      <c r="AG91" s="359"/>
      <c r="AH91" s="291">
        <f t="shared" si="4"/>
        <v>0</v>
      </c>
      <c r="AI91" s="355"/>
      <c r="AJ91" s="359"/>
      <c r="AK91" s="359"/>
      <c r="AL91" s="11"/>
      <c r="AM91" s="11"/>
      <c r="AN91" s="359"/>
      <c r="AO91" s="359"/>
      <c r="AP91" s="359"/>
      <c r="AQ91" s="359"/>
      <c r="AR91" s="117"/>
      <c r="AS91" s="357"/>
      <c r="AT91" s="323"/>
    </row>
    <row r="92" spans="1:46" s="91" customFormat="1" ht="12.75">
      <c r="A92" s="117"/>
      <c r="B92" s="117"/>
      <c r="C92" s="117"/>
      <c r="D92" s="117"/>
      <c r="E92" s="117"/>
      <c r="F92" s="117"/>
      <c r="G92" s="117"/>
      <c r="H92" s="360"/>
      <c r="I92" s="360"/>
      <c r="J92" s="360"/>
      <c r="K92" s="360"/>
      <c r="L92" s="360"/>
      <c r="M92" s="360"/>
      <c r="N92" s="360"/>
      <c r="O92" s="360"/>
      <c r="P92" s="352">
        <f t="shared" si="5"/>
        <v>0</v>
      </c>
      <c r="Q92" s="117"/>
      <c r="R92" s="117"/>
      <c r="S92" s="117"/>
      <c r="T92" s="117"/>
      <c r="U92" s="117"/>
      <c r="V92" s="117"/>
      <c r="W92" s="117"/>
      <c r="X92" s="286"/>
      <c r="Y92" s="291">
        <f t="shared" si="6"/>
        <v>0</v>
      </c>
      <c r="Z92" s="355"/>
      <c r="AA92" s="355"/>
      <c r="AB92" s="355"/>
      <c r="AC92" s="355"/>
      <c r="AD92" s="355"/>
      <c r="AE92" s="355"/>
      <c r="AF92" s="355"/>
      <c r="AG92" s="117"/>
      <c r="AH92" s="291">
        <f t="shared" si="4"/>
        <v>0</v>
      </c>
      <c r="AI92" s="355"/>
      <c r="AJ92" s="117"/>
      <c r="AK92" s="117"/>
      <c r="AL92" s="11"/>
      <c r="AM92" s="11"/>
      <c r="AN92" s="117"/>
      <c r="AO92" s="117"/>
      <c r="AP92" s="117"/>
      <c r="AQ92" s="117"/>
      <c r="AR92" s="117"/>
      <c r="AS92" s="357"/>
      <c r="AT92" s="324"/>
    </row>
    <row r="93" spans="1:46" s="91" customFormat="1" ht="16.149999999999999" customHeight="1">
      <c r="A93" s="117"/>
      <c r="B93" s="117"/>
      <c r="C93" s="117"/>
      <c r="D93" s="117"/>
      <c r="E93" s="117"/>
      <c r="F93" s="117"/>
      <c r="G93" s="117"/>
      <c r="H93" s="360"/>
      <c r="I93" s="360"/>
      <c r="J93" s="360"/>
      <c r="K93" s="360"/>
      <c r="L93" s="360"/>
      <c r="M93" s="360"/>
      <c r="N93" s="360"/>
      <c r="O93" s="360"/>
      <c r="P93" s="352">
        <f t="shared" si="5"/>
        <v>0</v>
      </c>
      <c r="Q93" s="117"/>
      <c r="R93" s="117"/>
      <c r="S93" s="117"/>
      <c r="T93" s="117"/>
      <c r="U93" s="117"/>
      <c r="V93" s="117"/>
      <c r="W93" s="117"/>
      <c r="X93" s="286"/>
      <c r="Y93" s="291">
        <f t="shared" si="6"/>
        <v>0</v>
      </c>
      <c r="Z93" s="355"/>
      <c r="AA93" s="355"/>
      <c r="AB93" s="355"/>
      <c r="AC93" s="355"/>
      <c r="AD93" s="355"/>
      <c r="AE93" s="355"/>
      <c r="AF93" s="355"/>
      <c r="AG93" s="117"/>
      <c r="AH93" s="291">
        <f t="shared" si="4"/>
        <v>0</v>
      </c>
      <c r="AI93" s="355"/>
      <c r="AJ93" s="117"/>
      <c r="AK93" s="117"/>
      <c r="AL93" s="11"/>
      <c r="AM93" s="11"/>
      <c r="AN93" s="117"/>
      <c r="AO93" s="117"/>
      <c r="AP93" s="117"/>
      <c r="AQ93" s="117"/>
      <c r="AR93" s="117"/>
      <c r="AS93" s="357"/>
      <c r="AT93" s="324"/>
    </row>
    <row r="94" spans="1:46" s="91" customFormat="1" ht="12.75">
      <c r="A94" s="117"/>
      <c r="B94" s="117"/>
      <c r="C94" s="117"/>
      <c r="D94" s="117"/>
      <c r="E94" s="117"/>
      <c r="F94" s="117"/>
      <c r="G94" s="117"/>
      <c r="H94" s="360"/>
      <c r="I94" s="360"/>
      <c r="J94" s="360"/>
      <c r="K94" s="360"/>
      <c r="L94" s="360"/>
      <c r="M94" s="360"/>
      <c r="N94" s="360"/>
      <c r="O94" s="360"/>
      <c r="P94" s="352">
        <f t="shared" si="5"/>
        <v>0</v>
      </c>
      <c r="Q94" s="117"/>
      <c r="R94" s="117"/>
      <c r="S94" s="117"/>
      <c r="T94" s="117"/>
      <c r="U94" s="117"/>
      <c r="V94" s="117"/>
      <c r="W94" s="117"/>
      <c r="X94" s="286"/>
      <c r="Y94" s="291">
        <f t="shared" si="6"/>
        <v>0</v>
      </c>
      <c r="Z94" s="355"/>
      <c r="AA94" s="355"/>
      <c r="AB94" s="355"/>
      <c r="AC94" s="355"/>
      <c r="AD94" s="355"/>
      <c r="AE94" s="355"/>
      <c r="AF94" s="355"/>
      <c r="AG94" s="117"/>
      <c r="AH94" s="291">
        <f t="shared" si="4"/>
        <v>0</v>
      </c>
      <c r="AI94" s="355"/>
      <c r="AJ94" s="117"/>
      <c r="AK94" s="117"/>
      <c r="AL94" s="11"/>
      <c r="AM94" s="11"/>
      <c r="AN94" s="117"/>
      <c r="AO94" s="117"/>
      <c r="AP94" s="117"/>
      <c r="AQ94" s="117"/>
      <c r="AR94" s="117"/>
      <c r="AS94" s="357"/>
      <c r="AT94" s="324"/>
    </row>
    <row r="95" spans="1:46" s="272" customFormat="1">
      <c r="A95" s="290"/>
      <c r="B95" s="290"/>
      <c r="C95" s="290"/>
      <c r="D95" s="290"/>
      <c r="E95" s="290"/>
      <c r="F95" s="290"/>
      <c r="G95" s="290"/>
      <c r="H95" s="289"/>
      <c r="I95" s="289"/>
      <c r="J95" s="289"/>
      <c r="K95" s="289"/>
      <c r="L95" s="289"/>
      <c r="M95" s="289"/>
      <c r="N95" s="289"/>
      <c r="O95" s="289"/>
      <c r="P95" s="352">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8"/>
      <c r="AS95" s="288"/>
      <c r="AT95" s="321"/>
    </row>
    <row r="96" spans="1:46" s="272" customFormat="1">
      <c r="A96" s="290"/>
      <c r="B96" s="290"/>
      <c r="C96" s="290"/>
      <c r="D96" s="290"/>
      <c r="E96" s="290"/>
      <c r="F96" s="290"/>
      <c r="G96" s="290"/>
      <c r="H96" s="289"/>
      <c r="I96" s="289"/>
      <c r="J96" s="289"/>
      <c r="K96" s="289"/>
      <c r="L96" s="289"/>
      <c r="M96" s="289"/>
      <c r="N96" s="289"/>
      <c r="O96" s="289"/>
      <c r="P96" s="352">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8"/>
      <c r="AS96" s="288"/>
      <c r="AT96" s="321"/>
    </row>
    <row r="97" spans="1:46" s="272" customFormat="1">
      <c r="A97" s="290"/>
      <c r="B97" s="290"/>
      <c r="C97" s="290"/>
      <c r="D97" s="290"/>
      <c r="E97" s="290"/>
      <c r="F97" s="290"/>
      <c r="G97" s="290"/>
      <c r="H97" s="289"/>
      <c r="I97" s="289"/>
      <c r="J97" s="289"/>
      <c r="K97" s="289"/>
      <c r="L97" s="289"/>
      <c r="M97" s="289"/>
      <c r="N97" s="289"/>
      <c r="O97" s="289"/>
      <c r="P97" s="352">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8"/>
      <c r="AS97" s="288"/>
      <c r="AT97" s="321"/>
    </row>
    <row r="98" spans="1:46" s="272" customFormat="1">
      <c r="A98" s="290"/>
      <c r="B98" s="290"/>
      <c r="C98" s="290"/>
      <c r="D98" s="290"/>
      <c r="E98" s="290"/>
      <c r="F98" s="290"/>
      <c r="G98" s="290"/>
      <c r="H98" s="289"/>
      <c r="I98" s="289"/>
      <c r="J98" s="289"/>
      <c r="K98" s="289"/>
      <c r="L98" s="289"/>
      <c r="M98" s="289"/>
      <c r="N98" s="289"/>
      <c r="O98" s="289"/>
      <c r="P98" s="352">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8"/>
      <c r="AS98" s="288"/>
      <c r="AT98" s="321"/>
    </row>
    <row r="99" spans="1:46" s="272" customFormat="1">
      <c r="A99" s="290"/>
      <c r="B99" s="290"/>
      <c r="C99" s="290"/>
      <c r="D99" s="290"/>
      <c r="E99" s="290"/>
      <c r="F99" s="290"/>
      <c r="G99" s="290"/>
      <c r="H99" s="289"/>
      <c r="I99" s="289"/>
      <c r="J99" s="289"/>
      <c r="K99" s="289"/>
      <c r="L99" s="289"/>
      <c r="M99" s="289"/>
      <c r="N99" s="289"/>
      <c r="O99" s="289"/>
      <c r="P99" s="352">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8"/>
      <c r="AS99" s="288"/>
      <c r="AT99" s="321"/>
    </row>
    <row r="100" spans="1:46" s="272" customFormat="1">
      <c r="A100" s="290"/>
      <c r="B100" s="290"/>
      <c r="C100" s="290"/>
      <c r="D100" s="290"/>
      <c r="E100" s="290"/>
      <c r="F100" s="290"/>
      <c r="G100" s="290"/>
      <c r="H100" s="289"/>
      <c r="I100" s="289"/>
      <c r="J100" s="289"/>
      <c r="K100" s="289"/>
      <c r="L100" s="289"/>
      <c r="M100" s="289"/>
      <c r="N100" s="289"/>
      <c r="O100" s="289"/>
      <c r="P100" s="352">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8"/>
      <c r="AS100" s="288"/>
      <c r="AT100" s="321"/>
    </row>
    <row r="101" spans="1:46" s="272" customFormat="1">
      <c r="A101" s="290"/>
      <c r="B101" s="290"/>
      <c r="C101" s="290"/>
      <c r="D101" s="290"/>
      <c r="E101" s="290"/>
      <c r="F101" s="290"/>
      <c r="G101" s="290"/>
      <c r="H101" s="289"/>
      <c r="I101" s="289"/>
      <c r="J101" s="289"/>
      <c r="K101" s="289"/>
      <c r="L101" s="289"/>
      <c r="M101" s="289"/>
      <c r="N101" s="289"/>
      <c r="O101" s="289"/>
      <c r="P101" s="352">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8"/>
      <c r="AS101" s="288"/>
      <c r="AT101" s="321"/>
    </row>
    <row r="102" spans="1:46" s="272" customFormat="1">
      <c r="A102" s="290"/>
      <c r="B102" s="290"/>
      <c r="C102" s="290"/>
      <c r="D102" s="290"/>
      <c r="E102" s="290"/>
      <c r="F102" s="290"/>
      <c r="G102" s="290"/>
      <c r="H102" s="289"/>
      <c r="I102" s="289"/>
      <c r="J102" s="289"/>
      <c r="K102" s="289"/>
      <c r="L102" s="289"/>
      <c r="M102" s="289"/>
      <c r="N102" s="289"/>
      <c r="O102" s="289"/>
      <c r="P102" s="352">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8"/>
      <c r="AS102" s="288"/>
      <c r="AT102" s="321"/>
    </row>
    <row r="103" spans="1:46" s="272" customFormat="1">
      <c r="A103" s="290"/>
      <c r="B103" s="290"/>
      <c r="C103" s="290"/>
      <c r="D103" s="290"/>
      <c r="E103" s="290"/>
      <c r="F103" s="290"/>
      <c r="G103" s="290"/>
      <c r="H103" s="289"/>
      <c r="I103" s="289"/>
      <c r="J103" s="289"/>
      <c r="K103" s="289"/>
      <c r="L103" s="289"/>
      <c r="M103" s="289"/>
      <c r="N103" s="289"/>
      <c r="O103" s="289"/>
      <c r="P103" s="352">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8"/>
      <c r="AS103" s="288"/>
      <c r="AT103" s="321"/>
    </row>
    <row r="104" spans="1:46" s="272" customFormat="1">
      <c r="A104" s="290"/>
      <c r="B104" s="290"/>
      <c r="C104" s="290"/>
      <c r="D104" s="290"/>
      <c r="E104" s="290"/>
      <c r="F104" s="290"/>
      <c r="G104" s="290"/>
      <c r="H104" s="289"/>
      <c r="I104" s="289"/>
      <c r="J104" s="289"/>
      <c r="K104" s="289"/>
      <c r="L104" s="289"/>
      <c r="M104" s="289"/>
      <c r="N104" s="289"/>
      <c r="O104" s="289"/>
      <c r="P104" s="352">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8"/>
      <c r="AS104" s="288"/>
      <c r="AT104" s="321"/>
    </row>
    <row r="105" spans="1:46" s="90" customFormat="1" ht="15.75">
      <c r="A105" s="359"/>
      <c r="B105" s="359"/>
      <c r="C105" s="359"/>
      <c r="D105" s="359"/>
      <c r="E105" s="359"/>
      <c r="F105" s="359"/>
      <c r="G105" s="359"/>
      <c r="H105" s="360"/>
      <c r="I105" s="360"/>
      <c r="J105" s="360"/>
      <c r="K105" s="360"/>
      <c r="L105" s="360"/>
      <c r="M105" s="360"/>
      <c r="N105" s="360"/>
      <c r="O105" s="360"/>
      <c r="P105" s="352">
        <f t="shared" si="5"/>
        <v>0</v>
      </c>
      <c r="Q105" s="359"/>
      <c r="R105" s="359"/>
      <c r="S105" s="359"/>
      <c r="T105" s="359"/>
      <c r="U105" s="359"/>
      <c r="V105" s="359"/>
      <c r="W105" s="359"/>
      <c r="X105" s="286"/>
      <c r="Y105" s="291">
        <f t="shared" si="6"/>
        <v>0</v>
      </c>
      <c r="Z105" s="355"/>
      <c r="AA105" s="355"/>
      <c r="AB105" s="355"/>
      <c r="AC105" s="355"/>
      <c r="AD105" s="355"/>
      <c r="AE105" s="355"/>
      <c r="AF105" s="355"/>
      <c r="AG105" s="359"/>
      <c r="AH105" s="291">
        <f t="shared" si="7"/>
        <v>0</v>
      </c>
      <c r="AI105" s="355"/>
      <c r="AJ105" s="359"/>
      <c r="AK105" s="359"/>
      <c r="AL105" s="11"/>
      <c r="AM105" s="11"/>
      <c r="AN105" s="359"/>
      <c r="AO105" s="359"/>
      <c r="AP105" s="359"/>
      <c r="AQ105" s="359"/>
      <c r="AR105" s="117"/>
      <c r="AS105" s="357"/>
      <c r="AT105" s="323"/>
    </row>
    <row r="106" spans="1:46" s="90" customFormat="1" ht="16.899999999999999" customHeight="1">
      <c r="A106" s="359"/>
      <c r="B106" s="359"/>
      <c r="C106" s="359"/>
      <c r="D106" s="359"/>
      <c r="E106" s="359"/>
      <c r="F106" s="359"/>
      <c r="G106" s="359"/>
      <c r="H106" s="360"/>
      <c r="I106" s="360"/>
      <c r="J106" s="360"/>
      <c r="K106" s="360"/>
      <c r="L106" s="360"/>
      <c r="M106" s="360"/>
      <c r="N106" s="360"/>
      <c r="O106" s="360"/>
      <c r="P106" s="352">
        <f t="shared" si="5"/>
        <v>0</v>
      </c>
      <c r="Q106" s="359"/>
      <c r="R106" s="359"/>
      <c r="S106" s="359"/>
      <c r="T106" s="359"/>
      <c r="U106" s="359"/>
      <c r="V106" s="359"/>
      <c r="W106" s="359"/>
      <c r="X106" s="286"/>
      <c r="Y106" s="291">
        <f t="shared" si="6"/>
        <v>0</v>
      </c>
      <c r="Z106" s="355"/>
      <c r="AA106" s="355"/>
      <c r="AB106" s="355"/>
      <c r="AC106" s="355"/>
      <c r="AD106" s="355"/>
      <c r="AE106" s="355"/>
      <c r="AF106" s="355"/>
      <c r="AG106" s="359"/>
      <c r="AH106" s="291">
        <f t="shared" si="7"/>
        <v>0</v>
      </c>
      <c r="AI106" s="355"/>
      <c r="AJ106" s="359"/>
      <c r="AK106" s="359"/>
      <c r="AL106" s="11"/>
      <c r="AM106" s="11"/>
      <c r="AN106" s="359"/>
      <c r="AO106" s="359"/>
      <c r="AP106" s="359"/>
      <c r="AQ106" s="359"/>
      <c r="AR106" s="117"/>
      <c r="AS106" s="357"/>
      <c r="AT106" s="323"/>
    </row>
    <row r="107" spans="1:46" s="272" customFormat="1" ht="15.6" customHeight="1">
      <c r="A107" s="290"/>
      <c r="B107" s="290"/>
      <c r="C107" s="290"/>
      <c r="D107" s="290"/>
      <c r="E107" s="290"/>
      <c r="F107" s="290"/>
      <c r="G107" s="290"/>
      <c r="H107" s="289"/>
      <c r="I107" s="289"/>
      <c r="J107" s="289"/>
      <c r="K107" s="289"/>
      <c r="L107" s="289"/>
      <c r="M107" s="289"/>
      <c r="N107" s="289"/>
      <c r="O107" s="289"/>
      <c r="P107" s="352">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8"/>
      <c r="AS107" s="288"/>
      <c r="AT107" s="321"/>
    </row>
    <row r="108" spans="1:46" s="88" customFormat="1" ht="15.6" customHeight="1">
      <c r="A108" s="290"/>
      <c r="B108" s="290"/>
      <c r="C108" s="290"/>
      <c r="D108" s="290"/>
      <c r="E108" s="290"/>
      <c r="F108" s="290"/>
      <c r="G108" s="290"/>
      <c r="H108" s="289"/>
      <c r="I108" s="289"/>
      <c r="J108" s="289"/>
      <c r="K108" s="289"/>
      <c r="L108" s="289"/>
      <c r="M108" s="289"/>
      <c r="N108" s="289"/>
      <c r="O108" s="289"/>
      <c r="P108" s="352">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8"/>
      <c r="AS108" s="288"/>
      <c r="AT108" s="320"/>
    </row>
    <row r="109" spans="1:46" s="88" customFormat="1" ht="15.6" customHeight="1">
      <c r="A109" s="290"/>
      <c r="B109" s="290"/>
      <c r="C109" s="290"/>
      <c r="D109" s="290"/>
      <c r="E109" s="290"/>
      <c r="F109" s="290"/>
      <c r="G109" s="290"/>
      <c r="H109" s="289"/>
      <c r="I109" s="289"/>
      <c r="J109" s="289"/>
      <c r="K109" s="289"/>
      <c r="L109" s="289"/>
      <c r="M109" s="289"/>
      <c r="N109" s="289"/>
      <c r="O109" s="289"/>
      <c r="P109" s="352">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8"/>
      <c r="AS109" s="288"/>
      <c r="AT109" s="320"/>
    </row>
    <row r="110" spans="1:46" s="88" customFormat="1" ht="12.75">
      <c r="A110" s="290"/>
      <c r="B110" s="290"/>
      <c r="C110" s="290"/>
      <c r="D110" s="290"/>
      <c r="E110" s="290"/>
      <c r="F110" s="290"/>
      <c r="G110" s="290"/>
      <c r="H110" s="289"/>
      <c r="I110" s="289"/>
      <c r="J110" s="289"/>
      <c r="K110" s="289"/>
      <c r="L110" s="289"/>
      <c r="M110" s="289"/>
      <c r="N110" s="289"/>
      <c r="O110" s="289"/>
      <c r="P110" s="352">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8"/>
      <c r="AS110" s="288"/>
      <c r="AT110" s="320"/>
    </row>
    <row r="111" spans="1:46" s="88" customFormat="1" ht="12.75">
      <c r="A111" s="290"/>
      <c r="B111" s="290"/>
      <c r="C111" s="290"/>
      <c r="D111" s="290"/>
      <c r="E111" s="290"/>
      <c r="F111" s="290"/>
      <c r="G111" s="290"/>
      <c r="H111" s="289"/>
      <c r="I111" s="289"/>
      <c r="J111" s="289"/>
      <c r="K111" s="289"/>
      <c r="L111" s="289"/>
      <c r="M111" s="289"/>
      <c r="N111" s="289"/>
      <c r="O111" s="289"/>
      <c r="P111" s="352">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8"/>
      <c r="AS111" s="288"/>
      <c r="AT111" s="320"/>
    </row>
    <row r="112" spans="1:46" s="88" customFormat="1" ht="12.75">
      <c r="A112" s="290"/>
      <c r="B112" s="290"/>
      <c r="C112" s="290"/>
      <c r="D112" s="290"/>
      <c r="E112" s="290"/>
      <c r="F112" s="290"/>
      <c r="G112" s="290"/>
      <c r="H112" s="289"/>
      <c r="I112" s="289"/>
      <c r="J112" s="289"/>
      <c r="K112" s="289"/>
      <c r="L112" s="289"/>
      <c r="M112" s="289"/>
      <c r="N112" s="289"/>
      <c r="O112" s="289"/>
      <c r="P112" s="352">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8"/>
      <c r="AS112" s="288"/>
      <c r="AT112" s="320"/>
    </row>
    <row r="113" spans="1:46" s="88" customFormat="1" ht="12.75">
      <c r="A113" s="290"/>
      <c r="B113" s="290"/>
      <c r="C113" s="290"/>
      <c r="D113" s="290"/>
      <c r="E113" s="290"/>
      <c r="F113" s="290"/>
      <c r="G113" s="290"/>
      <c r="H113" s="289"/>
      <c r="I113" s="289"/>
      <c r="J113" s="289"/>
      <c r="K113" s="289"/>
      <c r="L113" s="289"/>
      <c r="M113" s="289"/>
      <c r="N113" s="289"/>
      <c r="O113" s="289"/>
      <c r="P113" s="352">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8"/>
      <c r="AS113" s="288"/>
      <c r="AT113" s="320"/>
    </row>
    <row r="114" spans="1:46" s="88" customFormat="1" ht="12.75">
      <c r="A114" s="290"/>
      <c r="B114" s="290"/>
      <c r="C114" s="290"/>
      <c r="D114" s="290"/>
      <c r="E114" s="290"/>
      <c r="F114" s="290"/>
      <c r="G114" s="290"/>
      <c r="H114" s="289"/>
      <c r="I114" s="289"/>
      <c r="J114" s="289"/>
      <c r="K114" s="289"/>
      <c r="L114" s="289"/>
      <c r="M114" s="289"/>
      <c r="N114" s="289"/>
      <c r="O114" s="289"/>
      <c r="P114" s="352">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8"/>
      <c r="AS114" s="288"/>
      <c r="AT114" s="320"/>
    </row>
    <row r="115" spans="1:46" s="272" customFormat="1">
      <c r="A115" s="290"/>
      <c r="B115" s="290"/>
      <c r="C115" s="290"/>
      <c r="D115" s="290"/>
      <c r="E115" s="290"/>
      <c r="F115" s="290"/>
      <c r="G115" s="290"/>
      <c r="H115" s="289"/>
      <c r="I115" s="289"/>
      <c r="J115" s="289"/>
      <c r="K115" s="289"/>
      <c r="L115" s="289"/>
      <c r="M115" s="289"/>
      <c r="N115" s="289"/>
      <c r="O115" s="289"/>
      <c r="P115" s="352">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8"/>
      <c r="AS115" s="288"/>
      <c r="AT115" s="321"/>
    </row>
    <row r="116" spans="1:46" s="272" customFormat="1">
      <c r="A116" s="290"/>
      <c r="B116" s="290"/>
      <c r="C116" s="290"/>
      <c r="D116" s="290"/>
      <c r="E116" s="290"/>
      <c r="F116" s="290"/>
      <c r="G116" s="290"/>
      <c r="H116" s="289"/>
      <c r="I116" s="289"/>
      <c r="J116" s="289"/>
      <c r="K116" s="289"/>
      <c r="L116" s="289"/>
      <c r="M116" s="289"/>
      <c r="N116" s="289"/>
      <c r="O116" s="289"/>
      <c r="P116" s="352">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8"/>
      <c r="AS116" s="288"/>
      <c r="AT116" s="321"/>
    </row>
    <row r="117" spans="1:46" s="272" customFormat="1">
      <c r="A117" s="290"/>
      <c r="B117" s="290"/>
      <c r="C117" s="290"/>
      <c r="D117" s="290"/>
      <c r="E117" s="290"/>
      <c r="F117" s="290"/>
      <c r="G117" s="290"/>
      <c r="H117" s="289"/>
      <c r="I117" s="289"/>
      <c r="J117" s="289"/>
      <c r="K117" s="289"/>
      <c r="L117" s="289"/>
      <c r="M117" s="289"/>
      <c r="N117" s="289"/>
      <c r="O117" s="289"/>
      <c r="P117" s="352">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8"/>
      <c r="AS117" s="288"/>
      <c r="AT117" s="321"/>
    </row>
    <row r="118" spans="1:46" s="272" customFormat="1">
      <c r="A118" s="290"/>
      <c r="B118" s="290"/>
      <c r="C118" s="290"/>
      <c r="D118" s="290"/>
      <c r="E118" s="290"/>
      <c r="F118" s="290"/>
      <c r="G118" s="290"/>
      <c r="H118" s="289"/>
      <c r="I118" s="289"/>
      <c r="J118" s="289"/>
      <c r="K118" s="289"/>
      <c r="L118" s="289"/>
      <c r="M118" s="289"/>
      <c r="N118" s="289"/>
      <c r="O118" s="289"/>
      <c r="P118" s="352">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8"/>
      <c r="AS118" s="288"/>
      <c r="AT118" s="321"/>
    </row>
    <row r="119" spans="1:46" s="272" customFormat="1">
      <c r="A119" s="290"/>
      <c r="B119" s="290"/>
      <c r="C119" s="290"/>
      <c r="D119" s="290"/>
      <c r="E119" s="290"/>
      <c r="F119" s="290"/>
      <c r="G119" s="290"/>
      <c r="H119" s="289"/>
      <c r="I119" s="289"/>
      <c r="J119" s="289"/>
      <c r="K119" s="289"/>
      <c r="L119" s="289"/>
      <c r="M119" s="289"/>
      <c r="N119" s="289"/>
      <c r="O119" s="289"/>
      <c r="P119" s="352">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8"/>
      <c r="AS119" s="288"/>
      <c r="AT119" s="321"/>
    </row>
    <row r="120" spans="1:46" s="272" customFormat="1">
      <c r="A120" s="290"/>
      <c r="B120" s="290"/>
      <c r="C120" s="290"/>
      <c r="D120" s="290"/>
      <c r="E120" s="290"/>
      <c r="F120" s="290"/>
      <c r="G120" s="290"/>
      <c r="H120" s="289"/>
      <c r="I120" s="289"/>
      <c r="J120" s="289"/>
      <c r="K120" s="289"/>
      <c r="L120" s="289"/>
      <c r="M120" s="289"/>
      <c r="N120" s="289"/>
      <c r="O120" s="289"/>
      <c r="P120" s="352">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8"/>
      <c r="AS120" s="288"/>
      <c r="AT120" s="321"/>
    </row>
    <row r="121" spans="1:46" s="272" customFormat="1">
      <c r="A121" s="290"/>
      <c r="B121" s="290"/>
      <c r="C121" s="290"/>
      <c r="D121" s="290"/>
      <c r="E121" s="290"/>
      <c r="F121" s="290"/>
      <c r="G121" s="290"/>
      <c r="H121" s="289"/>
      <c r="I121" s="289"/>
      <c r="J121" s="289"/>
      <c r="K121" s="289"/>
      <c r="L121" s="289"/>
      <c r="M121" s="289"/>
      <c r="N121" s="289"/>
      <c r="O121" s="289"/>
      <c r="P121" s="352">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8"/>
      <c r="AS121" s="288"/>
      <c r="AT121" s="321"/>
    </row>
    <row r="122" spans="1:46" s="272" customFormat="1">
      <c r="A122" s="290"/>
      <c r="B122" s="290"/>
      <c r="C122" s="290"/>
      <c r="D122" s="290"/>
      <c r="E122" s="290"/>
      <c r="F122" s="290"/>
      <c r="G122" s="290"/>
      <c r="H122" s="289"/>
      <c r="I122" s="289"/>
      <c r="J122" s="289"/>
      <c r="K122" s="289"/>
      <c r="L122" s="289"/>
      <c r="M122" s="289"/>
      <c r="N122" s="289"/>
      <c r="O122" s="289"/>
      <c r="P122" s="352">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8"/>
      <c r="AS122" s="288"/>
      <c r="AT122" s="321"/>
    </row>
    <row r="123" spans="1:46" s="272" customFormat="1">
      <c r="A123" s="290"/>
      <c r="B123" s="290"/>
      <c r="C123" s="290"/>
      <c r="D123" s="290"/>
      <c r="E123" s="290"/>
      <c r="F123" s="290"/>
      <c r="G123" s="290"/>
      <c r="H123" s="289"/>
      <c r="I123" s="289"/>
      <c r="J123" s="289"/>
      <c r="K123" s="289"/>
      <c r="L123" s="289"/>
      <c r="M123" s="289"/>
      <c r="N123" s="289"/>
      <c r="O123" s="289"/>
      <c r="P123" s="352">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8"/>
      <c r="AS123" s="288"/>
      <c r="AT123" s="321"/>
    </row>
    <row r="124" spans="1:46" s="272" customFormat="1">
      <c r="A124" s="290"/>
      <c r="B124" s="290"/>
      <c r="C124" s="290"/>
      <c r="D124" s="290"/>
      <c r="E124" s="290"/>
      <c r="F124" s="290"/>
      <c r="G124" s="290"/>
      <c r="H124" s="289"/>
      <c r="I124" s="289"/>
      <c r="J124" s="289"/>
      <c r="K124" s="289"/>
      <c r="L124" s="289"/>
      <c r="M124" s="289"/>
      <c r="N124" s="289"/>
      <c r="O124" s="289"/>
      <c r="P124" s="352">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8"/>
      <c r="AS124" s="288"/>
      <c r="AT124" s="321"/>
    </row>
    <row r="125" spans="1:46" s="272" customFormat="1">
      <c r="A125" s="290"/>
      <c r="B125" s="290"/>
      <c r="C125" s="290"/>
      <c r="D125" s="290"/>
      <c r="E125" s="290"/>
      <c r="F125" s="290"/>
      <c r="G125" s="290"/>
      <c r="H125" s="289"/>
      <c r="I125" s="289"/>
      <c r="J125" s="289"/>
      <c r="K125" s="289"/>
      <c r="L125" s="289"/>
      <c r="M125" s="289"/>
      <c r="N125" s="289"/>
      <c r="O125" s="289"/>
      <c r="P125" s="352">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8"/>
      <c r="AS125" s="288"/>
      <c r="AT125" s="321"/>
    </row>
    <row r="126" spans="1:46" s="272" customFormat="1">
      <c r="A126" s="290"/>
      <c r="B126" s="290"/>
      <c r="C126" s="290"/>
      <c r="D126" s="290"/>
      <c r="E126" s="290"/>
      <c r="F126" s="290"/>
      <c r="G126" s="290"/>
      <c r="H126" s="289"/>
      <c r="I126" s="289"/>
      <c r="J126" s="289"/>
      <c r="K126" s="289"/>
      <c r="L126" s="289"/>
      <c r="M126" s="289"/>
      <c r="N126" s="289"/>
      <c r="O126" s="289"/>
      <c r="P126" s="352">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8"/>
      <c r="AS126" s="288"/>
      <c r="AT126" s="321"/>
    </row>
    <row r="127" spans="1:46" s="272" customFormat="1">
      <c r="A127" s="290"/>
      <c r="B127" s="290"/>
      <c r="C127" s="290"/>
      <c r="D127" s="290"/>
      <c r="E127" s="290"/>
      <c r="F127" s="290"/>
      <c r="G127" s="290"/>
      <c r="H127" s="289"/>
      <c r="I127" s="289"/>
      <c r="J127" s="289"/>
      <c r="K127" s="289"/>
      <c r="L127" s="289"/>
      <c r="M127" s="289"/>
      <c r="N127" s="289"/>
      <c r="O127" s="289"/>
      <c r="P127" s="352">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8"/>
      <c r="AS127" s="288"/>
      <c r="AT127" s="321"/>
    </row>
    <row r="128" spans="1:46" s="272" customFormat="1">
      <c r="A128" s="290"/>
      <c r="B128" s="290"/>
      <c r="C128" s="290"/>
      <c r="D128" s="290"/>
      <c r="E128" s="290"/>
      <c r="F128" s="290"/>
      <c r="G128" s="290"/>
      <c r="H128" s="289"/>
      <c r="I128" s="289"/>
      <c r="J128" s="289"/>
      <c r="K128" s="289"/>
      <c r="L128" s="289"/>
      <c r="M128" s="289"/>
      <c r="N128" s="289"/>
      <c r="O128" s="289"/>
      <c r="P128" s="352">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8"/>
      <c r="AS128" s="288"/>
      <c r="AT128" s="321"/>
    </row>
    <row r="129" spans="1:46" s="272" customFormat="1">
      <c r="A129" s="290"/>
      <c r="B129" s="290"/>
      <c r="C129" s="290"/>
      <c r="D129" s="290"/>
      <c r="E129" s="290"/>
      <c r="F129" s="290"/>
      <c r="G129" s="290"/>
      <c r="H129" s="289"/>
      <c r="I129" s="289"/>
      <c r="J129" s="289"/>
      <c r="K129" s="289"/>
      <c r="L129" s="289"/>
      <c r="M129" s="289"/>
      <c r="N129" s="289"/>
      <c r="O129" s="289"/>
      <c r="P129" s="352">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8"/>
      <c r="AS129" s="288"/>
      <c r="AT129" s="321"/>
    </row>
    <row r="130" spans="1:46" s="272" customFormat="1">
      <c r="A130" s="290"/>
      <c r="B130" s="290"/>
      <c r="C130" s="290"/>
      <c r="D130" s="290"/>
      <c r="E130" s="290"/>
      <c r="F130" s="290"/>
      <c r="G130" s="290"/>
      <c r="H130" s="289"/>
      <c r="I130" s="289"/>
      <c r="J130" s="289"/>
      <c r="K130" s="289"/>
      <c r="L130" s="289"/>
      <c r="M130" s="289"/>
      <c r="N130" s="289"/>
      <c r="O130" s="289"/>
      <c r="P130" s="352">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8"/>
      <c r="AS130" s="288"/>
      <c r="AT130" s="321"/>
    </row>
    <row r="131" spans="1:46" s="272" customFormat="1">
      <c r="A131" s="290"/>
      <c r="B131" s="290"/>
      <c r="C131" s="290"/>
      <c r="D131" s="290"/>
      <c r="E131" s="290"/>
      <c r="F131" s="290"/>
      <c r="G131" s="290"/>
      <c r="H131" s="289"/>
      <c r="I131" s="289"/>
      <c r="J131" s="289"/>
      <c r="K131" s="289"/>
      <c r="L131" s="289"/>
      <c r="M131" s="289"/>
      <c r="N131" s="289"/>
      <c r="O131" s="289"/>
      <c r="P131" s="352">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8"/>
      <c r="AS131" s="288"/>
      <c r="AT131" s="321"/>
    </row>
    <row r="132" spans="1:46" s="272" customFormat="1">
      <c r="A132" s="290"/>
      <c r="B132" s="290"/>
      <c r="C132" s="290"/>
      <c r="D132" s="290"/>
      <c r="E132" s="290"/>
      <c r="F132" s="290"/>
      <c r="G132" s="290"/>
      <c r="H132" s="289"/>
      <c r="I132" s="289"/>
      <c r="J132" s="289"/>
      <c r="K132" s="289"/>
      <c r="L132" s="289"/>
      <c r="M132" s="289"/>
      <c r="N132" s="289"/>
      <c r="O132" s="289"/>
      <c r="P132" s="352">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8"/>
      <c r="AS132" s="288"/>
      <c r="AT132" s="321"/>
    </row>
    <row r="133" spans="1:46" s="272" customFormat="1">
      <c r="A133" s="290"/>
      <c r="B133" s="290"/>
      <c r="C133" s="290"/>
      <c r="D133" s="290"/>
      <c r="E133" s="290"/>
      <c r="F133" s="290"/>
      <c r="G133" s="290"/>
      <c r="H133" s="289"/>
      <c r="I133" s="289"/>
      <c r="J133" s="289"/>
      <c r="K133" s="289"/>
      <c r="L133" s="289"/>
      <c r="M133" s="289"/>
      <c r="N133" s="289"/>
      <c r="O133" s="289"/>
      <c r="P133" s="352">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8"/>
      <c r="AS133" s="288"/>
      <c r="AT133" s="321"/>
    </row>
    <row r="134" spans="1:46" s="272" customFormat="1">
      <c r="A134" s="290"/>
      <c r="B134" s="290"/>
      <c r="C134" s="290"/>
      <c r="D134" s="290"/>
      <c r="E134" s="290"/>
      <c r="F134" s="290"/>
      <c r="G134" s="290"/>
      <c r="H134" s="289"/>
      <c r="I134" s="289"/>
      <c r="J134" s="289"/>
      <c r="K134" s="289"/>
      <c r="L134" s="289"/>
      <c r="M134" s="289"/>
      <c r="N134" s="289"/>
      <c r="O134" s="289"/>
      <c r="P134" s="352">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8"/>
      <c r="AS134" s="288"/>
      <c r="AT134" s="321"/>
    </row>
    <row r="135" spans="1:46" s="272" customFormat="1">
      <c r="A135" s="290"/>
      <c r="B135" s="290"/>
      <c r="C135" s="290"/>
      <c r="D135" s="290"/>
      <c r="E135" s="290"/>
      <c r="F135" s="290"/>
      <c r="G135" s="290"/>
      <c r="H135" s="289"/>
      <c r="I135" s="289"/>
      <c r="J135" s="289"/>
      <c r="K135" s="289"/>
      <c r="L135" s="289"/>
      <c r="M135" s="289"/>
      <c r="N135" s="289"/>
      <c r="O135" s="289"/>
      <c r="P135" s="352">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8"/>
      <c r="AS135" s="288"/>
      <c r="AT135" s="321"/>
    </row>
    <row r="136" spans="1:46" s="272" customFormat="1">
      <c r="A136" s="290"/>
      <c r="B136" s="290"/>
      <c r="C136" s="290"/>
      <c r="D136" s="290"/>
      <c r="E136" s="290"/>
      <c r="F136" s="290"/>
      <c r="G136" s="290"/>
      <c r="H136" s="289"/>
      <c r="I136" s="289"/>
      <c r="J136" s="289"/>
      <c r="K136" s="289"/>
      <c r="L136" s="289"/>
      <c r="M136" s="289"/>
      <c r="N136" s="289"/>
      <c r="O136" s="289"/>
      <c r="P136" s="352">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8"/>
      <c r="AS136" s="288"/>
      <c r="AT136" s="321"/>
    </row>
    <row r="137" spans="1:46" s="272" customFormat="1">
      <c r="A137" s="290"/>
      <c r="B137" s="290"/>
      <c r="C137" s="290"/>
      <c r="D137" s="290"/>
      <c r="E137" s="290"/>
      <c r="F137" s="290"/>
      <c r="G137" s="290"/>
      <c r="H137" s="289"/>
      <c r="I137" s="289"/>
      <c r="J137" s="289"/>
      <c r="K137" s="289"/>
      <c r="L137" s="289"/>
      <c r="M137" s="289"/>
      <c r="N137" s="289"/>
      <c r="O137" s="289"/>
      <c r="P137" s="352">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8"/>
      <c r="AS137" s="288"/>
      <c r="AT137" s="321"/>
    </row>
    <row r="138" spans="1:46" s="272" customFormat="1">
      <c r="A138" s="290"/>
      <c r="B138" s="290"/>
      <c r="C138" s="290"/>
      <c r="D138" s="290"/>
      <c r="E138" s="290"/>
      <c r="F138" s="290"/>
      <c r="G138" s="290"/>
      <c r="H138" s="289"/>
      <c r="I138" s="289"/>
      <c r="J138" s="289"/>
      <c r="K138" s="289"/>
      <c r="L138" s="289"/>
      <c r="M138" s="289"/>
      <c r="N138" s="289"/>
      <c r="O138" s="289"/>
      <c r="P138" s="352">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8"/>
      <c r="AS138" s="288"/>
      <c r="AT138" s="321"/>
    </row>
    <row r="139" spans="1:46" s="272" customFormat="1">
      <c r="A139" s="290"/>
      <c r="B139" s="290"/>
      <c r="C139" s="290"/>
      <c r="D139" s="290"/>
      <c r="E139" s="290"/>
      <c r="F139" s="290"/>
      <c r="G139" s="290"/>
      <c r="H139" s="289"/>
      <c r="I139" s="289"/>
      <c r="J139" s="289"/>
      <c r="K139" s="289"/>
      <c r="L139" s="289"/>
      <c r="M139" s="289"/>
      <c r="N139" s="289"/>
      <c r="O139" s="289"/>
      <c r="P139" s="352">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8"/>
      <c r="AS139" s="288"/>
      <c r="AT139" s="321"/>
    </row>
    <row r="140" spans="1:46" s="272" customFormat="1">
      <c r="A140" s="290"/>
      <c r="B140" s="290"/>
      <c r="C140" s="290"/>
      <c r="D140" s="290"/>
      <c r="E140" s="290"/>
      <c r="F140" s="290"/>
      <c r="G140" s="290"/>
      <c r="H140" s="289"/>
      <c r="I140" s="289"/>
      <c r="J140" s="289"/>
      <c r="K140" s="289"/>
      <c r="L140" s="289"/>
      <c r="M140" s="289"/>
      <c r="N140" s="289"/>
      <c r="O140" s="289"/>
      <c r="P140" s="352">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8"/>
      <c r="AS140" s="288"/>
      <c r="AT140" s="321"/>
    </row>
    <row r="141" spans="1:46" s="272" customFormat="1">
      <c r="A141" s="290"/>
      <c r="B141" s="290"/>
      <c r="C141" s="290"/>
      <c r="D141" s="290"/>
      <c r="E141" s="290"/>
      <c r="F141" s="290"/>
      <c r="G141" s="290"/>
      <c r="H141" s="289"/>
      <c r="I141" s="289"/>
      <c r="J141" s="289"/>
      <c r="K141" s="289"/>
      <c r="L141" s="289"/>
      <c r="M141" s="289"/>
      <c r="N141" s="289"/>
      <c r="O141" s="289"/>
      <c r="P141" s="352">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8"/>
      <c r="AS141" s="288"/>
      <c r="AT141" s="321"/>
    </row>
    <row r="142" spans="1:46" s="272" customFormat="1">
      <c r="A142" s="290"/>
      <c r="B142" s="290"/>
      <c r="C142" s="290"/>
      <c r="D142" s="290"/>
      <c r="E142" s="290"/>
      <c r="F142" s="290"/>
      <c r="G142" s="290"/>
      <c r="H142" s="289"/>
      <c r="I142" s="289"/>
      <c r="J142" s="289"/>
      <c r="K142" s="289"/>
      <c r="L142" s="289"/>
      <c r="M142" s="289"/>
      <c r="N142" s="289"/>
      <c r="O142" s="289"/>
      <c r="P142" s="352">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8"/>
      <c r="AS142" s="288"/>
      <c r="AT142" s="321"/>
    </row>
    <row r="143" spans="1:46" s="272" customFormat="1">
      <c r="A143" s="290"/>
      <c r="B143" s="290"/>
      <c r="C143" s="290"/>
      <c r="D143" s="290"/>
      <c r="E143" s="290"/>
      <c r="F143" s="290"/>
      <c r="G143" s="290"/>
      <c r="H143" s="289"/>
      <c r="I143" s="289"/>
      <c r="J143" s="289"/>
      <c r="K143" s="289"/>
      <c r="L143" s="289"/>
      <c r="M143" s="289"/>
      <c r="N143" s="289"/>
      <c r="O143" s="289"/>
      <c r="P143" s="352">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8"/>
      <c r="AS143" s="288"/>
      <c r="AT143" s="321"/>
    </row>
    <row r="144" spans="1:46" s="272" customFormat="1">
      <c r="A144" s="290"/>
      <c r="B144" s="290"/>
      <c r="C144" s="290"/>
      <c r="D144" s="290"/>
      <c r="E144" s="290"/>
      <c r="F144" s="290"/>
      <c r="G144" s="290"/>
      <c r="H144" s="289"/>
      <c r="I144" s="289"/>
      <c r="J144" s="289"/>
      <c r="K144" s="289"/>
      <c r="L144" s="289"/>
      <c r="M144" s="289"/>
      <c r="N144" s="289"/>
      <c r="O144" s="289"/>
      <c r="P144" s="352">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8"/>
      <c r="AS144" s="288"/>
      <c r="AT144" s="321"/>
    </row>
    <row r="145" spans="1:46" s="272" customFormat="1">
      <c r="A145" s="290"/>
      <c r="B145" s="290"/>
      <c r="C145" s="290"/>
      <c r="D145" s="290"/>
      <c r="E145" s="290"/>
      <c r="F145" s="290"/>
      <c r="G145" s="290"/>
      <c r="H145" s="289"/>
      <c r="I145" s="289"/>
      <c r="J145" s="289"/>
      <c r="K145" s="289"/>
      <c r="L145" s="289"/>
      <c r="M145" s="289"/>
      <c r="N145" s="289"/>
      <c r="O145" s="289"/>
      <c r="P145" s="352">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8"/>
      <c r="AS145" s="288"/>
      <c r="AT145" s="321"/>
    </row>
    <row r="146" spans="1:46" s="272" customFormat="1">
      <c r="A146" s="290"/>
      <c r="B146" s="290"/>
      <c r="C146" s="290"/>
      <c r="D146" s="290"/>
      <c r="E146" s="290"/>
      <c r="F146" s="290"/>
      <c r="G146" s="290"/>
      <c r="H146" s="289"/>
      <c r="I146" s="289"/>
      <c r="J146" s="289"/>
      <c r="K146" s="289"/>
      <c r="L146" s="289"/>
      <c r="M146" s="289"/>
      <c r="N146" s="289"/>
      <c r="O146" s="289"/>
      <c r="P146" s="352">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8"/>
      <c r="AS146" s="288"/>
      <c r="AT146" s="321"/>
    </row>
    <row r="147" spans="1:46" s="272" customFormat="1">
      <c r="A147" s="290"/>
      <c r="B147" s="290"/>
      <c r="C147" s="290"/>
      <c r="D147" s="290"/>
      <c r="E147" s="290"/>
      <c r="F147" s="290"/>
      <c r="G147" s="290"/>
      <c r="H147" s="289"/>
      <c r="I147" s="289"/>
      <c r="J147" s="289"/>
      <c r="K147" s="289"/>
      <c r="L147" s="289"/>
      <c r="M147" s="289"/>
      <c r="N147" s="289"/>
      <c r="O147" s="289"/>
      <c r="P147" s="352">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8"/>
      <c r="AS147" s="288"/>
      <c r="AT147" s="321"/>
    </row>
    <row r="148" spans="1:46" s="272" customFormat="1">
      <c r="A148" s="290"/>
      <c r="B148" s="290"/>
      <c r="C148" s="290"/>
      <c r="D148" s="290"/>
      <c r="E148" s="290"/>
      <c r="F148" s="290"/>
      <c r="G148" s="290"/>
      <c r="H148" s="289"/>
      <c r="I148" s="289"/>
      <c r="J148" s="289"/>
      <c r="K148" s="289"/>
      <c r="L148" s="289"/>
      <c r="M148" s="289"/>
      <c r="N148" s="289"/>
      <c r="O148" s="289"/>
      <c r="P148" s="352">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8"/>
      <c r="AS148" s="288"/>
      <c r="AT148" s="321"/>
    </row>
    <row r="149" spans="1:46" s="272" customFormat="1">
      <c r="A149" s="290"/>
      <c r="B149" s="290"/>
      <c r="C149" s="290"/>
      <c r="D149" s="290"/>
      <c r="E149" s="290"/>
      <c r="F149" s="290"/>
      <c r="G149" s="290"/>
      <c r="H149" s="289"/>
      <c r="I149" s="289"/>
      <c r="J149" s="289"/>
      <c r="K149" s="289"/>
      <c r="L149" s="289"/>
      <c r="M149" s="289"/>
      <c r="N149" s="289"/>
      <c r="O149" s="289"/>
      <c r="P149" s="352">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8"/>
      <c r="AS149" s="288"/>
      <c r="AT149" s="321"/>
    </row>
    <row r="150" spans="1:46" s="272" customFormat="1">
      <c r="A150" s="290"/>
      <c r="B150" s="290"/>
      <c r="C150" s="290"/>
      <c r="D150" s="290"/>
      <c r="E150" s="290"/>
      <c r="F150" s="290"/>
      <c r="G150" s="290"/>
      <c r="H150" s="289"/>
      <c r="I150" s="289"/>
      <c r="J150" s="289"/>
      <c r="K150" s="289"/>
      <c r="L150" s="289"/>
      <c r="M150" s="289"/>
      <c r="N150" s="289"/>
      <c r="O150" s="289"/>
      <c r="P150" s="352">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8"/>
      <c r="AS150" s="288"/>
      <c r="AT150" s="321"/>
    </row>
    <row r="151" spans="1:46" s="272" customFormat="1">
      <c r="A151" s="290"/>
      <c r="B151" s="290"/>
      <c r="C151" s="290"/>
      <c r="D151" s="290"/>
      <c r="E151" s="290"/>
      <c r="F151" s="290"/>
      <c r="G151" s="290"/>
      <c r="H151" s="289"/>
      <c r="I151" s="289"/>
      <c r="J151" s="289"/>
      <c r="K151" s="289"/>
      <c r="L151" s="289"/>
      <c r="M151" s="289"/>
      <c r="N151" s="289"/>
      <c r="O151" s="289"/>
      <c r="P151" s="352">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8"/>
      <c r="AS151" s="288"/>
      <c r="AT151" s="321"/>
    </row>
    <row r="152" spans="1:46" s="272" customFormat="1">
      <c r="A152" s="290"/>
      <c r="B152" s="290"/>
      <c r="C152" s="290"/>
      <c r="D152" s="290"/>
      <c r="E152" s="290"/>
      <c r="F152" s="290"/>
      <c r="G152" s="290"/>
      <c r="H152" s="289"/>
      <c r="I152" s="289"/>
      <c r="J152" s="289"/>
      <c r="K152" s="289"/>
      <c r="L152" s="289"/>
      <c r="M152" s="289"/>
      <c r="N152" s="289"/>
      <c r="O152" s="289"/>
      <c r="P152" s="352">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8"/>
      <c r="AS152" s="288"/>
      <c r="AT152" s="321"/>
    </row>
    <row r="153" spans="1:46" s="272" customFormat="1">
      <c r="A153" s="290"/>
      <c r="B153" s="290"/>
      <c r="C153" s="290"/>
      <c r="D153" s="290"/>
      <c r="E153" s="290"/>
      <c r="F153" s="290"/>
      <c r="G153" s="290"/>
      <c r="H153" s="289"/>
      <c r="I153" s="289"/>
      <c r="J153" s="289"/>
      <c r="K153" s="289"/>
      <c r="L153" s="289"/>
      <c r="M153" s="289"/>
      <c r="N153" s="289"/>
      <c r="O153" s="289"/>
      <c r="P153" s="352">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8"/>
      <c r="AS153" s="288"/>
      <c r="AT153" s="321"/>
    </row>
    <row r="154" spans="1:46" s="272" customFormat="1">
      <c r="A154" s="290"/>
      <c r="B154" s="290"/>
      <c r="C154" s="290"/>
      <c r="D154" s="290"/>
      <c r="E154" s="290"/>
      <c r="F154" s="290"/>
      <c r="G154" s="290"/>
      <c r="H154" s="289"/>
      <c r="I154" s="289"/>
      <c r="J154" s="289"/>
      <c r="K154" s="289"/>
      <c r="L154" s="289"/>
      <c r="M154" s="289"/>
      <c r="N154" s="289"/>
      <c r="O154" s="289"/>
      <c r="P154" s="352">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8"/>
      <c r="AS154" s="288"/>
      <c r="AT154" s="321"/>
    </row>
    <row r="155" spans="1:46" s="272" customFormat="1">
      <c r="A155" s="290"/>
      <c r="B155" s="290"/>
      <c r="C155" s="290"/>
      <c r="D155" s="290"/>
      <c r="E155" s="290"/>
      <c r="F155" s="290"/>
      <c r="G155" s="290"/>
      <c r="H155" s="289"/>
      <c r="I155" s="289"/>
      <c r="J155" s="289"/>
      <c r="K155" s="289"/>
      <c r="L155" s="289"/>
      <c r="M155" s="289"/>
      <c r="N155" s="289"/>
      <c r="O155" s="289"/>
      <c r="P155" s="352">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8"/>
      <c r="AS155" s="288"/>
      <c r="AT155" s="321"/>
    </row>
    <row r="156" spans="1:46" s="272" customFormat="1">
      <c r="A156" s="290"/>
      <c r="B156" s="290"/>
      <c r="C156" s="290"/>
      <c r="D156" s="290"/>
      <c r="E156" s="290"/>
      <c r="F156" s="290"/>
      <c r="G156" s="290"/>
      <c r="H156" s="289"/>
      <c r="I156" s="289"/>
      <c r="J156" s="289"/>
      <c r="K156" s="289"/>
      <c r="L156" s="289"/>
      <c r="M156" s="289"/>
      <c r="N156" s="289"/>
      <c r="O156" s="289"/>
      <c r="P156" s="352">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8"/>
      <c r="AS156" s="288"/>
      <c r="AT156" s="321"/>
    </row>
    <row r="157" spans="1:46" s="272" customFormat="1">
      <c r="A157" s="290"/>
      <c r="B157" s="290"/>
      <c r="C157" s="290"/>
      <c r="D157" s="290"/>
      <c r="E157" s="290"/>
      <c r="F157" s="290"/>
      <c r="G157" s="290"/>
      <c r="H157" s="289"/>
      <c r="I157" s="289"/>
      <c r="J157" s="289"/>
      <c r="K157" s="289"/>
      <c r="L157" s="289"/>
      <c r="M157" s="289"/>
      <c r="N157" s="289"/>
      <c r="O157" s="289"/>
      <c r="P157" s="352">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8"/>
      <c r="AS157" s="288"/>
      <c r="AT157" s="321"/>
    </row>
    <row r="158" spans="1:46" s="272" customFormat="1">
      <c r="A158" s="290"/>
      <c r="B158" s="290"/>
      <c r="C158" s="290"/>
      <c r="D158" s="290"/>
      <c r="E158" s="290"/>
      <c r="F158" s="290"/>
      <c r="G158" s="290"/>
      <c r="H158" s="289"/>
      <c r="I158" s="289"/>
      <c r="J158" s="289"/>
      <c r="K158" s="289"/>
      <c r="L158" s="289"/>
      <c r="M158" s="289"/>
      <c r="N158" s="289"/>
      <c r="O158" s="289"/>
      <c r="P158" s="352">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8"/>
      <c r="AS158" s="288"/>
      <c r="AT158" s="321"/>
    </row>
    <row r="159" spans="1:46" s="272" customFormat="1">
      <c r="A159" s="290"/>
      <c r="B159" s="290"/>
      <c r="C159" s="290"/>
      <c r="D159" s="290"/>
      <c r="E159" s="290"/>
      <c r="F159" s="290"/>
      <c r="G159" s="290"/>
      <c r="H159" s="289"/>
      <c r="I159" s="289"/>
      <c r="J159" s="289"/>
      <c r="K159" s="289"/>
      <c r="L159" s="289"/>
      <c r="M159" s="289"/>
      <c r="N159" s="289"/>
      <c r="O159" s="289"/>
      <c r="P159" s="352">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8"/>
      <c r="AS159" s="288"/>
      <c r="AT159" s="321"/>
    </row>
    <row r="160" spans="1:46" s="272" customFormat="1">
      <c r="A160" s="290"/>
      <c r="B160" s="290"/>
      <c r="C160" s="290"/>
      <c r="D160" s="290"/>
      <c r="E160" s="290"/>
      <c r="F160" s="290"/>
      <c r="G160" s="290"/>
      <c r="H160" s="289"/>
      <c r="I160" s="289"/>
      <c r="J160" s="289"/>
      <c r="K160" s="289"/>
      <c r="L160" s="289"/>
      <c r="M160" s="289"/>
      <c r="N160" s="289"/>
      <c r="O160" s="289"/>
      <c r="P160" s="352">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8"/>
      <c r="AS160" s="288"/>
      <c r="AT160" s="321"/>
    </row>
    <row r="161" spans="1:46" s="272" customFormat="1">
      <c r="A161" s="290"/>
      <c r="B161" s="290"/>
      <c r="C161" s="290"/>
      <c r="D161" s="290"/>
      <c r="E161" s="290"/>
      <c r="F161" s="290"/>
      <c r="G161" s="290"/>
      <c r="H161" s="289"/>
      <c r="I161" s="289"/>
      <c r="J161" s="289"/>
      <c r="K161" s="289"/>
      <c r="L161" s="289"/>
      <c r="M161" s="289"/>
      <c r="N161" s="289"/>
      <c r="O161" s="289"/>
      <c r="P161" s="352">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8"/>
      <c r="AS161" s="288"/>
      <c r="AT161" s="321"/>
    </row>
    <row r="162" spans="1:46" s="272" customFormat="1">
      <c r="A162" s="290"/>
      <c r="B162" s="290"/>
      <c r="C162" s="290"/>
      <c r="D162" s="290"/>
      <c r="E162" s="290"/>
      <c r="F162" s="290"/>
      <c r="G162" s="290"/>
      <c r="H162" s="289"/>
      <c r="I162" s="289"/>
      <c r="J162" s="289"/>
      <c r="K162" s="289"/>
      <c r="L162" s="289"/>
      <c r="M162" s="289"/>
      <c r="N162" s="289"/>
      <c r="O162" s="289"/>
      <c r="P162" s="352">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8"/>
      <c r="AS162" s="288"/>
      <c r="AT162" s="321"/>
    </row>
    <row r="163" spans="1:46" s="272" customFormat="1">
      <c r="A163" s="290"/>
      <c r="B163" s="290"/>
      <c r="C163" s="290"/>
      <c r="D163" s="290"/>
      <c r="E163" s="290"/>
      <c r="F163" s="290"/>
      <c r="G163" s="290"/>
      <c r="H163" s="289"/>
      <c r="I163" s="289"/>
      <c r="J163" s="289"/>
      <c r="K163" s="289"/>
      <c r="L163" s="289"/>
      <c r="M163" s="289"/>
      <c r="N163" s="289"/>
      <c r="O163" s="289"/>
      <c r="P163" s="352">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8"/>
      <c r="AS163" s="288"/>
      <c r="AT163" s="321"/>
    </row>
    <row r="164" spans="1:46" s="272" customFormat="1">
      <c r="A164" s="290"/>
      <c r="B164" s="290"/>
      <c r="C164" s="290"/>
      <c r="D164" s="290"/>
      <c r="E164" s="290"/>
      <c r="F164" s="290"/>
      <c r="G164" s="290"/>
      <c r="H164" s="289"/>
      <c r="I164" s="289"/>
      <c r="J164" s="289"/>
      <c r="K164" s="289"/>
      <c r="L164" s="289"/>
      <c r="M164" s="289"/>
      <c r="N164" s="289"/>
      <c r="O164" s="289"/>
      <c r="P164" s="352">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8"/>
      <c r="AS164" s="288"/>
      <c r="AT164" s="321"/>
    </row>
    <row r="165" spans="1:46" s="272" customFormat="1">
      <c r="A165" s="290"/>
      <c r="B165" s="290"/>
      <c r="C165" s="290"/>
      <c r="D165" s="290"/>
      <c r="E165" s="290"/>
      <c r="F165" s="290"/>
      <c r="G165" s="290"/>
      <c r="H165" s="289"/>
      <c r="I165" s="289"/>
      <c r="J165" s="289"/>
      <c r="K165" s="289"/>
      <c r="L165" s="289"/>
      <c r="M165" s="289"/>
      <c r="N165" s="289"/>
      <c r="O165" s="289"/>
      <c r="P165" s="352">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8"/>
      <c r="AS165" s="288"/>
      <c r="AT165" s="321"/>
    </row>
    <row r="166" spans="1:46" s="272" customFormat="1">
      <c r="A166" s="290"/>
      <c r="B166" s="290"/>
      <c r="C166" s="290"/>
      <c r="D166" s="290"/>
      <c r="E166" s="290"/>
      <c r="F166" s="290"/>
      <c r="G166" s="290"/>
      <c r="H166" s="289"/>
      <c r="I166" s="289"/>
      <c r="J166" s="289"/>
      <c r="K166" s="289"/>
      <c r="L166" s="289"/>
      <c r="M166" s="289"/>
      <c r="N166" s="289"/>
      <c r="O166" s="289"/>
      <c r="P166" s="352">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8"/>
      <c r="AS166" s="288"/>
      <c r="AT166" s="321"/>
    </row>
    <row r="167" spans="1:46" s="272" customFormat="1">
      <c r="A167" s="290"/>
      <c r="B167" s="290"/>
      <c r="C167" s="290"/>
      <c r="D167" s="290"/>
      <c r="E167" s="290"/>
      <c r="F167" s="290"/>
      <c r="G167" s="290"/>
      <c r="H167" s="289"/>
      <c r="I167" s="289"/>
      <c r="J167" s="289"/>
      <c r="K167" s="289"/>
      <c r="L167" s="289"/>
      <c r="M167" s="289"/>
      <c r="N167" s="289"/>
      <c r="O167" s="289"/>
      <c r="P167" s="352">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8"/>
      <c r="AS167" s="288"/>
      <c r="AT167" s="321"/>
    </row>
    <row r="168" spans="1:46" s="272" customFormat="1">
      <c r="A168" s="290"/>
      <c r="B168" s="290"/>
      <c r="C168" s="290"/>
      <c r="D168" s="290"/>
      <c r="E168" s="290"/>
      <c r="F168" s="290"/>
      <c r="G168" s="290"/>
      <c r="H168" s="289"/>
      <c r="I168" s="289"/>
      <c r="J168" s="289"/>
      <c r="K168" s="289"/>
      <c r="L168" s="289"/>
      <c r="M168" s="289"/>
      <c r="N168" s="289"/>
      <c r="O168" s="289"/>
      <c r="P168" s="352">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8"/>
      <c r="AS168" s="288"/>
      <c r="AT168" s="321"/>
    </row>
    <row r="169" spans="1:46" s="272" customFormat="1">
      <c r="A169" s="290"/>
      <c r="B169" s="290"/>
      <c r="C169" s="290"/>
      <c r="D169" s="290"/>
      <c r="E169" s="290"/>
      <c r="F169" s="290"/>
      <c r="G169" s="290"/>
      <c r="H169" s="289"/>
      <c r="I169" s="289"/>
      <c r="J169" s="289"/>
      <c r="K169" s="289"/>
      <c r="L169" s="289"/>
      <c r="M169" s="289"/>
      <c r="N169" s="289"/>
      <c r="O169" s="289"/>
      <c r="P169" s="352">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8"/>
      <c r="AS169" s="288"/>
      <c r="AT169" s="321"/>
    </row>
    <row r="170" spans="1:46" s="272" customFormat="1">
      <c r="A170" s="290"/>
      <c r="B170" s="290"/>
      <c r="C170" s="290"/>
      <c r="D170" s="290"/>
      <c r="E170" s="290"/>
      <c r="F170" s="290"/>
      <c r="G170" s="290"/>
      <c r="H170" s="289"/>
      <c r="I170" s="289"/>
      <c r="J170" s="289"/>
      <c r="K170" s="289"/>
      <c r="L170" s="289"/>
      <c r="M170" s="289"/>
      <c r="N170" s="289"/>
      <c r="O170" s="289"/>
      <c r="P170" s="352">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8"/>
      <c r="AS170" s="288"/>
      <c r="AT170" s="321"/>
    </row>
    <row r="171" spans="1:46" s="272" customFormat="1">
      <c r="A171" s="290"/>
      <c r="B171" s="290"/>
      <c r="C171" s="290"/>
      <c r="D171" s="290"/>
      <c r="E171" s="290"/>
      <c r="F171" s="290"/>
      <c r="G171" s="290"/>
      <c r="H171" s="289"/>
      <c r="I171" s="289"/>
      <c r="J171" s="289"/>
      <c r="K171" s="289"/>
      <c r="L171" s="289"/>
      <c r="M171" s="289"/>
      <c r="N171" s="289"/>
      <c r="O171" s="289"/>
      <c r="P171" s="352">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8"/>
      <c r="AS171" s="288"/>
      <c r="AT171" s="321"/>
    </row>
    <row r="172" spans="1:46" s="272" customFormat="1">
      <c r="A172" s="290"/>
      <c r="B172" s="290"/>
      <c r="C172" s="290"/>
      <c r="D172" s="290"/>
      <c r="E172" s="290"/>
      <c r="F172" s="290"/>
      <c r="G172" s="290"/>
      <c r="H172" s="289"/>
      <c r="I172" s="289"/>
      <c r="J172" s="289"/>
      <c r="K172" s="289"/>
      <c r="L172" s="289"/>
      <c r="M172" s="289"/>
      <c r="N172" s="289"/>
      <c r="O172" s="289"/>
      <c r="P172" s="352">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8"/>
      <c r="AS172" s="288"/>
      <c r="AT172" s="321"/>
    </row>
    <row r="173" spans="1:46" s="272" customFormat="1">
      <c r="A173" s="290"/>
      <c r="B173" s="290"/>
      <c r="C173" s="290"/>
      <c r="D173" s="290"/>
      <c r="E173" s="290"/>
      <c r="F173" s="290"/>
      <c r="G173" s="290"/>
      <c r="H173" s="289"/>
      <c r="I173" s="289"/>
      <c r="J173" s="289"/>
      <c r="K173" s="289"/>
      <c r="L173" s="289"/>
      <c r="M173" s="289"/>
      <c r="N173" s="289"/>
      <c r="O173" s="289"/>
      <c r="P173" s="352">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8"/>
      <c r="AS173" s="288"/>
      <c r="AT173" s="321"/>
    </row>
    <row r="174" spans="1:46" s="272" customFormat="1">
      <c r="A174" s="290"/>
      <c r="B174" s="290"/>
      <c r="C174" s="290"/>
      <c r="D174" s="290"/>
      <c r="E174" s="290"/>
      <c r="F174" s="290"/>
      <c r="G174" s="290"/>
      <c r="H174" s="289"/>
      <c r="I174" s="289"/>
      <c r="J174" s="289"/>
      <c r="K174" s="289"/>
      <c r="L174" s="289"/>
      <c r="M174" s="289"/>
      <c r="N174" s="289"/>
      <c r="O174" s="289"/>
      <c r="P174" s="352">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8"/>
      <c r="AS174" s="288"/>
      <c r="AT174" s="321"/>
    </row>
    <row r="175" spans="1:46" s="272" customFormat="1">
      <c r="A175" s="290"/>
      <c r="B175" s="290"/>
      <c r="C175" s="290"/>
      <c r="D175" s="290"/>
      <c r="E175" s="290"/>
      <c r="F175" s="290"/>
      <c r="G175" s="290"/>
      <c r="H175" s="289"/>
      <c r="I175" s="289"/>
      <c r="J175" s="289"/>
      <c r="K175" s="289"/>
      <c r="L175" s="289"/>
      <c r="M175" s="289"/>
      <c r="N175" s="289"/>
      <c r="O175" s="289"/>
      <c r="P175" s="352">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8"/>
      <c r="AS175" s="288"/>
      <c r="AT175" s="321"/>
    </row>
    <row r="176" spans="1:46" s="272" customFormat="1">
      <c r="A176" s="290"/>
      <c r="B176" s="290"/>
      <c r="C176" s="290"/>
      <c r="D176" s="290"/>
      <c r="E176" s="290"/>
      <c r="F176" s="290"/>
      <c r="G176" s="290"/>
      <c r="H176" s="289"/>
      <c r="I176" s="289"/>
      <c r="J176" s="289"/>
      <c r="K176" s="289"/>
      <c r="L176" s="289"/>
      <c r="M176" s="289"/>
      <c r="N176" s="289"/>
      <c r="O176" s="289"/>
      <c r="P176" s="352">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8"/>
      <c r="AS176" s="288"/>
      <c r="AT176" s="321"/>
    </row>
    <row r="177" spans="1:46" s="272" customFormat="1">
      <c r="A177" s="290"/>
      <c r="B177" s="290"/>
      <c r="C177" s="290"/>
      <c r="D177" s="290"/>
      <c r="E177" s="290"/>
      <c r="F177" s="290"/>
      <c r="G177" s="290"/>
      <c r="H177" s="289"/>
      <c r="I177" s="289"/>
      <c r="J177" s="289"/>
      <c r="K177" s="289"/>
      <c r="L177" s="289"/>
      <c r="M177" s="289"/>
      <c r="N177" s="289"/>
      <c r="O177" s="289"/>
      <c r="P177" s="352">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8"/>
      <c r="AS177" s="288"/>
      <c r="AT177" s="321"/>
    </row>
    <row r="178" spans="1:46" s="272" customFormat="1">
      <c r="A178" s="290"/>
      <c r="B178" s="290"/>
      <c r="C178" s="290"/>
      <c r="D178" s="290"/>
      <c r="E178" s="290"/>
      <c r="F178" s="290"/>
      <c r="G178" s="290"/>
      <c r="H178" s="289"/>
      <c r="I178" s="289"/>
      <c r="J178" s="289"/>
      <c r="K178" s="289"/>
      <c r="L178" s="289"/>
      <c r="M178" s="289"/>
      <c r="N178" s="289"/>
      <c r="O178" s="289"/>
      <c r="P178" s="352">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8"/>
      <c r="AS178" s="288"/>
      <c r="AT178" s="321"/>
    </row>
    <row r="179" spans="1:46" s="272" customFormat="1">
      <c r="A179" s="290"/>
      <c r="B179" s="290"/>
      <c r="C179" s="290"/>
      <c r="D179" s="290"/>
      <c r="E179" s="290"/>
      <c r="F179" s="290"/>
      <c r="G179" s="290"/>
      <c r="H179" s="289"/>
      <c r="I179" s="289"/>
      <c r="J179" s="289"/>
      <c r="K179" s="289"/>
      <c r="L179" s="289"/>
      <c r="M179" s="289"/>
      <c r="N179" s="289"/>
      <c r="O179" s="289"/>
      <c r="P179" s="352">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8"/>
      <c r="AS179" s="288"/>
      <c r="AT179" s="321"/>
    </row>
    <row r="180" spans="1:46" s="272" customFormat="1">
      <c r="A180" s="290"/>
      <c r="B180" s="290"/>
      <c r="C180" s="290"/>
      <c r="D180" s="290"/>
      <c r="E180" s="290"/>
      <c r="F180" s="290"/>
      <c r="G180" s="290"/>
      <c r="H180" s="289"/>
      <c r="I180" s="289"/>
      <c r="J180" s="289"/>
      <c r="K180" s="289"/>
      <c r="L180" s="289"/>
      <c r="M180" s="289"/>
      <c r="N180" s="289"/>
      <c r="O180" s="289"/>
      <c r="P180" s="352">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8"/>
      <c r="AS180" s="288"/>
      <c r="AT180" s="321"/>
    </row>
    <row r="181" spans="1:46" s="272" customFormat="1">
      <c r="A181" s="290"/>
      <c r="B181" s="290"/>
      <c r="C181" s="290"/>
      <c r="D181" s="290"/>
      <c r="E181" s="290"/>
      <c r="F181" s="290"/>
      <c r="G181" s="290"/>
      <c r="H181" s="289"/>
      <c r="I181" s="289"/>
      <c r="J181" s="289"/>
      <c r="K181" s="289"/>
      <c r="L181" s="289"/>
      <c r="M181" s="289"/>
      <c r="N181" s="289"/>
      <c r="O181" s="289"/>
      <c r="P181" s="352">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8"/>
      <c r="AS181" s="288"/>
      <c r="AT181" s="321"/>
    </row>
    <row r="182" spans="1:46" s="272" customFormat="1">
      <c r="A182" s="290"/>
      <c r="B182" s="290"/>
      <c r="C182" s="290"/>
      <c r="D182" s="290"/>
      <c r="E182" s="290"/>
      <c r="F182" s="290"/>
      <c r="G182" s="290"/>
      <c r="H182" s="289"/>
      <c r="I182" s="289"/>
      <c r="J182" s="289"/>
      <c r="K182" s="289"/>
      <c r="L182" s="289"/>
      <c r="M182" s="289"/>
      <c r="N182" s="289"/>
      <c r="O182" s="289"/>
      <c r="P182" s="352">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8"/>
      <c r="AS182" s="288"/>
      <c r="AT182" s="321"/>
    </row>
    <row r="183" spans="1:46" s="272" customFormat="1">
      <c r="A183" s="290"/>
      <c r="B183" s="290"/>
      <c r="C183" s="290"/>
      <c r="D183" s="290"/>
      <c r="E183" s="290"/>
      <c r="F183" s="290"/>
      <c r="G183" s="290"/>
      <c r="H183" s="289"/>
      <c r="I183" s="289"/>
      <c r="J183" s="289"/>
      <c r="K183" s="289"/>
      <c r="L183" s="289"/>
      <c r="M183" s="289"/>
      <c r="N183" s="289"/>
      <c r="O183" s="289"/>
      <c r="P183" s="352">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8"/>
      <c r="AS183" s="288"/>
      <c r="AT183" s="321"/>
    </row>
    <row r="184" spans="1:46" s="272" customFormat="1">
      <c r="A184" s="290"/>
      <c r="B184" s="290"/>
      <c r="C184" s="290"/>
      <c r="D184" s="290"/>
      <c r="E184" s="290"/>
      <c r="F184" s="290"/>
      <c r="G184" s="290"/>
      <c r="H184" s="289"/>
      <c r="I184" s="289"/>
      <c r="J184" s="289"/>
      <c r="K184" s="289"/>
      <c r="L184" s="289"/>
      <c r="M184" s="289"/>
      <c r="N184" s="289"/>
      <c r="O184" s="289"/>
      <c r="P184" s="352">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8"/>
      <c r="AS184" s="288"/>
      <c r="AT184" s="321"/>
    </row>
    <row r="185" spans="1:46" s="272" customFormat="1">
      <c r="A185" s="290"/>
      <c r="B185" s="290"/>
      <c r="C185" s="290"/>
      <c r="D185" s="290"/>
      <c r="E185" s="290"/>
      <c r="F185" s="290"/>
      <c r="G185" s="290"/>
      <c r="H185" s="289"/>
      <c r="I185" s="289"/>
      <c r="J185" s="289"/>
      <c r="K185" s="289"/>
      <c r="L185" s="289"/>
      <c r="M185" s="289"/>
      <c r="N185" s="289"/>
      <c r="O185" s="289"/>
      <c r="P185" s="352">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8"/>
      <c r="AS185" s="288"/>
      <c r="AT185" s="321"/>
    </row>
    <row r="186" spans="1:46" s="272" customFormat="1">
      <c r="A186" s="290"/>
      <c r="B186" s="290"/>
      <c r="C186" s="290"/>
      <c r="D186" s="290"/>
      <c r="E186" s="290"/>
      <c r="F186" s="290"/>
      <c r="G186" s="290"/>
      <c r="H186" s="289"/>
      <c r="I186" s="289"/>
      <c r="J186" s="289"/>
      <c r="K186" s="289"/>
      <c r="L186" s="289"/>
      <c r="M186" s="289"/>
      <c r="N186" s="289"/>
      <c r="O186" s="289"/>
      <c r="P186" s="352">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8"/>
      <c r="AS186" s="288"/>
      <c r="AT186" s="321"/>
    </row>
    <row r="187" spans="1:46" s="272" customFormat="1">
      <c r="A187" s="290"/>
      <c r="B187" s="290"/>
      <c r="C187" s="290"/>
      <c r="D187" s="290"/>
      <c r="E187" s="290"/>
      <c r="F187" s="290"/>
      <c r="G187" s="290"/>
      <c r="H187" s="289"/>
      <c r="I187" s="289"/>
      <c r="J187" s="289"/>
      <c r="K187" s="289"/>
      <c r="L187" s="289"/>
      <c r="M187" s="289"/>
      <c r="N187" s="289"/>
      <c r="O187" s="289"/>
      <c r="P187" s="352">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8"/>
      <c r="AS187" s="288"/>
      <c r="AT187" s="321"/>
    </row>
    <row r="188" spans="1:46" s="272" customFormat="1">
      <c r="A188" s="290"/>
      <c r="B188" s="290"/>
      <c r="C188" s="290"/>
      <c r="D188" s="290"/>
      <c r="E188" s="290"/>
      <c r="F188" s="290"/>
      <c r="G188" s="290"/>
      <c r="H188" s="289"/>
      <c r="I188" s="289"/>
      <c r="J188" s="289"/>
      <c r="K188" s="289"/>
      <c r="L188" s="289"/>
      <c r="M188" s="289"/>
      <c r="N188" s="289"/>
      <c r="O188" s="289"/>
      <c r="P188" s="352">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8"/>
      <c r="AS188" s="288"/>
      <c r="AT188" s="321"/>
    </row>
    <row r="189" spans="1:46" s="272" customFormat="1">
      <c r="A189" s="290"/>
      <c r="B189" s="290"/>
      <c r="C189" s="290"/>
      <c r="D189" s="290"/>
      <c r="E189" s="290"/>
      <c r="F189" s="290"/>
      <c r="G189" s="290"/>
      <c r="H189" s="289"/>
      <c r="I189" s="289"/>
      <c r="J189" s="289"/>
      <c r="K189" s="289"/>
      <c r="L189" s="289"/>
      <c r="M189" s="289"/>
      <c r="N189" s="289"/>
      <c r="O189" s="289"/>
      <c r="P189" s="352">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8"/>
      <c r="AS189" s="288"/>
      <c r="AT189" s="321"/>
    </row>
    <row r="190" spans="1:46" s="272" customFormat="1">
      <c r="A190" s="290"/>
      <c r="B190" s="290"/>
      <c r="C190" s="290"/>
      <c r="D190" s="290"/>
      <c r="E190" s="290"/>
      <c r="F190" s="290"/>
      <c r="G190" s="290"/>
      <c r="H190" s="289"/>
      <c r="I190" s="289"/>
      <c r="J190" s="289"/>
      <c r="K190" s="289"/>
      <c r="L190" s="289"/>
      <c r="M190" s="289"/>
      <c r="N190" s="289"/>
      <c r="O190" s="289"/>
      <c r="P190" s="352">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8"/>
      <c r="AS190" s="288"/>
      <c r="AT190" s="321"/>
    </row>
    <row r="191" spans="1:46" s="272" customFormat="1">
      <c r="A191" s="290"/>
      <c r="B191" s="290"/>
      <c r="C191" s="290"/>
      <c r="D191" s="290"/>
      <c r="E191" s="290"/>
      <c r="F191" s="290"/>
      <c r="G191" s="290"/>
      <c r="H191" s="289"/>
      <c r="I191" s="289"/>
      <c r="J191" s="289"/>
      <c r="K191" s="289"/>
      <c r="L191" s="289"/>
      <c r="M191" s="289"/>
      <c r="N191" s="289"/>
      <c r="O191" s="289"/>
      <c r="P191" s="352">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8"/>
      <c r="AS191" s="288"/>
      <c r="AT191" s="321"/>
    </row>
    <row r="192" spans="1:46" s="272" customFormat="1">
      <c r="A192" s="290"/>
      <c r="B192" s="290"/>
      <c r="C192" s="290"/>
      <c r="D192" s="290"/>
      <c r="E192" s="290"/>
      <c r="F192" s="290"/>
      <c r="G192" s="290"/>
      <c r="H192" s="289"/>
      <c r="I192" s="289"/>
      <c r="J192" s="289"/>
      <c r="K192" s="289"/>
      <c r="L192" s="289"/>
      <c r="M192" s="289"/>
      <c r="N192" s="289"/>
      <c r="O192" s="289"/>
      <c r="P192" s="352">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8"/>
      <c r="AS192" s="288"/>
      <c r="AT192" s="321"/>
    </row>
    <row r="193" spans="1:46" s="272" customFormat="1">
      <c r="A193" s="290"/>
      <c r="B193" s="290"/>
      <c r="C193" s="290"/>
      <c r="D193" s="290"/>
      <c r="E193" s="290"/>
      <c r="F193" s="290"/>
      <c r="G193" s="290"/>
      <c r="H193" s="289"/>
      <c r="I193" s="289"/>
      <c r="J193" s="289"/>
      <c r="K193" s="289"/>
      <c r="L193" s="289"/>
      <c r="M193" s="289"/>
      <c r="N193" s="289"/>
      <c r="O193" s="289"/>
      <c r="P193" s="352">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8"/>
      <c r="AS193" s="288"/>
      <c r="AT193" s="321"/>
    </row>
    <row r="194" spans="1:46" s="272" customFormat="1">
      <c r="A194" s="290"/>
      <c r="B194" s="290"/>
      <c r="C194" s="290"/>
      <c r="D194" s="290"/>
      <c r="E194" s="290"/>
      <c r="F194" s="290"/>
      <c r="G194" s="290"/>
      <c r="H194" s="289"/>
      <c r="I194" s="289"/>
      <c r="J194" s="289"/>
      <c r="K194" s="289"/>
      <c r="L194" s="289"/>
      <c r="M194" s="289"/>
      <c r="N194" s="289"/>
      <c r="O194" s="289"/>
      <c r="P194" s="352">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8"/>
      <c r="AS194" s="288"/>
      <c r="AT194" s="321"/>
    </row>
    <row r="195" spans="1:46" s="272" customFormat="1">
      <c r="A195" s="290"/>
      <c r="B195" s="290"/>
      <c r="C195" s="290"/>
      <c r="D195" s="290"/>
      <c r="E195" s="290"/>
      <c r="F195" s="290"/>
      <c r="G195" s="290"/>
      <c r="H195" s="289"/>
      <c r="I195" s="289"/>
      <c r="J195" s="289"/>
      <c r="K195" s="289"/>
      <c r="L195" s="289"/>
      <c r="M195" s="289"/>
      <c r="N195" s="289"/>
      <c r="O195" s="289"/>
      <c r="P195" s="352">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8"/>
      <c r="AS195" s="288"/>
      <c r="AT195" s="321"/>
    </row>
    <row r="196" spans="1:46" s="272" customFormat="1">
      <c r="A196" s="290"/>
      <c r="B196" s="290"/>
      <c r="C196" s="290"/>
      <c r="D196" s="290"/>
      <c r="E196" s="290"/>
      <c r="F196" s="290"/>
      <c r="G196" s="290"/>
      <c r="H196" s="289"/>
      <c r="I196" s="289"/>
      <c r="J196" s="289"/>
      <c r="K196" s="289"/>
      <c r="L196" s="289"/>
      <c r="M196" s="289"/>
      <c r="N196" s="289"/>
      <c r="O196" s="289"/>
      <c r="P196" s="352">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8"/>
      <c r="AS196" s="288"/>
      <c r="AT196" s="321"/>
    </row>
    <row r="197" spans="1:46" s="272" customFormat="1">
      <c r="A197" s="290"/>
      <c r="B197" s="290"/>
      <c r="C197" s="290"/>
      <c r="D197" s="290"/>
      <c r="E197" s="290"/>
      <c r="F197" s="290"/>
      <c r="G197" s="290"/>
      <c r="H197" s="289"/>
      <c r="I197" s="289"/>
      <c r="J197" s="289"/>
      <c r="K197" s="289"/>
      <c r="L197" s="289"/>
      <c r="M197" s="289"/>
      <c r="N197" s="289"/>
      <c r="O197" s="289"/>
      <c r="P197" s="352">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8"/>
      <c r="AS197" s="288"/>
      <c r="AT197" s="321"/>
    </row>
    <row r="198" spans="1:46" s="272" customFormat="1">
      <c r="A198" s="290"/>
      <c r="B198" s="290"/>
      <c r="C198" s="290"/>
      <c r="D198" s="290"/>
      <c r="E198" s="290"/>
      <c r="F198" s="290"/>
      <c r="G198" s="290"/>
      <c r="H198" s="289"/>
      <c r="I198" s="289"/>
      <c r="J198" s="289"/>
      <c r="K198" s="289"/>
      <c r="L198" s="289"/>
      <c r="M198" s="289"/>
      <c r="N198" s="289"/>
      <c r="O198" s="289"/>
      <c r="P198" s="352">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8"/>
      <c r="AS198" s="288"/>
      <c r="AT198" s="321"/>
    </row>
    <row r="199" spans="1:46" s="272" customFormat="1">
      <c r="A199" s="290"/>
      <c r="B199" s="290"/>
      <c r="C199" s="290"/>
      <c r="D199" s="290"/>
      <c r="E199" s="290"/>
      <c r="F199" s="290"/>
      <c r="G199" s="290"/>
      <c r="H199" s="289"/>
      <c r="I199" s="289"/>
      <c r="J199" s="289"/>
      <c r="K199" s="289"/>
      <c r="L199" s="289"/>
      <c r="M199" s="289"/>
      <c r="N199" s="289"/>
      <c r="O199" s="289"/>
      <c r="P199" s="352">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8"/>
      <c r="AS199" s="288"/>
      <c r="AT199" s="321"/>
    </row>
    <row r="200" spans="1:46" s="272" customFormat="1">
      <c r="A200" s="290"/>
      <c r="B200" s="290"/>
      <c r="C200" s="290"/>
      <c r="D200" s="290"/>
      <c r="E200" s="290"/>
      <c r="F200" s="290"/>
      <c r="G200" s="290"/>
      <c r="H200" s="289"/>
      <c r="I200" s="289"/>
      <c r="J200" s="289"/>
      <c r="K200" s="289"/>
      <c r="L200" s="289"/>
      <c r="M200" s="289"/>
      <c r="N200" s="289"/>
      <c r="O200" s="289"/>
      <c r="P200" s="352">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8"/>
      <c r="AS200" s="288"/>
      <c r="AT200" s="321"/>
    </row>
    <row r="201" spans="1:46" s="272" customFormat="1">
      <c r="A201" s="290"/>
      <c r="B201" s="290"/>
      <c r="C201" s="290"/>
      <c r="D201" s="290"/>
      <c r="E201" s="290"/>
      <c r="F201" s="290"/>
      <c r="G201" s="290"/>
      <c r="H201" s="289"/>
      <c r="I201" s="289"/>
      <c r="J201" s="289"/>
      <c r="K201" s="289"/>
      <c r="L201" s="289"/>
      <c r="M201" s="289"/>
      <c r="N201" s="289"/>
      <c r="O201" s="289"/>
      <c r="P201" s="352">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8"/>
      <c r="AS201" s="288"/>
      <c r="AT201" s="321"/>
    </row>
    <row r="202" spans="1:46" s="272" customFormat="1">
      <c r="A202" s="290"/>
      <c r="B202" s="290"/>
      <c r="C202" s="290"/>
      <c r="D202" s="290"/>
      <c r="E202" s="290"/>
      <c r="F202" s="290"/>
      <c r="G202" s="290"/>
      <c r="H202" s="289"/>
      <c r="I202" s="289"/>
      <c r="J202" s="289"/>
      <c r="K202" s="289"/>
      <c r="L202" s="289"/>
      <c r="M202" s="289"/>
      <c r="N202" s="289"/>
      <c r="O202" s="289"/>
      <c r="P202" s="352">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8"/>
      <c r="AS202" s="288"/>
      <c r="AT202" s="321"/>
    </row>
    <row r="203" spans="1:46" s="272" customFormat="1">
      <c r="A203" s="290"/>
      <c r="B203" s="290"/>
      <c r="C203" s="290"/>
      <c r="D203" s="290"/>
      <c r="E203" s="290"/>
      <c r="F203" s="290"/>
      <c r="G203" s="290"/>
      <c r="H203" s="289"/>
      <c r="I203" s="289"/>
      <c r="J203" s="289"/>
      <c r="K203" s="289"/>
      <c r="L203" s="289"/>
      <c r="M203" s="289"/>
      <c r="N203" s="289"/>
      <c r="O203" s="289"/>
      <c r="P203" s="352">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8"/>
      <c r="AS203" s="288"/>
      <c r="AT203" s="321"/>
    </row>
    <row r="204" spans="1:46" s="272" customFormat="1">
      <c r="A204" s="290"/>
      <c r="B204" s="290"/>
      <c r="C204" s="290"/>
      <c r="D204" s="290"/>
      <c r="E204" s="290"/>
      <c r="F204" s="290"/>
      <c r="G204" s="290"/>
      <c r="H204" s="289"/>
      <c r="I204" s="289"/>
      <c r="J204" s="289"/>
      <c r="K204" s="289"/>
      <c r="L204" s="289"/>
      <c r="M204" s="289"/>
      <c r="N204" s="289"/>
      <c r="O204" s="289"/>
      <c r="P204" s="352">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8"/>
      <c r="AS204" s="288"/>
      <c r="AT204" s="321"/>
    </row>
    <row r="205" spans="1:46" s="272" customFormat="1">
      <c r="A205" s="290"/>
      <c r="B205" s="290"/>
      <c r="C205" s="290"/>
      <c r="D205" s="290"/>
      <c r="E205" s="290"/>
      <c r="F205" s="290"/>
      <c r="G205" s="290"/>
      <c r="H205" s="289"/>
      <c r="I205" s="289"/>
      <c r="J205" s="289"/>
      <c r="K205" s="289"/>
      <c r="L205" s="289"/>
      <c r="M205" s="289"/>
      <c r="N205" s="289"/>
      <c r="O205" s="289"/>
      <c r="P205" s="352">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8"/>
      <c r="AS205" s="288"/>
      <c r="AT205" s="321"/>
    </row>
    <row r="206" spans="1:46" s="272" customFormat="1">
      <c r="A206" s="290"/>
      <c r="B206" s="290"/>
      <c r="C206" s="290"/>
      <c r="D206" s="290"/>
      <c r="E206" s="290"/>
      <c r="F206" s="290"/>
      <c r="G206" s="290"/>
      <c r="H206" s="289"/>
      <c r="I206" s="289"/>
      <c r="J206" s="289"/>
      <c r="K206" s="289"/>
      <c r="L206" s="289"/>
      <c r="M206" s="289"/>
      <c r="N206" s="289"/>
      <c r="O206" s="289"/>
      <c r="P206" s="352">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8"/>
      <c r="AS206" s="288"/>
      <c r="AT206" s="321"/>
    </row>
    <row r="207" spans="1:46" s="272" customFormat="1">
      <c r="A207" s="290"/>
      <c r="B207" s="290"/>
      <c r="C207" s="290"/>
      <c r="D207" s="290"/>
      <c r="E207" s="290"/>
      <c r="F207" s="290"/>
      <c r="G207" s="290"/>
      <c r="H207" s="289"/>
      <c r="I207" s="289"/>
      <c r="J207" s="289"/>
      <c r="K207" s="289"/>
      <c r="L207" s="289"/>
      <c r="M207" s="289"/>
      <c r="N207" s="289"/>
      <c r="O207" s="289"/>
      <c r="P207" s="352">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8"/>
      <c r="AS207" s="288"/>
      <c r="AT207" s="321"/>
    </row>
    <row r="208" spans="1:46" s="272" customFormat="1">
      <c r="A208" s="290"/>
      <c r="B208" s="290"/>
      <c r="C208" s="290"/>
      <c r="D208" s="290"/>
      <c r="E208" s="290"/>
      <c r="F208" s="290"/>
      <c r="G208" s="290"/>
      <c r="H208" s="289"/>
      <c r="I208" s="289"/>
      <c r="J208" s="289"/>
      <c r="K208" s="289"/>
      <c r="L208" s="289"/>
      <c r="M208" s="289"/>
      <c r="N208" s="289"/>
      <c r="O208" s="289"/>
      <c r="P208" s="352">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8"/>
      <c r="AS208" s="288"/>
      <c r="AT208" s="321"/>
    </row>
    <row r="209" spans="1:46" s="272" customFormat="1">
      <c r="A209" s="290"/>
      <c r="B209" s="290"/>
      <c r="C209" s="290"/>
      <c r="D209" s="290"/>
      <c r="E209" s="290"/>
      <c r="F209" s="290"/>
      <c r="G209" s="290"/>
      <c r="H209" s="289"/>
      <c r="I209" s="289"/>
      <c r="J209" s="289"/>
      <c r="K209" s="289"/>
      <c r="L209" s="289"/>
      <c r="M209" s="289"/>
      <c r="N209" s="289"/>
      <c r="O209" s="289"/>
      <c r="P209" s="352">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8"/>
      <c r="AS209" s="288"/>
      <c r="AT209" s="321"/>
    </row>
    <row r="210" spans="1:46" s="272" customFormat="1">
      <c r="A210" s="290"/>
      <c r="B210" s="290"/>
      <c r="C210" s="290"/>
      <c r="D210" s="290"/>
      <c r="E210" s="290"/>
      <c r="F210" s="290"/>
      <c r="G210" s="290"/>
      <c r="H210" s="289"/>
      <c r="I210" s="289"/>
      <c r="J210" s="289"/>
      <c r="K210" s="289"/>
      <c r="L210" s="289"/>
      <c r="M210" s="289"/>
      <c r="N210" s="289"/>
      <c r="O210" s="289"/>
      <c r="P210" s="352">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8"/>
      <c r="AS210" s="288"/>
      <c r="AT210" s="321"/>
    </row>
    <row r="211" spans="1:46" s="272" customFormat="1">
      <c r="A211" s="290"/>
      <c r="B211" s="290"/>
      <c r="C211" s="290"/>
      <c r="D211" s="290"/>
      <c r="E211" s="290"/>
      <c r="F211" s="290"/>
      <c r="G211" s="290"/>
      <c r="H211" s="289"/>
      <c r="I211" s="289"/>
      <c r="J211" s="289"/>
      <c r="K211" s="289"/>
      <c r="L211" s="289"/>
      <c r="M211" s="289"/>
      <c r="N211" s="289"/>
      <c r="O211" s="289"/>
      <c r="P211" s="352">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8"/>
      <c r="AS211" s="288"/>
      <c r="AT211" s="321"/>
    </row>
    <row r="212" spans="1:46" s="272" customFormat="1">
      <c r="A212" s="290"/>
      <c r="B212" s="290"/>
      <c r="C212" s="290"/>
      <c r="D212" s="290"/>
      <c r="E212" s="290"/>
      <c r="F212" s="290"/>
      <c r="G212" s="290"/>
      <c r="H212" s="289"/>
      <c r="I212" s="289"/>
      <c r="J212" s="289"/>
      <c r="K212" s="289"/>
      <c r="L212" s="289"/>
      <c r="M212" s="289"/>
      <c r="N212" s="289"/>
      <c r="O212" s="289"/>
      <c r="P212" s="352">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8"/>
      <c r="AS212" s="288"/>
      <c r="AT212" s="321"/>
    </row>
    <row r="213" spans="1:46" s="272" customFormat="1">
      <c r="A213" s="290"/>
      <c r="B213" s="290"/>
      <c r="C213" s="290"/>
      <c r="D213" s="290"/>
      <c r="E213" s="290"/>
      <c r="F213" s="290"/>
      <c r="G213" s="290"/>
      <c r="H213" s="289"/>
      <c r="I213" s="289"/>
      <c r="J213" s="289"/>
      <c r="K213" s="289"/>
      <c r="L213" s="289"/>
      <c r="M213" s="289"/>
      <c r="N213" s="289"/>
      <c r="O213" s="289"/>
      <c r="P213" s="352">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8"/>
      <c r="AS213" s="288"/>
      <c r="AT213" s="321"/>
    </row>
    <row r="214" spans="1:46" s="272" customFormat="1">
      <c r="A214" s="290"/>
      <c r="B214" s="290"/>
      <c r="C214" s="290"/>
      <c r="D214" s="290"/>
      <c r="E214" s="290"/>
      <c r="F214" s="290"/>
      <c r="G214" s="290"/>
      <c r="H214" s="289"/>
      <c r="I214" s="289"/>
      <c r="J214" s="289"/>
      <c r="K214" s="289"/>
      <c r="L214" s="289"/>
      <c r="M214" s="289"/>
      <c r="N214" s="289"/>
      <c r="O214" s="289"/>
      <c r="P214" s="352">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8"/>
      <c r="AS214" s="288"/>
      <c r="AT214" s="321"/>
    </row>
    <row r="215" spans="1:46" s="272" customFormat="1">
      <c r="A215" s="290"/>
      <c r="B215" s="290"/>
      <c r="C215" s="290"/>
      <c r="D215" s="290"/>
      <c r="E215" s="290"/>
      <c r="F215" s="290"/>
      <c r="G215" s="290"/>
      <c r="H215" s="289"/>
      <c r="I215" s="289"/>
      <c r="J215" s="289"/>
      <c r="K215" s="289"/>
      <c r="L215" s="289"/>
      <c r="M215" s="289"/>
      <c r="N215" s="289"/>
      <c r="O215" s="289"/>
      <c r="P215" s="352">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8"/>
      <c r="AS215" s="288"/>
      <c r="AT215" s="321"/>
    </row>
    <row r="216" spans="1:46" s="272" customFormat="1">
      <c r="A216" s="290"/>
      <c r="B216" s="290"/>
      <c r="C216" s="290"/>
      <c r="D216" s="290"/>
      <c r="E216" s="290"/>
      <c r="F216" s="290"/>
      <c r="G216" s="290"/>
      <c r="H216" s="289"/>
      <c r="I216" s="289"/>
      <c r="J216" s="289"/>
      <c r="K216" s="289"/>
      <c r="L216" s="289"/>
      <c r="M216" s="289"/>
      <c r="N216" s="289"/>
      <c r="O216" s="289"/>
      <c r="P216" s="352">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8"/>
      <c r="AS216" s="288"/>
      <c r="AT216" s="321"/>
    </row>
    <row r="217" spans="1:46" s="272" customFormat="1">
      <c r="A217" s="290"/>
      <c r="B217" s="290"/>
      <c r="C217" s="290"/>
      <c r="D217" s="290"/>
      <c r="E217" s="290"/>
      <c r="F217" s="290"/>
      <c r="G217" s="290"/>
      <c r="H217" s="289"/>
      <c r="I217" s="289"/>
      <c r="J217" s="289"/>
      <c r="K217" s="289"/>
      <c r="L217" s="289"/>
      <c r="M217" s="289"/>
      <c r="N217" s="289"/>
      <c r="O217" s="289"/>
      <c r="P217" s="352">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8"/>
      <c r="AS217" s="288"/>
      <c r="AT217" s="321"/>
    </row>
    <row r="218" spans="1:46" s="272" customFormat="1">
      <c r="A218" s="290"/>
      <c r="B218" s="290"/>
      <c r="C218" s="290"/>
      <c r="D218" s="290"/>
      <c r="E218" s="290"/>
      <c r="F218" s="290"/>
      <c r="G218" s="290"/>
      <c r="H218" s="289"/>
      <c r="I218" s="289"/>
      <c r="J218" s="289"/>
      <c r="K218" s="289"/>
      <c r="L218" s="289"/>
      <c r="M218" s="289"/>
      <c r="N218" s="289"/>
      <c r="O218" s="289"/>
      <c r="P218" s="352">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8"/>
      <c r="AS218" s="288"/>
      <c r="AT218" s="321"/>
    </row>
    <row r="219" spans="1:46" s="272" customFormat="1">
      <c r="A219" s="290"/>
      <c r="B219" s="290"/>
      <c r="C219" s="290"/>
      <c r="D219" s="290"/>
      <c r="E219" s="290"/>
      <c r="F219" s="290"/>
      <c r="G219" s="290"/>
      <c r="H219" s="289"/>
      <c r="I219" s="289"/>
      <c r="J219" s="289"/>
      <c r="K219" s="289"/>
      <c r="L219" s="289"/>
      <c r="M219" s="289"/>
      <c r="N219" s="289"/>
      <c r="O219" s="289"/>
      <c r="P219" s="352">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8"/>
      <c r="AS219" s="288"/>
      <c r="AT219" s="321"/>
    </row>
    <row r="220" spans="1:46" s="272" customFormat="1">
      <c r="A220" s="290"/>
      <c r="B220" s="290"/>
      <c r="C220" s="290"/>
      <c r="D220" s="290"/>
      <c r="E220" s="290"/>
      <c r="F220" s="290"/>
      <c r="G220" s="290"/>
      <c r="H220" s="289"/>
      <c r="I220" s="289"/>
      <c r="J220" s="289"/>
      <c r="K220" s="289"/>
      <c r="L220" s="289"/>
      <c r="M220" s="289"/>
      <c r="N220" s="289"/>
      <c r="O220" s="289"/>
      <c r="P220" s="352">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8"/>
      <c r="AS220" s="288"/>
      <c r="AT220" s="321"/>
    </row>
    <row r="221" spans="1:46" s="272" customFormat="1">
      <c r="A221" s="290"/>
      <c r="B221" s="290"/>
      <c r="C221" s="290"/>
      <c r="D221" s="290"/>
      <c r="E221" s="290"/>
      <c r="F221" s="290"/>
      <c r="G221" s="290"/>
      <c r="H221" s="289"/>
      <c r="I221" s="289"/>
      <c r="J221" s="289"/>
      <c r="K221" s="289"/>
      <c r="L221" s="289"/>
      <c r="M221" s="289"/>
      <c r="N221" s="289"/>
      <c r="O221" s="289"/>
      <c r="P221" s="352">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8"/>
      <c r="AS221" s="288"/>
      <c r="AT221" s="321"/>
    </row>
    <row r="222" spans="1:46" s="272" customFormat="1">
      <c r="A222" s="290"/>
      <c r="B222" s="290"/>
      <c r="C222" s="290"/>
      <c r="D222" s="290"/>
      <c r="E222" s="290"/>
      <c r="F222" s="290"/>
      <c r="G222" s="290"/>
      <c r="H222" s="289"/>
      <c r="I222" s="289"/>
      <c r="J222" s="289"/>
      <c r="K222" s="289"/>
      <c r="L222" s="289"/>
      <c r="M222" s="289"/>
      <c r="N222" s="289"/>
      <c r="O222" s="289"/>
      <c r="P222" s="352">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8"/>
      <c r="AS222" s="288"/>
      <c r="AT222" s="321"/>
    </row>
    <row r="223" spans="1:46" s="272" customFormat="1">
      <c r="A223" s="290"/>
      <c r="B223" s="290"/>
      <c r="C223" s="290"/>
      <c r="D223" s="290"/>
      <c r="E223" s="290"/>
      <c r="F223" s="290"/>
      <c r="G223" s="290"/>
      <c r="H223" s="289"/>
      <c r="I223" s="289"/>
      <c r="J223" s="289"/>
      <c r="K223" s="289"/>
      <c r="L223" s="289"/>
      <c r="M223" s="289"/>
      <c r="N223" s="289"/>
      <c r="O223" s="289"/>
      <c r="P223" s="352">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8"/>
      <c r="AS223" s="288"/>
      <c r="AT223" s="321"/>
    </row>
    <row r="224" spans="1:46" s="272" customFormat="1">
      <c r="A224" s="290"/>
      <c r="B224" s="290"/>
      <c r="C224" s="290"/>
      <c r="D224" s="290"/>
      <c r="E224" s="290"/>
      <c r="F224" s="290"/>
      <c r="G224" s="290"/>
      <c r="H224" s="289"/>
      <c r="I224" s="289"/>
      <c r="J224" s="289"/>
      <c r="K224" s="289"/>
      <c r="L224" s="289"/>
      <c r="M224" s="289"/>
      <c r="N224" s="289"/>
      <c r="O224" s="289"/>
      <c r="P224" s="352">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8"/>
      <c r="AS224" s="288"/>
      <c r="AT224" s="321"/>
    </row>
    <row r="225" spans="1:46" s="272" customFormat="1">
      <c r="A225" s="290"/>
      <c r="B225" s="290"/>
      <c r="C225" s="290"/>
      <c r="D225" s="290"/>
      <c r="E225" s="290"/>
      <c r="F225" s="290"/>
      <c r="G225" s="290"/>
      <c r="H225" s="289"/>
      <c r="I225" s="289"/>
      <c r="J225" s="289"/>
      <c r="K225" s="289"/>
      <c r="L225" s="289"/>
      <c r="M225" s="289"/>
      <c r="N225" s="289"/>
      <c r="O225" s="289"/>
      <c r="P225" s="352">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8"/>
      <c r="AS225" s="288"/>
      <c r="AT225" s="321"/>
    </row>
    <row r="226" spans="1:46" s="272" customFormat="1">
      <c r="A226" s="290"/>
      <c r="B226" s="290"/>
      <c r="C226" s="290"/>
      <c r="D226" s="290"/>
      <c r="E226" s="290"/>
      <c r="F226" s="290"/>
      <c r="G226" s="290"/>
      <c r="H226" s="289"/>
      <c r="I226" s="289"/>
      <c r="J226" s="289"/>
      <c r="K226" s="289"/>
      <c r="L226" s="289"/>
      <c r="M226" s="289"/>
      <c r="N226" s="289"/>
      <c r="O226" s="289"/>
      <c r="P226" s="352">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8"/>
      <c r="AS226" s="288"/>
      <c r="AT226" s="321"/>
    </row>
    <row r="227" spans="1:46" s="272" customFormat="1">
      <c r="A227" s="290"/>
      <c r="B227" s="290"/>
      <c r="C227" s="290"/>
      <c r="D227" s="290"/>
      <c r="E227" s="290"/>
      <c r="F227" s="290"/>
      <c r="G227" s="290"/>
      <c r="H227" s="289"/>
      <c r="I227" s="289"/>
      <c r="J227" s="289"/>
      <c r="K227" s="289"/>
      <c r="L227" s="289"/>
      <c r="M227" s="289"/>
      <c r="N227" s="289"/>
      <c r="O227" s="289"/>
      <c r="P227" s="352">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8"/>
      <c r="AS227" s="288"/>
      <c r="AT227" s="321"/>
    </row>
    <row r="228" spans="1:46" s="272" customFormat="1">
      <c r="A228" s="290"/>
      <c r="B228" s="290"/>
      <c r="C228" s="290"/>
      <c r="D228" s="290"/>
      <c r="E228" s="290"/>
      <c r="F228" s="290"/>
      <c r="G228" s="290"/>
      <c r="H228" s="289"/>
      <c r="I228" s="289"/>
      <c r="J228" s="289"/>
      <c r="K228" s="289"/>
      <c r="L228" s="289"/>
      <c r="M228" s="289"/>
      <c r="N228" s="289"/>
      <c r="O228" s="289"/>
      <c r="P228" s="352">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8"/>
      <c r="AS228" s="288"/>
      <c r="AT228" s="321"/>
    </row>
    <row r="229" spans="1:46" s="272" customFormat="1">
      <c r="A229" s="290"/>
      <c r="B229" s="290"/>
      <c r="C229" s="290"/>
      <c r="D229" s="290"/>
      <c r="E229" s="290"/>
      <c r="F229" s="290"/>
      <c r="G229" s="290"/>
      <c r="H229" s="289"/>
      <c r="I229" s="289"/>
      <c r="J229" s="289"/>
      <c r="K229" s="289"/>
      <c r="L229" s="289"/>
      <c r="M229" s="289"/>
      <c r="N229" s="289"/>
      <c r="O229" s="289"/>
      <c r="P229" s="352">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8"/>
      <c r="AS229" s="288"/>
      <c r="AT229" s="321"/>
    </row>
    <row r="230" spans="1:46" s="272" customFormat="1">
      <c r="A230" s="290"/>
      <c r="B230" s="290"/>
      <c r="C230" s="290"/>
      <c r="D230" s="290"/>
      <c r="E230" s="290"/>
      <c r="F230" s="290"/>
      <c r="G230" s="290"/>
      <c r="H230" s="289"/>
      <c r="I230" s="289"/>
      <c r="J230" s="289"/>
      <c r="K230" s="289"/>
      <c r="L230" s="289"/>
      <c r="M230" s="289"/>
      <c r="N230" s="289"/>
      <c r="O230" s="289"/>
      <c r="P230" s="352">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8"/>
      <c r="AS230" s="288"/>
      <c r="AT230" s="321"/>
    </row>
    <row r="231" spans="1:46" s="272" customFormat="1">
      <c r="A231" s="290"/>
      <c r="B231" s="290"/>
      <c r="C231" s="290"/>
      <c r="D231" s="290"/>
      <c r="E231" s="290"/>
      <c r="F231" s="290"/>
      <c r="G231" s="290"/>
      <c r="H231" s="289"/>
      <c r="I231" s="289"/>
      <c r="J231" s="289"/>
      <c r="K231" s="289"/>
      <c r="L231" s="289"/>
      <c r="M231" s="289"/>
      <c r="N231" s="289"/>
      <c r="O231" s="289"/>
      <c r="P231" s="352">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8"/>
      <c r="AS231" s="288"/>
      <c r="AT231" s="321"/>
    </row>
    <row r="232" spans="1:46" s="272" customFormat="1">
      <c r="A232" s="290"/>
      <c r="B232" s="290"/>
      <c r="C232" s="290"/>
      <c r="D232" s="290"/>
      <c r="E232" s="290"/>
      <c r="F232" s="290"/>
      <c r="G232" s="290"/>
      <c r="H232" s="289"/>
      <c r="I232" s="289"/>
      <c r="J232" s="289"/>
      <c r="K232" s="289"/>
      <c r="L232" s="289"/>
      <c r="M232" s="289"/>
      <c r="N232" s="289"/>
      <c r="O232" s="289"/>
      <c r="P232" s="352">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8"/>
      <c r="AS232" s="288"/>
      <c r="AT232" s="321"/>
    </row>
    <row r="233" spans="1:46" s="272" customFormat="1">
      <c r="A233" s="290"/>
      <c r="B233" s="290"/>
      <c r="C233" s="290"/>
      <c r="D233" s="290"/>
      <c r="E233" s="290"/>
      <c r="F233" s="290"/>
      <c r="G233" s="290"/>
      <c r="H233" s="289"/>
      <c r="I233" s="289"/>
      <c r="J233" s="289"/>
      <c r="K233" s="289"/>
      <c r="L233" s="289"/>
      <c r="M233" s="289"/>
      <c r="N233" s="289"/>
      <c r="O233" s="289"/>
      <c r="P233" s="352">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8"/>
      <c r="AS233" s="288"/>
      <c r="AT233" s="321"/>
    </row>
    <row r="234" spans="1:46" s="272" customFormat="1">
      <c r="A234" s="290"/>
      <c r="B234" s="290"/>
      <c r="C234" s="290"/>
      <c r="D234" s="290"/>
      <c r="E234" s="290"/>
      <c r="F234" s="290"/>
      <c r="G234" s="290"/>
      <c r="H234" s="289"/>
      <c r="I234" s="289"/>
      <c r="J234" s="289"/>
      <c r="K234" s="289"/>
      <c r="L234" s="289"/>
      <c r="M234" s="289"/>
      <c r="N234" s="289"/>
      <c r="O234" s="289"/>
      <c r="P234" s="352">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8"/>
      <c r="AS234" s="288"/>
      <c r="AT234" s="321"/>
    </row>
    <row r="235" spans="1:46" s="272" customFormat="1">
      <c r="A235" s="290"/>
      <c r="B235" s="290"/>
      <c r="C235" s="290"/>
      <c r="D235" s="290"/>
      <c r="E235" s="290"/>
      <c r="F235" s="290"/>
      <c r="G235" s="290"/>
      <c r="H235" s="289"/>
      <c r="I235" s="289"/>
      <c r="J235" s="289"/>
      <c r="K235" s="289"/>
      <c r="L235" s="289"/>
      <c r="M235" s="289"/>
      <c r="N235" s="289"/>
      <c r="O235" s="289"/>
      <c r="P235" s="352">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8"/>
      <c r="AS235" s="288"/>
      <c r="AT235" s="321"/>
    </row>
    <row r="236" spans="1:46" s="272" customFormat="1">
      <c r="A236" s="290"/>
      <c r="B236" s="290"/>
      <c r="C236" s="290"/>
      <c r="D236" s="290"/>
      <c r="E236" s="290"/>
      <c r="F236" s="290"/>
      <c r="G236" s="290"/>
      <c r="H236" s="289"/>
      <c r="I236" s="289"/>
      <c r="J236" s="289"/>
      <c r="K236" s="289"/>
      <c r="L236" s="289"/>
      <c r="M236" s="289"/>
      <c r="N236" s="289"/>
      <c r="O236" s="289"/>
      <c r="P236" s="352">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8"/>
      <c r="AS236" s="288"/>
      <c r="AT236" s="321"/>
    </row>
    <row r="237" spans="1:46" s="272" customFormat="1">
      <c r="A237" s="290"/>
      <c r="B237" s="290"/>
      <c r="C237" s="290"/>
      <c r="D237" s="290"/>
      <c r="E237" s="290"/>
      <c r="F237" s="290"/>
      <c r="G237" s="290"/>
      <c r="H237" s="289"/>
      <c r="I237" s="289"/>
      <c r="J237" s="289"/>
      <c r="K237" s="289"/>
      <c r="L237" s="289"/>
      <c r="M237" s="289"/>
      <c r="N237" s="289"/>
      <c r="O237" s="289"/>
      <c r="P237" s="352">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8"/>
      <c r="AS237" s="288"/>
      <c r="AT237" s="321"/>
    </row>
    <row r="238" spans="1:46" s="272" customFormat="1">
      <c r="A238" s="290"/>
      <c r="B238" s="290"/>
      <c r="C238" s="290"/>
      <c r="D238" s="290"/>
      <c r="E238" s="290"/>
      <c r="F238" s="290"/>
      <c r="G238" s="290"/>
      <c r="H238" s="289"/>
      <c r="I238" s="289"/>
      <c r="J238" s="289"/>
      <c r="K238" s="289"/>
      <c r="L238" s="289"/>
      <c r="M238" s="289"/>
      <c r="N238" s="289"/>
      <c r="O238" s="289"/>
      <c r="P238" s="352">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8"/>
      <c r="AS238" s="288"/>
      <c r="AT238" s="321"/>
    </row>
    <row r="239" spans="1:46" s="272" customFormat="1">
      <c r="A239" s="290"/>
      <c r="B239" s="290"/>
      <c r="C239" s="290"/>
      <c r="D239" s="290"/>
      <c r="E239" s="290"/>
      <c r="F239" s="290"/>
      <c r="G239" s="290"/>
      <c r="H239" s="289"/>
      <c r="I239" s="289"/>
      <c r="J239" s="289"/>
      <c r="K239" s="289"/>
      <c r="L239" s="289"/>
      <c r="M239" s="289"/>
      <c r="N239" s="289"/>
      <c r="O239" s="289"/>
      <c r="P239" s="352">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8"/>
      <c r="AS239" s="288"/>
      <c r="AT239" s="321"/>
    </row>
    <row r="240" spans="1:46" s="272" customFormat="1">
      <c r="A240" s="290"/>
      <c r="B240" s="290"/>
      <c r="C240" s="290"/>
      <c r="D240" s="290"/>
      <c r="E240" s="290"/>
      <c r="F240" s="290"/>
      <c r="G240" s="290"/>
      <c r="H240" s="289"/>
      <c r="I240" s="289"/>
      <c r="J240" s="289"/>
      <c r="K240" s="289"/>
      <c r="L240" s="289"/>
      <c r="M240" s="289"/>
      <c r="N240" s="289"/>
      <c r="O240" s="289"/>
      <c r="P240" s="352">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8"/>
      <c r="AS240" s="288"/>
      <c r="AT240" s="321"/>
    </row>
    <row r="241" spans="1:46" s="272" customFormat="1">
      <c r="A241" s="290"/>
      <c r="B241" s="290"/>
      <c r="C241" s="290"/>
      <c r="D241" s="290"/>
      <c r="E241" s="290"/>
      <c r="F241" s="290"/>
      <c r="G241" s="290"/>
      <c r="H241" s="289"/>
      <c r="I241" s="289"/>
      <c r="J241" s="289"/>
      <c r="K241" s="289"/>
      <c r="L241" s="289"/>
      <c r="M241" s="289"/>
      <c r="N241" s="289"/>
      <c r="O241" s="289"/>
      <c r="P241" s="352">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8"/>
      <c r="AS241" s="288"/>
      <c r="AT241" s="321"/>
    </row>
    <row r="242" spans="1:46" s="272" customFormat="1">
      <c r="A242" s="290"/>
      <c r="B242" s="290"/>
      <c r="C242" s="290"/>
      <c r="D242" s="290"/>
      <c r="E242" s="290"/>
      <c r="F242" s="290"/>
      <c r="G242" s="290"/>
      <c r="H242" s="289"/>
      <c r="I242" s="289"/>
      <c r="J242" s="289"/>
      <c r="K242" s="289"/>
      <c r="L242" s="289"/>
      <c r="M242" s="289"/>
      <c r="N242" s="289"/>
      <c r="O242" s="289"/>
      <c r="P242" s="352">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8"/>
      <c r="AS242" s="288"/>
      <c r="AT242" s="321"/>
    </row>
    <row r="243" spans="1:46" s="272" customFormat="1">
      <c r="A243" s="290"/>
      <c r="B243" s="290"/>
      <c r="C243" s="290"/>
      <c r="D243" s="290"/>
      <c r="E243" s="290"/>
      <c r="F243" s="290"/>
      <c r="G243" s="290"/>
      <c r="H243" s="289"/>
      <c r="I243" s="289"/>
      <c r="J243" s="289"/>
      <c r="K243" s="289"/>
      <c r="L243" s="289"/>
      <c r="M243" s="289"/>
      <c r="N243" s="289"/>
      <c r="O243" s="289"/>
      <c r="P243" s="352">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8"/>
      <c r="AS243" s="288"/>
      <c r="AT243" s="321"/>
    </row>
    <row r="244" spans="1:46" s="272" customFormat="1">
      <c r="A244" s="290"/>
      <c r="B244" s="290"/>
      <c r="C244" s="290"/>
      <c r="D244" s="290"/>
      <c r="E244" s="290"/>
      <c r="F244" s="290"/>
      <c r="G244" s="290"/>
      <c r="H244" s="289"/>
      <c r="I244" s="289"/>
      <c r="J244" s="289"/>
      <c r="K244" s="289"/>
      <c r="L244" s="289"/>
      <c r="M244" s="289"/>
      <c r="N244" s="289"/>
      <c r="O244" s="289"/>
      <c r="P244" s="352">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8"/>
      <c r="AS244" s="288"/>
      <c r="AT244" s="321"/>
    </row>
    <row r="245" spans="1:46" s="272" customFormat="1">
      <c r="A245" s="290"/>
      <c r="B245" s="290"/>
      <c r="C245" s="290"/>
      <c r="D245" s="290"/>
      <c r="E245" s="290"/>
      <c r="F245" s="290"/>
      <c r="G245" s="290"/>
      <c r="H245" s="289"/>
      <c r="I245" s="289"/>
      <c r="J245" s="289"/>
      <c r="K245" s="289"/>
      <c r="L245" s="289"/>
      <c r="M245" s="289"/>
      <c r="N245" s="289"/>
      <c r="O245" s="289"/>
      <c r="P245" s="352">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8"/>
      <c r="AS245" s="288"/>
      <c r="AT245" s="321"/>
    </row>
    <row r="246" spans="1:46" s="272" customFormat="1">
      <c r="A246" s="290"/>
      <c r="B246" s="290"/>
      <c r="C246" s="290"/>
      <c r="D246" s="290"/>
      <c r="E246" s="290"/>
      <c r="F246" s="290"/>
      <c r="G246" s="290"/>
      <c r="H246" s="289"/>
      <c r="I246" s="289"/>
      <c r="J246" s="289"/>
      <c r="K246" s="289"/>
      <c r="L246" s="289"/>
      <c r="M246" s="289"/>
      <c r="N246" s="289"/>
      <c r="O246" s="289"/>
      <c r="P246" s="352">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8"/>
      <c r="AS246" s="288"/>
      <c r="AT246" s="321"/>
    </row>
    <row r="247" spans="1:46" s="272" customFormat="1">
      <c r="A247" s="290"/>
      <c r="B247" s="290"/>
      <c r="C247" s="290"/>
      <c r="D247" s="290"/>
      <c r="E247" s="290"/>
      <c r="F247" s="290"/>
      <c r="G247" s="290"/>
      <c r="H247" s="289"/>
      <c r="I247" s="289"/>
      <c r="J247" s="289"/>
      <c r="K247" s="289"/>
      <c r="L247" s="289"/>
      <c r="M247" s="289"/>
      <c r="N247" s="289"/>
      <c r="O247" s="289"/>
      <c r="P247" s="352">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8"/>
      <c r="AS247" s="288"/>
      <c r="AT247" s="321"/>
    </row>
    <row r="248" spans="1:46" s="272" customFormat="1">
      <c r="A248" s="290"/>
      <c r="B248" s="290"/>
      <c r="C248" s="290"/>
      <c r="D248" s="290"/>
      <c r="E248" s="290"/>
      <c r="F248" s="290"/>
      <c r="G248" s="290"/>
      <c r="H248" s="289"/>
      <c r="I248" s="289"/>
      <c r="J248" s="289"/>
      <c r="K248" s="289"/>
      <c r="L248" s="289"/>
      <c r="M248" s="289"/>
      <c r="N248" s="289"/>
      <c r="O248" s="289"/>
      <c r="P248" s="352">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8"/>
      <c r="AS248" s="288"/>
      <c r="AT248" s="321"/>
    </row>
    <row r="249" spans="1:46" s="272" customFormat="1">
      <c r="A249" s="290"/>
      <c r="B249" s="290"/>
      <c r="C249" s="290"/>
      <c r="D249" s="290"/>
      <c r="E249" s="290"/>
      <c r="F249" s="290"/>
      <c r="G249" s="290"/>
      <c r="H249" s="289"/>
      <c r="I249" s="289"/>
      <c r="J249" s="289"/>
      <c r="K249" s="289"/>
      <c r="L249" s="289"/>
      <c r="M249" s="289"/>
      <c r="N249" s="289"/>
      <c r="O249" s="289"/>
      <c r="P249" s="352">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8"/>
      <c r="AS249" s="288"/>
      <c r="AT249" s="321"/>
    </row>
    <row r="250" spans="1:46" s="272" customFormat="1">
      <c r="A250" s="290"/>
      <c r="B250" s="290"/>
      <c r="C250" s="290"/>
      <c r="D250" s="290"/>
      <c r="E250" s="290"/>
      <c r="F250" s="290"/>
      <c r="G250" s="290"/>
      <c r="H250" s="289"/>
      <c r="I250" s="289"/>
      <c r="J250" s="289"/>
      <c r="K250" s="289"/>
      <c r="L250" s="289"/>
      <c r="M250" s="289"/>
      <c r="N250" s="289"/>
      <c r="O250" s="289"/>
      <c r="P250" s="352">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8"/>
      <c r="AS250" s="288"/>
      <c r="AT250" s="321"/>
    </row>
    <row r="251" spans="1:46" s="272" customFormat="1">
      <c r="A251" s="290"/>
      <c r="B251" s="290"/>
      <c r="C251" s="290"/>
      <c r="D251" s="290"/>
      <c r="E251" s="290"/>
      <c r="F251" s="290"/>
      <c r="G251" s="290"/>
      <c r="H251" s="289"/>
      <c r="I251" s="289"/>
      <c r="J251" s="289"/>
      <c r="K251" s="289"/>
      <c r="L251" s="289"/>
      <c r="M251" s="289"/>
      <c r="N251" s="289"/>
      <c r="O251" s="289"/>
      <c r="P251" s="352">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8"/>
      <c r="AS251" s="288"/>
      <c r="AT251" s="321"/>
    </row>
    <row r="252" spans="1:46" s="272" customFormat="1">
      <c r="A252" s="290"/>
      <c r="B252" s="290"/>
      <c r="C252" s="290"/>
      <c r="D252" s="290"/>
      <c r="E252" s="290"/>
      <c r="F252" s="290"/>
      <c r="G252" s="290"/>
      <c r="H252" s="289"/>
      <c r="I252" s="289"/>
      <c r="J252" s="289"/>
      <c r="K252" s="289"/>
      <c r="L252" s="289"/>
      <c r="M252" s="289"/>
      <c r="N252" s="289"/>
      <c r="O252" s="289"/>
      <c r="P252" s="352">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8"/>
      <c r="AS252" s="288"/>
      <c r="AT252" s="321"/>
    </row>
    <row r="253" spans="1:46" s="272" customFormat="1">
      <c r="A253" s="290"/>
      <c r="B253" s="290"/>
      <c r="C253" s="290"/>
      <c r="D253" s="290"/>
      <c r="E253" s="290"/>
      <c r="F253" s="290"/>
      <c r="G253" s="290"/>
      <c r="H253" s="289"/>
      <c r="I253" s="289"/>
      <c r="J253" s="289"/>
      <c r="K253" s="289"/>
      <c r="L253" s="289"/>
      <c r="M253" s="289"/>
      <c r="N253" s="289"/>
      <c r="O253" s="289"/>
      <c r="P253" s="352">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8"/>
      <c r="AS253" s="288"/>
      <c r="AT253" s="321"/>
    </row>
    <row r="254" spans="1:46" s="272" customFormat="1">
      <c r="A254" s="290"/>
      <c r="B254" s="290"/>
      <c r="C254" s="290"/>
      <c r="D254" s="290"/>
      <c r="E254" s="290"/>
      <c r="F254" s="290"/>
      <c r="G254" s="290"/>
      <c r="H254" s="289"/>
      <c r="I254" s="289"/>
      <c r="J254" s="289"/>
      <c r="K254" s="289"/>
      <c r="L254" s="289"/>
      <c r="M254" s="289"/>
      <c r="N254" s="289"/>
      <c r="O254" s="289"/>
      <c r="P254" s="352">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8"/>
      <c r="AS254" s="288"/>
      <c r="AT254" s="321"/>
    </row>
    <row r="255" spans="1:46" s="272" customFormat="1">
      <c r="A255" s="290"/>
      <c r="B255" s="290"/>
      <c r="C255" s="290"/>
      <c r="D255" s="290"/>
      <c r="E255" s="290"/>
      <c r="F255" s="290"/>
      <c r="G255" s="290"/>
      <c r="H255" s="289"/>
      <c r="I255" s="289"/>
      <c r="J255" s="289"/>
      <c r="K255" s="289"/>
      <c r="L255" s="289"/>
      <c r="M255" s="289"/>
      <c r="N255" s="289"/>
      <c r="O255" s="289"/>
      <c r="P255" s="352">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8"/>
      <c r="AS255" s="288"/>
      <c r="AT255" s="321"/>
    </row>
    <row r="256" spans="1:46" s="272" customFormat="1">
      <c r="A256" s="290"/>
      <c r="B256" s="290"/>
      <c r="C256" s="290"/>
      <c r="D256" s="290"/>
      <c r="E256" s="290"/>
      <c r="F256" s="290"/>
      <c r="G256" s="290"/>
      <c r="H256" s="289"/>
      <c r="I256" s="289"/>
      <c r="J256" s="289"/>
      <c r="K256" s="289"/>
      <c r="L256" s="289"/>
      <c r="M256" s="289"/>
      <c r="N256" s="289"/>
      <c r="O256" s="289"/>
      <c r="P256" s="352">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8"/>
      <c r="AS256" s="288"/>
      <c r="AT256" s="321"/>
    </row>
    <row r="257" spans="1:46" s="272" customFormat="1">
      <c r="A257" s="290"/>
      <c r="B257" s="290"/>
      <c r="C257" s="290"/>
      <c r="D257" s="290"/>
      <c r="E257" s="290"/>
      <c r="F257" s="290"/>
      <c r="G257" s="290"/>
      <c r="H257" s="289"/>
      <c r="I257" s="289"/>
      <c r="J257" s="289"/>
      <c r="K257" s="289"/>
      <c r="L257" s="289"/>
      <c r="M257" s="289"/>
      <c r="N257" s="289"/>
      <c r="O257" s="289"/>
      <c r="P257" s="352">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8"/>
      <c r="AS257" s="288"/>
      <c r="AT257" s="321"/>
    </row>
    <row r="258" spans="1:46" s="272" customFormat="1">
      <c r="A258" s="290"/>
      <c r="B258" s="290"/>
      <c r="C258" s="290"/>
      <c r="D258" s="290"/>
      <c r="E258" s="290"/>
      <c r="F258" s="290"/>
      <c r="G258" s="290"/>
      <c r="H258" s="289"/>
      <c r="I258" s="289"/>
      <c r="J258" s="289"/>
      <c r="K258" s="289"/>
      <c r="L258" s="289"/>
      <c r="M258" s="289"/>
      <c r="N258" s="289"/>
      <c r="O258" s="289"/>
      <c r="P258" s="352">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8"/>
      <c r="AS258" s="288"/>
      <c r="AT258" s="321"/>
    </row>
    <row r="259" spans="1:46" s="272" customFormat="1">
      <c r="A259" s="290"/>
      <c r="B259" s="290"/>
      <c r="C259" s="290"/>
      <c r="D259" s="290"/>
      <c r="E259" s="290"/>
      <c r="F259" s="290"/>
      <c r="G259" s="290"/>
      <c r="H259" s="289"/>
      <c r="I259" s="289"/>
      <c r="J259" s="289"/>
      <c r="K259" s="289"/>
      <c r="L259" s="289"/>
      <c r="M259" s="289"/>
      <c r="N259" s="289"/>
      <c r="O259" s="289"/>
      <c r="P259" s="352">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8"/>
      <c r="AS259" s="288"/>
      <c r="AT259" s="321"/>
    </row>
    <row r="260" spans="1:46" s="272" customFormat="1">
      <c r="A260" s="290"/>
      <c r="B260" s="290"/>
      <c r="C260" s="290"/>
      <c r="D260" s="290"/>
      <c r="E260" s="290"/>
      <c r="F260" s="290"/>
      <c r="G260" s="290"/>
      <c r="H260" s="289"/>
      <c r="I260" s="289"/>
      <c r="J260" s="289"/>
      <c r="K260" s="289"/>
      <c r="L260" s="289"/>
      <c r="M260" s="289"/>
      <c r="N260" s="289"/>
      <c r="O260" s="289"/>
      <c r="P260" s="352">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8"/>
      <c r="AS260" s="288"/>
      <c r="AT260" s="321"/>
    </row>
    <row r="261" spans="1:46" s="272" customFormat="1">
      <c r="A261" s="290"/>
      <c r="B261" s="290"/>
      <c r="C261" s="290"/>
      <c r="D261" s="290"/>
      <c r="E261" s="290"/>
      <c r="F261" s="290"/>
      <c r="G261" s="290"/>
      <c r="H261" s="289"/>
      <c r="I261" s="289"/>
      <c r="J261" s="289"/>
      <c r="K261" s="289"/>
      <c r="L261" s="289"/>
      <c r="M261" s="289"/>
      <c r="N261" s="289"/>
      <c r="O261" s="289"/>
      <c r="P261" s="352">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8"/>
      <c r="AS261" s="288"/>
      <c r="AT261" s="321"/>
    </row>
    <row r="262" spans="1:46" s="272" customFormat="1">
      <c r="A262" s="290"/>
      <c r="B262" s="290"/>
      <c r="C262" s="290"/>
      <c r="D262" s="290"/>
      <c r="E262" s="290"/>
      <c r="F262" s="290"/>
      <c r="G262" s="290"/>
      <c r="H262" s="289"/>
      <c r="I262" s="289"/>
      <c r="J262" s="289"/>
      <c r="K262" s="289"/>
      <c r="L262" s="289"/>
      <c r="M262" s="289"/>
      <c r="N262" s="289"/>
      <c r="O262" s="289"/>
      <c r="P262" s="352">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8"/>
      <c r="AS262" s="288"/>
      <c r="AT262" s="321"/>
    </row>
    <row r="263" spans="1:46" s="272" customFormat="1">
      <c r="A263" s="290"/>
      <c r="B263" s="290"/>
      <c r="C263" s="290"/>
      <c r="D263" s="290"/>
      <c r="E263" s="290"/>
      <c r="F263" s="290"/>
      <c r="G263" s="290"/>
      <c r="H263" s="289"/>
      <c r="I263" s="289"/>
      <c r="J263" s="289"/>
      <c r="K263" s="289"/>
      <c r="L263" s="289"/>
      <c r="M263" s="289"/>
      <c r="N263" s="289"/>
      <c r="O263" s="289"/>
      <c r="P263" s="352">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8"/>
      <c r="AS263" s="288"/>
      <c r="AT263" s="321"/>
    </row>
    <row r="264" spans="1:46" s="272" customFormat="1">
      <c r="A264" s="290"/>
      <c r="B264" s="290"/>
      <c r="C264" s="290"/>
      <c r="D264" s="290"/>
      <c r="E264" s="290"/>
      <c r="F264" s="290"/>
      <c r="G264" s="290"/>
      <c r="H264" s="289"/>
      <c r="I264" s="289"/>
      <c r="J264" s="289"/>
      <c r="K264" s="289"/>
      <c r="L264" s="289"/>
      <c r="M264" s="289"/>
      <c r="N264" s="289"/>
      <c r="O264" s="289"/>
      <c r="P264" s="352">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8"/>
      <c r="AS264" s="288"/>
      <c r="AT264" s="321"/>
    </row>
    <row r="265" spans="1:46" s="272" customFormat="1">
      <c r="A265" s="290"/>
      <c r="B265" s="290"/>
      <c r="C265" s="290"/>
      <c r="D265" s="290"/>
      <c r="E265" s="290"/>
      <c r="F265" s="290"/>
      <c r="G265" s="290"/>
      <c r="H265" s="289"/>
      <c r="I265" s="289"/>
      <c r="J265" s="289"/>
      <c r="K265" s="289"/>
      <c r="L265" s="289"/>
      <c r="M265" s="289"/>
      <c r="N265" s="289"/>
      <c r="O265" s="289"/>
      <c r="P265" s="352">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8"/>
      <c r="AS265" s="288"/>
      <c r="AT265" s="321"/>
    </row>
    <row r="266" spans="1:46" s="272" customFormat="1">
      <c r="A266" s="290"/>
      <c r="B266" s="290"/>
      <c r="C266" s="290"/>
      <c r="D266" s="290"/>
      <c r="E266" s="290"/>
      <c r="F266" s="290"/>
      <c r="G266" s="290"/>
      <c r="H266" s="289"/>
      <c r="I266" s="289"/>
      <c r="J266" s="289"/>
      <c r="K266" s="289"/>
      <c r="L266" s="289"/>
      <c r="M266" s="289"/>
      <c r="N266" s="289"/>
      <c r="O266" s="289"/>
      <c r="P266" s="352">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8"/>
      <c r="AS266" s="288"/>
      <c r="AT266" s="321"/>
    </row>
    <row r="267" spans="1:46" s="272" customFormat="1">
      <c r="A267" s="290"/>
      <c r="B267" s="290"/>
      <c r="C267" s="290"/>
      <c r="D267" s="290"/>
      <c r="E267" s="290"/>
      <c r="F267" s="290"/>
      <c r="G267" s="290"/>
      <c r="H267" s="289"/>
      <c r="I267" s="289"/>
      <c r="J267" s="289"/>
      <c r="K267" s="289"/>
      <c r="L267" s="289"/>
      <c r="M267" s="289"/>
      <c r="N267" s="289"/>
      <c r="O267" s="289"/>
      <c r="P267" s="352">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8"/>
      <c r="AS267" s="288"/>
      <c r="AT267" s="321"/>
    </row>
    <row r="268" spans="1:46" s="272" customFormat="1">
      <c r="A268" s="290"/>
      <c r="B268" s="290"/>
      <c r="C268" s="290"/>
      <c r="D268" s="290"/>
      <c r="E268" s="290"/>
      <c r="F268" s="290"/>
      <c r="G268" s="290"/>
      <c r="H268" s="289"/>
      <c r="I268" s="289"/>
      <c r="J268" s="289"/>
      <c r="K268" s="289"/>
      <c r="L268" s="289"/>
      <c r="M268" s="289"/>
      <c r="N268" s="289"/>
      <c r="O268" s="289"/>
      <c r="P268" s="352">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8"/>
      <c r="AS268" s="288"/>
      <c r="AT268" s="321"/>
    </row>
    <row r="269" spans="1:46" s="272" customFormat="1">
      <c r="A269" s="290"/>
      <c r="B269" s="290"/>
      <c r="C269" s="290"/>
      <c r="D269" s="290"/>
      <c r="E269" s="290"/>
      <c r="F269" s="290"/>
      <c r="G269" s="290"/>
      <c r="H269" s="289"/>
      <c r="I269" s="289"/>
      <c r="J269" s="289"/>
      <c r="K269" s="289"/>
      <c r="L269" s="289"/>
      <c r="M269" s="289"/>
      <c r="N269" s="289"/>
      <c r="O269" s="289"/>
      <c r="P269" s="352">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8"/>
      <c r="AS269" s="288"/>
      <c r="AT269" s="321"/>
    </row>
    <row r="270" spans="1:46" s="272" customFormat="1">
      <c r="A270" s="290"/>
      <c r="B270" s="290"/>
      <c r="C270" s="290"/>
      <c r="D270" s="290"/>
      <c r="E270" s="290"/>
      <c r="F270" s="290"/>
      <c r="G270" s="290"/>
      <c r="H270" s="289"/>
      <c r="I270" s="289"/>
      <c r="J270" s="289"/>
      <c r="K270" s="289"/>
      <c r="L270" s="289"/>
      <c r="M270" s="289"/>
      <c r="N270" s="289"/>
      <c r="O270" s="289"/>
      <c r="P270" s="352">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8"/>
      <c r="AS270" s="288"/>
      <c r="AT270" s="321"/>
    </row>
    <row r="271" spans="1:46" s="272" customFormat="1">
      <c r="A271" s="290"/>
      <c r="B271" s="290"/>
      <c r="C271" s="290"/>
      <c r="D271" s="290"/>
      <c r="E271" s="290"/>
      <c r="F271" s="290"/>
      <c r="G271" s="290"/>
      <c r="H271" s="289"/>
      <c r="I271" s="289"/>
      <c r="J271" s="289"/>
      <c r="K271" s="289"/>
      <c r="L271" s="289"/>
      <c r="M271" s="289"/>
      <c r="N271" s="289"/>
      <c r="O271" s="289"/>
      <c r="P271" s="352">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8"/>
      <c r="AS271" s="288"/>
      <c r="AT271" s="321"/>
    </row>
    <row r="272" spans="1:46" s="272" customFormat="1">
      <c r="A272" s="290"/>
      <c r="B272" s="290"/>
      <c r="C272" s="290"/>
      <c r="D272" s="290"/>
      <c r="E272" s="290"/>
      <c r="F272" s="290"/>
      <c r="G272" s="290"/>
      <c r="H272" s="289"/>
      <c r="I272" s="289"/>
      <c r="J272" s="289"/>
      <c r="K272" s="289"/>
      <c r="L272" s="289"/>
      <c r="M272" s="289"/>
      <c r="N272" s="289"/>
      <c r="O272" s="289"/>
      <c r="P272" s="352">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8"/>
      <c r="AS272" s="288"/>
      <c r="AT272" s="321"/>
    </row>
    <row r="273" spans="1:46" s="272" customFormat="1">
      <c r="A273" s="290"/>
      <c r="B273" s="290"/>
      <c r="C273" s="290"/>
      <c r="D273" s="290"/>
      <c r="E273" s="290"/>
      <c r="F273" s="290"/>
      <c r="G273" s="290"/>
      <c r="H273" s="289"/>
      <c r="I273" s="289"/>
      <c r="J273" s="289"/>
      <c r="K273" s="289"/>
      <c r="L273" s="289"/>
      <c r="M273" s="289"/>
      <c r="N273" s="289"/>
      <c r="O273" s="289"/>
      <c r="P273" s="352">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8"/>
      <c r="AS273" s="288"/>
      <c r="AT273" s="321"/>
    </row>
    <row r="274" spans="1:46" s="272" customFormat="1">
      <c r="A274" s="290"/>
      <c r="B274" s="290"/>
      <c r="C274" s="290"/>
      <c r="D274" s="290"/>
      <c r="E274" s="290"/>
      <c r="F274" s="290"/>
      <c r="G274" s="290"/>
      <c r="H274" s="289"/>
      <c r="I274" s="289"/>
      <c r="J274" s="289"/>
      <c r="K274" s="289"/>
      <c r="L274" s="289"/>
      <c r="M274" s="289"/>
      <c r="N274" s="289"/>
      <c r="O274" s="289"/>
      <c r="P274" s="352">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8"/>
      <c r="AS274" s="288"/>
      <c r="AT274" s="321"/>
    </row>
    <row r="275" spans="1:46" s="272" customFormat="1">
      <c r="A275" s="290"/>
      <c r="B275" s="290"/>
      <c r="C275" s="290"/>
      <c r="D275" s="290"/>
      <c r="E275" s="290"/>
      <c r="F275" s="290"/>
      <c r="G275" s="290"/>
      <c r="H275" s="289"/>
      <c r="I275" s="289"/>
      <c r="J275" s="289"/>
      <c r="K275" s="289"/>
      <c r="L275" s="289"/>
      <c r="M275" s="289"/>
      <c r="N275" s="289"/>
      <c r="O275" s="289"/>
      <c r="P275" s="352">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8"/>
      <c r="AS275" s="288"/>
      <c r="AT275" s="321"/>
    </row>
    <row r="276" spans="1:46" s="272" customFormat="1">
      <c r="A276" s="290"/>
      <c r="B276" s="290"/>
      <c r="C276" s="290"/>
      <c r="D276" s="290"/>
      <c r="E276" s="290"/>
      <c r="F276" s="290"/>
      <c r="G276" s="290"/>
      <c r="H276" s="289"/>
      <c r="I276" s="289"/>
      <c r="J276" s="289"/>
      <c r="K276" s="289"/>
      <c r="L276" s="289"/>
      <c r="M276" s="289"/>
      <c r="N276" s="289"/>
      <c r="O276" s="289"/>
      <c r="P276" s="352">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8"/>
      <c r="AS276" s="288"/>
      <c r="AT276" s="321"/>
    </row>
    <row r="277" spans="1:46" s="272" customFormat="1">
      <c r="A277" s="290"/>
      <c r="B277" s="290"/>
      <c r="C277" s="290"/>
      <c r="D277" s="290"/>
      <c r="E277" s="290"/>
      <c r="F277" s="290"/>
      <c r="G277" s="290"/>
      <c r="H277" s="289"/>
      <c r="I277" s="289"/>
      <c r="J277" s="289"/>
      <c r="K277" s="289"/>
      <c r="L277" s="289"/>
      <c r="M277" s="289"/>
      <c r="N277" s="289"/>
      <c r="O277" s="289"/>
      <c r="P277" s="352">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8"/>
      <c r="AS277" s="288"/>
      <c r="AT277" s="321"/>
    </row>
    <row r="278" spans="1:46" s="272" customFormat="1">
      <c r="A278" s="290"/>
      <c r="B278" s="290"/>
      <c r="C278" s="290"/>
      <c r="D278" s="290"/>
      <c r="E278" s="290"/>
      <c r="F278" s="290"/>
      <c r="G278" s="290"/>
      <c r="H278" s="289"/>
      <c r="I278" s="289"/>
      <c r="J278" s="289"/>
      <c r="K278" s="289"/>
      <c r="L278" s="289"/>
      <c r="M278" s="289"/>
      <c r="N278" s="289"/>
      <c r="O278" s="289"/>
      <c r="P278" s="352">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8"/>
      <c r="AS278" s="288"/>
      <c r="AT278" s="321"/>
    </row>
    <row r="279" spans="1:46" s="272" customFormat="1">
      <c r="A279" s="290"/>
      <c r="B279" s="290"/>
      <c r="C279" s="290"/>
      <c r="D279" s="290"/>
      <c r="E279" s="290"/>
      <c r="F279" s="290"/>
      <c r="G279" s="290"/>
      <c r="H279" s="289"/>
      <c r="I279" s="289"/>
      <c r="J279" s="289"/>
      <c r="K279" s="289"/>
      <c r="L279" s="289"/>
      <c r="M279" s="289"/>
      <c r="N279" s="289"/>
      <c r="O279" s="289"/>
      <c r="P279" s="352">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8"/>
      <c r="AS279" s="288"/>
      <c r="AT279" s="321"/>
    </row>
    <row r="280" spans="1:46" s="272" customFormat="1">
      <c r="A280" s="290"/>
      <c r="B280" s="290"/>
      <c r="C280" s="290"/>
      <c r="D280" s="290"/>
      <c r="E280" s="290"/>
      <c r="F280" s="290"/>
      <c r="G280" s="290"/>
      <c r="H280" s="289"/>
      <c r="I280" s="289"/>
      <c r="J280" s="289"/>
      <c r="K280" s="289"/>
      <c r="L280" s="289"/>
      <c r="M280" s="289"/>
      <c r="N280" s="289"/>
      <c r="O280" s="289"/>
      <c r="P280" s="352">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8"/>
      <c r="AS280" s="288"/>
      <c r="AT280" s="321"/>
    </row>
    <row r="281" spans="1:46" s="272" customFormat="1">
      <c r="A281" s="290"/>
      <c r="B281" s="290"/>
      <c r="C281" s="290"/>
      <c r="D281" s="290"/>
      <c r="E281" s="290"/>
      <c r="F281" s="290"/>
      <c r="G281" s="290"/>
      <c r="H281" s="289"/>
      <c r="I281" s="289"/>
      <c r="J281" s="289"/>
      <c r="K281" s="289"/>
      <c r="L281" s="289"/>
      <c r="M281" s="289"/>
      <c r="N281" s="289"/>
      <c r="O281" s="289"/>
      <c r="P281" s="352">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8"/>
      <c r="AS281" s="288"/>
      <c r="AT281" s="321"/>
    </row>
    <row r="282" spans="1:46" s="272" customFormat="1">
      <c r="A282" s="290"/>
      <c r="B282" s="290"/>
      <c r="C282" s="290"/>
      <c r="D282" s="290"/>
      <c r="E282" s="290"/>
      <c r="F282" s="290"/>
      <c r="G282" s="290"/>
      <c r="H282" s="289"/>
      <c r="I282" s="289"/>
      <c r="J282" s="289"/>
      <c r="K282" s="289"/>
      <c r="L282" s="289"/>
      <c r="M282" s="289"/>
      <c r="N282" s="289"/>
      <c r="O282" s="289"/>
      <c r="P282" s="352">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8"/>
      <c r="AS282" s="288"/>
      <c r="AT282" s="321"/>
    </row>
    <row r="283" spans="1:46" s="272" customFormat="1">
      <c r="A283" s="290"/>
      <c r="B283" s="290"/>
      <c r="C283" s="290"/>
      <c r="D283" s="290"/>
      <c r="E283" s="290"/>
      <c r="F283" s="290"/>
      <c r="G283" s="290"/>
      <c r="H283" s="289"/>
      <c r="I283" s="289"/>
      <c r="J283" s="289"/>
      <c r="K283" s="289"/>
      <c r="L283" s="289"/>
      <c r="M283" s="289"/>
      <c r="N283" s="289"/>
      <c r="O283" s="289"/>
      <c r="P283" s="352">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8"/>
      <c r="AS283" s="288"/>
      <c r="AT283" s="321"/>
    </row>
    <row r="284" spans="1:46" s="272" customFormat="1">
      <c r="A284" s="290"/>
      <c r="B284" s="290"/>
      <c r="C284" s="290"/>
      <c r="D284" s="290"/>
      <c r="E284" s="290"/>
      <c r="F284" s="290"/>
      <c r="G284" s="290"/>
      <c r="H284" s="289"/>
      <c r="I284" s="289"/>
      <c r="J284" s="289"/>
      <c r="K284" s="289"/>
      <c r="L284" s="289"/>
      <c r="M284" s="289"/>
      <c r="N284" s="289"/>
      <c r="O284" s="289"/>
      <c r="P284" s="352">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8"/>
      <c r="AS284" s="288"/>
      <c r="AT284" s="321"/>
    </row>
    <row r="285" spans="1:46" s="272" customFormat="1">
      <c r="A285" s="290"/>
      <c r="B285" s="290"/>
      <c r="C285" s="290"/>
      <c r="D285" s="290"/>
      <c r="E285" s="290"/>
      <c r="F285" s="290"/>
      <c r="G285" s="290"/>
      <c r="H285" s="289"/>
      <c r="I285" s="289"/>
      <c r="J285" s="289"/>
      <c r="K285" s="289"/>
      <c r="L285" s="289"/>
      <c r="M285" s="289"/>
      <c r="N285" s="289"/>
      <c r="O285" s="289"/>
      <c r="P285" s="352">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8"/>
      <c r="AS285" s="288"/>
      <c r="AT285" s="321"/>
    </row>
    <row r="286" spans="1:46" s="272" customFormat="1">
      <c r="A286" s="290"/>
      <c r="B286" s="290"/>
      <c r="C286" s="290"/>
      <c r="D286" s="290"/>
      <c r="E286" s="290"/>
      <c r="F286" s="290"/>
      <c r="G286" s="290"/>
      <c r="H286" s="289"/>
      <c r="I286" s="289"/>
      <c r="J286" s="289"/>
      <c r="K286" s="289"/>
      <c r="L286" s="289"/>
      <c r="M286" s="289"/>
      <c r="N286" s="289"/>
      <c r="O286" s="289"/>
      <c r="P286" s="352">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8"/>
      <c r="AS286" s="288"/>
      <c r="AT286" s="321"/>
    </row>
    <row r="287" spans="1:46" s="272" customFormat="1">
      <c r="A287" s="290"/>
      <c r="B287" s="290"/>
      <c r="C287" s="290"/>
      <c r="D287" s="290"/>
      <c r="E287" s="290"/>
      <c r="F287" s="290"/>
      <c r="G287" s="290"/>
      <c r="H287" s="289"/>
      <c r="I287" s="289"/>
      <c r="J287" s="289"/>
      <c r="K287" s="289"/>
      <c r="L287" s="289"/>
      <c r="M287" s="289"/>
      <c r="N287" s="289"/>
      <c r="O287" s="289"/>
      <c r="P287" s="352">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8"/>
      <c r="AS287" s="288"/>
      <c r="AT287" s="321"/>
    </row>
    <row r="288" spans="1:46" s="272" customFormat="1">
      <c r="A288" s="290"/>
      <c r="B288" s="290"/>
      <c r="C288" s="290"/>
      <c r="D288" s="290"/>
      <c r="E288" s="290"/>
      <c r="F288" s="290"/>
      <c r="G288" s="290"/>
      <c r="H288" s="289"/>
      <c r="I288" s="289"/>
      <c r="J288" s="289"/>
      <c r="K288" s="289"/>
      <c r="L288" s="289"/>
      <c r="M288" s="289"/>
      <c r="N288" s="289"/>
      <c r="O288" s="289"/>
      <c r="P288" s="352">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8"/>
      <c r="AS288" s="288"/>
      <c r="AT288" s="321"/>
    </row>
    <row r="289" spans="1:46" s="272" customFormat="1">
      <c r="A289" s="290"/>
      <c r="B289" s="290"/>
      <c r="C289" s="290"/>
      <c r="D289" s="290"/>
      <c r="E289" s="290"/>
      <c r="F289" s="290"/>
      <c r="G289" s="290"/>
      <c r="H289" s="289"/>
      <c r="I289" s="289"/>
      <c r="J289" s="289"/>
      <c r="K289" s="289"/>
      <c r="L289" s="289"/>
      <c r="M289" s="289"/>
      <c r="N289" s="289"/>
      <c r="O289" s="289"/>
      <c r="P289" s="352">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8"/>
      <c r="AS289" s="288"/>
      <c r="AT289" s="321"/>
    </row>
    <row r="290" spans="1:46" s="272" customFormat="1">
      <c r="A290" s="290"/>
      <c r="B290" s="290"/>
      <c r="C290" s="290"/>
      <c r="D290" s="290"/>
      <c r="E290" s="290"/>
      <c r="F290" s="290"/>
      <c r="G290" s="290"/>
      <c r="H290" s="289"/>
      <c r="I290" s="289"/>
      <c r="J290" s="289"/>
      <c r="K290" s="289"/>
      <c r="L290" s="289"/>
      <c r="M290" s="289"/>
      <c r="N290" s="289"/>
      <c r="O290" s="289"/>
      <c r="P290" s="352">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8"/>
      <c r="AS290" s="288"/>
      <c r="AT290" s="321"/>
    </row>
    <row r="291" spans="1:46" s="272" customFormat="1">
      <c r="A291" s="290"/>
      <c r="B291" s="290"/>
      <c r="C291" s="290"/>
      <c r="D291" s="290"/>
      <c r="E291" s="290"/>
      <c r="F291" s="290"/>
      <c r="G291" s="290"/>
      <c r="H291" s="289"/>
      <c r="I291" s="289"/>
      <c r="J291" s="289"/>
      <c r="K291" s="289"/>
      <c r="L291" s="289"/>
      <c r="M291" s="289"/>
      <c r="N291" s="289"/>
      <c r="O291" s="289"/>
      <c r="P291" s="352">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8"/>
      <c r="AS291" s="288"/>
      <c r="AT291" s="321"/>
    </row>
    <row r="292" spans="1:46" s="272" customFormat="1">
      <c r="A292" s="290"/>
      <c r="B292" s="290"/>
      <c r="C292" s="290"/>
      <c r="D292" s="290"/>
      <c r="E292" s="290"/>
      <c r="F292" s="290"/>
      <c r="G292" s="290"/>
      <c r="H292" s="289"/>
      <c r="I292" s="289"/>
      <c r="J292" s="289"/>
      <c r="K292" s="289"/>
      <c r="L292" s="289"/>
      <c r="M292" s="289"/>
      <c r="N292" s="289"/>
      <c r="O292" s="289"/>
      <c r="P292" s="352">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8"/>
      <c r="AS292" s="288"/>
      <c r="AT292" s="321"/>
    </row>
    <row r="293" spans="1:46" s="272" customFormat="1">
      <c r="A293" s="290"/>
      <c r="B293" s="290"/>
      <c r="C293" s="290"/>
      <c r="D293" s="290"/>
      <c r="E293" s="290"/>
      <c r="F293" s="290"/>
      <c r="G293" s="290"/>
      <c r="H293" s="289"/>
      <c r="I293" s="289"/>
      <c r="J293" s="289"/>
      <c r="K293" s="289"/>
      <c r="L293" s="289"/>
      <c r="M293" s="289"/>
      <c r="N293" s="289"/>
      <c r="O293" s="289"/>
      <c r="P293" s="352">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8"/>
      <c r="AS293" s="288"/>
      <c r="AT293" s="321"/>
    </row>
    <row r="294" spans="1:46" s="272" customFormat="1">
      <c r="A294" s="290"/>
      <c r="B294" s="290"/>
      <c r="C294" s="290"/>
      <c r="D294" s="290"/>
      <c r="E294" s="290"/>
      <c r="F294" s="290"/>
      <c r="G294" s="290"/>
      <c r="H294" s="289"/>
      <c r="I294" s="289"/>
      <c r="J294" s="289"/>
      <c r="K294" s="289"/>
      <c r="L294" s="289"/>
      <c r="M294" s="289"/>
      <c r="N294" s="289"/>
      <c r="O294" s="289"/>
      <c r="P294" s="352">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8"/>
      <c r="AS294" s="288"/>
      <c r="AT294" s="321"/>
    </row>
    <row r="295" spans="1:46" s="272" customFormat="1">
      <c r="A295" s="290"/>
      <c r="B295" s="290"/>
      <c r="C295" s="290"/>
      <c r="D295" s="290"/>
      <c r="E295" s="290"/>
      <c r="F295" s="290"/>
      <c r="G295" s="290"/>
      <c r="H295" s="289"/>
      <c r="I295" s="289"/>
      <c r="J295" s="289"/>
      <c r="K295" s="289"/>
      <c r="L295" s="289"/>
      <c r="M295" s="289"/>
      <c r="N295" s="289"/>
      <c r="O295" s="289"/>
      <c r="P295" s="352">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8"/>
      <c r="AS295" s="288"/>
      <c r="AT295" s="321"/>
    </row>
    <row r="296" spans="1:46" s="272" customFormat="1">
      <c r="A296" s="290"/>
      <c r="B296" s="290"/>
      <c r="C296" s="290"/>
      <c r="D296" s="290"/>
      <c r="E296" s="290"/>
      <c r="F296" s="290"/>
      <c r="G296" s="290"/>
      <c r="H296" s="289"/>
      <c r="I296" s="289"/>
      <c r="J296" s="289"/>
      <c r="K296" s="289"/>
      <c r="L296" s="289"/>
      <c r="M296" s="289"/>
      <c r="N296" s="289"/>
      <c r="O296" s="289"/>
      <c r="P296" s="352">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8"/>
      <c r="AS296" s="288"/>
      <c r="AT296" s="321"/>
    </row>
    <row r="297" spans="1:46" s="272" customFormat="1">
      <c r="A297" s="290"/>
      <c r="B297" s="290"/>
      <c r="C297" s="290"/>
      <c r="D297" s="290"/>
      <c r="E297" s="290"/>
      <c r="F297" s="290"/>
      <c r="G297" s="290"/>
      <c r="H297" s="289"/>
      <c r="I297" s="289"/>
      <c r="J297" s="289"/>
      <c r="K297" s="289"/>
      <c r="L297" s="289"/>
      <c r="M297" s="289"/>
      <c r="N297" s="289"/>
      <c r="O297" s="289"/>
      <c r="P297" s="352">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8"/>
      <c r="AS297" s="288"/>
      <c r="AT297" s="321"/>
    </row>
    <row r="298" spans="1:46" s="272" customFormat="1">
      <c r="A298" s="290"/>
      <c r="B298" s="290"/>
      <c r="C298" s="290"/>
      <c r="D298" s="290"/>
      <c r="E298" s="290"/>
      <c r="F298" s="290"/>
      <c r="G298" s="290"/>
      <c r="H298" s="289"/>
      <c r="I298" s="289"/>
      <c r="J298" s="289"/>
      <c r="K298" s="289"/>
      <c r="L298" s="289"/>
      <c r="M298" s="289"/>
      <c r="N298" s="289"/>
      <c r="O298" s="289"/>
      <c r="P298" s="352">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8"/>
      <c r="AS298" s="288"/>
      <c r="AT298" s="321"/>
    </row>
    <row r="299" spans="1:46" s="272" customFormat="1">
      <c r="A299" s="290"/>
      <c r="B299" s="290"/>
      <c r="C299" s="290"/>
      <c r="D299" s="290"/>
      <c r="E299" s="290"/>
      <c r="F299" s="290"/>
      <c r="G299" s="290"/>
      <c r="H299" s="289"/>
      <c r="I299" s="289"/>
      <c r="J299" s="289"/>
      <c r="K299" s="289"/>
      <c r="L299" s="289"/>
      <c r="M299" s="289"/>
      <c r="N299" s="289"/>
      <c r="O299" s="289"/>
      <c r="P299" s="352">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8"/>
      <c r="AS299" s="288"/>
      <c r="AT299" s="321"/>
    </row>
    <row r="300" spans="1:46" s="272" customFormat="1">
      <c r="A300" s="290"/>
      <c r="B300" s="290"/>
      <c r="C300" s="290"/>
      <c r="D300" s="290"/>
      <c r="E300" s="290"/>
      <c r="F300" s="290"/>
      <c r="G300" s="290"/>
      <c r="H300" s="289"/>
      <c r="I300" s="289"/>
      <c r="J300" s="289"/>
      <c r="K300" s="289"/>
      <c r="L300" s="289"/>
      <c r="M300" s="289"/>
      <c r="N300" s="289"/>
      <c r="O300" s="289"/>
      <c r="P300" s="352">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8"/>
      <c r="AS300" s="288"/>
      <c r="AT300" s="321"/>
    </row>
    <row r="301" spans="1:46" s="272" customFormat="1">
      <c r="A301" s="290"/>
      <c r="B301" s="290"/>
      <c r="C301" s="290"/>
      <c r="D301" s="290"/>
      <c r="E301" s="290"/>
      <c r="F301" s="290"/>
      <c r="G301" s="290"/>
      <c r="H301" s="289"/>
      <c r="I301" s="289"/>
      <c r="J301" s="289"/>
      <c r="K301" s="289"/>
      <c r="L301" s="289"/>
      <c r="M301" s="289"/>
      <c r="N301" s="289"/>
      <c r="O301" s="289"/>
      <c r="P301" s="352">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8"/>
      <c r="AS301" s="288"/>
      <c r="AT301" s="321"/>
    </row>
    <row r="302" spans="1:46" s="272" customFormat="1">
      <c r="A302" s="290"/>
      <c r="B302" s="290"/>
      <c r="C302" s="290"/>
      <c r="D302" s="290"/>
      <c r="E302" s="290"/>
      <c r="F302" s="290"/>
      <c r="G302" s="290"/>
      <c r="H302" s="289"/>
      <c r="I302" s="289"/>
      <c r="J302" s="289"/>
      <c r="K302" s="289"/>
      <c r="L302" s="289"/>
      <c r="M302" s="289"/>
      <c r="N302" s="289"/>
      <c r="O302" s="289"/>
      <c r="P302" s="352">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8"/>
      <c r="AS302" s="288"/>
      <c r="AT302" s="321"/>
    </row>
    <row r="303" spans="1:46" s="272" customFormat="1">
      <c r="A303" s="290"/>
      <c r="B303" s="290"/>
      <c r="C303" s="290"/>
      <c r="D303" s="290"/>
      <c r="E303" s="290"/>
      <c r="F303" s="290"/>
      <c r="G303" s="290"/>
      <c r="H303" s="289"/>
      <c r="I303" s="289"/>
      <c r="J303" s="289"/>
      <c r="K303" s="289"/>
      <c r="L303" s="289"/>
      <c r="M303" s="289"/>
      <c r="N303" s="289"/>
      <c r="O303" s="289"/>
      <c r="P303" s="352">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8"/>
      <c r="AS303" s="288"/>
      <c r="AT303" s="321"/>
    </row>
    <row r="304" spans="1:46" s="272" customFormat="1">
      <c r="A304" s="290"/>
      <c r="B304" s="290"/>
      <c r="C304" s="290"/>
      <c r="D304" s="290"/>
      <c r="E304" s="290"/>
      <c r="F304" s="290"/>
      <c r="G304" s="290"/>
      <c r="H304" s="289"/>
      <c r="I304" s="289"/>
      <c r="J304" s="289"/>
      <c r="K304" s="289"/>
      <c r="L304" s="289"/>
      <c r="M304" s="289"/>
      <c r="N304" s="289"/>
      <c r="O304" s="289"/>
      <c r="P304" s="352">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8"/>
      <c r="AS304" s="288"/>
      <c r="AT304" s="321"/>
    </row>
    <row r="305" spans="1:46" s="272" customFormat="1">
      <c r="A305" s="290"/>
      <c r="B305" s="290"/>
      <c r="C305" s="290"/>
      <c r="D305" s="290"/>
      <c r="E305" s="290"/>
      <c r="F305" s="290"/>
      <c r="G305" s="290"/>
      <c r="H305" s="289"/>
      <c r="I305" s="289"/>
      <c r="J305" s="289"/>
      <c r="K305" s="289"/>
      <c r="L305" s="289"/>
      <c r="M305" s="289"/>
      <c r="N305" s="289"/>
      <c r="O305" s="289"/>
      <c r="P305" s="352">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8"/>
      <c r="AS305" s="288"/>
      <c r="AT305" s="321"/>
    </row>
    <row r="306" spans="1:46" s="272" customFormat="1">
      <c r="A306" s="290"/>
      <c r="B306" s="290"/>
      <c r="C306" s="290"/>
      <c r="D306" s="290"/>
      <c r="E306" s="290"/>
      <c r="F306" s="290"/>
      <c r="G306" s="290"/>
      <c r="H306" s="289"/>
      <c r="I306" s="289"/>
      <c r="J306" s="289"/>
      <c r="K306" s="289"/>
      <c r="L306" s="289"/>
      <c r="M306" s="289"/>
      <c r="N306" s="289"/>
      <c r="O306" s="289"/>
      <c r="P306" s="352">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8"/>
      <c r="AS306" s="288"/>
      <c r="AT306" s="321"/>
    </row>
    <row r="307" spans="1:46" s="272" customFormat="1">
      <c r="A307" s="290"/>
      <c r="B307" s="290"/>
      <c r="C307" s="290"/>
      <c r="D307" s="290"/>
      <c r="E307" s="290"/>
      <c r="F307" s="290"/>
      <c r="G307" s="290"/>
      <c r="H307" s="289"/>
      <c r="I307" s="289"/>
      <c r="J307" s="289"/>
      <c r="K307" s="289"/>
      <c r="L307" s="289"/>
      <c r="M307" s="289"/>
      <c r="N307" s="289"/>
      <c r="O307" s="289"/>
      <c r="P307" s="352">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8"/>
      <c r="AS307" s="288"/>
      <c r="AT307" s="321"/>
    </row>
    <row r="308" spans="1:46" s="272" customFormat="1">
      <c r="A308" s="290"/>
      <c r="B308" s="290"/>
      <c r="C308" s="290"/>
      <c r="D308" s="290"/>
      <c r="E308" s="290"/>
      <c r="F308" s="290"/>
      <c r="G308" s="290"/>
      <c r="H308" s="289"/>
      <c r="I308" s="289"/>
      <c r="J308" s="289"/>
      <c r="K308" s="289"/>
      <c r="L308" s="289"/>
      <c r="M308" s="289"/>
      <c r="N308" s="289"/>
      <c r="O308" s="289"/>
      <c r="P308" s="352">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8"/>
      <c r="AS308" s="288"/>
      <c r="AT308" s="321"/>
    </row>
    <row r="309" spans="1:46" s="272" customFormat="1">
      <c r="A309" s="290"/>
      <c r="B309" s="290"/>
      <c r="C309" s="290"/>
      <c r="D309" s="290"/>
      <c r="E309" s="290"/>
      <c r="F309" s="290"/>
      <c r="G309" s="290"/>
      <c r="H309" s="289"/>
      <c r="I309" s="289"/>
      <c r="J309" s="289"/>
      <c r="K309" s="289"/>
      <c r="L309" s="289"/>
      <c r="M309" s="289"/>
      <c r="N309" s="289"/>
      <c r="O309" s="289"/>
      <c r="P309" s="352">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8"/>
      <c r="AS309" s="288"/>
      <c r="AT309" s="321"/>
    </row>
    <row r="310" spans="1:46" s="272" customFormat="1">
      <c r="A310" s="290"/>
      <c r="B310" s="290"/>
      <c r="C310" s="290"/>
      <c r="D310" s="290"/>
      <c r="E310" s="290"/>
      <c r="F310" s="290"/>
      <c r="G310" s="290"/>
      <c r="H310" s="289"/>
      <c r="I310" s="289"/>
      <c r="J310" s="289"/>
      <c r="K310" s="289"/>
      <c r="L310" s="289"/>
      <c r="M310" s="289"/>
      <c r="N310" s="289"/>
      <c r="O310" s="289"/>
      <c r="P310" s="352">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8"/>
      <c r="AS310" s="288"/>
      <c r="AT310" s="321"/>
    </row>
    <row r="311" spans="1:46" s="272" customFormat="1">
      <c r="A311" s="290"/>
      <c r="B311" s="290"/>
      <c r="C311" s="290"/>
      <c r="D311" s="290"/>
      <c r="E311" s="290"/>
      <c r="F311" s="290"/>
      <c r="G311" s="290"/>
      <c r="H311" s="289"/>
      <c r="I311" s="289"/>
      <c r="J311" s="289"/>
      <c r="K311" s="289"/>
      <c r="L311" s="289"/>
      <c r="M311" s="289"/>
      <c r="N311" s="289"/>
      <c r="O311" s="289"/>
      <c r="P311" s="352">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8"/>
      <c r="AS311" s="288"/>
      <c r="AT311" s="321"/>
    </row>
    <row r="312" spans="1:46" s="272" customFormat="1">
      <c r="A312" s="290"/>
      <c r="B312" s="290"/>
      <c r="C312" s="290"/>
      <c r="D312" s="290"/>
      <c r="E312" s="290"/>
      <c r="F312" s="290"/>
      <c r="G312" s="290"/>
      <c r="H312" s="289"/>
      <c r="I312" s="289"/>
      <c r="J312" s="289"/>
      <c r="K312" s="289"/>
      <c r="L312" s="289"/>
      <c r="M312" s="289"/>
      <c r="N312" s="289"/>
      <c r="O312" s="289"/>
      <c r="P312" s="352">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8"/>
      <c r="AS312" s="288"/>
      <c r="AT312" s="321"/>
    </row>
    <row r="313" spans="1:46" s="272" customFormat="1">
      <c r="A313" s="290"/>
      <c r="B313" s="290"/>
      <c r="C313" s="290"/>
      <c r="D313" s="290"/>
      <c r="E313" s="290"/>
      <c r="F313" s="290"/>
      <c r="G313" s="290"/>
      <c r="H313" s="289"/>
      <c r="I313" s="289"/>
      <c r="J313" s="289"/>
      <c r="K313" s="289"/>
      <c r="L313" s="289"/>
      <c r="M313" s="289"/>
      <c r="N313" s="289"/>
      <c r="O313" s="289"/>
      <c r="P313" s="352">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8"/>
      <c r="AS313" s="288"/>
      <c r="AT313" s="321"/>
    </row>
    <row r="314" spans="1:46" s="272" customFormat="1">
      <c r="A314" s="290"/>
      <c r="B314" s="290"/>
      <c r="C314" s="290"/>
      <c r="D314" s="290"/>
      <c r="E314" s="290"/>
      <c r="F314" s="290"/>
      <c r="G314" s="290"/>
      <c r="H314" s="289"/>
      <c r="I314" s="289"/>
      <c r="J314" s="289"/>
      <c r="K314" s="289"/>
      <c r="L314" s="289"/>
      <c r="M314" s="289"/>
      <c r="N314" s="289"/>
      <c r="O314" s="289"/>
      <c r="P314" s="352">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8"/>
      <c r="AS314" s="288"/>
      <c r="AT314" s="321"/>
    </row>
    <row r="315" spans="1:46" s="272" customFormat="1">
      <c r="A315" s="290"/>
      <c r="B315" s="290"/>
      <c r="C315" s="290"/>
      <c r="D315" s="290"/>
      <c r="E315" s="290"/>
      <c r="F315" s="290"/>
      <c r="G315" s="290"/>
      <c r="H315" s="289"/>
      <c r="I315" s="289"/>
      <c r="J315" s="289"/>
      <c r="K315" s="289"/>
      <c r="L315" s="289"/>
      <c r="M315" s="289"/>
      <c r="N315" s="289"/>
      <c r="O315" s="289"/>
      <c r="P315" s="352">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8"/>
      <c r="AS315" s="288"/>
      <c r="AT315" s="321"/>
    </row>
    <row r="316" spans="1:46" s="272" customFormat="1">
      <c r="A316" s="290"/>
      <c r="B316" s="290"/>
      <c r="C316" s="290"/>
      <c r="D316" s="290"/>
      <c r="E316" s="290"/>
      <c r="F316" s="290"/>
      <c r="G316" s="290"/>
      <c r="H316" s="289"/>
      <c r="I316" s="289"/>
      <c r="J316" s="289"/>
      <c r="K316" s="289"/>
      <c r="L316" s="289"/>
      <c r="M316" s="289"/>
      <c r="N316" s="289"/>
      <c r="O316" s="289"/>
      <c r="P316" s="352">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8"/>
      <c r="AS316" s="288"/>
      <c r="AT316" s="321"/>
    </row>
    <row r="317" spans="1:46" s="272" customFormat="1">
      <c r="A317" s="290"/>
      <c r="B317" s="290"/>
      <c r="C317" s="290"/>
      <c r="D317" s="290"/>
      <c r="E317" s="290"/>
      <c r="F317" s="290"/>
      <c r="G317" s="290"/>
      <c r="H317" s="289"/>
      <c r="I317" s="289"/>
      <c r="J317" s="289"/>
      <c r="K317" s="289"/>
      <c r="L317" s="289"/>
      <c r="M317" s="289"/>
      <c r="N317" s="289"/>
      <c r="O317" s="289"/>
      <c r="P317" s="352">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8"/>
      <c r="AS317" s="288"/>
      <c r="AT317" s="321"/>
    </row>
    <row r="318" spans="1:46" s="272" customFormat="1">
      <c r="A318" s="290"/>
      <c r="B318" s="290"/>
      <c r="C318" s="290"/>
      <c r="D318" s="290"/>
      <c r="E318" s="290"/>
      <c r="F318" s="290"/>
      <c r="G318" s="290"/>
      <c r="H318" s="289"/>
      <c r="I318" s="289"/>
      <c r="J318" s="289"/>
      <c r="K318" s="289"/>
      <c r="L318" s="289"/>
      <c r="M318" s="289"/>
      <c r="N318" s="289"/>
      <c r="O318" s="289"/>
      <c r="P318" s="352">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8"/>
      <c r="AS318" s="288"/>
      <c r="AT318" s="321"/>
    </row>
    <row r="319" spans="1:46" s="272" customFormat="1">
      <c r="A319" s="290"/>
      <c r="B319" s="290"/>
      <c r="C319" s="290"/>
      <c r="D319" s="290"/>
      <c r="E319" s="290"/>
      <c r="F319" s="290"/>
      <c r="G319" s="290"/>
      <c r="H319" s="289"/>
      <c r="I319" s="289"/>
      <c r="J319" s="289"/>
      <c r="K319" s="289"/>
      <c r="L319" s="289"/>
      <c r="M319" s="289"/>
      <c r="N319" s="289"/>
      <c r="O319" s="289"/>
      <c r="P319" s="352">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8"/>
      <c r="AS319" s="288"/>
      <c r="AT319" s="321"/>
    </row>
    <row r="320" spans="1:46" s="272" customFormat="1">
      <c r="A320" s="290"/>
      <c r="B320" s="290"/>
      <c r="C320" s="290"/>
      <c r="D320" s="290"/>
      <c r="E320" s="290"/>
      <c r="F320" s="290"/>
      <c r="G320" s="290"/>
      <c r="H320" s="289"/>
      <c r="I320" s="289"/>
      <c r="J320" s="289"/>
      <c r="K320" s="289"/>
      <c r="L320" s="289"/>
      <c r="M320" s="289"/>
      <c r="N320" s="289"/>
      <c r="O320" s="289"/>
      <c r="P320" s="352">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8"/>
      <c r="AS320" s="288"/>
      <c r="AT320" s="321"/>
    </row>
    <row r="321" spans="1:46" s="272" customFormat="1">
      <c r="A321" s="290"/>
      <c r="B321" s="290"/>
      <c r="C321" s="290"/>
      <c r="D321" s="290"/>
      <c r="E321" s="290"/>
      <c r="F321" s="290"/>
      <c r="G321" s="290"/>
      <c r="H321" s="289"/>
      <c r="I321" s="289"/>
      <c r="J321" s="289"/>
      <c r="K321" s="289"/>
      <c r="L321" s="289"/>
      <c r="M321" s="289"/>
      <c r="N321" s="289"/>
      <c r="O321" s="289"/>
      <c r="P321" s="352">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8"/>
      <c r="AS321" s="288"/>
      <c r="AT321" s="321"/>
    </row>
    <row r="322" spans="1:46" s="272" customFormat="1">
      <c r="A322" s="290"/>
      <c r="B322" s="290"/>
      <c r="C322" s="290"/>
      <c r="D322" s="290"/>
      <c r="E322" s="290"/>
      <c r="F322" s="290"/>
      <c r="G322" s="290"/>
      <c r="H322" s="289"/>
      <c r="I322" s="289"/>
      <c r="J322" s="289"/>
      <c r="K322" s="289"/>
      <c r="L322" s="289"/>
      <c r="M322" s="289"/>
      <c r="N322" s="289"/>
      <c r="O322" s="289"/>
      <c r="P322" s="352">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8"/>
      <c r="AS322" s="288"/>
      <c r="AT322" s="321"/>
    </row>
    <row r="323" spans="1:46" s="272" customFormat="1">
      <c r="A323" s="290"/>
      <c r="B323" s="290"/>
      <c r="C323" s="290"/>
      <c r="D323" s="290"/>
      <c r="E323" s="290"/>
      <c r="F323" s="290"/>
      <c r="G323" s="290"/>
      <c r="H323" s="289"/>
      <c r="I323" s="289"/>
      <c r="J323" s="289"/>
      <c r="K323" s="289"/>
      <c r="L323" s="289"/>
      <c r="M323" s="289"/>
      <c r="N323" s="289"/>
      <c r="O323" s="289"/>
      <c r="P323" s="352">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8"/>
      <c r="AS323" s="288"/>
      <c r="AT323" s="321"/>
    </row>
    <row r="324" spans="1:46" s="272" customFormat="1">
      <c r="A324" s="290"/>
      <c r="B324" s="290"/>
      <c r="C324" s="290"/>
      <c r="D324" s="290"/>
      <c r="E324" s="290"/>
      <c r="F324" s="290"/>
      <c r="G324" s="290"/>
      <c r="H324" s="289"/>
      <c r="I324" s="289"/>
      <c r="J324" s="289"/>
      <c r="K324" s="289"/>
      <c r="L324" s="289"/>
      <c r="M324" s="289"/>
      <c r="N324" s="289"/>
      <c r="O324" s="289"/>
      <c r="P324" s="352">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8"/>
      <c r="AS324" s="288"/>
      <c r="AT324" s="321"/>
    </row>
    <row r="325" spans="1:46" s="272" customFormat="1">
      <c r="A325" s="290"/>
      <c r="B325" s="290"/>
      <c r="C325" s="290"/>
      <c r="D325" s="290"/>
      <c r="E325" s="290"/>
      <c r="F325" s="290"/>
      <c r="G325" s="290"/>
      <c r="H325" s="289"/>
      <c r="I325" s="289"/>
      <c r="J325" s="289"/>
      <c r="K325" s="289"/>
      <c r="L325" s="289"/>
      <c r="M325" s="289"/>
      <c r="N325" s="289"/>
      <c r="O325" s="289"/>
      <c r="P325" s="352">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8"/>
      <c r="AS325" s="288"/>
      <c r="AT325" s="321"/>
    </row>
    <row r="326" spans="1:46" s="272" customFormat="1">
      <c r="A326" s="290"/>
      <c r="B326" s="290"/>
      <c r="C326" s="290"/>
      <c r="D326" s="290"/>
      <c r="E326" s="290"/>
      <c r="F326" s="290"/>
      <c r="G326" s="290"/>
      <c r="H326" s="289"/>
      <c r="I326" s="289"/>
      <c r="J326" s="289"/>
      <c r="K326" s="289"/>
      <c r="L326" s="289"/>
      <c r="M326" s="289"/>
      <c r="N326" s="289"/>
      <c r="O326" s="289"/>
      <c r="P326" s="352">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8"/>
      <c r="AS326" s="288"/>
      <c r="AT326" s="321"/>
    </row>
    <row r="327" spans="1:46" s="272" customFormat="1">
      <c r="A327" s="290"/>
      <c r="B327" s="290"/>
      <c r="C327" s="290"/>
      <c r="D327" s="290"/>
      <c r="E327" s="290"/>
      <c r="F327" s="290"/>
      <c r="G327" s="290"/>
      <c r="H327" s="289"/>
      <c r="I327" s="289"/>
      <c r="J327" s="289"/>
      <c r="K327" s="289"/>
      <c r="L327" s="289"/>
      <c r="M327" s="289"/>
      <c r="N327" s="289"/>
      <c r="O327" s="289"/>
      <c r="P327" s="352">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8"/>
      <c r="AS327" s="288"/>
      <c r="AT327" s="321"/>
    </row>
    <row r="328" spans="1:46" s="272" customFormat="1">
      <c r="A328" s="290"/>
      <c r="B328" s="290"/>
      <c r="C328" s="290"/>
      <c r="D328" s="290"/>
      <c r="E328" s="290"/>
      <c r="F328" s="290"/>
      <c r="G328" s="290"/>
      <c r="H328" s="289"/>
      <c r="I328" s="289"/>
      <c r="J328" s="289"/>
      <c r="K328" s="289"/>
      <c r="L328" s="289"/>
      <c r="M328" s="289"/>
      <c r="N328" s="289"/>
      <c r="O328" s="289"/>
      <c r="P328" s="352">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8"/>
      <c r="AS328" s="288"/>
      <c r="AT328" s="321"/>
    </row>
    <row r="329" spans="1:46" s="272" customFormat="1">
      <c r="A329" s="290"/>
      <c r="B329" s="290"/>
      <c r="C329" s="290"/>
      <c r="D329" s="290"/>
      <c r="E329" s="290"/>
      <c r="F329" s="290"/>
      <c r="G329" s="290"/>
      <c r="H329" s="289"/>
      <c r="I329" s="289"/>
      <c r="J329" s="289"/>
      <c r="K329" s="289"/>
      <c r="L329" s="289"/>
      <c r="M329" s="289"/>
      <c r="N329" s="289"/>
      <c r="O329" s="289"/>
      <c r="P329" s="352">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8"/>
      <c r="AS329" s="288"/>
      <c r="AT329" s="321"/>
    </row>
    <row r="330" spans="1:46" s="272" customFormat="1">
      <c r="A330" s="290"/>
      <c r="B330" s="290"/>
      <c r="C330" s="290"/>
      <c r="D330" s="290"/>
      <c r="E330" s="290"/>
      <c r="F330" s="290"/>
      <c r="G330" s="290"/>
      <c r="H330" s="289"/>
      <c r="I330" s="289"/>
      <c r="J330" s="289"/>
      <c r="K330" s="289"/>
      <c r="L330" s="289"/>
      <c r="M330" s="289"/>
      <c r="N330" s="289"/>
      <c r="O330" s="289"/>
      <c r="P330" s="352">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8"/>
      <c r="AS330" s="288"/>
      <c r="AT330" s="321"/>
    </row>
    <row r="331" spans="1:46" s="272" customFormat="1">
      <c r="A331" s="290"/>
      <c r="B331" s="290"/>
      <c r="C331" s="290"/>
      <c r="D331" s="290"/>
      <c r="E331" s="290"/>
      <c r="F331" s="290"/>
      <c r="G331" s="290"/>
      <c r="H331" s="289"/>
      <c r="I331" s="289"/>
      <c r="J331" s="289"/>
      <c r="K331" s="289"/>
      <c r="L331" s="289"/>
      <c r="M331" s="289"/>
      <c r="N331" s="289"/>
      <c r="O331" s="289"/>
      <c r="P331" s="352">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8"/>
      <c r="AS331" s="288"/>
      <c r="AT331" s="321"/>
    </row>
    <row r="332" spans="1:46" s="272" customFormat="1">
      <c r="A332" s="290"/>
      <c r="B332" s="290"/>
      <c r="C332" s="290"/>
      <c r="D332" s="290"/>
      <c r="E332" s="290"/>
      <c r="F332" s="290"/>
      <c r="G332" s="290"/>
      <c r="H332" s="289"/>
      <c r="I332" s="289"/>
      <c r="J332" s="289"/>
      <c r="K332" s="289"/>
      <c r="L332" s="289"/>
      <c r="M332" s="289"/>
      <c r="N332" s="289"/>
      <c r="O332" s="289"/>
      <c r="P332" s="352">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8"/>
      <c r="AS332" s="288"/>
      <c r="AT332" s="321"/>
    </row>
    <row r="333" spans="1:46" s="272" customFormat="1">
      <c r="A333" s="290"/>
      <c r="B333" s="290"/>
      <c r="C333" s="290"/>
      <c r="D333" s="290"/>
      <c r="E333" s="290"/>
      <c r="F333" s="290"/>
      <c r="G333" s="290"/>
      <c r="H333" s="289"/>
      <c r="I333" s="289"/>
      <c r="J333" s="289"/>
      <c r="K333" s="289"/>
      <c r="L333" s="289"/>
      <c r="M333" s="289"/>
      <c r="N333" s="289"/>
      <c r="O333" s="289"/>
      <c r="P333" s="352">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8"/>
      <c r="AS333" s="288"/>
      <c r="AT333" s="321"/>
    </row>
    <row r="334" spans="1:46" s="272" customFormat="1">
      <c r="A334" s="290"/>
      <c r="B334" s="290"/>
      <c r="C334" s="290"/>
      <c r="D334" s="290"/>
      <c r="E334" s="290"/>
      <c r="F334" s="290"/>
      <c r="G334" s="290"/>
      <c r="H334" s="289"/>
      <c r="I334" s="289"/>
      <c r="J334" s="289"/>
      <c r="K334" s="289"/>
      <c r="L334" s="289"/>
      <c r="M334" s="289"/>
      <c r="N334" s="289"/>
      <c r="O334" s="289"/>
      <c r="P334" s="352">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8"/>
      <c r="AS334" s="288"/>
      <c r="AT334" s="321"/>
    </row>
    <row r="335" spans="1:46" s="272" customFormat="1">
      <c r="A335" s="290"/>
      <c r="B335" s="290"/>
      <c r="C335" s="290"/>
      <c r="D335" s="290"/>
      <c r="E335" s="290"/>
      <c r="F335" s="290"/>
      <c r="G335" s="290"/>
      <c r="H335" s="289"/>
      <c r="I335" s="289"/>
      <c r="J335" s="289"/>
      <c r="K335" s="289"/>
      <c r="L335" s="289"/>
      <c r="M335" s="289"/>
      <c r="N335" s="289"/>
      <c r="O335" s="289"/>
      <c r="P335" s="352">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8"/>
      <c r="AS335" s="288"/>
      <c r="AT335" s="321"/>
    </row>
    <row r="336" spans="1:46" s="272" customFormat="1">
      <c r="A336" s="290"/>
      <c r="B336" s="290"/>
      <c r="C336" s="290"/>
      <c r="D336" s="290"/>
      <c r="E336" s="290"/>
      <c r="F336" s="290"/>
      <c r="G336" s="290"/>
      <c r="H336" s="289"/>
      <c r="I336" s="289"/>
      <c r="J336" s="289"/>
      <c r="K336" s="289"/>
      <c r="L336" s="289"/>
      <c r="M336" s="289"/>
      <c r="N336" s="289"/>
      <c r="O336" s="289"/>
      <c r="P336" s="352">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8"/>
      <c r="AS336" s="288"/>
      <c r="AT336" s="321"/>
    </row>
    <row r="337" spans="1:46" s="272" customFormat="1">
      <c r="A337" s="290"/>
      <c r="B337" s="290"/>
      <c r="C337" s="290"/>
      <c r="D337" s="290"/>
      <c r="E337" s="290"/>
      <c r="F337" s="290"/>
      <c r="G337" s="290"/>
      <c r="H337" s="289"/>
      <c r="I337" s="289"/>
      <c r="J337" s="289"/>
      <c r="K337" s="289"/>
      <c r="L337" s="289"/>
      <c r="M337" s="289"/>
      <c r="N337" s="289"/>
      <c r="O337" s="289"/>
      <c r="P337" s="352">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8"/>
      <c r="AS337" s="288"/>
      <c r="AT337" s="321"/>
    </row>
    <row r="338" spans="1:46" s="272" customFormat="1">
      <c r="A338" s="290"/>
      <c r="B338" s="290"/>
      <c r="C338" s="290"/>
      <c r="D338" s="290"/>
      <c r="E338" s="290"/>
      <c r="F338" s="290"/>
      <c r="G338" s="290"/>
      <c r="H338" s="289"/>
      <c r="I338" s="289"/>
      <c r="J338" s="289"/>
      <c r="K338" s="289"/>
      <c r="L338" s="289"/>
      <c r="M338" s="289"/>
      <c r="N338" s="289"/>
      <c r="O338" s="289"/>
      <c r="P338" s="352">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8"/>
      <c r="AS338" s="288"/>
      <c r="AT338" s="321"/>
    </row>
    <row r="339" spans="1:46" s="272" customFormat="1">
      <c r="A339" s="290"/>
      <c r="B339" s="290"/>
      <c r="C339" s="290"/>
      <c r="D339" s="290"/>
      <c r="E339" s="290"/>
      <c r="F339" s="290"/>
      <c r="G339" s="290"/>
      <c r="H339" s="289"/>
      <c r="I339" s="289"/>
      <c r="J339" s="289"/>
      <c r="K339" s="289"/>
      <c r="L339" s="289"/>
      <c r="M339" s="289"/>
      <c r="N339" s="289"/>
      <c r="O339" s="289"/>
      <c r="P339" s="352">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8"/>
      <c r="AS339" s="288"/>
      <c r="AT339" s="321"/>
    </row>
    <row r="340" spans="1:46" s="272" customFormat="1">
      <c r="A340" s="290"/>
      <c r="B340" s="290"/>
      <c r="C340" s="290"/>
      <c r="D340" s="290"/>
      <c r="E340" s="290"/>
      <c r="F340" s="290"/>
      <c r="G340" s="290"/>
      <c r="H340" s="289"/>
      <c r="I340" s="289"/>
      <c r="J340" s="289"/>
      <c r="K340" s="289"/>
      <c r="L340" s="289"/>
      <c r="M340" s="289"/>
      <c r="N340" s="289"/>
      <c r="O340" s="289"/>
      <c r="P340" s="352">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8"/>
      <c r="AS340" s="288"/>
      <c r="AT340" s="321"/>
    </row>
    <row r="341" spans="1:46" s="272" customFormat="1">
      <c r="A341" s="290"/>
      <c r="B341" s="290"/>
      <c r="C341" s="290"/>
      <c r="D341" s="290"/>
      <c r="E341" s="290"/>
      <c r="F341" s="290"/>
      <c r="G341" s="290"/>
      <c r="H341" s="289"/>
      <c r="I341" s="289"/>
      <c r="J341" s="289"/>
      <c r="K341" s="289"/>
      <c r="L341" s="289"/>
      <c r="M341" s="289"/>
      <c r="N341" s="289"/>
      <c r="O341" s="289"/>
      <c r="P341" s="352">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8"/>
      <c r="AS341" s="288"/>
      <c r="AT341" s="321"/>
    </row>
    <row r="342" spans="1:46" s="272" customFormat="1">
      <c r="A342" s="290"/>
      <c r="B342" s="290"/>
      <c r="C342" s="290"/>
      <c r="D342" s="290"/>
      <c r="E342" s="290"/>
      <c r="F342" s="290"/>
      <c r="G342" s="290"/>
      <c r="H342" s="289"/>
      <c r="I342" s="289"/>
      <c r="J342" s="289"/>
      <c r="K342" s="289"/>
      <c r="L342" s="289"/>
      <c r="M342" s="289"/>
      <c r="N342" s="289"/>
      <c r="O342" s="289"/>
      <c r="P342" s="352">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8"/>
      <c r="AS342" s="288"/>
      <c r="AT342" s="321"/>
    </row>
    <row r="343" spans="1:46" s="272" customFormat="1">
      <c r="A343" s="290"/>
      <c r="B343" s="290"/>
      <c r="C343" s="290"/>
      <c r="D343" s="290"/>
      <c r="E343" s="290"/>
      <c r="F343" s="290"/>
      <c r="G343" s="290"/>
      <c r="H343" s="289"/>
      <c r="I343" s="289"/>
      <c r="J343" s="289"/>
      <c r="K343" s="289"/>
      <c r="L343" s="289"/>
      <c r="M343" s="289"/>
      <c r="N343" s="289"/>
      <c r="O343" s="289"/>
      <c r="P343" s="352">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8"/>
      <c r="AS343" s="288"/>
      <c r="AT343" s="321"/>
    </row>
    <row r="344" spans="1:46" s="272" customFormat="1">
      <c r="A344" s="290"/>
      <c r="B344" s="290"/>
      <c r="C344" s="290"/>
      <c r="D344" s="290"/>
      <c r="E344" s="290"/>
      <c r="F344" s="290"/>
      <c r="G344" s="290"/>
      <c r="H344" s="289"/>
      <c r="I344" s="289"/>
      <c r="J344" s="289"/>
      <c r="K344" s="289"/>
      <c r="L344" s="289"/>
      <c r="M344" s="289"/>
      <c r="N344" s="289"/>
      <c r="O344" s="289"/>
      <c r="P344" s="352">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8"/>
      <c r="AS344" s="288"/>
      <c r="AT344" s="321"/>
    </row>
    <row r="345" spans="1:46" s="272" customFormat="1">
      <c r="A345" s="290"/>
      <c r="B345" s="290"/>
      <c r="C345" s="290"/>
      <c r="D345" s="290"/>
      <c r="E345" s="290"/>
      <c r="F345" s="290"/>
      <c r="G345" s="290"/>
      <c r="H345" s="289"/>
      <c r="I345" s="289"/>
      <c r="J345" s="289"/>
      <c r="K345" s="289"/>
      <c r="L345" s="289"/>
      <c r="M345" s="289"/>
      <c r="N345" s="289"/>
      <c r="O345" s="289"/>
      <c r="P345" s="352">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8"/>
      <c r="AS345" s="288"/>
      <c r="AT345" s="321"/>
    </row>
    <row r="346" spans="1:46" s="272" customFormat="1">
      <c r="A346" s="290"/>
      <c r="B346" s="290"/>
      <c r="C346" s="290"/>
      <c r="D346" s="290"/>
      <c r="E346" s="290"/>
      <c r="F346" s="290"/>
      <c r="G346" s="290"/>
      <c r="H346" s="289"/>
      <c r="I346" s="289"/>
      <c r="J346" s="289"/>
      <c r="K346" s="289"/>
      <c r="L346" s="289"/>
      <c r="M346" s="289"/>
      <c r="N346" s="289"/>
      <c r="O346" s="289"/>
      <c r="P346" s="352">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8"/>
      <c r="AS346" s="288"/>
      <c r="AT346" s="321"/>
    </row>
    <row r="347" spans="1:46" s="272" customFormat="1">
      <c r="A347" s="290"/>
      <c r="B347" s="290"/>
      <c r="C347" s="290"/>
      <c r="D347" s="290"/>
      <c r="E347" s="290"/>
      <c r="F347" s="290"/>
      <c r="G347" s="290"/>
      <c r="H347" s="289"/>
      <c r="I347" s="289"/>
      <c r="J347" s="289"/>
      <c r="K347" s="289"/>
      <c r="L347" s="289"/>
      <c r="M347" s="289"/>
      <c r="N347" s="289"/>
      <c r="O347" s="289"/>
      <c r="P347" s="352">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8"/>
      <c r="AS347" s="288"/>
      <c r="AT347" s="321"/>
    </row>
    <row r="348" spans="1:46" s="272" customFormat="1">
      <c r="A348" s="290"/>
      <c r="B348" s="290"/>
      <c r="C348" s="290"/>
      <c r="D348" s="290"/>
      <c r="E348" s="290"/>
      <c r="F348" s="290"/>
      <c r="G348" s="290"/>
      <c r="H348" s="289"/>
      <c r="I348" s="289"/>
      <c r="J348" s="289"/>
      <c r="K348" s="289"/>
      <c r="L348" s="289"/>
      <c r="M348" s="289"/>
      <c r="N348" s="289"/>
      <c r="O348" s="289"/>
      <c r="P348" s="352">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8"/>
      <c r="AS348" s="288"/>
      <c r="AT348" s="321"/>
    </row>
    <row r="349" spans="1:46" s="272" customFormat="1">
      <c r="A349" s="290"/>
      <c r="B349" s="290"/>
      <c r="C349" s="290"/>
      <c r="D349" s="290"/>
      <c r="E349" s="290"/>
      <c r="F349" s="290"/>
      <c r="G349" s="290"/>
      <c r="H349" s="289"/>
      <c r="I349" s="289"/>
      <c r="J349" s="289"/>
      <c r="K349" s="289"/>
      <c r="L349" s="289"/>
      <c r="M349" s="289"/>
      <c r="N349" s="289"/>
      <c r="O349" s="289"/>
      <c r="P349" s="352">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8"/>
      <c r="AS349" s="288"/>
      <c r="AT349" s="321"/>
    </row>
    <row r="350" spans="1:46" s="272" customFormat="1">
      <c r="A350" s="290"/>
      <c r="B350" s="290"/>
      <c r="C350" s="290"/>
      <c r="D350" s="290"/>
      <c r="E350" s="290"/>
      <c r="F350" s="290"/>
      <c r="G350" s="290"/>
      <c r="H350" s="289"/>
      <c r="I350" s="289"/>
      <c r="J350" s="289"/>
      <c r="K350" s="289"/>
      <c r="L350" s="289"/>
      <c r="M350" s="289"/>
      <c r="N350" s="289"/>
      <c r="O350" s="289"/>
      <c r="P350" s="352">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8"/>
      <c r="AS350" s="288"/>
      <c r="AT350" s="321"/>
    </row>
    <row r="351" spans="1:46" s="272" customFormat="1">
      <c r="A351" s="290"/>
      <c r="B351" s="290"/>
      <c r="C351" s="290"/>
      <c r="D351" s="290"/>
      <c r="E351" s="290"/>
      <c r="F351" s="290"/>
      <c r="G351" s="290"/>
      <c r="H351" s="289"/>
      <c r="I351" s="289"/>
      <c r="J351" s="289"/>
      <c r="K351" s="289"/>
      <c r="L351" s="289"/>
      <c r="M351" s="289"/>
      <c r="N351" s="289"/>
      <c r="O351" s="289"/>
      <c r="P351" s="352">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8"/>
      <c r="AS351" s="288"/>
      <c r="AT351" s="321"/>
    </row>
    <row r="352" spans="1:46" s="272" customFormat="1">
      <c r="A352" s="290"/>
      <c r="B352" s="290"/>
      <c r="C352" s="290"/>
      <c r="D352" s="290"/>
      <c r="E352" s="290"/>
      <c r="F352" s="290"/>
      <c r="G352" s="290"/>
      <c r="H352" s="289"/>
      <c r="I352" s="289"/>
      <c r="J352" s="289"/>
      <c r="K352" s="289"/>
      <c r="L352" s="289"/>
      <c r="M352" s="289"/>
      <c r="N352" s="289"/>
      <c r="O352" s="289"/>
      <c r="P352" s="352">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8"/>
      <c r="AS352" s="288"/>
      <c r="AT352" s="321"/>
    </row>
    <row r="353" spans="1:46" s="272" customFormat="1">
      <c r="A353" s="290"/>
      <c r="B353" s="290"/>
      <c r="C353" s="290"/>
      <c r="D353" s="290"/>
      <c r="E353" s="290"/>
      <c r="F353" s="290"/>
      <c r="G353" s="290"/>
      <c r="H353" s="289"/>
      <c r="I353" s="289"/>
      <c r="J353" s="289"/>
      <c r="K353" s="289"/>
      <c r="L353" s="289"/>
      <c r="M353" s="289"/>
      <c r="N353" s="289"/>
      <c r="O353" s="289"/>
      <c r="P353" s="352">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8"/>
      <c r="AS353" s="288"/>
      <c r="AT353" s="321"/>
    </row>
    <row r="354" spans="1:46" s="272" customFormat="1">
      <c r="A354" s="290"/>
      <c r="B354" s="290"/>
      <c r="C354" s="290"/>
      <c r="D354" s="290"/>
      <c r="E354" s="290"/>
      <c r="F354" s="290"/>
      <c r="G354" s="290"/>
      <c r="H354" s="289"/>
      <c r="I354" s="289"/>
      <c r="J354" s="289"/>
      <c r="K354" s="289"/>
      <c r="L354" s="289"/>
      <c r="M354" s="289"/>
      <c r="N354" s="289"/>
      <c r="O354" s="289"/>
      <c r="P354" s="352">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8"/>
      <c r="AS354" s="288"/>
      <c r="AT354" s="321"/>
    </row>
    <row r="355" spans="1:46" s="272" customFormat="1">
      <c r="A355" s="290"/>
      <c r="B355" s="290"/>
      <c r="C355" s="290"/>
      <c r="D355" s="290"/>
      <c r="E355" s="290"/>
      <c r="F355" s="290"/>
      <c r="G355" s="290"/>
      <c r="H355" s="289"/>
      <c r="I355" s="289"/>
      <c r="J355" s="289"/>
      <c r="K355" s="289"/>
      <c r="L355" s="289"/>
      <c r="M355" s="289"/>
      <c r="N355" s="289"/>
      <c r="O355" s="289"/>
      <c r="P355" s="352">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8"/>
      <c r="AS355" s="288"/>
      <c r="AT355" s="321"/>
    </row>
    <row r="356" spans="1:46" s="272" customFormat="1">
      <c r="A356" s="290"/>
      <c r="B356" s="290"/>
      <c r="C356" s="290"/>
      <c r="D356" s="290"/>
      <c r="E356" s="290"/>
      <c r="F356" s="290"/>
      <c r="G356" s="290"/>
      <c r="H356" s="289"/>
      <c r="I356" s="289"/>
      <c r="J356" s="289"/>
      <c r="K356" s="289"/>
      <c r="L356" s="289"/>
      <c r="M356" s="289"/>
      <c r="N356" s="289"/>
      <c r="O356" s="289"/>
      <c r="P356" s="352">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8"/>
      <c r="AS356" s="288"/>
      <c r="AT356" s="321"/>
    </row>
    <row r="357" spans="1:46" s="272" customFormat="1">
      <c r="A357" s="290"/>
      <c r="B357" s="290"/>
      <c r="C357" s="290"/>
      <c r="D357" s="290"/>
      <c r="E357" s="290"/>
      <c r="F357" s="290"/>
      <c r="G357" s="290"/>
      <c r="H357" s="289"/>
      <c r="I357" s="289"/>
      <c r="J357" s="289"/>
      <c r="K357" s="289"/>
      <c r="L357" s="289"/>
      <c r="M357" s="289"/>
      <c r="N357" s="289"/>
      <c r="O357" s="289"/>
      <c r="P357" s="352">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8"/>
      <c r="AS357" s="288"/>
      <c r="AT357" s="321"/>
    </row>
    <row r="358" spans="1:46" s="272" customFormat="1">
      <c r="A358" s="290"/>
      <c r="B358" s="290"/>
      <c r="C358" s="290"/>
      <c r="D358" s="290"/>
      <c r="E358" s="290"/>
      <c r="F358" s="290"/>
      <c r="G358" s="290"/>
      <c r="H358" s="289"/>
      <c r="I358" s="289"/>
      <c r="J358" s="289"/>
      <c r="K358" s="289"/>
      <c r="L358" s="289"/>
      <c r="M358" s="289"/>
      <c r="N358" s="289"/>
      <c r="O358" s="289"/>
      <c r="P358" s="352">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8"/>
      <c r="AS358" s="288"/>
      <c r="AT358" s="321"/>
    </row>
    <row r="359" spans="1:46" s="272" customFormat="1">
      <c r="A359" s="290"/>
      <c r="B359" s="290"/>
      <c r="C359" s="290"/>
      <c r="D359" s="290"/>
      <c r="E359" s="290"/>
      <c r="F359" s="290"/>
      <c r="G359" s="290"/>
      <c r="H359" s="289"/>
      <c r="I359" s="289"/>
      <c r="J359" s="289"/>
      <c r="K359" s="289"/>
      <c r="L359" s="289"/>
      <c r="M359" s="289"/>
      <c r="N359" s="289"/>
      <c r="O359" s="289"/>
      <c r="P359" s="352">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8"/>
      <c r="AS359" s="288"/>
      <c r="AT359" s="321"/>
    </row>
    <row r="360" spans="1:46" s="272" customFormat="1">
      <c r="A360" s="290"/>
      <c r="B360" s="290"/>
      <c r="C360" s="290"/>
      <c r="D360" s="290"/>
      <c r="E360" s="290"/>
      <c r="F360" s="290"/>
      <c r="G360" s="290"/>
      <c r="H360" s="289"/>
      <c r="I360" s="289"/>
      <c r="J360" s="289"/>
      <c r="K360" s="289"/>
      <c r="L360" s="289"/>
      <c r="M360" s="289"/>
      <c r="N360" s="289"/>
      <c r="O360" s="289"/>
      <c r="P360" s="352">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8"/>
      <c r="AS360" s="288"/>
      <c r="AT360" s="321"/>
    </row>
    <row r="361" spans="1:46" s="272" customFormat="1">
      <c r="A361" s="290"/>
      <c r="B361" s="290"/>
      <c r="C361" s="290"/>
      <c r="D361" s="290"/>
      <c r="E361" s="290"/>
      <c r="F361" s="290"/>
      <c r="G361" s="290"/>
      <c r="H361" s="289"/>
      <c r="I361" s="289"/>
      <c r="J361" s="289"/>
      <c r="K361" s="289"/>
      <c r="L361" s="289"/>
      <c r="M361" s="289"/>
      <c r="N361" s="289"/>
      <c r="O361" s="289"/>
      <c r="P361" s="352">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8"/>
      <c r="AS361" s="288"/>
      <c r="AT361" s="321"/>
    </row>
    <row r="362" spans="1:46" s="272" customFormat="1">
      <c r="A362" s="290"/>
      <c r="B362" s="290"/>
      <c r="C362" s="290"/>
      <c r="D362" s="290"/>
      <c r="E362" s="290"/>
      <c r="F362" s="290"/>
      <c r="G362" s="290"/>
      <c r="H362" s="289"/>
      <c r="I362" s="289"/>
      <c r="J362" s="289"/>
      <c r="K362" s="289"/>
      <c r="L362" s="289"/>
      <c r="M362" s="289"/>
      <c r="N362" s="289"/>
      <c r="O362" s="289"/>
      <c r="P362" s="352">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8"/>
      <c r="AS362" s="288"/>
      <c r="AT362" s="321"/>
    </row>
    <row r="363" spans="1:46" s="272" customFormat="1">
      <c r="A363" s="290"/>
      <c r="B363" s="290"/>
      <c r="C363" s="290"/>
      <c r="D363" s="290"/>
      <c r="E363" s="290"/>
      <c r="F363" s="290"/>
      <c r="G363" s="290"/>
      <c r="H363" s="289"/>
      <c r="I363" s="289"/>
      <c r="J363" s="289"/>
      <c r="K363" s="289"/>
      <c r="L363" s="289"/>
      <c r="M363" s="289"/>
      <c r="N363" s="289"/>
      <c r="O363" s="289"/>
      <c r="P363" s="352">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8"/>
      <c r="AS363" s="288"/>
      <c r="AT363" s="321"/>
    </row>
    <row r="364" spans="1:46" s="272" customFormat="1">
      <c r="A364" s="290"/>
      <c r="B364" s="290"/>
      <c r="C364" s="290"/>
      <c r="D364" s="290"/>
      <c r="E364" s="290"/>
      <c r="F364" s="290"/>
      <c r="G364" s="290"/>
      <c r="H364" s="289"/>
      <c r="I364" s="289"/>
      <c r="J364" s="289"/>
      <c r="K364" s="289"/>
      <c r="L364" s="289"/>
      <c r="M364" s="289"/>
      <c r="N364" s="289"/>
      <c r="O364" s="289"/>
      <c r="P364" s="352">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8"/>
      <c r="AS364" s="288"/>
      <c r="AT364" s="321"/>
    </row>
    <row r="365" spans="1:46" s="272" customFormat="1">
      <c r="A365" s="290"/>
      <c r="B365" s="290"/>
      <c r="C365" s="290"/>
      <c r="D365" s="290"/>
      <c r="E365" s="290"/>
      <c r="F365" s="290"/>
      <c r="G365" s="290"/>
      <c r="H365" s="289"/>
      <c r="I365" s="289"/>
      <c r="J365" s="289"/>
      <c r="K365" s="289"/>
      <c r="L365" s="289"/>
      <c r="M365" s="289"/>
      <c r="N365" s="289"/>
      <c r="O365" s="289"/>
      <c r="P365" s="352">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8"/>
      <c r="AS365" s="288"/>
      <c r="AT365" s="321"/>
    </row>
    <row r="366" spans="1:46" s="272" customFormat="1">
      <c r="A366" s="290"/>
      <c r="B366" s="290"/>
      <c r="C366" s="290"/>
      <c r="D366" s="290"/>
      <c r="E366" s="290"/>
      <c r="F366" s="290"/>
      <c r="G366" s="290"/>
      <c r="H366" s="289"/>
      <c r="I366" s="289"/>
      <c r="J366" s="289"/>
      <c r="K366" s="289"/>
      <c r="L366" s="289"/>
      <c r="M366" s="289"/>
      <c r="N366" s="289"/>
      <c r="O366" s="289"/>
      <c r="P366" s="352">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8"/>
      <c r="AS366" s="288"/>
      <c r="AT366" s="321"/>
    </row>
    <row r="367" spans="1:46" s="272" customFormat="1">
      <c r="A367" s="290"/>
      <c r="B367" s="290"/>
      <c r="C367" s="290"/>
      <c r="D367" s="290"/>
      <c r="E367" s="290"/>
      <c r="F367" s="290"/>
      <c r="G367" s="290"/>
      <c r="H367" s="289"/>
      <c r="I367" s="289"/>
      <c r="J367" s="289"/>
      <c r="K367" s="289"/>
      <c r="L367" s="289"/>
      <c r="M367" s="289"/>
      <c r="N367" s="289"/>
      <c r="O367" s="289"/>
      <c r="P367" s="352">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8"/>
      <c r="AS367" s="288"/>
      <c r="AT367" s="321"/>
    </row>
    <row r="368" spans="1:46" s="272" customFormat="1">
      <c r="A368" s="290"/>
      <c r="B368" s="290"/>
      <c r="C368" s="290"/>
      <c r="D368" s="290"/>
      <c r="E368" s="290"/>
      <c r="F368" s="290"/>
      <c r="G368" s="290"/>
      <c r="H368" s="289"/>
      <c r="I368" s="289"/>
      <c r="J368" s="289"/>
      <c r="K368" s="289"/>
      <c r="L368" s="289"/>
      <c r="M368" s="289"/>
      <c r="N368" s="289"/>
      <c r="O368" s="289"/>
      <c r="P368" s="352">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8"/>
      <c r="AS368" s="288"/>
      <c r="AT368" s="321"/>
    </row>
    <row r="369" spans="1:46" s="272" customFormat="1">
      <c r="A369" s="290"/>
      <c r="B369" s="290"/>
      <c r="C369" s="290"/>
      <c r="D369" s="290"/>
      <c r="E369" s="290"/>
      <c r="F369" s="290"/>
      <c r="G369" s="290"/>
      <c r="H369" s="289"/>
      <c r="I369" s="289"/>
      <c r="J369" s="289"/>
      <c r="K369" s="289"/>
      <c r="L369" s="289"/>
      <c r="M369" s="289"/>
      <c r="N369" s="289"/>
      <c r="O369" s="289"/>
      <c r="P369" s="352">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8"/>
      <c r="AS369" s="288"/>
      <c r="AT369" s="321"/>
    </row>
    <row r="370" spans="1:46" s="272" customFormat="1">
      <c r="A370" s="290"/>
      <c r="B370" s="290"/>
      <c r="C370" s="290"/>
      <c r="D370" s="290"/>
      <c r="E370" s="290"/>
      <c r="F370" s="290"/>
      <c r="G370" s="290"/>
      <c r="H370" s="289"/>
      <c r="I370" s="289"/>
      <c r="J370" s="289"/>
      <c r="K370" s="289"/>
      <c r="L370" s="289"/>
      <c r="M370" s="289"/>
      <c r="N370" s="289"/>
      <c r="O370" s="289"/>
      <c r="P370" s="352">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8"/>
      <c r="AS370" s="288"/>
      <c r="AT370" s="321"/>
    </row>
    <row r="371" spans="1:46" s="272" customFormat="1">
      <c r="A371" s="290"/>
      <c r="B371" s="290"/>
      <c r="C371" s="290"/>
      <c r="D371" s="290"/>
      <c r="E371" s="290"/>
      <c r="F371" s="290"/>
      <c r="G371" s="290"/>
      <c r="H371" s="289"/>
      <c r="I371" s="289"/>
      <c r="J371" s="289"/>
      <c r="K371" s="289"/>
      <c r="L371" s="289"/>
      <c r="M371" s="289"/>
      <c r="N371" s="289"/>
      <c r="O371" s="289"/>
      <c r="P371" s="352">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8"/>
      <c r="AS371" s="288"/>
      <c r="AT371" s="321"/>
    </row>
    <row r="372" spans="1:46" s="272" customFormat="1">
      <c r="A372" s="290"/>
      <c r="B372" s="290"/>
      <c r="C372" s="290"/>
      <c r="D372" s="290"/>
      <c r="E372" s="290"/>
      <c r="F372" s="290"/>
      <c r="G372" s="290"/>
      <c r="H372" s="289"/>
      <c r="I372" s="289"/>
      <c r="J372" s="289"/>
      <c r="K372" s="289"/>
      <c r="L372" s="289"/>
      <c r="M372" s="289"/>
      <c r="N372" s="289"/>
      <c r="O372" s="289"/>
      <c r="P372" s="352">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8"/>
      <c r="AS372" s="288"/>
      <c r="AT372" s="321"/>
    </row>
    <row r="373" spans="1:46" s="272" customFormat="1">
      <c r="A373" s="290"/>
      <c r="B373" s="290"/>
      <c r="C373" s="290"/>
      <c r="D373" s="290"/>
      <c r="E373" s="290"/>
      <c r="F373" s="290"/>
      <c r="G373" s="290"/>
      <c r="H373" s="289"/>
      <c r="I373" s="289"/>
      <c r="J373" s="289"/>
      <c r="K373" s="289"/>
      <c r="L373" s="289"/>
      <c r="M373" s="289"/>
      <c r="N373" s="289"/>
      <c r="O373" s="289"/>
      <c r="P373" s="352">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8"/>
      <c r="AS373" s="288"/>
      <c r="AT373" s="321"/>
    </row>
    <row r="374" spans="1:46" s="272" customFormat="1">
      <c r="A374" s="290"/>
      <c r="B374" s="290"/>
      <c r="C374" s="290"/>
      <c r="D374" s="290"/>
      <c r="E374" s="290"/>
      <c r="F374" s="290"/>
      <c r="G374" s="290"/>
      <c r="H374" s="289"/>
      <c r="I374" s="289"/>
      <c r="J374" s="289"/>
      <c r="K374" s="289"/>
      <c r="L374" s="289"/>
      <c r="M374" s="289"/>
      <c r="N374" s="289"/>
      <c r="O374" s="289"/>
      <c r="P374" s="352">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8"/>
      <c r="AS374" s="288"/>
      <c r="AT374" s="321"/>
    </row>
    <row r="375" spans="1:46" s="272" customFormat="1">
      <c r="A375" s="290"/>
      <c r="B375" s="290"/>
      <c r="C375" s="290"/>
      <c r="D375" s="290"/>
      <c r="E375" s="290"/>
      <c r="F375" s="290"/>
      <c r="G375" s="290"/>
      <c r="H375" s="289"/>
      <c r="I375" s="289"/>
      <c r="J375" s="289"/>
      <c r="K375" s="289"/>
      <c r="L375" s="289"/>
      <c r="M375" s="289"/>
      <c r="N375" s="289"/>
      <c r="O375" s="289"/>
      <c r="P375" s="352">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8"/>
      <c r="AS375" s="288"/>
      <c r="AT375" s="321"/>
    </row>
    <row r="376" spans="1:46" s="272" customFormat="1">
      <c r="A376" s="290"/>
      <c r="B376" s="290"/>
      <c r="C376" s="290"/>
      <c r="D376" s="290"/>
      <c r="E376" s="290"/>
      <c r="F376" s="290"/>
      <c r="G376" s="290"/>
      <c r="H376" s="289"/>
      <c r="I376" s="289"/>
      <c r="J376" s="289"/>
      <c r="K376" s="289"/>
      <c r="L376" s="289"/>
      <c r="M376" s="289"/>
      <c r="N376" s="289"/>
      <c r="O376" s="289"/>
      <c r="P376" s="352">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8"/>
      <c r="AS376" s="288"/>
      <c r="AT376" s="321"/>
    </row>
    <row r="377" spans="1:46" s="272" customFormat="1">
      <c r="A377" s="290"/>
      <c r="B377" s="290"/>
      <c r="C377" s="290"/>
      <c r="D377" s="290"/>
      <c r="E377" s="290"/>
      <c r="F377" s="290"/>
      <c r="G377" s="290"/>
      <c r="H377" s="289"/>
      <c r="I377" s="289"/>
      <c r="J377" s="289"/>
      <c r="K377" s="289"/>
      <c r="L377" s="289"/>
      <c r="M377" s="289"/>
      <c r="N377" s="289"/>
      <c r="O377" s="289"/>
      <c r="P377" s="352">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8"/>
      <c r="AS377" s="288"/>
      <c r="AT377" s="321"/>
    </row>
    <row r="378" spans="1:46" s="272" customFormat="1">
      <c r="A378" s="290"/>
      <c r="B378" s="290"/>
      <c r="C378" s="290"/>
      <c r="D378" s="290"/>
      <c r="E378" s="290"/>
      <c r="F378" s="290"/>
      <c r="G378" s="290"/>
      <c r="H378" s="289"/>
      <c r="I378" s="289"/>
      <c r="J378" s="289"/>
      <c r="K378" s="289"/>
      <c r="L378" s="289"/>
      <c r="M378" s="289"/>
      <c r="N378" s="289"/>
      <c r="O378" s="289"/>
      <c r="P378" s="352">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8"/>
      <c r="AS378" s="288"/>
      <c r="AT378" s="321"/>
    </row>
    <row r="379" spans="1:46" s="272" customFormat="1">
      <c r="A379" s="290"/>
      <c r="B379" s="290"/>
      <c r="C379" s="290"/>
      <c r="D379" s="290"/>
      <c r="E379" s="290"/>
      <c r="F379" s="290"/>
      <c r="G379" s="290"/>
      <c r="H379" s="289"/>
      <c r="I379" s="289"/>
      <c r="J379" s="289"/>
      <c r="K379" s="289"/>
      <c r="L379" s="289"/>
      <c r="M379" s="289"/>
      <c r="N379" s="289"/>
      <c r="O379" s="289"/>
      <c r="P379" s="352">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8"/>
      <c r="AS379" s="288"/>
      <c r="AT379" s="321"/>
    </row>
    <row r="380" spans="1:46" s="272" customFormat="1">
      <c r="A380" s="290"/>
      <c r="B380" s="290"/>
      <c r="C380" s="290"/>
      <c r="D380" s="290"/>
      <c r="E380" s="290"/>
      <c r="F380" s="290"/>
      <c r="G380" s="290"/>
      <c r="H380" s="289"/>
      <c r="I380" s="289"/>
      <c r="J380" s="289"/>
      <c r="K380" s="289"/>
      <c r="L380" s="289"/>
      <c r="M380" s="289"/>
      <c r="N380" s="289"/>
      <c r="O380" s="289"/>
      <c r="P380" s="352">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8"/>
      <c r="AS380" s="288"/>
      <c r="AT380" s="321"/>
    </row>
    <row r="381" spans="1:46" s="272" customFormat="1">
      <c r="A381" s="290"/>
      <c r="B381" s="290"/>
      <c r="C381" s="290"/>
      <c r="D381" s="290"/>
      <c r="E381" s="290"/>
      <c r="F381" s="290"/>
      <c r="G381" s="290"/>
      <c r="H381" s="289"/>
      <c r="I381" s="289"/>
      <c r="J381" s="289"/>
      <c r="K381" s="289"/>
      <c r="L381" s="289"/>
      <c r="M381" s="289"/>
      <c r="N381" s="289"/>
      <c r="O381" s="289"/>
      <c r="P381" s="352">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8"/>
      <c r="AS381" s="288"/>
      <c r="AT381" s="321"/>
    </row>
    <row r="382" spans="1:46" s="272" customFormat="1">
      <c r="A382" s="290"/>
      <c r="B382" s="290"/>
      <c r="C382" s="290"/>
      <c r="D382" s="290"/>
      <c r="E382" s="290"/>
      <c r="F382" s="290"/>
      <c r="G382" s="290"/>
      <c r="H382" s="289"/>
      <c r="I382" s="289"/>
      <c r="J382" s="289"/>
      <c r="K382" s="289"/>
      <c r="L382" s="289"/>
      <c r="M382" s="289"/>
      <c r="N382" s="289"/>
      <c r="O382" s="289"/>
      <c r="P382" s="352">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8"/>
      <c r="AS382" s="288"/>
      <c r="AT382" s="321"/>
    </row>
    <row r="383" spans="1:46" s="272" customFormat="1">
      <c r="A383" s="290"/>
      <c r="B383" s="290"/>
      <c r="C383" s="290"/>
      <c r="D383" s="290"/>
      <c r="E383" s="290"/>
      <c r="F383" s="290"/>
      <c r="G383" s="290"/>
      <c r="H383" s="289"/>
      <c r="I383" s="289"/>
      <c r="J383" s="289"/>
      <c r="K383" s="289"/>
      <c r="L383" s="289"/>
      <c r="M383" s="289"/>
      <c r="N383" s="289"/>
      <c r="O383" s="289"/>
      <c r="P383" s="352">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8"/>
      <c r="AS383" s="288"/>
      <c r="AT383" s="321"/>
    </row>
    <row r="384" spans="1:46" s="272" customFormat="1">
      <c r="A384" s="290"/>
      <c r="B384" s="290"/>
      <c r="C384" s="290"/>
      <c r="D384" s="290"/>
      <c r="E384" s="290"/>
      <c r="F384" s="290"/>
      <c r="G384" s="290"/>
      <c r="H384" s="289"/>
      <c r="I384" s="289"/>
      <c r="J384" s="289"/>
      <c r="K384" s="289"/>
      <c r="L384" s="289"/>
      <c r="M384" s="289"/>
      <c r="N384" s="289"/>
      <c r="O384" s="289"/>
      <c r="P384" s="352">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8"/>
      <c r="AS384" s="288"/>
      <c r="AT384" s="321"/>
    </row>
    <row r="385" spans="1:46" s="272" customFormat="1">
      <c r="A385" s="290"/>
      <c r="B385" s="290"/>
      <c r="C385" s="290"/>
      <c r="D385" s="290"/>
      <c r="E385" s="290"/>
      <c r="F385" s="290"/>
      <c r="G385" s="290"/>
      <c r="H385" s="289"/>
      <c r="I385" s="289"/>
      <c r="J385" s="289"/>
      <c r="K385" s="289"/>
      <c r="L385" s="289"/>
      <c r="M385" s="289"/>
      <c r="N385" s="289"/>
      <c r="O385" s="289"/>
      <c r="P385" s="352">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8"/>
      <c r="AS385" s="288"/>
      <c r="AT385" s="321"/>
    </row>
    <row r="386" spans="1:46" s="272" customFormat="1">
      <c r="A386" s="290"/>
      <c r="B386" s="290"/>
      <c r="C386" s="290"/>
      <c r="D386" s="290"/>
      <c r="E386" s="290"/>
      <c r="F386" s="290"/>
      <c r="G386" s="290"/>
      <c r="H386" s="289"/>
      <c r="I386" s="289"/>
      <c r="J386" s="289"/>
      <c r="K386" s="289"/>
      <c r="L386" s="289"/>
      <c r="M386" s="289"/>
      <c r="N386" s="289"/>
      <c r="O386" s="289"/>
      <c r="P386" s="352">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8"/>
      <c r="AS386" s="288"/>
      <c r="AT386" s="321"/>
    </row>
    <row r="387" spans="1:46" s="272" customFormat="1">
      <c r="A387" s="290"/>
      <c r="B387" s="290"/>
      <c r="C387" s="290"/>
      <c r="D387" s="290"/>
      <c r="E387" s="290"/>
      <c r="F387" s="290"/>
      <c r="G387" s="290"/>
      <c r="H387" s="289"/>
      <c r="I387" s="289"/>
      <c r="J387" s="289"/>
      <c r="K387" s="289"/>
      <c r="L387" s="289"/>
      <c r="M387" s="289"/>
      <c r="N387" s="289"/>
      <c r="O387" s="289"/>
      <c r="P387" s="352">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8"/>
      <c r="AS387" s="288"/>
      <c r="AT387" s="321"/>
    </row>
    <row r="388" spans="1:46" s="272" customFormat="1">
      <c r="A388" s="290"/>
      <c r="B388" s="290"/>
      <c r="C388" s="290"/>
      <c r="D388" s="290"/>
      <c r="E388" s="290"/>
      <c r="F388" s="290"/>
      <c r="G388" s="290"/>
      <c r="H388" s="289"/>
      <c r="I388" s="289"/>
      <c r="J388" s="289"/>
      <c r="K388" s="289"/>
      <c r="L388" s="289"/>
      <c r="M388" s="289"/>
      <c r="N388" s="289"/>
      <c r="O388" s="289"/>
      <c r="P388" s="352">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8"/>
      <c r="AS388" s="288"/>
      <c r="AT388" s="321"/>
    </row>
    <row r="389" spans="1:46" s="272" customFormat="1">
      <c r="A389" s="290"/>
      <c r="B389" s="290"/>
      <c r="C389" s="290"/>
      <c r="D389" s="290"/>
      <c r="E389" s="290"/>
      <c r="F389" s="290"/>
      <c r="G389" s="290"/>
      <c r="H389" s="289"/>
      <c r="I389" s="289"/>
      <c r="J389" s="289"/>
      <c r="K389" s="289"/>
      <c r="L389" s="289"/>
      <c r="M389" s="289"/>
      <c r="N389" s="289"/>
      <c r="O389" s="289"/>
      <c r="P389" s="352">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8"/>
      <c r="AS389" s="288"/>
      <c r="AT389" s="321"/>
    </row>
    <row r="390" spans="1:46" s="272" customFormat="1">
      <c r="A390" s="290"/>
      <c r="B390" s="290"/>
      <c r="C390" s="290"/>
      <c r="D390" s="290"/>
      <c r="E390" s="290"/>
      <c r="F390" s="290"/>
      <c r="G390" s="290"/>
      <c r="H390" s="289"/>
      <c r="I390" s="289"/>
      <c r="J390" s="289"/>
      <c r="K390" s="289"/>
      <c r="L390" s="289"/>
      <c r="M390" s="289"/>
      <c r="N390" s="289"/>
      <c r="O390" s="289"/>
      <c r="P390" s="352">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8"/>
      <c r="AS390" s="288"/>
      <c r="AT390" s="321"/>
    </row>
    <row r="391" spans="1:46" s="272" customFormat="1">
      <c r="A391" s="290"/>
      <c r="B391" s="290"/>
      <c r="C391" s="290"/>
      <c r="D391" s="290"/>
      <c r="E391" s="290"/>
      <c r="F391" s="290"/>
      <c r="G391" s="290"/>
      <c r="H391" s="289"/>
      <c r="I391" s="289"/>
      <c r="J391" s="289"/>
      <c r="K391" s="289"/>
      <c r="L391" s="289"/>
      <c r="M391" s="289"/>
      <c r="N391" s="289"/>
      <c r="O391" s="289"/>
      <c r="P391" s="352">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8"/>
      <c r="AS391" s="288"/>
      <c r="AT391" s="321"/>
    </row>
    <row r="392" spans="1:46" s="272" customFormat="1">
      <c r="A392" s="290"/>
      <c r="B392" s="290"/>
      <c r="C392" s="290"/>
      <c r="D392" s="290"/>
      <c r="E392" s="290"/>
      <c r="F392" s="290"/>
      <c r="G392" s="290"/>
      <c r="H392" s="289"/>
      <c r="I392" s="289"/>
      <c r="J392" s="289"/>
      <c r="K392" s="289"/>
      <c r="L392" s="289"/>
      <c r="M392" s="289"/>
      <c r="N392" s="289"/>
      <c r="O392" s="289"/>
      <c r="P392" s="352">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8"/>
      <c r="AS392" s="288"/>
      <c r="AT392" s="321"/>
    </row>
    <row r="393" spans="1:46" s="272" customFormat="1">
      <c r="A393" s="290"/>
      <c r="B393" s="290"/>
      <c r="C393" s="290"/>
      <c r="D393" s="290"/>
      <c r="E393" s="290"/>
      <c r="F393" s="290"/>
      <c r="G393" s="290"/>
      <c r="H393" s="289"/>
      <c r="I393" s="289"/>
      <c r="J393" s="289"/>
      <c r="K393" s="289"/>
      <c r="L393" s="289"/>
      <c r="M393" s="289"/>
      <c r="N393" s="289"/>
      <c r="O393" s="289"/>
      <c r="P393" s="352">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8"/>
      <c r="AS393" s="288"/>
      <c r="AT393" s="321"/>
    </row>
    <row r="394" spans="1:46" s="272" customFormat="1">
      <c r="A394" s="290"/>
      <c r="B394" s="290"/>
      <c r="C394" s="290"/>
      <c r="D394" s="290"/>
      <c r="E394" s="290"/>
      <c r="F394" s="290"/>
      <c r="G394" s="290"/>
      <c r="H394" s="289"/>
      <c r="I394" s="289"/>
      <c r="J394" s="289"/>
      <c r="K394" s="289"/>
      <c r="L394" s="289"/>
      <c r="M394" s="289"/>
      <c r="N394" s="289"/>
      <c r="O394" s="289"/>
      <c r="P394" s="352">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8"/>
      <c r="AS394" s="288"/>
      <c r="AT394" s="321"/>
    </row>
    <row r="395" spans="1:46" s="272" customFormat="1">
      <c r="A395" s="290"/>
      <c r="B395" s="290"/>
      <c r="C395" s="290"/>
      <c r="D395" s="290"/>
      <c r="E395" s="290"/>
      <c r="F395" s="290"/>
      <c r="G395" s="290"/>
      <c r="H395" s="289"/>
      <c r="I395" s="289"/>
      <c r="J395" s="289"/>
      <c r="K395" s="289"/>
      <c r="L395" s="289"/>
      <c r="M395" s="289"/>
      <c r="N395" s="289"/>
      <c r="O395" s="289"/>
      <c r="P395" s="352">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8"/>
      <c r="AS395" s="288"/>
      <c r="AT395" s="321"/>
    </row>
    <row r="396" spans="1:46" s="272" customFormat="1">
      <c r="A396" s="290"/>
      <c r="B396" s="290"/>
      <c r="C396" s="290"/>
      <c r="D396" s="290"/>
      <c r="E396" s="290"/>
      <c r="F396" s="290"/>
      <c r="G396" s="290"/>
      <c r="H396" s="289"/>
      <c r="I396" s="289"/>
      <c r="J396" s="289"/>
      <c r="K396" s="289"/>
      <c r="L396" s="289"/>
      <c r="M396" s="289"/>
      <c r="N396" s="289"/>
      <c r="O396" s="289"/>
      <c r="P396" s="352">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8"/>
      <c r="AS396" s="288"/>
      <c r="AT396" s="321"/>
    </row>
    <row r="397" spans="1:46" s="272" customFormat="1">
      <c r="A397" s="290"/>
      <c r="B397" s="290"/>
      <c r="C397" s="290"/>
      <c r="D397" s="290"/>
      <c r="E397" s="290"/>
      <c r="F397" s="290"/>
      <c r="G397" s="290"/>
      <c r="H397" s="289"/>
      <c r="I397" s="289"/>
      <c r="J397" s="289"/>
      <c r="K397" s="289"/>
      <c r="L397" s="289"/>
      <c r="M397" s="289"/>
      <c r="N397" s="289"/>
      <c r="O397" s="289"/>
      <c r="P397" s="352">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8"/>
      <c r="AS397" s="288"/>
      <c r="AT397" s="321"/>
    </row>
    <row r="398" spans="1:46" s="272" customFormat="1">
      <c r="A398" s="290"/>
      <c r="B398" s="290"/>
      <c r="C398" s="290"/>
      <c r="D398" s="290"/>
      <c r="E398" s="290"/>
      <c r="F398" s="290"/>
      <c r="G398" s="290"/>
      <c r="H398" s="289"/>
      <c r="I398" s="289"/>
      <c r="J398" s="289"/>
      <c r="K398" s="289"/>
      <c r="L398" s="289"/>
      <c r="M398" s="289"/>
      <c r="N398" s="289"/>
      <c r="O398" s="289"/>
      <c r="P398" s="352">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8"/>
      <c r="AS398" s="288"/>
      <c r="AT398" s="321"/>
    </row>
    <row r="399" spans="1:46" s="272" customFormat="1">
      <c r="A399" s="290"/>
      <c r="B399" s="290"/>
      <c r="C399" s="290"/>
      <c r="D399" s="290"/>
      <c r="E399" s="290"/>
      <c r="F399" s="290"/>
      <c r="G399" s="290"/>
      <c r="H399" s="289"/>
      <c r="I399" s="289"/>
      <c r="J399" s="289"/>
      <c r="K399" s="289"/>
      <c r="L399" s="289"/>
      <c r="M399" s="289"/>
      <c r="N399" s="289"/>
      <c r="O399" s="289"/>
      <c r="P399" s="352">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8"/>
      <c r="AS399" s="288"/>
      <c r="AT399" s="321"/>
    </row>
    <row r="400" spans="1:46" s="272" customFormat="1">
      <c r="A400" s="290"/>
      <c r="B400" s="290"/>
      <c r="C400" s="290"/>
      <c r="D400" s="290"/>
      <c r="E400" s="290"/>
      <c r="F400" s="290"/>
      <c r="G400" s="290"/>
      <c r="H400" s="289"/>
      <c r="I400" s="289"/>
      <c r="J400" s="289"/>
      <c r="K400" s="289"/>
      <c r="L400" s="289"/>
      <c r="M400" s="289"/>
      <c r="N400" s="289"/>
      <c r="O400" s="289"/>
      <c r="P400" s="352">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8"/>
      <c r="AS400" s="288"/>
      <c r="AT400" s="321"/>
    </row>
    <row r="401" spans="1:46" s="272" customFormat="1">
      <c r="A401" s="290"/>
      <c r="B401" s="290"/>
      <c r="C401" s="290"/>
      <c r="D401" s="290"/>
      <c r="E401" s="290"/>
      <c r="F401" s="290"/>
      <c r="G401" s="290"/>
      <c r="H401" s="289"/>
      <c r="I401" s="289"/>
      <c r="J401" s="289"/>
      <c r="K401" s="289"/>
      <c r="L401" s="289"/>
      <c r="M401" s="289"/>
      <c r="N401" s="289"/>
      <c r="O401" s="289"/>
      <c r="P401" s="352">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8"/>
      <c r="AS401" s="288"/>
      <c r="AT401" s="321"/>
    </row>
    <row r="402" spans="1:46" s="272" customFormat="1">
      <c r="A402" s="290"/>
      <c r="B402" s="290"/>
      <c r="C402" s="290"/>
      <c r="D402" s="290"/>
      <c r="E402" s="290"/>
      <c r="F402" s="290"/>
      <c r="G402" s="290"/>
      <c r="H402" s="289"/>
      <c r="I402" s="289"/>
      <c r="J402" s="289"/>
      <c r="K402" s="289"/>
      <c r="L402" s="289"/>
      <c r="M402" s="289"/>
      <c r="N402" s="289"/>
      <c r="O402" s="289"/>
      <c r="P402" s="352">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8"/>
      <c r="AS402" s="288"/>
      <c r="AT402" s="321"/>
    </row>
    <row r="403" spans="1:46" s="272" customFormat="1">
      <c r="A403" s="290"/>
      <c r="B403" s="290"/>
      <c r="C403" s="290"/>
      <c r="D403" s="290"/>
      <c r="E403" s="290"/>
      <c r="F403" s="290"/>
      <c r="G403" s="290"/>
      <c r="H403" s="289"/>
      <c r="I403" s="289"/>
      <c r="J403" s="289"/>
      <c r="K403" s="289"/>
      <c r="L403" s="289"/>
      <c r="M403" s="289"/>
      <c r="N403" s="289"/>
      <c r="O403" s="289"/>
      <c r="P403" s="352">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8"/>
      <c r="AS403" s="288"/>
      <c r="AT403" s="321"/>
    </row>
    <row r="404" spans="1:46" s="272" customFormat="1">
      <c r="A404" s="290"/>
      <c r="B404" s="290"/>
      <c r="C404" s="290"/>
      <c r="D404" s="290"/>
      <c r="E404" s="290"/>
      <c r="F404" s="290"/>
      <c r="G404" s="290"/>
      <c r="H404" s="289"/>
      <c r="I404" s="289"/>
      <c r="J404" s="289"/>
      <c r="K404" s="289"/>
      <c r="L404" s="289"/>
      <c r="M404" s="289"/>
      <c r="N404" s="289"/>
      <c r="O404" s="289"/>
      <c r="P404" s="352">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8"/>
      <c r="AS404" s="288"/>
      <c r="AT404" s="321"/>
    </row>
    <row r="405" spans="1:46" s="272" customFormat="1">
      <c r="A405" s="290"/>
      <c r="B405" s="290"/>
      <c r="C405" s="290"/>
      <c r="D405" s="290"/>
      <c r="E405" s="290"/>
      <c r="F405" s="290"/>
      <c r="G405" s="290"/>
      <c r="H405" s="289"/>
      <c r="I405" s="289"/>
      <c r="J405" s="289"/>
      <c r="K405" s="289"/>
      <c r="L405" s="289"/>
      <c r="M405" s="289"/>
      <c r="N405" s="289"/>
      <c r="O405" s="289"/>
      <c r="P405" s="352">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8"/>
      <c r="AS405" s="288"/>
      <c r="AT405" s="321"/>
    </row>
    <row r="406" spans="1:46" s="272" customFormat="1">
      <c r="A406" s="290"/>
      <c r="B406" s="290"/>
      <c r="C406" s="290"/>
      <c r="D406" s="290"/>
      <c r="E406" s="290"/>
      <c r="F406" s="290"/>
      <c r="G406" s="290"/>
      <c r="H406" s="289"/>
      <c r="I406" s="289"/>
      <c r="J406" s="289"/>
      <c r="K406" s="289"/>
      <c r="L406" s="289"/>
      <c r="M406" s="289"/>
      <c r="N406" s="289"/>
      <c r="O406" s="289"/>
      <c r="P406" s="352">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8"/>
      <c r="AS406" s="288"/>
      <c r="AT406" s="321"/>
    </row>
    <row r="407" spans="1:46" s="272" customFormat="1">
      <c r="A407" s="290"/>
      <c r="B407" s="290"/>
      <c r="C407" s="290"/>
      <c r="D407" s="290"/>
      <c r="E407" s="290"/>
      <c r="F407" s="290"/>
      <c r="G407" s="290"/>
      <c r="H407" s="289"/>
      <c r="I407" s="289"/>
      <c r="J407" s="289"/>
      <c r="K407" s="289"/>
      <c r="L407" s="289"/>
      <c r="M407" s="289"/>
      <c r="N407" s="289"/>
      <c r="O407" s="289"/>
      <c r="P407" s="352">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8"/>
      <c r="AS407" s="288"/>
      <c r="AT407" s="321"/>
    </row>
    <row r="408" spans="1:46" s="272" customFormat="1">
      <c r="A408" s="290"/>
      <c r="B408" s="290"/>
      <c r="C408" s="290"/>
      <c r="D408" s="290"/>
      <c r="E408" s="290"/>
      <c r="F408" s="290"/>
      <c r="G408" s="290"/>
      <c r="H408" s="289"/>
      <c r="I408" s="289"/>
      <c r="J408" s="289"/>
      <c r="K408" s="289"/>
      <c r="L408" s="289"/>
      <c r="M408" s="289"/>
      <c r="N408" s="289"/>
      <c r="O408" s="289"/>
      <c r="P408" s="352">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8"/>
      <c r="AS408" s="288"/>
      <c r="AT408" s="321"/>
    </row>
    <row r="409" spans="1:46" s="272" customFormat="1">
      <c r="A409" s="290"/>
      <c r="B409" s="290"/>
      <c r="C409" s="290"/>
      <c r="D409" s="290"/>
      <c r="E409" s="290"/>
      <c r="F409" s="290"/>
      <c r="G409" s="290"/>
      <c r="H409" s="289"/>
      <c r="I409" s="289"/>
      <c r="J409" s="289"/>
      <c r="K409" s="289"/>
      <c r="L409" s="289"/>
      <c r="M409" s="289"/>
      <c r="N409" s="289"/>
      <c r="O409" s="289"/>
      <c r="P409" s="352">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8"/>
      <c r="AS409" s="288"/>
      <c r="AT409" s="321"/>
    </row>
    <row r="410" spans="1:46" s="272" customFormat="1">
      <c r="A410" s="290"/>
      <c r="B410" s="290"/>
      <c r="C410" s="290"/>
      <c r="D410" s="290"/>
      <c r="E410" s="290"/>
      <c r="F410" s="290"/>
      <c r="G410" s="290"/>
      <c r="H410" s="289"/>
      <c r="I410" s="289"/>
      <c r="J410" s="289"/>
      <c r="K410" s="289"/>
      <c r="L410" s="289"/>
      <c r="M410" s="289"/>
      <c r="N410" s="289"/>
      <c r="O410" s="289"/>
      <c r="P410" s="352">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8"/>
      <c r="AS410" s="288"/>
      <c r="AT410" s="321"/>
    </row>
    <row r="411" spans="1:46" s="272" customFormat="1">
      <c r="A411" s="290"/>
      <c r="B411" s="290"/>
      <c r="C411" s="290"/>
      <c r="D411" s="290"/>
      <c r="E411" s="290"/>
      <c r="F411" s="290"/>
      <c r="G411" s="290"/>
      <c r="H411" s="289"/>
      <c r="I411" s="289"/>
      <c r="J411" s="289"/>
      <c r="K411" s="289"/>
      <c r="L411" s="289"/>
      <c r="M411" s="289"/>
      <c r="N411" s="289"/>
      <c r="O411" s="289"/>
      <c r="P411" s="352">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8"/>
      <c r="AS411" s="288"/>
      <c r="AT411" s="321"/>
    </row>
    <row r="412" spans="1:46" s="272" customFormat="1">
      <c r="A412" s="290"/>
      <c r="B412" s="290"/>
      <c r="C412" s="290"/>
      <c r="D412" s="290"/>
      <c r="E412" s="290"/>
      <c r="F412" s="290"/>
      <c r="G412" s="290"/>
      <c r="H412" s="289"/>
      <c r="I412" s="289"/>
      <c r="J412" s="289"/>
      <c r="K412" s="289"/>
      <c r="L412" s="289"/>
      <c r="M412" s="289"/>
      <c r="N412" s="289"/>
      <c r="O412" s="289"/>
      <c r="P412" s="352">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8"/>
      <c r="AS412" s="288"/>
      <c r="AT412" s="321"/>
    </row>
    <row r="413" spans="1:46" s="272" customFormat="1">
      <c r="A413" s="290"/>
      <c r="B413" s="290"/>
      <c r="C413" s="290"/>
      <c r="D413" s="290"/>
      <c r="E413" s="290"/>
      <c r="F413" s="290"/>
      <c r="G413" s="290"/>
      <c r="H413" s="289"/>
      <c r="I413" s="289"/>
      <c r="J413" s="289"/>
      <c r="K413" s="289"/>
      <c r="L413" s="289"/>
      <c r="M413" s="289"/>
      <c r="N413" s="289"/>
      <c r="O413" s="289"/>
      <c r="P413" s="352">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8"/>
      <c r="AS413" s="288"/>
      <c r="AT413" s="321"/>
    </row>
    <row r="414" spans="1:46" s="272" customFormat="1">
      <c r="A414" s="290"/>
      <c r="B414" s="290"/>
      <c r="C414" s="290"/>
      <c r="D414" s="290"/>
      <c r="E414" s="290"/>
      <c r="F414" s="290"/>
      <c r="G414" s="290"/>
      <c r="H414" s="289"/>
      <c r="I414" s="289"/>
      <c r="J414" s="289"/>
      <c r="K414" s="289"/>
      <c r="L414" s="289"/>
      <c r="M414" s="289"/>
      <c r="N414" s="289"/>
      <c r="O414" s="289"/>
      <c r="P414" s="352">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8"/>
      <c r="AS414" s="288"/>
      <c r="AT414" s="321"/>
    </row>
    <row r="415" spans="1:46" s="272" customFormat="1">
      <c r="A415" s="290"/>
      <c r="B415" s="290"/>
      <c r="C415" s="290"/>
      <c r="D415" s="290"/>
      <c r="E415" s="290"/>
      <c r="F415" s="290"/>
      <c r="G415" s="290"/>
      <c r="H415" s="289"/>
      <c r="I415" s="289"/>
      <c r="J415" s="289"/>
      <c r="K415" s="289"/>
      <c r="L415" s="289"/>
      <c r="M415" s="289"/>
      <c r="N415" s="289"/>
      <c r="O415" s="289"/>
      <c r="P415" s="352">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8"/>
      <c r="AS415" s="288"/>
      <c r="AT415" s="321"/>
    </row>
    <row r="416" spans="1:46" s="272" customFormat="1">
      <c r="A416" s="290"/>
      <c r="B416" s="290"/>
      <c r="C416" s="290"/>
      <c r="D416" s="290"/>
      <c r="E416" s="290"/>
      <c r="F416" s="290"/>
      <c r="G416" s="290"/>
      <c r="H416" s="289"/>
      <c r="I416" s="289"/>
      <c r="J416" s="289"/>
      <c r="K416" s="289"/>
      <c r="L416" s="289"/>
      <c r="M416" s="289"/>
      <c r="N416" s="289"/>
      <c r="O416" s="289"/>
      <c r="P416" s="352">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8"/>
      <c r="AS416" s="288"/>
      <c r="AT416" s="321"/>
    </row>
    <row r="417" spans="1:46" s="272" customFormat="1">
      <c r="A417" s="290"/>
      <c r="B417" s="290"/>
      <c r="C417" s="290"/>
      <c r="D417" s="290"/>
      <c r="E417" s="290"/>
      <c r="F417" s="290"/>
      <c r="G417" s="290"/>
      <c r="H417" s="289"/>
      <c r="I417" s="289"/>
      <c r="J417" s="289"/>
      <c r="K417" s="289"/>
      <c r="L417" s="289"/>
      <c r="M417" s="289"/>
      <c r="N417" s="289"/>
      <c r="O417" s="289"/>
      <c r="P417" s="352">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8"/>
      <c r="AS417" s="288"/>
      <c r="AT417" s="321"/>
    </row>
    <row r="418" spans="1:46" s="272" customFormat="1">
      <c r="A418" s="290"/>
      <c r="B418" s="290"/>
      <c r="C418" s="290"/>
      <c r="D418" s="290"/>
      <c r="E418" s="290"/>
      <c r="F418" s="290"/>
      <c r="G418" s="290"/>
      <c r="H418" s="289"/>
      <c r="I418" s="289"/>
      <c r="J418" s="289"/>
      <c r="K418" s="289"/>
      <c r="L418" s="289"/>
      <c r="M418" s="289"/>
      <c r="N418" s="289"/>
      <c r="O418" s="289"/>
      <c r="P418" s="352">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8"/>
      <c r="AS418" s="288"/>
      <c r="AT418" s="321"/>
    </row>
    <row r="419" spans="1:46" s="272" customFormat="1">
      <c r="A419" s="290"/>
      <c r="B419" s="290"/>
      <c r="C419" s="290"/>
      <c r="D419" s="290"/>
      <c r="E419" s="290"/>
      <c r="F419" s="290"/>
      <c r="G419" s="290"/>
      <c r="H419" s="289"/>
      <c r="I419" s="289"/>
      <c r="J419" s="289"/>
      <c r="K419" s="289"/>
      <c r="L419" s="289"/>
      <c r="M419" s="289"/>
      <c r="N419" s="289"/>
      <c r="O419" s="289"/>
      <c r="P419" s="352">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8"/>
      <c r="AS419" s="288"/>
      <c r="AT419" s="321"/>
    </row>
    <row r="420" spans="1:46" s="272" customFormat="1">
      <c r="A420" s="290"/>
      <c r="B420" s="290"/>
      <c r="C420" s="290"/>
      <c r="D420" s="290"/>
      <c r="E420" s="290"/>
      <c r="F420" s="290"/>
      <c r="G420" s="290"/>
      <c r="H420" s="289"/>
      <c r="I420" s="289"/>
      <c r="J420" s="289"/>
      <c r="K420" s="289"/>
      <c r="L420" s="289"/>
      <c r="M420" s="289"/>
      <c r="N420" s="289"/>
      <c r="O420" s="289"/>
      <c r="P420" s="352">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8"/>
      <c r="AS420" s="288"/>
      <c r="AT420" s="321"/>
    </row>
    <row r="421" spans="1:46" s="272" customFormat="1">
      <c r="A421" s="290"/>
      <c r="B421" s="290"/>
      <c r="C421" s="290"/>
      <c r="D421" s="290"/>
      <c r="E421" s="290"/>
      <c r="F421" s="290"/>
      <c r="G421" s="290"/>
      <c r="H421" s="289"/>
      <c r="I421" s="289"/>
      <c r="J421" s="289"/>
      <c r="K421" s="289"/>
      <c r="L421" s="289"/>
      <c r="M421" s="289"/>
      <c r="N421" s="289"/>
      <c r="O421" s="289"/>
      <c r="P421" s="352">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8"/>
      <c r="AS421" s="288"/>
      <c r="AT421" s="321"/>
    </row>
    <row r="422" spans="1:46" s="272" customFormat="1">
      <c r="A422" s="290"/>
      <c r="B422" s="290"/>
      <c r="C422" s="290"/>
      <c r="D422" s="290"/>
      <c r="E422" s="290"/>
      <c r="F422" s="290"/>
      <c r="G422" s="290"/>
      <c r="H422" s="289"/>
      <c r="I422" s="289"/>
      <c r="J422" s="289"/>
      <c r="K422" s="289"/>
      <c r="L422" s="289"/>
      <c r="M422" s="289"/>
      <c r="N422" s="289"/>
      <c r="O422" s="289"/>
      <c r="P422" s="352">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8"/>
      <c r="AS422" s="288"/>
      <c r="AT422" s="321"/>
    </row>
    <row r="423" spans="1:46" s="272" customFormat="1">
      <c r="A423" s="290"/>
      <c r="B423" s="290"/>
      <c r="C423" s="290"/>
      <c r="D423" s="290"/>
      <c r="E423" s="290"/>
      <c r="F423" s="290"/>
      <c r="G423" s="290"/>
      <c r="H423" s="289"/>
      <c r="I423" s="289"/>
      <c r="J423" s="289"/>
      <c r="K423" s="289"/>
      <c r="L423" s="289"/>
      <c r="M423" s="289"/>
      <c r="N423" s="289"/>
      <c r="O423" s="289"/>
      <c r="P423" s="352">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8"/>
      <c r="AS423" s="288"/>
      <c r="AT423" s="321"/>
    </row>
    <row r="424" spans="1:46" s="272" customFormat="1">
      <c r="A424" s="290"/>
      <c r="B424" s="290"/>
      <c r="C424" s="290"/>
      <c r="D424" s="290"/>
      <c r="E424" s="290"/>
      <c r="F424" s="290"/>
      <c r="G424" s="290"/>
      <c r="H424" s="289"/>
      <c r="I424" s="289"/>
      <c r="J424" s="289"/>
      <c r="K424" s="289"/>
      <c r="L424" s="289"/>
      <c r="M424" s="289"/>
      <c r="N424" s="289"/>
      <c r="O424" s="289"/>
      <c r="P424" s="352">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8"/>
      <c r="AS424" s="288"/>
      <c r="AT424" s="321"/>
    </row>
    <row r="425" spans="1:46" s="272" customFormat="1">
      <c r="A425" s="290"/>
      <c r="B425" s="290"/>
      <c r="C425" s="290"/>
      <c r="D425" s="290"/>
      <c r="E425" s="290"/>
      <c r="F425" s="290"/>
      <c r="G425" s="290"/>
      <c r="H425" s="289"/>
      <c r="I425" s="289"/>
      <c r="J425" s="289"/>
      <c r="K425" s="289"/>
      <c r="L425" s="289"/>
      <c r="M425" s="289"/>
      <c r="N425" s="289"/>
      <c r="O425" s="289"/>
      <c r="P425" s="352">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8"/>
      <c r="AS425" s="288"/>
      <c r="AT425" s="321"/>
    </row>
    <row r="426" spans="1:46" s="272" customFormat="1">
      <c r="A426" s="290"/>
      <c r="B426" s="290"/>
      <c r="C426" s="290"/>
      <c r="D426" s="290"/>
      <c r="E426" s="290"/>
      <c r="F426" s="290"/>
      <c r="G426" s="290"/>
      <c r="H426" s="289"/>
      <c r="I426" s="289"/>
      <c r="J426" s="289"/>
      <c r="K426" s="289"/>
      <c r="L426" s="289"/>
      <c r="M426" s="289"/>
      <c r="N426" s="289"/>
      <c r="O426" s="289"/>
      <c r="P426" s="352">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8"/>
      <c r="AS426" s="288"/>
      <c r="AT426" s="321"/>
    </row>
    <row r="427" spans="1:46" s="272" customFormat="1">
      <c r="A427" s="290"/>
      <c r="B427" s="290"/>
      <c r="C427" s="290"/>
      <c r="D427" s="290"/>
      <c r="E427" s="290"/>
      <c r="F427" s="290"/>
      <c r="G427" s="290"/>
      <c r="H427" s="289"/>
      <c r="I427" s="289"/>
      <c r="J427" s="289"/>
      <c r="K427" s="289"/>
      <c r="L427" s="289"/>
      <c r="M427" s="289"/>
      <c r="N427" s="289"/>
      <c r="O427" s="289"/>
      <c r="P427" s="352">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8"/>
      <c r="AS427" s="288"/>
      <c r="AT427" s="321"/>
    </row>
    <row r="428" spans="1:46" s="272" customFormat="1">
      <c r="A428" s="290"/>
      <c r="B428" s="290"/>
      <c r="C428" s="290"/>
      <c r="D428" s="290"/>
      <c r="E428" s="290"/>
      <c r="F428" s="290"/>
      <c r="G428" s="290"/>
      <c r="H428" s="289"/>
      <c r="I428" s="289"/>
      <c r="J428" s="289"/>
      <c r="K428" s="289"/>
      <c r="L428" s="289"/>
      <c r="M428" s="289"/>
      <c r="N428" s="289"/>
      <c r="O428" s="289"/>
      <c r="P428" s="352">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8"/>
      <c r="AS428" s="288"/>
      <c r="AT428" s="321"/>
    </row>
    <row r="429" spans="1:46" s="272" customFormat="1">
      <c r="A429" s="290"/>
      <c r="B429" s="290"/>
      <c r="C429" s="290"/>
      <c r="D429" s="290"/>
      <c r="E429" s="290"/>
      <c r="F429" s="290"/>
      <c r="G429" s="290"/>
      <c r="H429" s="289"/>
      <c r="I429" s="289"/>
      <c r="J429" s="289"/>
      <c r="K429" s="289"/>
      <c r="L429" s="289"/>
      <c r="M429" s="289"/>
      <c r="N429" s="289"/>
      <c r="O429" s="289"/>
      <c r="P429" s="352">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8"/>
      <c r="AS429" s="288"/>
      <c r="AT429" s="321"/>
    </row>
    <row r="430" spans="1:46" s="272" customFormat="1">
      <c r="A430" s="290"/>
      <c r="B430" s="290"/>
      <c r="C430" s="290"/>
      <c r="D430" s="290"/>
      <c r="E430" s="290"/>
      <c r="F430" s="290"/>
      <c r="G430" s="290"/>
      <c r="H430" s="289"/>
      <c r="I430" s="289"/>
      <c r="J430" s="289"/>
      <c r="K430" s="289"/>
      <c r="L430" s="289"/>
      <c r="M430" s="289"/>
      <c r="N430" s="289"/>
      <c r="O430" s="289"/>
      <c r="P430" s="352">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8"/>
      <c r="AS430" s="288"/>
      <c r="AT430" s="321"/>
    </row>
    <row r="431" spans="1:46" s="272" customFormat="1">
      <c r="A431" s="290"/>
      <c r="B431" s="290"/>
      <c r="C431" s="290"/>
      <c r="D431" s="290"/>
      <c r="E431" s="290"/>
      <c r="F431" s="290"/>
      <c r="G431" s="290"/>
      <c r="H431" s="289"/>
      <c r="I431" s="289"/>
      <c r="J431" s="289"/>
      <c r="K431" s="289"/>
      <c r="L431" s="289"/>
      <c r="M431" s="289"/>
      <c r="N431" s="289"/>
      <c r="O431" s="289"/>
      <c r="P431" s="352">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8"/>
      <c r="AS431" s="288"/>
      <c r="AT431" s="321"/>
    </row>
    <row r="432" spans="1:46" s="272" customFormat="1">
      <c r="A432" s="290"/>
      <c r="B432" s="290"/>
      <c r="C432" s="290"/>
      <c r="D432" s="290"/>
      <c r="E432" s="290"/>
      <c r="F432" s="290"/>
      <c r="G432" s="290"/>
      <c r="H432" s="289"/>
      <c r="I432" s="289"/>
      <c r="J432" s="289"/>
      <c r="K432" s="289"/>
      <c r="L432" s="289"/>
      <c r="M432" s="289"/>
      <c r="N432" s="289"/>
      <c r="O432" s="289"/>
      <c r="P432" s="352">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8"/>
      <c r="AS432" s="288"/>
      <c r="AT432" s="321"/>
    </row>
    <row r="433" spans="1:46" s="272" customFormat="1">
      <c r="A433" s="290"/>
      <c r="B433" s="290"/>
      <c r="C433" s="290"/>
      <c r="D433" s="290"/>
      <c r="E433" s="290"/>
      <c r="F433" s="290"/>
      <c r="G433" s="290"/>
      <c r="H433" s="289"/>
      <c r="I433" s="289"/>
      <c r="J433" s="289"/>
      <c r="K433" s="289"/>
      <c r="L433" s="289"/>
      <c r="M433" s="289"/>
      <c r="N433" s="289"/>
      <c r="O433" s="289"/>
      <c r="P433" s="352">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8"/>
      <c r="AS433" s="288"/>
      <c r="AT433" s="321"/>
    </row>
    <row r="434" spans="1:46" s="272" customFormat="1">
      <c r="A434" s="290"/>
      <c r="B434" s="290"/>
      <c r="C434" s="290"/>
      <c r="D434" s="290"/>
      <c r="E434" s="290"/>
      <c r="F434" s="290"/>
      <c r="G434" s="290"/>
      <c r="H434" s="289"/>
      <c r="I434" s="289"/>
      <c r="J434" s="289"/>
      <c r="K434" s="289"/>
      <c r="L434" s="289"/>
      <c r="M434" s="289"/>
      <c r="N434" s="289"/>
      <c r="O434" s="289"/>
      <c r="P434" s="352">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8"/>
      <c r="AS434" s="288"/>
      <c r="AT434" s="321"/>
    </row>
    <row r="435" spans="1:46" s="272" customFormat="1">
      <c r="A435" s="290"/>
      <c r="B435" s="290"/>
      <c r="C435" s="290"/>
      <c r="D435" s="290"/>
      <c r="E435" s="290"/>
      <c r="F435" s="290"/>
      <c r="G435" s="290"/>
      <c r="H435" s="289"/>
      <c r="I435" s="289"/>
      <c r="J435" s="289"/>
      <c r="K435" s="289"/>
      <c r="L435" s="289"/>
      <c r="M435" s="289"/>
      <c r="N435" s="289"/>
      <c r="O435" s="289"/>
      <c r="P435" s="352">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8"/>
      <c r="AS435" s="288"/>
      <c r="AT435" s="321"/>
    </row>
    <row r="436" spans="1:46" s="272" customFormat="1">
      <c r="A436" s="290"/>
      <c r="B436" s="290"/>
      <c r="C436" s="290"/>
      <c r="D436" s="290"/>
      <c r="E436" s="290"/>
      <c r="F436" s="290"/>
      <c r="G436" s="290"/>
      <c r="H436" s="289"/>
      <c r="I436" s="289"/>
      <c r="J436" s="289"/>
      <c r="K436" s="289"/>
      <c r="L436" s="289"/>
      <c r="M436" s="289"/>
      <c r="N436" s="289"/>
      <c r="O436" s="289"/>
      <c r="P436" s="352">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8"/>
      <c r="AS436" s="288"/>
      <c r="AT436" s="321"/>
    </row>
    <row r="437" spans="1:46" s="272" customFormat="1">
      <c r="A437" s="290"/>
      <c r="B437" s="290"/>
      <c r="C437" s="290"/>
      <c r="D437" s="290"/>
      <c r="E437" s="290"/>
      <c r="F437" s="290"/>
      <c r="G437" s="290"/>
      <c r="H437" s="289"/>
      <c r="I437" s="289"/>
      <c r="J437" s="289"/>
      <c r="K437" s="289"/>
      <c r="L437" s="289"/>
      <c r="M437" s="289"/>
      <c r="N437" s="289"/>
      <c r="O437" s="289"/>
      <c r="P437" s="352">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8"/>
      <c r="AS437" s="288"/>
      <c r="AT437" s="321"/>
    </row>
    <row r="438" spans="1:46" s="272" customFormat="1">
      <c r="A438" s="290"/>
      <c r="B438" s="290"/>
      <c r="C438" s="290"/>
      <c r="D438" s="290"/>
      <c r="E438" s="290"/>
      <c r="F438" s="290"/>
      <c r="G438" s="290"/>
      <c r="H438" s="289"/>
      <c r="I438" s="289"/>
      <c r="J438" s="289"/>
      <c r="K438" s="289"/>
      <c r="L438" s="289"/>
      <c r="M438" s="289"/>
      <c r="N438" s="289"/>
      <c r="O438" s="289"/>
      <c r="P438" s="352">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8"/>
      <c r="AS438" s="288"/>
      <c r="AT438" s="321"/>
    </row>
    <row r="439" spans="1:46" s="272" customFormat="1">
      <c r="A439" s="290"/>
      <c r="B439" s="290"/>
      <c r="C439" s="290"/>
      <c r="D439" s="290"/>
      <c r="E439" s="290"/>
      <c r="F439" s="290"/>
      <c r="G439" s="290"/>
      <c r="H439" s="289"/>
      <c r="I439" s="289"/>
      <c r="J439" s="289"/>
      <c r="K439" s="289"/>
      <c r="L439" s="289"/>
      <c r="M439" s="289"/>
      <c r="N439" s="289"/>
      <c r="O439" s="289"/>
      <c r="P439" s="352">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8"/>
      <c r="AS439" s="288"/>
      <c r="AT439" s="321"/>
    </row>
    <row r="440" spans="1:46" s="272" customFormat="1">
      <c r="A440" s="290"/>
      <c r="B440" s="290"/>
      <c r="C440" s="290"/>
      <c r="D440" s="290"/>
      <c r="E440" s="290"/>
      <c r="F440" s="290"/>
      <c r="G440" s="290"/>
      <c r="H440" s="289"/>
      <c r="I440" s="289"/>
      <c r="J440" s="289"/>
      <c r="K440" s="289"/>
      <c r="L440" s="289"/>
      <c r="M440" s="289"/>
      <c r="N440" s="289"/>
      <c r="O440" s="289"/>
      <c r="P440" s="352">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8"/>
      <c r="AS440" s="288"/>
      <c r="AT440" s="321"/>
    </row>
    <row r="441" spans="1:46" s="272" customFormat="1">
      <c r="A441" s="290"/>
      <c r="B441" s="290"/>
      <c r="C441" s="290"/>
      <c r="D441" s="290"/>
      <c r="E441" s="290"/>
      <c r="F441" s="290"/>
      <c r="G441" s="290"/>
      <c r="H441" s="289"/>
      <c r="I441" s="289"/>
      <c r="J441" s="289"/>
      <c r="K441" s="289"/>
      <c r="L441" s="289"/>
      <c r="M441" s="289"/>
      <c r="N441" s="289"/>
      <c r="O441" s="289"/>
      <c r="P441" s="352">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8"/>
      <c r="AS441" s="288"/>
      <c r="AT441" s="321"/>
    </row>
    <row r="442" spans="1:46" s="272" customFormat="1">
      <c r="A442" s="290"/>
      <c r="B442" s="290"/>
      <c r="C442" s="290"/>
      <c r="D442" s="290"/>
      <c r="E442" s="290"/>
      <c r="F442" s="290"/>
      <c r="G442" s="290"/>
      <c r="H442" s="289"/>
      <c r="I442" s="289"/>
      <c r="J442" s="289"/>
      <c r="K442" s="289"/>
      <c r="L442" s="289"/>
      <c r="M442" s="289"/>
      <c r="N442" s="289"/>
      <c r="O442" s="289"/>
      <c r="P442" s="352">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8"/>
      <c r="AS442" s="288"/>
      <c r="AT442" s="321"/>
    </row>
    <row r="443" spans="1:46" s="272" customFormat="1">
      <c r="A443" s="290"/>
      <c r="B443" s="290"/>
      <c r="C443" s="290"/>
      <c r="D443" s="290"/>
      <c r="E443" s="290"/>
      <c r="F443" s="290"/>
      <c r="G443" s="290"/>
      <c r="H443" s="289"/>
      <c r="I443" s="289"/>
      <c r="J443" s="289"/>
      <c r="K443" s="289"/>
      <c r="L443" s="289"/>
      <c r="M443" s="289"/>
      <c r="N443" s="289"/>
      <c r="O443" s="289"/>
      <c r="P443" s="352">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8"/>
      <c r="AS443" s="288"/>
      <c r="AT443" s="321"/>
    </row>
    <row r="444" spans="1:46" s="272" customFormat="1">
      <c r="A444" s="290"/>
      <c r="B444" s="290"/>
      <c r="C444" s="290"/>
      <c r="D444" s="290"/>
      <c r="E444" s="290"/>
      <c r="F444" s="290"/>
      <c r="G444" s="290"/>
      <c r="H444" s="289"/>
      <c r="I444" s="289"/>
      <c r="J444" s="289"/>
      <c r="K444" s="289"/>
      <c r="L444" s="289"/>
      <c r="M444" s="289"/>
      <c r="N444" s="289"/>
      <c r="O444" s="289"/>
      <c r="P444" s="352">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8"/>
      <c r="AS444" s="288"/>
      <c r="AT444" s="321"/>
    </row>
    <row r="445" spans="1:46" s="272" customFormat="1">
      <c r="A445" s="290"/>
      <c r="B445" s="290"/>
      <c r="C445" s="290"/>
      <c r="D445" s="290"/>
      <c r="E445" s="290"/>
      <c r="F445" s="290"/>
      <c r="G445" s="290"/>
      <c r="H445" s="289"/>
      <c r="I445" s="289"/>
      <c r="J445" s="289"/>
      <c r="K445" s="289"/>
      <c r="L445" s="289"/>
      <c r="M445" s="289"/>
      <c r="N445" s="289"/>
      <c r="O445" s="289"/>
      <c r="P445" s="352">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8"/>
      <c r="AS445" s="288"/>
      <c r="AT445" s="321"/>
    </row>
    <row r="446" spans="1:46" s="272" customFormat="1">
      <c r="A446" s="290"/>
      <c r="B446" s="290"/>
      <c r="C446" s="290"/>
      <c r="D446" s="290"/>
      <c r="E446" s="290"/>
      <c r="F446" s="290"/>
      <c r="G446" s="290"/>
      <c r="H446" s="289"/>
      <c r="I446" s="289"/>
      <c r="J446" s="289"/>
      <c r="K446" s="289"/>
      <c r="L446" s="289"/>
      <c r="M446" s="289"/>
      <c r="N446" s="289"/>
      <c r="O446" s="289"/>
      <c r="P446" s="352">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8"/>
      <c r="AS446" s="288"/>
      <c r="AT446" s="321"/>
    </row>
    <row r="447" spans="1:46" s="272" customFormat="1">
      <c r="A447" s="290"/>
      <c r="B447" s="290"/>
      <c r="C447" s="290"/>
      <c r="D447" s="290"/>
      <c r="E447" s="290"/>
      <c r="F447" s="290"/>
      <c r="G447" s="290"/>
      <c r="H447" s="289"/>
      <c r="I447" s="289"/>
      <c r="J447" s="289"/>
      <c r="K447" s="289"/>
      <c r="L447" s="289"/>
      <c r="M447" s="289"/>
      <c r="N447" s="289"/>
      <c r="O447" s="289"/>
      <c r="P447" s="352">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8"/>
      <c r="AS447" s="288"/>
      <c r="AT447" s="321"/>
    </row>
    <row r="448" spans="1:46" s="272" customFormat="1">
      <c r="A448" s="290"/>
      <c r="B448" s="290"/>
      <c r="C448" s="290"/>
      <c r="D448" s="290"/>
      <c r="E448" s="290"/>
      <c r="F448" s="290"/>
      <c r="G448" s="290"/>
      <c r="H448" s="289"/>
      <c r="I448" s="289"/>
      <c r="J448" s="289"/>
      <c r="K448" s="289"/>
      <c r="L448" s="289"/>
      <c r="M448" s="289"/>
      <c r="N448" s="289"/>
      <c r="O448" s="289"/>
      <c r="P448" s="352">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8"/>
      <c r="AS448" s="288"/>
      <c r="AT448" s="321"/>
    </row>
    <row r="449" spans="1:46" s="272" customFormat="1">
      <c r="A449" s="290"/>
      <c r="B449" s="290"/>
      <c r="C449" s="290"/>
      <c r="D449" s="290"/>
      <c r="E449" s="290"/>
      <c r="F449" s="290"/>
      <c r="G449" s="290"/>
      <c r="H449" s="289"/>
      <c r="I449" s="289"/>
      <c r="J449" s="289"/>
      <c r="K449" s="289"/>
      <c r="L449" s="289"/>
      <c r="M449" s="289"/>
      <c r="N449" s="289"/>
      <c r="O449" s="289"/>
      <c r="P449" s="352">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8"/>
      <c r="AS449" s="288"/>
      <c r="AT449" s="321"/>
    </row>
    <row r="450" spans="1:46" s="272" customFormat="1">
      <c r="A450" s="290"/>
      <c r="B450" s="290"/>
      <c r="C450" s="290"/>
      <c r="D450" s="290"/>
      <c r="E450" s="290"/>
      <c r="F450" s="290"/>
      <c r="G450" s="290"/>
      <c r="H450" s="289"/>
      <c r="I450" s="289"/>
      <c r="J450" s="289"/>
      <c r="K450" s="289"/>
      <c r="L450" s="289"/>
      <c r="M450" s="289"/>
      <c r="N450" s="289"/>
      <c r="O450" s="289"/>
      <c r="P450" s="352">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8"/>
      <c r="AS450" s="288"/>
      <c r="AT450" s="321"/>
    </row>
    <row r="451" spans="1:46" s="272" customFormat="1">
      <c r="A451" s="290"/>
      <c r="B451" s="290"/>
      <c r="C451" s="290"/>
      <c r="D451" s="290"/>
      <c r="E451" s="290"/>
      <c r="F451" s="290"/>
      <c r="G451" s="290"/>
      <c r="H451" s="289"/>
      <c r="I451" s="289"/>
      <c r="J451" s="289"/>
      <c r="K451" s="289"/>
      <c r="L451" s="289"/>
      <c r="M451" s="289"/>
      <c r="N451" s="289"/>
      <c r="O451" s="289"/>
      <c r="P451" s="352">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8"/>
      <c r="AS451" s="288"/>
      <c r="AT451" s="321"/>
    </row>
    <row r="452" spans="1:46" s="272" customFormat="1">
      <c r="A452" s="290"/>
      <c r="B452" s="290"/>
      <c r="C452" s="290"/>
      <c r="D452" s="290"/>
      <c r="E452" s="290"/>
      <c r="F452" s="290"/>
      <c r="G452" s="290"/>
      <c r="H452" s="289"/>
      <c r="I452" s="289"/>
      <c r="J452" s="289"/>
      <c r="K452" s="289"/>
      <c r="L452" s="289"/>
      <c r="M452" s="289"/>
      <c r="N452" s="289"/>
      <c r="O452" s="289"/>
      <c r="P452" s="352">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8"/>
      <c r="AS452" s="288"/>
      <c r="AT452" s="321"/>
    </row>
    <row r="453" spans="1:46" s="272" customFormat="1">
      <c r="A453" s="290"/>
      <c r="B453" s="290"/>
      <c r="C453" s="290"/>
      <c r="D453" s="290"/>
      <c r="E453" s="290"/>
      <c r="F453" s="290"/>
      <c r="G453" s="290"/>
      <c r="H453" s="289"/>
      <c r="I453" s="289"/>
      <c r="J453" s="289"/>
      <c r="K453" s="289"/>
      <c r="L453" s="289"/>
      <c r="M453" s="289"/>
      <c r="N453" s="289"/>
      <c r="O453" s="289"/>
      <c r="P453" s="352">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8"/>
      <c r="AS453" s="288"/>
      <c r="AT453" s="321"/>
    </row>
    <row r="454" spans="1:46" s="272" customFormat="1">
      <c r="A454" s="290"/>
      <c r="B454" s="290"/>
      <c r="C454" s="290"/>
      <c r="D454" s="290"/>
      <c r="E454" s="290"/>
      <c r="F454" s="290"/>
      <c r="G454" s="290"/>
      <c r="H454" s="289"/>
      <c r="I454" s="289"/>
      <c r="J454" s="289"/>
      <c r="K454" s="289"/>
      <c r="L454" s="289"/>
      <c r="M454" s="289"/>
      <c r="N454" s="289"/>
      <c r="O454" s="289"/>
      <c r="P454" s="352">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8"/>
      <c r="AS454" s="288"/>
      <c r="AT454" s="321"/>
    </row>
    <row r="455" spans="1:46" s="272" customFormat="1">
      <c r="A455" s="290"/>
      <c r="B455" s="290"/>
      <c r="C455" s="290"/>
      <c r="D455" s="290"/>
      <c r="E455" s="290"/>
      <c r="F455" s="290"/>
      <c r="G455" s="290"/>
      <c r="H455" s="289"/>
      <c r="I455" s="289"/>
      <c r="J455" s="289"/>
      <c r="K455" s="289"/>
      <c r="L455" s="289"/>
      <c r="M455" s="289"/>
      <c r="N455" s="289"/>
      <c r="O455" s="289"/>
      <c r="P455" s="352">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8"/>
      <c r="AS455" s="288"/>
      <c r="AT455" s="321"/>
    </row>
    <row r="456" spans="1:46" s="272" customFormat="1">
      <c r="A456" s="290"/>
      <c r="B456" s="290"/>
      <c r="C456" s="290"/>
      <c r="D456" s="290"/>
      <c r="E456" s="290"/>
      <c r="F456" s="290"/>
      <c r="G456" s="290"/>
      <c r="H456" s="289"/>
      <c r="I456" s="289"/>
      <c r="J456" s="289"/>
      <c r="K456" s="289"/>
      <c r="L456" s="289"/>
      <c r="M456" s="289"/>
      <c r="N456" s="289"/>
      <c r="O456" s="289"/>
      <c r="P456" s="352">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8"/>
      <c r="AS456" s="288"/>
      <c r="AT456" s="321"/>
    </row>
    <row r="457" spans="1:46" s="272" customFormat="1">
      <c r="A457" s="290"/>
      <c r="B457" s="290"/>
      <c r="C457" s="290"/>
      <c r="D457" s="290"/>
      <c r="E457" s="290"/>
      <c r="F457" s="290"/>
      <c r="G457" s="290"/>
      <c r="H457" s="289"/>
      <c r="I457" s="289"/>
      <c r="J457" s="289"/>
      <c r="K457" s="289"/>
      <c r="L457" s="289"/>
      <c r="M457" s="289"/>
      <c r="N457" s="289"/>
      <c r="O457" s="289"/>
      <c r="P457" s="352">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8"/>
      <c r="AS457" s="288"/>
      <c r="AT457" s="321"/>
    </row>
    <row r="458" spans="1:46" s="272" customFormat="1">
      <c r="A458" s="290"/>
      <c r="B458" s="290"/>
      <c r="C458" s="290"/>
      <c r="D458" s="290"/>
      <c r="E458" s="290"/>
      <c r="F458" s="290"/>
      <c r="G458" s="290"/>
      <c r="H458" s="289"/>
      <c r="I458" s="289"/>
      <c r="J458" s="289"/>
      <c r="K458" s="289"/>
      <c r="L458" s="289"/>
      <c r="M458" s="289"/>
      <c r="N458" s="289"/>
      <c r="O458" s="289"/>
      <c r="P458" s="352">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8"/>
      <c r="AS458" s="288"/>
      <c r="AT458" s="321"/>
    </row>
    <row r="459" spans="1:46" s="272" customFormat="1">
      <c r="A459" s="290"/>
      <c r="B459" s="290"/>
      <c r="C459" s="290"/>
      <c r="D459" s="290"/>
      <c r="E459" s="290"/>
      <c r="F459" s="290"/>
      <c r="G459" s="290"/>
      <c r="H459" s="289"/>
      <c r="I459" s="289"/>
      <c r="J459" s="289"/>
      <c r="K459" s="289"/>
      <c r="L459" s="289"/>
      <c r="M459" s="289"/>
      <c r="N459" s="289"/>
      <c r="O459" s="289"/>
      <c r="P459" s="352">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8"/>
      <c r="AS459" s="288"/>
      <c r="AT459" s="321"/>
    </row>
    <row r="460" spans="1:46" s="272" customFormat="1">
      <c r="A460" s="290"/>
      <c r="B460" s="290"/>
      <c r="C460" s="290"/>
      <c r="D460" s="290"/>
      <c r="E460" s="290"/>
      <c r="F460" s="290"/>
      <c r="G460" s="290"/>
      <c r="H460" s="289"/>
      <c r="I460" s="289"/>
      <c r="J460" s="289"/>
      <c r="K460" s="289"/>
      <c r="L460" s="289"/>
      <c r="M460" s="289"/>
      <c r="N460" s="289"/>
      <c r="O460" s="289"/>
      <c r="P460" s="352">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8"/>
      <c r="AS460" s="288"/>
      <c r="AT460" s="321"/>
    </row>
    <row r="461" spans="1:46" s="272" customFormat="1">
      <c r="A461" s="290"/>
      <c r="B461" s="290"/>
      <c r="C461" s="290"/>
      <c r="D461" s="290"/>
      <c r="E461" s="290"/>
      <c r="F461" s="290"/>
      <c r="G461" s="290"/>
      <c r="H461" s="289"/>
      <c r="I461" s="289"/>
      <c r="J461" s="289"/>
      <c r="K461" s="289"/>
      <c r="L461" s="289"/>
      <c r="M461" s="289"/>
      <c r="N461" s="289"/>
      <c r="O461" s="289"/>
      <c r="P461" s="352">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8"/>
      <c r="AS461" s="288"/>
      <c r="AT461" s="321"/>
    </row>
    <row r="462" spans="1:46" s="272" customFormat="1">
      <c r="A462" s="290"/>
      <c r="B462" s="290"/>
      <c r="C462" s="290"/>
      <c r="D462" s="290"/>
      <c r="E462" s="290"/>
      <c r="F462" s="290"/>
      <c r="G462" s="290"/>
      <c r="H462" s="289"/>
      <c r="I462" s="289"/>
      <c r="J462" s="289"/>
      <c r="K462" s="289"/>
      <c r="L462" s="289"/>
      <c r="M462" s="289"/>
      <c r="N462" s="289"/>
      <c r="O462" s="289"/>
      <c r="P462" s="352">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8"/>
      <c r="AS462" s="288"/>
      <c r="AT462" s="321"/>
    </row>
    <row r="463" spans="1:46" s="272" customFormat="1">
      <c r="A463" s="290"/>
      <c r="B463" s="290"/>
      <c r="C463" s="290"/>
      <c r="D463" s="290"/>
      <c r="E463" s="290"/>
      <c r="F463" s="290"/>
      <c r="G463" s="290"/>
      <c r="H463" s="289"/>
      <c r="I463" s="289"/>
      <c r="J463" s="289"/>
      <c r="K463" s="289"/>
      <c r="L463" s="289"/>
      <c r="M463" s="289"/>
      <c r="N463" s="289"/>
      <c r="O463" s="289"/>
      <c r="P463" s="352">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8"/>
      <c r="AS463" s="288"/>
      <c r="AT463" s="321"/>
    </row>
    <row r="464" spans="1:46" s="272" customFormat="1">
      <c r="A464" s="290"/>
      <c r="B464" s="290"/>
      <c r="C464" s="290"/>
      <c r="D464" s="290"/>
      <c r="E464" s="290"/>
      <c r="F464" s="290"/>
      <c r="G464" s="290"/>
      <c r="H464" s="289"/>
      <c r="I464" s="289"/>
      <c r="J464" s="289"/>
      <c r="K464" s="289"/>
      <c r="L464" s="289"/>
      <c r="M464" s="289"/>
      <c r="N464" s="289"/>
      <c r="O464" s="289"/>
      <c r="P464" s="352">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8"/>
      <c r="AS464" s="288"/>
      <c r="AT464" s="321"/>
    </row>
    <row r="465" spans="1:46" s="272" customFormat="1">
      <c r="A465" s="290"/>
      <c r="B465" s="290"/>
      <c r="C465" s="290"/>
      <c r="D465" s="290"/>
      <c r="E465" s="290"/>
      <c r="F465" s="290"/>
      <c r="G465" s="290"/>
      <c r="H465" s="289"/>
      <c r="I465" s="289"/>
      <c r="J465" s="289"/>
      <c r="K465" s="289"/>
      <c r="L465" s="289"/>
      <c r="M465" s="289"/>
      <c r="N465" s="289"/>
      <c r="O465" s="289"/>
      <c r="P465" s="352">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8"/>
      <c r="AS465" s="288"/>
      <c r="AT465" s="321"/>
    </row>
    <row r="466" spans="1:46" s="272" customFormat="1">
      <c r="A466" s="290"/>
      <c r="B466" s="290"/>
      <c r="C466" s="290"/>
      <c r="D466" s="290"/>
      <c r="E466" s="290"/>
      <c r="F466" s="290"/>
      <c r="G466" s="290"/>
      <c r="H466" s="289"/>
      <c r="I466" s="289"/>
      <c r="J466" s="289"/>
      <c r="K466" s="289"/>
      <c r="L466" s="289"/>
      <c r="M466" s="289"/>
      <c r="N466" s="289"/>
      <c r="O466" s="289"/>
      <c r="P466" s="352">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8"/>
      <c r="AS466" s="288"/>
      <c r="AT466" s="321"/>
    </row>
    <row r="467" spans="1:46" s="272" customFormat="1">
      <c r="A467" s="290"/>
      <c r="B467" s="290"/>
      <c r="C467" s="290"/>
      <c r="D467" s="290"/>
      <c r="E467" s="290"/>
      <c r="F467" s="290"/>
      <c r="G467" s="290"/>
      <c r="H467" s="289"/>
      <c r="I467" s="289"/>
      <c r="J467" s="289"/>
      <c r="K467" s="289"/>
      <c r="L467" s="289"/>
      <c r="M467" s="289"/>
      <c r="N467" s="289"/>
      <c r="O467" s="289"/>
      <c r="P467" s="352">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8"/>
      <c r="AS467" s="288"/>
      <c r="AT467" s="321"/>
    </row>
    <row r="468" spans="1:46" s="272" customFormat="1">
      <c r="A468" s="290"/>
      <c r="B468" s="290"/>
      <c r="C468" s="290"/>
      <c r="D468" s="290"/>
      <c r="E468" s="290"/>
      <c r="F468" s="290"/>
      <c r="G468" s="290"/>
      <c r="H468" s="289"/>
      <c r="I468" s="289"/>
      <c r="J468" s="289"/>
      <c r="K468" s="289"/>
      <c r="L468" s="289"/>
      <c r="M468" s="289"/>
      <c r="N468" s="289"/>
      <c r="O468" s="289"/>
      <c r="P468" s="352">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8"/>
      <c r="AS468" s="288"/>
      <c r="AT468" s="321"/>
    </row>
    <row r="469" spans="1:46" s="272" customFormat="1">
      <c r="A469" s="290"/>
      <c r="B469" s="290"/>
      <c r="C469" s="290"/>
      <c r="D469" s="290"/>
      <c r="E469" s="290"/>
      <c r="F469" s="290"/>
      <c r="G469" s="290"/>
      <c r="H469" s="289"/>
      <c r="I469" s="289"/>
      <c r="J469" s="289"/>
      <c r="K469" s="289"/>
      <c r="L469" s="289"/>
      <c r="M469" s="289"/>
      <c r="N469" s="289"/>
      <c r="O469" s="289"/>
      <c r="P469" s="352">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8"/>
      <c r="AS469" s="288"/>
      <c r="AT469" s="321"/>
    </row>
    <row r="470" spans="1:46" s="272" customFormat="1">
      <c r="A470" s="290"/>
      <c r="B470" s="290"/>
      <c r="C470" s="290"/>
      <c r="D470" s="290"/>
      <c r="E470" s="290"/>
      <c r="F470" s="290"/>
      <c r="G470" s="290"/>
      <c r="H470" s="289"/>
      <c r="I470" s="289"/>
      <c r="J470" s="289"/>
      <c r="K470" s="289"/>
      <c r="L470" s="289"/>
      <c r="M470" s="289"/>
      <c r="N470" s="289"/>
      <c r="O470" s="289"/>
      <c r="P470" s="352">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8"/>
      <c r="AS470" s="288"/>
      <c r="AT470" s="321"/>
    </row>
    <row r="471" spans="1:46" s="272" customFormat="1">
      <c r="A471" s="290"/>
      <c r="B471" s="290"/>
      <c r="C471" s="290"/>
      <c r="D471" s="290"/>
      <c r="E471" s="290"/>
      <c r="F471" s="290"/>
      <c r="G471" s="290"/>
      <c r="H471" s="289"/>
      <c r="I471" s="289"/>
      <c r="J471" s="289"/>
      <c r="K471" s="289"/>
      <c r="L471" s="289"/>
      <c r="M471" s="289"/>
      <c r="N471" s="289"/>
      <c r="O471" s="289"/>
      <c r="P471" s="352">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8"/>
      <c r="AS471" s="288"/>
      <c r="AT471" s="321"/>
    </row>
    <row r="472" spans="1:46" s="272" customFormat="1">
      <c r="A472" s="290"/>
      <c r="B472" s="290"/>
      <c r="C472" s="290"/>
      <c r="D472" s="290"/>
      <c r="E472" s="290"/>
      <c r="F472" s="290"/>
      <c r="G472" s="290"/>
      <c r="H472" s="289"/>
      <c r="I472" s="289"/>
      <c r="J472" s="289"/>
      <c r="K472" s="289"/>
      <c r="L472" s="289"/>
      <c r="M472" s="289"/>
      <c r="N472" s="289"/>
      <c r="O472" s="289"/>
      <c r="P472" s="352">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8"/>
      <c r="AS472" s="288"/>
      <c r="AT472" s="321"/>
    </row>
    <row r="473" spans="1:46" s="272" customFormat="1">
      <c r="A473" s="290"/>
      <c r="B473" s="290"/>
      <c r="C473" s="290"/>
      <c r="D473" s="290"/>
      <c r="E473" s="290"/>
      <c r="F473" s="290"/>
      <c r="G473" s="290"/>
      <c r="H473" s="289"/>
      <c r="I473" s="289"/>
      <c r="J473" s="289"/>
      <c r="K473" s="289"/>
      <c r="L473" s="289"/>
      <c r="M473" s="289"/>
      <c r="N473" s="289"/>
      <c r="O473" s="289"/>
      <c r="P473" s="352">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8"/>
      <c r="AS473" s="288"/>
      <c r="AT473" s="321"/>
    </row>
    <row r="474" spans="1:46" s="272" customFormat="1">
      <c r="A474" s="290"/>
      <c r="B474" s="290"/>
      <c r="C474" s="290"/>
      <c r="D474" s="290"/>
      <c r="E474" s="290"/>
      <c r="F474" s="290"/>
      <c r="G474" s="290"/>
      <c r="H474" s="289"/>
      <c r="I474" s="289"/>
      <c r="J474" s="289"/>
      <c r="K474" s="289"/>
      <c r="L474" s="289"/>
      <c r="M474" s="289"/>
      <c r="N474" s="289"/>
      <c r="O474" s="289"/>
      <c r="P474" s="352">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8"/>
      <c r="AS474" s="288"/>
      <c r="AT474" s="321"/>
    </row>
    <row r="475" spans="1:46" s="272" customFormat="1">
      <c r="A475" s="290"/>
      <c r="B475" s="290"/>
      <c r="C475" s="290"/>
      <c r="D475" s="290"/>
      <c r="E475" s="290"/>
      <c r="F475" s="290"/>
      <c r="G475" s="290"/>
      <c r="H475" s="289"/>
      <c r="I475" s="289"/>
      <c r="J475" s="289"/>
      <c r="K475" s="289"/>
      <c r="L475" s="289"/>
      <c r="M475" s="289"/>
      <c r="N475" s="289"/>
      <c r="O475" s="289"/>
      <c r="P475" s="352">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8"/>
      <c r="AS475" s="288"/>
      <c r="AT475" s="321"/>
    </row>
    <row r="476" spans="1:46" s="272" customFormat="1">
      <c r="A476" s="290"/>
      <c r="B476" s="290"/>
      <c r="C476" s="290"/>
      <c r="D476" s="290"/>
      <c r="E476" s="290"/>
      <c r="F476" s="290"/>
      <c r="G476" s="290"/>
      <c r="H476" s="289"/>
      <c r="I476" s="289"/>
      <c r="J476" s="289"/>
      <c r="K476" s="289"/>
      <c r="L476" s="289"/>
      <c r="M476" s="289"/>
      <c r="N476" s="289"/>
      <c r="O476" s="289"/>
      <c r="P476" s="352">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8"/>
      <c r="AS476" s="288"/>
      <c r="AT476" s="321"/>
    </row>
    <row r="477" spans="1:46" s="272" customFormat="1">
      <c r="A477" s="290"/>
      <c r="B477" s="290"/>
      <c r="C477" s="290"/>
      <c r="D477" s="290"/>
      <c r="E477" s="290"/>
      <c r="F477" s="290"/>
      <c r="G477" s="290"/>
      <c r="H477" s="289"/>
      <c r="I477" s="289"/>
      <c r="J477" s="289"/>
      <c r="K477" s="289"/>
      <c r="L477" s="289"/>
      <c r="M477" s="289"/>
      <c r="N477" s="289"/>
      <c r="O477" s="289"/>
      <c r="P477" s="352">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8"/>
      <c r="AS477" s="288"/>
      <c r="AT477" s="321"/>
    </row>
    <row r="478" spans="1:46" s="272" customFormat="1">
      <c r="A478" s="290"/>
      <c r="B478" s="290"/>
      <c r="C478" s="290"/>
      <c r="D478" s="290"/>
      <c r="E478" s="290"/>
      <c r="F478" s="290"/>
      <c r="G478" s="290"/>
      <c r="H478" s="289"/>
      <c r="I478" s="289"/>
      <c r="J478" s="289"/>
      <c r="K478" s="289"/>
      <c r="L478" s="289"/>
      <c r="M478" s="289"/>
      <c r="N478" s="289"/>
      <c r="O478" s="289"/>
      <c r="P478" s="352">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8"/>
      <c r="AS478" s="288"/>
      <c r="AT478" s="321"/>
    </row>
    <row r="479" spans="1:46" s="272" customFormat="1">
      <c r="A479" s="290"/>
      <c r="B479" s="290"/>
      <c r="C479" s="290"/>
      <c r="D479" s="290"/>
      <c r="E479" s="290"/>
      <c r="F479" s="290"/>
      <c r="G479" s="290"/>
      <c r="H479" s="289"/>
      <c r="I479" s="289"/>
      <c r="J479" s="289"/>
      <c r="K479" s="289"/>
      <c r="L479" s="289"/>
      <c r="M479" s="289"/>
      <c r="N479" s="289"/>
      <c r="O479" s="289"/>
      <c r="P479" s="352">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8"/>
      <c r="AS479" s="288"/>
      <c r="AT479" s="321"/>
    </row>
    <row r="480" spans="1:46" s="272" customFormat="1">
      <c r="A480" s="290"/>
      <c r="B480" s="290"/>
      <c r="C480" s="290"/>
      <c r="D480" s="290"/>
      <c r="E480" s="290"/>
      <c r="F480" s="290"/>
      <c r="G480" s="290"/>
      <c r="H480" s="289"/>
      <c r="I480" s="289"/>
      <c r="J480" s="289"/>
      <c r="K480" s="289"/>
      <c r="L480" s="289"/>
      <c r="M480" s="289"/>
      <c r="N480" s="289"/>
      <c r="O480" s="289"/>
      <c r="P480" s="352">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8"/>
      <c r="AS480" s="288"/>
      <c r="AT480" s="321"/>
    </row>
    <row r="481" spans="1:46" s="272" customFormat="1">
      <c r="A481" s="290"/>
      <c r="B481" s="290"/>
      <c r="C481" s="290"/>
      <c r="D481" s="290"/>
      <c r="E481" s="290"/>
      <c r="F481" s="290"/>
      <c r="G481" s="290"/>
      <c r="H481" s="289"/>
      <c r="I481" s="289"/>
      <c r="J481" s="289"/>
      <c r="K481" s="289"/>
      <c r="L481" s="289"/>
      <c r="M481" s="289"/>
      <c r="N481" s="289"/>
      <c r="O481" s="289"/>
      <c r="P481" s="352">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8"/>
      <c r="AS481" s="288"/>
      <c r="AT481" s="321"/>
    </row>
    <row r="482" spans="1:46" s="272" customFormat="1">
      <c r="A482" s="290"/>
      <c r="B482" s="290"/>
      <c r="C482" s="290"/>
      <c r="D482" s="290"/>
      <c r="E482" s="290"/>
      <c r="F482" s="290"/>
      <c r="G482" s="290"/>
      <c r="H482" s="289"/>
      <c r="I482" s="289"/>
      <c r="J482" s="289"/>
      <c r="K482" s="289"/>
      <c r="L482" s="289"/>
      <c r="M482" s="289"/>
      <c r="N482" s="289"/>
      <c r="O482" s="289"/>
      <c r="P482" s="352">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8"/>
      <c r="AS482" s="288"/>
      <c r="AT482" s="321"/>
    </row>
    <row r="483" spans="1:46" s="272" customFormat="1">
      <c r="A483" s="290"/>
      <c r="B483" s="290"/>
      <c r="C483" s="290"/>
      <c r="D483" s="290"/>
      <c r="E483" s="290"/>
      <c r="F483" s="290"/>
      <c r="G483" s="290"/>
      <c r="H483" s="289"/>
      <c r="I483" s="289"/>
      <c r="J483" s="289"/>
      <c r="K483" s="289"/>
      <c r="L483" s="289"/>
      <c r="M483" s="289"/>
      <c r="N483" s="289"/>
      <c r="O483" s="289"/>
      <c r="P483" s="352">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8"/>
      <c r="AS483" s="288"/>
      <c r="AT483" s="321"/>
    </row>
    <row r="484" spans="1:46" s="272" customFormat="1">
      <c r="A484" s="290"/>
      <c r="B484" s="290"/>
      <c r="C484" s="290"/>
      <c r="D484" s="290"/>
      <c r="E484" s="290"/>
      <c r="F484" s="290"/>
      <c r="G484" s="290"/>
      <c r="H484" s="289"/>
      <c r="I484" s="289"/>
      <c r="J484" s="289"/>
      <c r="K484" s="289"/>
      <c r="L484" s="289"/>
      <c r="M484" s="289"/>
      <c r="N484" s="289"/>
      <c r="O484" s="289"/>
      <c r="P484" s="352">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8"/>
      <c r="AS484" s="288"/>
      <c r="AT484" s="321"/>
    </row>
    <row r="485" spans="1:46" s="272" customFormat="1">
      <c r="A485" s="290"/>
      <c r="B485" s="290"/>
      <c r="C485" s="290"/>
      <c r="D485" s="290"/>
      <c r="E485" s="290"/>
      <c r="F485" s="290"/>
      <c r="G485" s="290"/>
      <c r="H485" s="289"/>
      <c r="I485" s="289"/>
      <c r="J485" s="289"/>
      <c r="K485" s="289"/>
      <c r="L485" s="289"/>
      <c r="M485" s="289"/>
      <c r="N485" s="289"/>
      <c r="O485" s="289"/>
      <c r="P485" s="352">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8"/>
      <c r="AS485" s="288"/>
      <c r="AT485" s="321"/>
    </row>
    <row r="486" spans="1:46" s="272" customFormat="1">
      <c r="A486" s="290"/>
      <c r="B486" s="290"/>
      <c r="C486" s="290"/>
      <c r="D486" s="290"/>
      <c r="E486" s="290"/>
      <c r="F486" s="290"/>
      <c r="G486" s="290"/>
      <c r="H486" s="289"/>
      <c r="I486" s="289"/>
      <c r="J486" s="289"/>
      <c r="K486" s="289"/>
      <c r="L486" s="289"/>
      <c r="M486" s="289"/>
      <c r="N486" s="289"/>
      <c r="O486" s="289"/>
      <c r="P486" s="352">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8"/>
      <c r="AS486" s="288"/>
      <c r="AT486" s="321"/>
    </row>
    <row r="487" spans="1:46" s="272" customFormat="1">
      <c r="A487" s="290"/>
      <c r="B487" s="290"/>
      <c r="C487" s="290"/>
      <c r="D487" s="290"/>
      <c r="E487" s="290"/>
      <c r="F487" s="290"/>
      <c r="G487" s="290"/>
      <c r="H487" s="289"/>
      <c r="I487" s="289"/>
      <c r="J487" s="289"/>
      <c r="K487" s="289"/>
      <c r="L487" s="289"/>
      <c r="M487" s="289"/>
      <c r="N487" s="289"/>
      <c r="O487" s="289"/>
      <c r="P487" s="352">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8"/>
      <c r="AS487" s="288"/>
      <c r="AT487" s="321"/>
    </row>
    <row r="488" spans="1:46" s="272" customFormat="1">
      <c r="A488" s="290"/>
      <c r="B488" s="290"/>
      <c r="C488" s="290"/>
      <c r="D488" s="290"/>
      <c r="E488" s="290"/>
      <c r="F488" s="290"/>
      <c r="G488" s="290"/>
      <c r="H488" s="289"/>
      <c r="I488" s="289"/>
      <c r="J488" s="289"/>
      <c r="K488" s="289"/>
      <c r="L488" s="289"/>
      <c r="M488" s="289"/>
      <c r="N488" s="289"/>
      <c r="O488" s="289"/>
      <c r="P488" s="352">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8"/>
      <c r="AS488" s="288"/>
      <c r="AT488" s="321"/>
    </row>
    <row r="489" spans="1:46" s="272" customFormat="1">
      <c r="A489" s="290"/>
      <c r="B489" s="290"/>
      <c r="C489" s="290"/>
      <c r="D489" s="290"/>
      <c r="E489" s="290"/>
      <c r="F489" s="290"/>
      <c r="G489" s="290"/>
      <c r="H489" s="289"/>
      <c r="I489" s="289"/>
      <c r="J489" s="289"/>
      <c r="K489" s="289"/>
      <c r="L489" s="289"/>
      <c r="M489" s="289"/>
      <c r="N489" s="289"/>
      <c r="O489" s="289"/>
      <c r="P489" s="352">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8"/>
      <c r="AS489" s="288"/>
      <c r="AT489" s="321"/>
    </row>
    <row r="490" spans="1:46" s="272" customFormat="1">
      <c r="A490" s="290"/>
      <c r="B490" s="290"/>
      <c r="C490" s="290"/>
      <c r="D490" s="290"/>
      <c r="E490" s="290"/>
      <c r="F490" s="290"/>
      <c r="G490" s="290"/>
      <c r="H490" s="289"/>
      <c r="I490" s="289"/>
      <c r="J490" s="289"/>
      <c r="K490" s="289"/>
      <c r="L490" s="289"/>
      <c r="M490" s="289"/>
      <c r="N490" s="289"/>
      <c r="O490" s="289"/>
      <c r="P490" s="352">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8"/>
      <c r="AS490" s="288"/>
      <c r="AT490" s="321"/>
    </row>
    <row r="491" spans="1:46" s="272" customFormat="1">
      <c r="A491" s="290"/>
      <c r="B491" s="290"/>
      <c r="C491" s="290"/>
      <c r="D491" s="290"/>
      <c r="E491" s="290"/>
      <c r="F491" s="290"/>
      <c r="G491" s="290"/>
      <c r="H491" s="289"/>
      <c r="I491" s="289"/>
      <c r="J491" s="289"/>
      <c r="K491" s="289"/>
      <c r="L491" s="289"/>
      <c r="M491" s="289"/>
      <c r="N491" s="289"/>
      <c r="O491" s="289"/>
      <c r="P491" s="352">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8"/>
      <c r="AS491" s="288"/>
      <c r="AT491" s="321"/>
    </row>
    <row r="492" spans="1:46" s="272" customFormat="1">
      <c r="A492" s="290"/>
      <c r="B492" s="290"/>
      <c r="C492" s="290"/>
      <c r="D492" s="290"/>
      <c r="E492" s="290"/>
      <c r="F492" s="290"/>
      <c r="G492" s="290"/>
      <c r="H492" s="289"/>
      <c r="I492" s="289"/>
      <c r="J492" s="289"/>
      <c r="K492" s="289"/>
      <c r="L492" s="289"/>
      <c r="M492" s="289"/>
      <c r="N492" s="289"/>
      <c r="O492" s="289"/>
      <c r="P492" s="352">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8"/>
      <c r="AS492" s="288"/>
      <c r="AT492" s="321"/>
    </row>
    <row r="493" spans="1:46" s="272" customFormat="1">
      <c r="A493" s="290"/>
      <c r="B493" s="290"/>
      <c r="C493" s="290"/>
      <c r="D493" s="290"/>
      <c r="E493" s="290"/>
      <c r="F493" s="290"/>
      <c r="G493" s="290"/>
      <c r="H493" s="289"/>
      <c r="I493" s="289"/>
      <c r="J493" s="289"/>
      <c r="K493" s="289"/>
      <c r="L493" s="289"/>
      <c r="M493" s="289"/>
      <c r="N493" s="289"/>
      <c r="O493" s="289"/>
      <c r="P493" s="352">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8"/>
      <c r="AS493" s="288"/>
      <c r="AT493" s="321"/>
    </row>
    <row r="494" spans="1:46" s="272" customFormat="1">
      <c r="A494" s="290"/>
      <c r="B494" s="290"/>
      <c r="C494" s="290"/>
      <c r="D494" s="290"/>
      <c r="E494" s="290"/>
      <c r="F494" s="290"/>
      <c r="G494" s="290"/>
      <c r="H494" s="289"/>
      <c r="I494" s="289"/>
      <c r="J494" s="289"/>
      <c r="K494" s="289"/>
      <c r="L494" s="289"/>
      <c r="M494" s="289"/>
      <c r="N494" s="289"/>
      <c r="O494" s="289"/>
      <c r="P494" s="352">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8"/>
      <c r="AS494" s="288"/>
      <c r="AT494" s="321"/>
    </row>
    <row r="495" spans="1:46" s="272" customFormat="1">
      <c r="A495" s="290"/>
      <c r="B495" s="290"/>
      <c r="C495" s="290"/>
      <c r="D495" s="290"/>
      <c r="E495" s="290"/>
      <c r="F495" s="290"/>
      <c r="G495" s="290"/>
      <c r="H495" s="289"/>
      <c r="I495" s="289"/>
      <c r="J495" s="289"/>
      <c r="K495" s="289"/>
      <c r="L495" s="289"/>
      <c r="M495" s="289"/>
      <c r="N495" s="289"/>
      <c r="O495" s="289"/>
      <c r="P495" s="352">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8"/>
      <c r="AS495" s="288"/>
      <c r="AT495" s="321"/>
    </row>
    <row r="496" spans="1:46" s="272" customFormat="1">
      <c r="A496" s="290"/>
      <c r="B496" s="290"/>
      <c r="C496" s="290"/>
      <c r="D496" s="290"/>
      <c r="E496" s="290"/>
      <c r="F496" s="290"/>
      <c r="G496" s="290"/>
      <c r="H496" s="289"/>
      <c r="I496" s="289"/>
      <c r="J496" s="289"/>
      <c r="K496" s="289"/>
      <c r="L496" s="289"/>
      <c r="M496" s="289"/>
      <c r="N496" s="289"/>
      <c r="O496" s="289"/>
      <c r="P496" s="352">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8"/>
      <c r="AS496" s="288"/>
      <c r="AT496" s="321"/>
    </row>
    <row r="497" spans="1:46" s="272" customFormat="1">
      <c r="A497" s="290"/>
      <c r="B497" s="290"/>
      <c r="C497" s="290"/>
      <c r="D497" s="290"/>
      <c r="E497" s="290"/>
      <c r="F497" s="290"/>
      <c r="G497" s="290"/>
      <c r="H497" s="289"/>
      <c r="I497" s="289"/>
      <c r="J497" s="289"/>
      <c r="K497" s="289"/>
      <c r="L497" s="289"/>
      <c r="M497" s="289"/>
      <c r="N497" s="289"/>
      <c r="O497" s="289"/>
      <c r="P497" s="352">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8"/>
      <c r="AS497" s="288"/>
      <c r="AT497" s="321"/>
    </row>
    <row r="498" spans="1:46" s="272" customFormat="1">
      <c r="A498" s="290"/>
      <c r="B498" s="290"/>
      <c r="C498" s="290"/>
      <c r="D498" s="290"/>
      <c r="E498" s="290"/>
      <c r="F498" s="290"/>
      <c r="G498" s="290"/>
      <c r="H498" s="289"/>
      <c r="I498" s="289"/>
      <c r="J498" s="289"/>
      <c r="K498" s="289"/>
      <c r="L498" s="289"/>
      <c r="M498" s="289"/>
      <c r="N498" s="289"/>
      <c r="O498" s="289"/>
      <c r="P498" s="352">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8"/>
      <c r="AS498" s="288"/>
      <c r="AT498" s="321"/>
    </row>
    <row r="499" spans="1:46" s="272" customFormat="1">
      <c r="A499" s="290"/>
      <c r="B499" s="290"/>
      <c r="C499" s="290"/>
      <c r="D499" s="290"/>
      <c r="E499" s="290"/>
      <c r="F499" s="290"/>
      <c r="G499" s="290"/>
      <c r="H499" s="289"/>
      <c r="I499" s="289"/>
      <c r="J499" s="289"/>
      <c r="K499" s="289"/>
      <c r="L499" s="289"/>
      <c r="M499" s="289"/>
      <c r="N499" s="289"/>
      <c r="O499" s="289"/>
      <c r="P499" s="352">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8"/>
      <c r="AS499" s="288"/>
      <c r="AT499" s="321"/>
    </row>
    <row r="500" spans="1:46" s="272" customFormat="1">
      <c r="A500" s="290"/>
      <c r="B500" s="290"/>
      <c r="C500" s="290"/>
      <c r="D500" s="290"/>
      <c r="E500" s="290"/>
      <c r="F500" s="290"/>
      <c r="G500" s="290"/>
      <c r="H500" s="289"/>
      <c r="I500" s="289"/>
      <c r="J500" s="289"/>
      <c r="K500" s="289"/>
      <c r="L500" s="289"/>
      <c r="M500" s="289"/>
      <c r="N500" s="289"/>
      <c r="O500" s="289"/>
      <c r="P500" s="352">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8"/>
      <c r="AS500" s="288"/>
      <c r="AT500" s="321"/>
    </row>
    <row r="501" spans="1:46">
      <c r="A501" s="290"/>
      <c r="B501" s="290"/>
      <c r="C501" s="290"/>
      <c r="D501" s="290"/>
      <c r="E501" s="290"/>
      <c r="F501" s="290"/>
      <c r="G501" s="290"/>
      <c r="H501" s="289"/>
      <c r="I501" s="289"/>
      <c r="J501" s="289"/>
      <c r="K501" s="289"/>
      <c r="L501" s="289"/>
      <c r="M501" s="289"/>
      <c r="N501" s="289"/>
      <c r="O501" s="289"/>
      <c r="P501" s="352">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8"/>
      <c r="AS501" s="288"/>
    </row>
    <row r="502" spans="1:46">
      <c r="A502" s="290"/>
      <c r="B502" s="290"/>
      <c r="C502" s="290"/>
      <c r="D502" s="290"/>
      <c r="E502" s="290"/>
      <c r="F502" s="290"/>
      <c r="G502" s="290"/>
      <c r="H502" s="289"/>
      <c r="I502" s="289"/>
      <c r="J502" s="289"/>
      <c r="K502" s="289"/>
      <c r="L502" s="289"/>
      <c r="M502" s="289"/>
      <c r="N502" s="289"/>
      <c r="O502" s="289"/>
      <c r="P502" s="352">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8"/>
      <c r="AS502" s="288"/>
    </row>
    <row r="503" spans="1:46">
      <c r="A503" s="290"/>
      <c r="B503" s="290"/>
      <c r="C503" s="290"/>
      <c r="D503" s="290"/>
      <c r="E503" s="290"/>
      <c r="F503" s="290"/>
      <c r="G503" s="290"/>
      <c r="H503" s="289"/>
      <c r="I503" s="289"/>
      <c r="J503" s="289"/>
      <c r="K503" s="289"/>
      <c r="L503" s="289"/>
      <c r="M503" s="289"/>
      <c r="N503" s="289"/>
      <c r="O503" s="289"/>
      <c r="P503" s="352">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8"/>
      <c r="AS503" s="288"/>
    </row>
    <row r="504" spans="1:46">
      <c r="A504" s="290"/>
      <c r="B504" s="290"/>
      <c r="C504" s="290"/>
      <c r="D504" s="290"/>
      <c r="E504" s="290"/>
      <c r="F504" s="290"/>
      <c r="G504" s="290"/>
      <c r="H504" s="289"/>
      <c r="I504" s="289"/>
      <c r="J504" s="289"/>
      <c r="K504" s="289"/>
      <c r="L504" s="289"/>
      <c r="M504" s="289"/>
      <c r="N504" s="289"/>
      <c r="O504" s="289"/>
      <c r="P504" s="352">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8"/>
      <c r="AS504" s="288"/>
    </row>
    <row r="505" spans="1:46">
      <c r="A505" s="290"/>
      <c r="B505" s="290"/>
      <c r="C505" s="290"/>
      <c r="D505" s="290"/>
      <c r="E505" s="290"/>
      <c r="F505" s="290"/>
      <c r="G505" s="290"/>
      <c r="H505" s="289"/>
      <c r="I505" s="289"/>
      <c r="J505" s="289"/>
      <c r="K505" s="289"/>
      <c r="L505" s="289"/>
      <c r="M505" s="289"/>
      <c r="N505" s="289"/>
      <c r="O505" s="289"/>
      <c r="P505" s="352">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8"/>
      <c r="AS505" s="288"/>
    </row>
    <row r="506" spans="1:46">
      <c r="A506" s="290"/>
      <c r="B506" s="290"/>
      <c r="C506" s="290"/>
      <c r="D506" s="290"/>
      <c r="E506" s="290"/>
      <c r="F506" s="290"/>
      <c r="G506" s="290"/>
      <c r="H506" s="289"/>
      <c r="I506" s="289"/>
      <c r="J506" s="289"/>
      <c r="K506" s="289"/>
      <c r="L506" s="289"/>
      <c r="M506" s="289"/>
      <c r="N506" s="289"/>
      <c r="O506" s="289"/>
      <c r="P506" s="352">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8"/>
      <c r="AS506" s="288"/>
    </row>
    <row r="507" spans="1:46">
      <c r="A507" s="290"/>
      <c r="B507" s="290"/>
      <c r="C507" s="290"/>
      <c r="D507" s="290"/>
      <c r="E507" s="290"/>
      <c r="F507" s="290"/>
      <c r="G507" s="290"/>
      <c r="H507" s="289"/>
      <c r="I507" s="289"/>
      <c r="J507" s="289"/>
      <c r="K507" s="289"/>
      <c r="L507" s="289"/>
      <c r="M507" s="289"/>
      <c r="N507" s="289"/>
      <c r="O507" s="289"/>
      <c r="P507" s="352">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8"/>
      <c r="AS507" s="288"/>
    </row>
    <row r="508" spans="1:46">
      <c r="A508" s="290"/>
      <c r="B508" s="290"/>
      <c r="C508" s="290"/>
      <c r="D508" s="290"/>
      <c r="E508" s="290"/>
      <c r="F508" s="290"/>
      <c r="G508" s="290"/>
      <c r="H508" s="289"/>
      <c r="I508" s="289"/>
      <c r="J508" s="289"/>
      <c r="K508" s="289"/>
      <c r="L508" s="289"/>
      <c r="M508" s="289"/>
      <c r="N508" s="289"/>
      <c r="O508" s="289"/>
      <c r="P508" s="352">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8"/>
      <c r="AS508" s="288"/>
    </row>
    <row r="509" spans="1:46">
      <c r="A509" s="290"/>
      <c r="B509" s="290"/>
      <c r="C509" s="290"/>
      <c r="D509" s="290"/>
      <c r="E509" s="290"/>
      <c r="F509" s="290"/>
      <c r="G509" s="290"/>
      <c r="H509" s="289"/>
      <c r="I509" s="289"/>
      <c r="J509" s="289"/>
      <c r="K509" s="289"/>
      <c r="L509" s="289"/>
      <c r="M509" s="289"/>
      <c r="N509" s="289"/>
      <c r="O509" s="289"/>
      <c r="P509" s="352">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8"/>
      <c r="AS509" s="288"/>
    </row>
    <row r="510" spans="1:46">
      <c r="A510" s="290"/>
      <c r="B510" s="290"/>
      <c r="C510" s="290"/>
      <c r="D510" s="290"/>
      <c r="E510" s="290"/>
      <c r="F510" s="290"/>
      <c r="G510" s="290"/>
      <c r="H510" s="289"/>
      <c r="I510" s="289"/>
      <c r="J510" s="289"/>
      <c r="K510" s="289"/>
      <c r="L510" s="289"/>
      <c r="M510" s="289"/>
      <c r="N510" s="289"/>
      <c r="O510" s="289"/>
      <c r="P510" s="352">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8"/>
      <c r="AS510" s="288"/>
    </row>
    <row r="511" spans="1:46">
      <c r="A511" s="290"/>
      <c r="B511" s="290"/>
      <c r="C511" s="290"/>
      <c r="D511" s="290"/>
      <c r="E511" s="290"/>
      <c r="F511" s="290"/>
      <c r="G511" s="290"/>
      <c r="H511" s="289"/>
      <c r="I511" s="289"/>
      <c r="J511" s="289"/>
      <c r="K511" s="289"/>
      <c r="L511" s="289"/>
      <c r="M511" s="289"/>
      <c r="N511" s="289"/>
      <c r="O511" s="289"/>
      <c r="P511" s="352">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8"/>
      <c r="AS511" s="288"/>
    </row>
    <row r="512" spans="1:46">
      <c r="A512" s="290"/>
      <c r="B512" s="290"/>
      <c r="C512" s="290"/>
      <c r="D512" s="290"/>
      <c r="E512" s="290"/>
      <c r="F512" s="290"/>
      <c r="G512" s="290"/>
      <c r="H512" s="289"/>
      <c r="I512" s="289"/>
      <c r="J512" s="289"/>
      <c r="K512" s="289"/>
      <c r="L512" s="289"/>
      <c r="M512" s="289"/>
      <c r="N512" s="289"/>
      <c r="O512" s="289"/>
      <c r="P512" s="352">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8"/>
      <c r="AS512" s="288"/>
    </row>
    <row r="513" spans="1:45">
      <c r="A513" s="290"/>
      <c r="B513" s="290"/>
      <c r="C513" s="290"/>
      <c r="D513" s="290"/>
      <c r="E513" s="290"/>
      <c r="F513" s="290"/>
      <c r="G513" s="290"/>
      <c r="H513" s="289"/>
      <c r="I513" s="289"/>
      <c r="J513" s="289"/>
      <c r="K513" s="289"/>
      <c r="L513" s="289"/>
      <c r="M513" s="289"/>
      <c r="N513" s="289"/>
      <c r="O513" s="289"/>
      <c r="P513" s="352">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8"/>
      <c r="AS513" s="288"/>
    </row>
    <row r="514" spans="1:45">
      <c r="A514" s="290"/>
      <c r="B514" s="290"/>
      <c r="C514" s="290"/>
      <c r="D514" s="290"/>
      <c r="E514" s="290"/>
      <c r="F514" s="290"/>
      <c r="G514" s="290"/>
      <c r="H514" s="289"/>
      <c r="I514" s="289"/>
      <c r="J514" s="289"/>
      <c r="K514" s="289"/>
      <c r="L514" s="289"/>
      <c r="M514" s="289"/>
      <c r="N514" s="289"/>
      <c r="O514" s="289"/>
      <c r="P514" s="352">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8"/>
      <c r="AS514" s="288"/>
    </row>
    <row r="515" spans="1:45">
      <c r="A515" s="290"/>
      <c r="B515" s="290"/>
      <c r="C515" s="290"/>
      <c r="D515" s="290"/>
      <c r="E515" s="290"/>
      <c r="F515" s="290"/>
      <c r="G515" s="290"/>
      <c r="H515" s="289"/>
      <c r="I515" s="289"/>
      <c r="J515" s="289"/>
      <c r="K515" s="289"/>
      <c r="L515" s="289"/>
      <c r="M515" s="289"/>
      <c r="N515" s="289"/>
      <c r="O515" s="289"/>
      <c r="P515" s="352">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8"/>
      <c r="AS515" s="288"/>
    </row>
    <row r="516" spans="1:45">
      <c r="A516" s="290"/>
      <c r="B516" s="290"/>
      <c r="C516" s="290"/>
      <c r="D516" s="290"/>
      <c r="E516" s="290"/>
      <c r="F516" s="290"/>
      <c r="G516" s="290"/>
      <c r="H516" s="289"/>
      <c r="I516" s="289"/>
      <c r="J516" s="289"/>
      <c r="K516" s="289"/>
      <c r="L516" s="289"/>
      <c r="M516" s="289"/>
      <c r="N516" s="289"/>
      <c r="O516" s="289"/>
      <c r="P516" s="352">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8"/>
      <c r="AS516" s="288"/>
    </row>
    <row r="517" spans="1:45">
      <c r="A517" s="290"/>
      <c r="B517" s="290"/>
      <c r="C517" s="290"/>
      <c r="D517" s="290"/>
      <c r="E517" s="290"/>
      <c r="F517" s="290"/>
      <c r="G517" s="290"/>
      <c r="H517" s="289"/>
      <c r="I517" s="289"/>
      <c r="J517" s="289"/>
      <c r="K517" s="289"/>
      <c r="L517" s="289"/>
      <c r="M517" s="289"/>
      <c r="N517" s="289"/>
      <c r="O517" s="289"/>
      <c r="P517" s="352">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8"/>
      <c r="AS517" s="288"/>
    </row>
    <row r="518" spans="1:45">
      <c r="A518" s="290"/>
      <c r="B518" s="290"/>
      <c r="C518" s="290"/>
      <c r="D518" s="290"/>
      <c r="E518" s="290"/>
      <c r="F518" s="290"/>
      <c r="G518" s="290"/>
      <c r="H518" s="289"/>
      <c r="I518" s="289"/>
      <c r="J518" s="289"/>
      <c r="K518" s="289"/>
      <c r="L518" s="289"/>
      <c r="M518" s="289"/>
      <c r="N518" s="289"/>
      <c r="O518" s="289"/>
      <c r="P518" s="352">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8"/>
      <c r="AS518" s="288"/>
    </row>
    <row r="519" spans="1:45">
      <c r="A519" s="290"/>
      <c r="B519" s="290"/>
      <c r="C519" s="290"/>
      <c r="D519" s="290"/>
      <c r="E519" s="290"/>
      <c r="F519" s="290"/>
      <c r="G519" s="290"/>
      <c r="H519" s="289"/>
      <c r="I519" s="289"/>
      <c r="J519" s="289"/>
      <c r="K519" s="289"/>
      <c r="L519" s="289"/>
      <c r="M519" s="289"/>
      <c r="N519" s="289"/>
      <c r="O519" s="289"/>
      <c r="P519" s="352">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8"/>
      <c r="AS519" s="288"/>
    </row>
    <row r="520" spans="1:45">
      <c r="A520" s="290"/>
      <c r="B520" s="290"/>
      <c r="C520" s="290"/>
      <c r="D520" s="290"/>
      <c r="E520" s="290"/>
      <c r="F520" s="290"/>
      <c r="G520" s="290"/>
      <c r="H520" s="289"/>
      <c r="I520" s="289"/>
      <c r="J520" s="289"/>
      <c r="K520" s="289"/>
      <c r="L520" s="289"/>
      <c r="M520" s="289"/>
      <c r="N520" s="289"/>
      <c r="O520" s="289"/>
      <c r="P520" s="352">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8"/>
      <c r="AS520" s="288"/>
    </row>
    <row r="521" spans="1:45">
      <c r="A521" s="290"/>
      <c r="B521" s="290"/>
      <c r="C521" s="290"/>
      <c r="D521" s="290"/>
      <c r="E521" s="290"/>
      <c r="F521" s="290"/>
      <c r="G521" s="290"/>
      <c r="H521" s="289"/>
      <c r="I521" s="289"/>
      <c r="J521" s="289"/>
      <c r="K521" s="289"/>
      <c r="L521" s="289"/>
      <c r="M521" s="289"/>
      <c r="N521" s="289"/>
      <c r="O521" s="289"/>
      <c r="P521" s="352">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8"/>
      <c r="AS521" s="288"/>
    </row>
    <row r="522" spans="1:45">
      <c r="A522" s="290"/>
      <c r="B522" s="290"/>
      <c r="C522" s="290"/>
      <c r="D522" s="290"/>
      <c r="E522" s="290"/>
      <c r="F522" s="290"/>
      <c r="G522" s="290"/>
      <c r="H522" s="289"/>
      <c r="I522" s="289"/>
      <c r="J522" s="289"/>
      <c r="K522" s="289"/>
      <c r="L522" s="289"/>
      <c r="M522" s="289"/>
      <c r="N522" s="289"/>
      <c r="O522" s="289"/>
      <c r="P522" s="352">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8"/>
      <c r="AS522" s="288"/>
    </row>
    <row r="523" spans="1:45">
      <c r="A523" s="290"/>
      <c r="B523" s="290"/>
      <c r="C523" s="290"/>
      <c r="D523" s="290"/>
      <c r="E523" s="290"/>
      <c r="F523" s="290"/>
      <c r="G523" s="290"/>
      <c r="H523" s="289"/>
      <c r="I523" s="289"/>
      <c r="J523" s="289"/>
      <c r="K523" s="289"/>
      <c r="L523" s="289"/>
      <c r="M523" s="289"/>
      <c r="N523" s="289"/>
      <c r="O523" s="289"/>
      <c r="P523" s="352">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8"/>
      <c r="AS523" s="288"/>
    </row>
    <row r="524" spans="1:45">
      <c r="A524" s="290"/>
      <c r="B524" s="290"/>
      <c r="C524" s="290"/>
      <c r="D524" s="290"/>
      <c r="E524" s="290"/>
      <c r="F524" s="290"/>
      <c r="G524" s="290"/>
      <c r="H524" s="289"/>
      <c r="I524" s="289"/>
      <c r="J524" s="289"/>
      <c r="K524" s="289"/>
      <c r="L524" s="289"/>
      <c r="M524" s="289"/>
      <c r="N524" s="289"/>
      <c r="O524" s="289"/>
      <c r="P524" s="352">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8"/>
      <c r="AS524" s="288"/>
    </row>
    <row r="525" spans="1:45">
      <c r="A525" s="290"/>
      <c r="B525" s="290"/>
      <c r="C525" s="290"/>
      <c r="D525" s="290"/>
      <c r="E525" s="290"/>
      <c r="F525" s="290"/>
      <c r="G525" s="290"/>
      <c r="H525" s="289"/>
      <c r="I525" s="289"/>
      <c r="J525" s="289"/>
      <c r="K525" s="289"/>
      <c r="L525" s="289"/>
      <c r="M525" s="289"/>
      <c r="N525" s="289"/>
      <c r="O525" s="289"/>
      <c r="P525" s="352">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8"/>
      <c r="AS525" s="288"/>
    </row>
    <row r="526" spans="1:45">
      <c r="A526" s="290"/>
      <c r="B526" s="290"/>
      <c r="C526" s="290"/>
      <c r="D526" s="290"/>
      <c r="E526" s="290"/>
      <c r="F526" s="290"/>
      <c r="G526" s="290"/>
      <c r="H526" s="289"/>
      <c r="I526" s="289"/>
      <c r="J526" s="289"/>
      <c r="K526" s="289"/>
      <c r="L526" s="289"/>
      <c r="M526" s="289"/>
      <c r="N526" s="289"/>
      <c r="O526" s="289"/>
      <c r="P526" s="352">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8"/>
      <c r="AS526" s="288"/>
    </row>
    <row r="527" spans="1:45">
      <c r="A527" s="290"/>
      <c r="B527" s="290"/>
      <c r="C527" s="290"/>
      <c r="D527" s="290"/>
      <c r="E527" s="290"/>
      <c r="F527" s="290"/>
      <c r="G527" s="290"/>
      <c r="H527" s="289"/>
      <c r="I527" s="289"/>
      <c r="J527" s="289"/>
      <c r="K527" s="289"/>
      <c r="L527" s="289"/>
      <c r="M527" s="289"/>
      <c r="N527" s="289"/>
      <c r="O527" s="289"/>
      <c r="P527" s="352">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8"/>
      <c r="AS527" s="288"/>
    </row>
    <row r="528" spans="1:45">
      <c r="A528" s="290"/>
      <c r="B528" s="290"/>
      <c r="C528" s="290"/>
      <c r="D528" s="290"/>
      <c r="E528" s="290"/>
      <c r="F528" s="290"/>
      <c r="G528" s="290"/>
      <c r="H528" s="289"/>
      <c r="I528" s="289"/>
      <c r="J528" s="289"/>
      <c r="K528" s="289"/>
      <c r="L528" s="289"/>
      <c r="M528" s="289"/>
      <c r="N528" s="289"/>
      <c r="O528" s="289"/>
      <c r="P528" s="352">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8"/>
      <c r="AS528" s="288"/>
    </row>
    <row r="529" spans="1:45">
      <c r="A529" s="290"/>
      <c r="B529" s="290"/>
      <c r="C529" s="290"/>
      <c r="D529" s="290"/>
      <c r="E529" s="290"/>
      <c r="F529" s="290"/>
      <c r="G529" s="290"/>
      <c r="H529" s="289"/>
      <c r="I529" s="289"/>
      <c r="J529" s="289"/>
      <c r="K529" s="289"/>
      <c r="L529" s="289"/>
      <c r="M529" s="289"/>
      <c r="N529" s="289"/>
      <c r="O529" s="289"/>
      <c r="P529" s="352">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8"/>
      <c r="AS529" s="288"/>
    </row>
    <row r="530" spans="1:45">
      <c r="A530" s="290"/>
      <c r="B530" s="290"/>
      <c r="C530" s="290"/>
      <c r="D530" s="290"/>
      <c r="E530" s="290"/>
      <c r="F530" s="290"/>
      <c r="G530" s="290"/>
      <c r="H530" s="289"/>
      <c r="I530" s="289"/>
      <c r="J530" s="289"/>
      <c r="K530" s="289"/>
      <c r="L530" s="289"/>
      <c r="M530" s="289"/>
      <c r="N530" s="289"/>
      <c r="O530" s="289"/>
      <c r="P530" s="352">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8"/>
      <c r="AS530" s="288"/>
    </row>
    <row r="531" spans="1:45">
      <c r="A531" s="290"/>
      <c r="B531" s="290"/>
      <c r="C531" s="290"/>
      <c r="D531" s="290"/>
      <c r="E531" s="290"/>
      <c r="F531" s="290"/>
      <c r="G531" s="290"/>
      <c r="H531" s="289"/>
      <c r="I531" s="289"/>
      <c r="J531" s="289"/>
      <c r="K531" s="289"/>
      <c r="L531" s="289"/>
      <c r="M531" s="289"/>
      <c r="N531" s="289"/>
      <c r="O531" s="289"/>
      <c r="P531" s="352">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8"/>
      <c r="AS531" s="288"/>
    </row>
    <row r="532" spans="1:45">
      <c r="A532" s="290"/>
      <c r="B532" s="290"/>
      <c r="C532" s="290"/>
      <c r="D532" s="290"/>
      <c r="E532" s="290"/>
      <c r="F532" s="290"/>
      <c r="G532" s="290"/>
      <c r="H532" s="289"/>
      <c r="I532" s="289"/>
      <c r="J532" s="289"/>
      <c r="K532" s="289"/>
      <c r="L532" s="289"/>
      <c r="M532" s="289"/>
      <c r="N532" s="289"/>
      <c r="O532" s="289"/>
      <c r="P532" s="352">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8"/>
      <c r="AS532" s="288"/>
    </row>
    <row r="533" spans="1:45">
      <c r="A533" s="290"/>
      <c r="B533" s="290"/>
      <c r="C533" s="290"/>
      <c r="D533" s="290"/>
      <c r="E533" s="290"/>
      <c r="F533" s="290"/>
      <c r="G533" s="290"/>
      <c r="H533" s="289"/>
      <c r="I533" s="289"/>
      <c r="J533" s="289"/>
      <c r="K533" s="289"/>
      <c r="L533" s="289"/>
      <c r="M533" s="289"/>
      <c r="N533" s="289"/>
      <c r="O533" s="289"/>
      <c r="P533" s="352">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8"/>
      <c r="AS533" s="288"/>
    </row>
    <row r="534" spans="1:45">
      <c r="A534" s="290"/>
      <c r="B534" s="290"/>
      <c r="C534" s="290"/>
      <c r="D534" s="290"/>
      <c r="E534" s="290"/>
      <c r="F534" s="290"/>
      <c r="G534" s="290"/>
      <c r="H534" s="289"/>
      <c r="I534" s="289"/>
      <c r="J534" s="289"/>
      <c r="K534" s="289"/>
      <c r="L534" s="289"/>
      <c r="M534" s="289"/>
      <c r="N534" s="289"/>
      <c r="O534" s="289"/>
      <c r="P534" s="352">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8"/>
      <c r="AS534" s="288"/>
    </row>
    <row r="535" spans="1:45">
      <c r="A535" s="290"/>
      <c r="B535" s="290"/>
      <c r="C535" s="290"/>
      <c r="D535" s="290"/>
      <c r="E535" s="290"/>
      <c r="F535" s="290"/>
      <c r="G535" s="290"/>
      <c r="H535" s="289"/>
      <c r="I535" s="289"/>
      <c r="J535" s="289"/>
      <c r="K535" s="289"/>
      <c r="L535" s="289"/>
      <c r="M535" s="289"/>
      <c r="N535" s="289"/>
      <c r="O535" s="289"/>
      <c r="P535" s="352">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8"/>
      <c r="AS535" s="288"/>
    </row>
    <row r="536" spans="1:45">
      <c r="A536" s="290"/>
      <c r="B536" s="290"/>
      <c r="C536" s="290"/>
      <c r="D536" s="290"/>
      <c r="E536" s="290"/>
      <c r="F536" s="290"/>
      <c r="G536" s="290"/>
      <c r="H536" s="289"/>
      <c r="I536" s="289"/>
      <c r="J536" s="289"/>
      <c r="K536" s="289"/>
      <c r="L536" s="289"/>
      <c r="M536" s="289"/>
      <c r="N536" s="289"/>
      <c r="O536" s="289"/>
      <c r="P536" s="352">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8"/>
      <c r="AS536" s="288"/>
    </row>
    <row r="537" spans="1:45">
      <c r="A537" s="290"/>
      <c r="B537" s="290"/>
      <c r="C537" s="290"/>
      <c r="D537" s="290"/>
      <c r="E537" s="290"/>
      <c r="F537" s="290"/>
      <c r="G537" s="290"/>
      <c r="H537" s="289"/>
      <c r="I537" s="289"/>
      <c r="J537" s="289"/>
      <c r="K537" s="289"/>
      <c r="L537" s="289"/>
      <c r="M537" s="289"/>
      <c r="N537" s="289"/>
      <c r="O537" s="289"/>
      <c r="P537" s="352">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8"/>
      <c r="AS537" s="288"/>
    </row>
    <row r="538" spans="1:45">
      <c r="A538" s="290"/>
      <c r="B538" s="290"/>
      <c r="C538" s="290"/>
      <c r="D538" s="290"/>
      <c r="E538" s="290"/>
      <c r="F538" s="290"/>
      <c r="G538" s="290"/>
      <c r="H538" s="289"/>
      <c r="I538" s="289"/>
      <c r="J538" s="289"/>
      <c r="K538" s="289"/>
      <c r="L538" s="289"/>
      <c r="M538" s="289"/>
      <c r="N538" s="289"/>
      <c r="O538" s="289"/>
      <c r="P538" s="352">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8"/>
      <c r="AS538" s="288"/>
    </row>
    <row r="539" spans="1:45">
      <c r="A539" s="290"/>
      <c r="B539" s="290"/>
      <c r="C539" s="290"/>
      <c r="D539" s="290"/>
      <c r="E539" s="290"/>
      <c r="F539" s="290"/>
      <c r="G539" s="290"/>
      <c r="H539" s="289"/>
      <c r="I539" s="289"/>
      <c r="J539" s="289"/>
      <c r="K539" s="289"/>
      <c r="L539" s="289"/>
      <c r="M539" s="289"/>
      <c r="N539" s="289"/>
      <c r="O539" s="289"/>
      <c r="P539" s="352">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8"/>
      <c r="AS539" s="288"/>
    </row>
    <row r="540" spans="1:45">
      <c r="A540" s="290"/>
      <c r="B540" s="290"/>
      <c r="C540" s="290"/>
      <c r="D540" s="290"/>
      <c r="E540" s="290"/>
      <c r="F540" s="290"/>
      <c r="G540" s="290"/>
      <c r="H540" s="289"/>
      <c r="I540" s="289"/>
      <c r="J540" s="289"/>
      <c r="K540" s="289"/>
      <c r="L540" s="289"/>
      <c r="M540" s="289"/>
      <c r="N540" s="289"/>
      <c r="O540" s="289"/>
      <c r="P540" s="352">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8"/>
      <c r="AS540" s="288"/>
    </row>
    <row r="541" spans="1:45">
      <c r="A541" s="290"/>
      <c r="B541" s="290"/>
      <c r="C541" s="290"/>
      <c r="D541" s="290"/>
      <c r="E541" s="290"/>
      <c r="F541" s="290"/>
      <c r="G541" s="290"/>
      <c r="H541" s="289"/>
      <c r="I541" s="289"/>
      <c r="J541" s="289"/>
      <c r="K541" s="289"/>
      <c r="L541" s="289"/>
      <c r="M541" s="289"/>
      <c r="N541" s="289"/>
      <c r="O541" s="289"/>
      <c r="P541" s="352">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8"/>
      <c r="AS541" s="288"/>
    </row>
    <row r="542" spans="1:45">
      <c r="A542" s="290"/>
      <c r="B542" s="290"/>
      <c r="C542" s="290"/>
      <c r="D542" s="290"/>
      <c r="E542" s="290"/>
      <c r="F542" s="290"/>
      <c r="G542" s="290"/>
      <c r="H542" s="289"/>
      <c r="I542" s="289"/>
      <c r="J542" s="289"/>
      <c r="K542" s="289"/>
      <c r="L542" s="289"/>
      <c r="M542" s="289"/>
      <c r="N542" s="289"/>
      <c r="O542" s="289"/>
      <c r="P542" s="352">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8"/>
      <c r="AS542" s="288"/>
    </row>
    <row r="543" spans="1:45">
      <c r="A543" s="290"/>
      <c r="B543" s="290"/>
      <c r="C543" s="290"/>
      <c r="D543" s="290"/>
      <c r="E543" s="290"/>
      <c r="F543" s="290"/>
      <c r="G543" s="290"/>
      <c r="H543" s="289"/>
      <c r="I543" s="289"/>
      <c r="J543" s="289"/>
      <c r="K543" s="289"/>
      <c r="L543" s="289"/>
      <c r="M543" s="289"/>
      <c r="N543" s="289"/>
      <c r="O543" s="289"/>
      <c r="P543" s="352">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8"/>
      <c r="AS543" s="288"/>
    </row>
    <row r="544" spans="1:45">
      <c r="A544" s="290"/>
      <c r="B544" s="290"/>
      <c r="C544" s="290"/>
      <c r="D544" s="290"/>
      <c r="E544" s="290"/>
      <c r="F544" s="290"/>
      <c r="G544" s="290"/>
      <c r="H544" s="289"/>
      <c r="I544" s="289"/>
      <c r="J544" s="289"/>
      <c r="K544" s="289"/>
      <c r="L544" s="289"/>
      <c r="M544" s="289"/>
      <c r="N544" s="289"/>
      <c r="O544" s="289"/>
      <c r="P544" s="352">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8"/>
      <c r="AS544" s="288"/>
    </row>
    <row r="545" spans="1:45">
      <c r="A545" s="290"/>
      <c r="B545" s="290"/>
      <c r="C545" s="290"/>
      <c r="D545" s="290"/>
      <c r="E545" s="290"/>
      <c r="F545" s="290"/>
      <c r="G545" s="290"/>
      <c r="H545" s="289"/>
      <c r="I545" s="289"/>
      <c r="J545" s="289"/>
      <c r="K545" s="289"/>
      <c r="L545" s="289"/>
      <c r="M545" s="289"/>
      <c r="N545" s="289"/>
      <c r="O545" s="289"/>
      <c r="P545" s="352">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8"/>
      <c r="AS545" s="288"/>
    </row>
    <row r="546" spans="1:45">
      <c r="A546" s="290"/>
      <c r="B546" s="290"/>
      <c r="C546" s="290"/>
      <c r="D546" s="290"/>
      <c r="E546" s="290"/>
      <c r="F546" s="290"/>
      <c r="G546" s="290"/>
      <c r="H546" s="289"/>
      <c r="I546" s="289"/>
      <c r="J546" s="289"/>
      <c r="K546" s="289"/>
      <c r="L546" s="289"/>
      <c r="M546" s="289"/>
      <c r="N546" s="289"/>
      <c r="O546" s="289"/>
      <c r="P546" s="352">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8"/>
      <c r="AS546" s="288"/>
    </row>
    <row r="547" spans="1:45">
      <c r="A547" s="290"/>
      <c r="B547" s="290"/>
      <c r="C547" s="290"/>
      <c r="D547" s="290"/>
      <c r="E547" s="290"/>
      <c r="F547" s="290"/>
      <c r="G547" s="290"/>
      <c r="H547" s="289"/>
      <c r="I547" s="289"/>
      <c r="J547" s="289"/>
      <c r="K547" s="289"/>
      <c r="L547" s="289"/>
      <c r="M547" s="289"/>
      <c r="N547" s="289"/>
      <c r="O547" s="289"/>
      <c r="P547" s="352">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8"/>
      <c r="AS547" s="288"/>
    </row>
    <row r="548" spans="1:45">
      <c r="A548" s="290"/>
      <c r="B548" s="290"/>
      <c r="C548" s="290"/>
      <c r="D548" s="290"/>
      <c r="E548" s="290"/>
      <c r="F548" s="290"/>
      <c r="G548" s="290"/>
      <c r="H548" s="289"/>
      <c r="I548" s="289"/>
      <c r="J548" s="289"/>
      <c r="K548" s="289"/>
      <c r="L548" s="289"/>
      <c r="M548" s="289"/>
      <c r="N548" s="289"/>
      <c r="O548" s="289"/>
      <c r="P548" s="352">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8"/>
      <c r="AS548" s="288"/>
    </row>
    <row r="549" spans="1:45">
      <c r="A549" s="290"/>
      <c r="B549" s="290"/>
      <c r="C549" s="290"/>
      <c r="D549" s="290"/>
      <c r="E549" s="290"/>
      <c r="F549" s="290"/>
      <c r="G549" s="290"/>
      <c r="H549" s="289"/>
      <c r="I549" s="289"/>
      <c r="J549" s="289"/>
      <c r="K549" s="289"/>
      <c r="L549" s="289"/>
      <c r="M549" s="289"/>
      <c r="N549" s="289"/>
      <c r="O549" s="289"/>
      <c r="P549" s="352">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8"/>
      <c r="AS549" s="288"/>
    </row>
    <row r="550" spans="1:45">
      <c r="A550" s="290"/>
      <c r="B550" s="290"/>
      <c r="C550" s="290"/>
      <c r="D550" s="290"/>
      <c r="E550" s="290"/>
      <c r="F550" s="290"/>
      <c r="G550" s="290"/>
      <c r="H550" s="289"/>
      <c r="I550" s="289"/>
      <c r="J550" s="289"/>
      <c r="K550" s="289"/>
      <c r="L550" s="289"/>
      <c r="M550" s="289"/>
      <c r="N550" s="289"/>
      <c r="O550" s="289"/>
      <c r="P550" s="352">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8"/>
      <c r="AS550" s="288"/>
    </row>
    <row r="551" spans="1:45">
      <c r="A551" s="290"/>
      <c r="B551" s="290"/>
      <c r="C551" s="290"/>
      <c r="D551" s="290"/>
      <c r="E551" s="290"/>
      <c r="F551" s="290"/>
      <c r="G551" s="290"/>
      <c r="H551" s="289"/>
      <c r="I551" s="289"/>
      <c r="J551" s="289"/>
      <c r="K551" s="289"/>
      <c r="L551" s="289"/>
      <c r="M551" s="289"/>
      <c r="N551" s="289"/>
      <c r="O551" s="289"/>
      <c r="P551" s="352">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8"/>
      <c r="AS551" s="288"/>
    </row>
    <row r="552" spans="1:45">
      <c r="A552" s="290"/>
      <c r="B552" s="290"/>
      <c r="C552" s="290"/>
      <c r="D552" s="290"/>
      <c r="E552" s="290"/>
      <c r="F552" s="290"/>
      <c r="G552" s="290"/>
      <c r="H552" s="289"/>
      <c r="I552" s="289"/>
      <c r="J552" s="289"/>
      <c r="K552" s="289"/>
      <c r="L552" s="289"/>
      <c r="M552" s="289"/>
      <c r="N552" s="289"/>
      <c r="O552" s="289"/>
      <c r="P552" s="352">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8"/>
      <c r="AS552" s="288"/>
    </row>
    <row r="553" spans="1:45">
      <c r="A553" s="290"/>
      <c r="B553" s="290"/>
      <c r="C553" s="290"/>
      <c r="D553" s="290"/>
      <c r="E553" s="290"/>
      <c r="F553" s="290"/>
      <c r="G553" s="290"/>
      <c r="H553" s="289"/>
      <c r="I553" s="289"/>
      <c r="J553" s="289"/>
      <c r="K553" s="289"/>
      <c r="L553" s="289"/>
      <c r="M553" s="289"/>
      <c r="N553" s="289"/>
      <c r="O553" s="289"/>
      <c r="P553" s="352">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8"/>
      <c r="AS553" s="288"/>
    </row>
    <row r="554" spans="1:45">
      <c r="A554" s="290"/>
      <c r="B554" s="290"/>
      <c r="C554" s="290"/>
      <c r="D554" s="290"/>
      <c r="E554" s="290"/>
      <c r="F554" s="290"/>
      <c r="G554" s="290"/>
      <c r="H554" s="289"/>
      <c r="I554" s="289"/>
      <c r="J554" s="289"/>
      <c r="K554" s="289"/>
      <c r="L554" s="289"/>
      <c r="M554" s="289"/>
      <c r="N554" s="289"/>
      <c r="O554" s="289"/>
      <c r="P554" s="352">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8"/>
      <c r="AS554" s="288"/>
    </row>
    <row r="555" spans="1:45">
      <c r="A555" s="290"/>
      <c r="B555" s="290"/>
      <c r="C555" s="290"/>
      <c r="D555" s="290"/>
      <c r="E555" s="290"/>
      <c r="F555" s="290"/>
      <c r="G555" s="290"/>
      <c r="H555" s="289"/>
      <c r="I555" s="289"/>
      <c r="J555" s="289"/>
      <c r="K555" s="289"/>
      <c r="L555" s="289"/>
      <c r="M555" s="289"/>
      <c r="N555" s="289"/>
      <c r="O555" s="289"/>
      <c r="P555" s="352">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8"/>
      <c r="AS555" s="288"/>
    </row>
    <row r="556" spans="1:45">
      <c r="A556" s="290"/>
      <c r="B556" s="290"/>
      <c r="C556" s="290"/>
      <c r="D556" s="290"/>
      <c r="E556" s="290"/>
      <c r="F556" s="290"/>
      <c r="G556" s="290"/>
      <c r="H556" s="289"/>
      <c r="I556" s="289"/>
      <c r="J556" s="289"/>
      <c r="K556" s="289"/>
      <c r="L556" s="289"/>
      <c r="M556" s="289"/>
      <c r="N556" s="289"/>
      <c r="O556" s="289"/>
      <c r="P556" s="352">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8"/>
      <c r="AS556" s="288"/>
    </row>
    <row r="557" spans="1:45">
      <c r="A557" s="290"/>
      <c r="B557" s="290"/>
      <c r="C557" s="290"/>
      <c r="D557" s="290"/>
      <c r="E557" s="290"/>
      <c r="F557" s="290"/>
      <c r="G557" s="290"/>
      <c r="H557" s="289"/>
      <c r="I557" s="289"/>
      <c r="J557" s="289"/>
      <c r="K557" s="289"/>
      <c r="L557" s="289"/>
      <c r="M557" s="289"/>
      <c r="N557" s="289"/>
      <c r="O557" s="289"/>
      <c r="P557" s="352">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8"/>
      <c r="AS557" s="288"/>
    </row>
    <row r="558" spans="1:45">
      <c r="A558" s="290"/>
      <c r="B558" s="290"/>
      <c r="C558" s="290"/>
      <c r="D558" s="290"/>
      <c r="E558" s="290"/>
      <c r="F558" s="290"/>
      <c r="G558" s="290"/>
      <c r="H558" s="289"/>
      <c r="I558" s="289"/>
      <c r="J558" s="289"/>
      <c r="K558" s="289"/>
      <c r="L558" s="289"/>
      <c r="M558" s="289"/>
      <c r="N558" s="289"/>
      <c r="O558" s="289"/>
      <c r="P558" s="352">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8"/>
      <c r="AS558" s="288"/>
    </row>
    <row r="559" spans="1:45">
      <c r="A559" s="290"/>
      <c r="B559" s="290"/>
      <c r="C559" s="290"/>
      <c r="D559" s="290"/>
      <c r="E559" s="290"/>
      <c r="F559" s="290"/>
      <c r="G559" s="290"/>
      <c r="H559" s="289"/>
      <c r="I559" s="289"/>
      <c r="J559" s="289"/>
      <c r="K559" s="289"/>
      <c r="L559" s="289"/>
      <c r="M559" s="289"/>
      <c r="N559" s="289"/>
      <c r="O559" s="289"/>
      <c r="P559" s="352">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8"/>
      <c r="AS559" s="288"/>
    </row>
    <row r="560" spans="1:45">
      <c r="A560" s="290"/>
      <c r="B560" s="290"/>
      <c r="C560" s="290"/>
      <c r="D560" s="290"/>
      <c r="E560" s="290"/>
      <c r="F560" s="290"/>
      <c r="G560" s="290"/>
      <c r="H560" s="289"/>
      <c r="I560" s="289"/>
      <c r="J560" s="289"/>
      <c r="K560" s="289"/>
      <c r="L560" s="289"/>
      <c r="M560" s="289"/>
      <c r="N560" s="289"/>
      <c r="O560" s="289"/>
      <c r="P560" s="352">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8"/>
      <c r="AS560" s="288"/>
    </row>
    <row r="561" spans="1:45">
      <c r="A561" s="290"/>
      <c r="B561" s="290"/>
      <c r="C561" s="290"/>
      <c r="D561" s="290"/>
      <c r="E561" s="290"/>
      <c r="F561" s="290"/>
      <c r="G561" s="290"/>
      <c r="H561" s="289"/>
      <c r="I561" s="289"/>
      <c r="J561" s="289"/>
      <c r="K561" s="289"/>
      <c r="L561" s="289"/>
      <c r="M561" s="289"/>
      <c r="N561" s="289"/>
      <c r="O561" s="289"/>
      <c r="P561" s="352">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8"/>
      <c r="AS561" s="288"/>
    </row>
    <row r="562" spans="1:45">
      <c r="A562" s="290"/>
      <c r="B562" s="290"/>
      <c r="C562" s="290"/>
      <c r="D562" s="290"/>
      <c r="E562" s="290"/>
      <c r="F562" s="290"/>
      <c r="G562" s="290"/>
      <c r="H562" s="289"/>
      <c r="I562" s="289"/>
      <c r="J562" s="289"/>
      <c r="K562" s="289"/>
      <c r="L562" s="289"/>
      <c r="M562" s="289"/>
      <c r="N562" s="289"/>
      <c r="O562" s="289"/>
      <c r="P562" s="352">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8"/>
      <c r="AS562" s="288"/>
    </row>
    <row r="563" spans="1:45">
      <c r="A563" s="290"/>
      <c r="B563" s="290"/>
      <c r="C563" s="290"/>
      <c r="D563" s="290"/>
      <c r="E563" s="290"/>
      <c r="F563" s="290"/>
      <c r="G563" s="290"/>
      <c r="H563" s="289"/>
      <c r="I563" s="289"/>
      <c r="J563" s="289"/>
      <c r="K563" s="289"/>
      <c r="L563" s="289"/>
      <c r="M563" s="289"/>
      <c r="N563" s="289"/>
      <c r="O563" s="289"/>
      <c r="P563" s="352">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8"/>
      <c r="AS563" s="288"/>
    </row>
    <row r="564" spans="1:45">
      <c r="A564" s="290"/>
      <c r="B564" s="290"/>
      <c r="C564" s="290"/>
      <c r="D564" s="290"/>
      <c r="E564" s="290"/>
      <c r="F564" s="290"/>
      <c r="G564" s="290"/>
      <c r="H564" s="289"/>
      <c r="I564" s="289"/>
      <c r="J564" s="289"/>
      <c r="K564" s="289"/>
      <c r="L564" s="289"/>
      <c r="M564" s="289"/>
      <c r="N564" s="289"/>
      <c r="O564" s="289"/>
      <c r="P564" s="352">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8"/>
      <c r="AS564" s="288"/>
    </row>
    <row r="565" spans="1:45">
      <c r="A565" s="290"/>
      <c r="B565" s="290"/>
      <c r="C565" s="290"/>
      <c r="D565" s="290"/>
      <c r="E565" s="290"/>
      <c r="F565" s="290"/>
      <c r="G565" s="290"/>
      <c r="H565" s="289"/>
      <c r="I565" s="289"/>
      <c r="J565" s="289"/>
      <c r="K565" s="289"/>
      <c r="L565" s="289"/>
      <c r="M565" s="289"/>
      <c r="N565" s="289"/>
      <c r="O565" s="289"/>
      <c r="P565" s="352">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8"/>
      <c r="AS565" s="288"/>
    </row>
    <row r="566" spans="1:45">
      <c r="A566" s="290"/>
      <c r="B566" s="290"/>
      <c r="C566" s="290"/>
      <c r="D566" s="290"/>
      <c r="E566" s="290"/>
      <c r="F566" s="290"/>
      <c r="G566" s="290"/>
      <c r="H566" s="289"/>
      <c r="I566" s="289"/>
      <c r="J566" s="289"/>
      <c r="K566" s="289"/>
      <c r="L566" s="289"/>
      <c r="M566" s="289"/>
      <c r="N566" s="289"/>
      <c r="O566" s="289"/>
      <c r="P566" s="352">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8"/>
      <c r="AS566" s="288"/>
    </row>
    <row r="567" spans="1:45">
      <c r="A567" s="290"/>
      <c r="B567" s="290"/>
      <c r="C567" s="290"/>
      <c r="D567" s="290"/>
      <c r="E567" s="290"/>
      <c r="F567" s="290"/>
      <c r="G567" s="290"/>
      <c r="H567" s="289"/>
      <c r="I567" s="289"/>
      <c r="J567" s="289"/>
      <c r="K567" s="289"/>
      <c r="L567" s="289"/>
      <c r="M567" s="289"/>
      <c r="N567" s="289"/>
      <c r="O567" s="289"/>
      <c r="P567" s="352">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8"/>
      <c r="AS567" s="288"/>
    </row>
    <row r="568" spans="1:45">
      <c r="A568" s="290"/>
      <c r="B568" s="290"/>
      <c r="C568" s="290"/>
      <c r="D568" s="290"/>
      <c r="E568" s="290"/>
      <c r="F568" s="290"/>
      <c r="G568" s="290"/>
      <c r="H568" s="289"/>
      <c r="I568" s="289"/>
      <c r="J568" s="289"/>
      <c r="K568" s="289"/>
      <c r="L568" s="289"/>
      <c r="M568" s="289"/>
      <c r="N568" s="289"/>
      <c r="O568" s="289"/>
      <c r="P568" s="352">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8"/>
      <c r="AS568" s="288"/>
    </row>
    <row r="569" spans="1:45">
      <c r="A569" s="290"/>
      <c r="B569" s="290"/>
      <c r="C569" s="290"/>
      <c r="D569" s="290"/>
      <c r="E569" s="290"/>
      <c r="F569" s="290"/>
      <c r="G569" s="290"/>
      <c r="H569" s="289"/>
      <c r="I569" s="289"/>
      <c r="J569" s="289"/>
      <c r="K569" s="289"/>
      <c r="L569" s="289"/>
      <c r="M569" s="289"/>
      <c r="N569" s="289"/>
      <c r="O569" s="289"/>
      <c r="P569" s="352">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8"/>
      <c r="AS569" s="288"/>
    </row>
    <row r="570" spans="1:45">
      <c r="A570" s="290"/>
      <c r="B570" s="290"/>
      <c r="C570" s="290"/>
      <c r="D570" s="290"/>
      <c r="E570" s="290"/>
      <c r="F570" s="290"/>
      <c r="G570" s="290"/>
      <c r="H570" s="289"/>
      <c r="I570" s="289"/>
      <c r="J570" s="289"/>
      <c r="K570" s="289"/>
      <c r="L570" s="289"/>
      <c r="M570" s="289"/>
      <c r="N570" s="289"/>
      <c r="O570" s="289"/>
      <c r="P570" s="352">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8"/>
      <c r="AS570" s="288"/>
    </row>
    <row r="571" spans="1:45">
      <c r="A571" s="290"/>
      <c r="B571" s="290"/>
      <c r="C571" s="290"/>
      <c r="D571" s="290"/>
      <c r="E571" s="290"/>
      <c r="F571" s="290"/>
      <c r="G571" s="290"/>
      <c r="H571" s="289"/>
      <c r="I571" s="289"/>
      <c r="J571" s="289"/>
      <c r="K571" s="289"/>
      <c r="L571" s="289"/>
      <c r="M571" s="289"/>
      <c r="N571" s="289"/>
      <c r="O571" s="289"/>
      <c r="P571" s="352">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8"/>
      <c r="AS571" s="288"/>
    </row>
    <row r="572" spans="1:45">
      <c r="A572" s="290"/>
      <c r="B572" s="290"/>
      <c r="C572" s="290"/>
      <c r="D572" s="290"/>
      <c r="E572" s="290"/>
      <c r="F572" s="290"/>
      <c r="G572" s="290"/>
      <c r="H572" s="289"/>
      <c r="I572" s="289"/>
      <c r="J572" s="289"/>
      <c r="K572" s="289"/>
      <c r="L572" s="289"/>
      <c r="M572" s="289"/>
      <c r="N572" s="289"/>
      <c r="O572" s="289"/>
      <c r="P572" s="352">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8"/>
      <c r="AS572" s="288"/>
    </row>
    <row r="573" spans="1:45">
      <c r="A573" s="290"/>
      <c r="B573" s="290"/>
      <c r="C573" s="290"/>
      <c r="D573" s="290"/>
      <c r="E573" s="290"/>
      <c r="F573" s="290"/>
      <c r="G573" s="290"/>
      <c r="H573" s="289"/>
      <c r="I573" s="289"/>
      <c r="J573" s="289"/>
      <c r="K573" s="289"/>
      <c r="L573" s="289"/>
      <c r="M573" s="289"/>
      <c r="N573" s="289"/>
      <c r="O573" s="289"/>
      <c r="P573" s="352">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8"/>
      <c r="AS573" s="288"/>
    </row>
    <row r="574" spans="1:45">
      <c r="A574" s="290"/>
      <c r="B574" s="290"/>
      <c r="C574" s="290"/>
      <c r="D574" s="290"/>
      <c r="E574" s="290"/>
      <c r="F574" s="290"/>
      <c r="G574" s="290"/>
      <c r="H574" s="289"/>
      <c r="I574" s="289"/>
      <c r="J574" s="289"/>
      <c r="K574" s="289"/>
      <c r="L574" s="289"/>
      <c r="M574" s="289"/>
      <c r="N574" s="289"/>
      <c r="O574" s="289"/>
      <c r="P574" s="352">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8"/>
      <c r="AS574" s="288"/>
    </row>
    <row r="575" spans="1:45">
      <c r="A575" s="290"/>
      <c r="B575" s="290"/>
      <c r="C575" s="290"/>
      <c r="D575" s="290"/>
      <c r="E575" s="290"/>
      <c r="F575" s="290"/>
      <c r="G575" s="290"/>
      <c r="H575" s="289"/>
      <c r="I575" s="289"/>
      <c r="J575" s="289"/>
      <c r="K575" s="289"/>
      <c r="L575" s="289"/>
      <c r="M575" s="289"/>
      <c r="N575" s="289"/>
      <c r="O575" s="289"/>
      <c r="P575" s="352">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8"/>
      <c r="AS575" s="288"/>
    </row>
    <row r="576" spans="1:45">
      <c r="A576" s="290"/>
      <c r="B576" s="290"/>
      <c r="C576" s="290"/>
      <c r="D576" s="290"/>
      <c r="E576" s="290"/>
      <c r="F576" s="290"/>
      <c r="G576" s="290"/>
      <c r="H576" s="289"/>
      <c r="I576" s="289"/>
      <c r="J576" s="289"/>
      <c r="K576" s="289"/>
      <c r="L576" s="289"/>
      <c r="M576" s="289"/>
      <c r="N576" s="289"/>
      <c r="O576" s="289"/>
      <c r="P576" s="352">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8"/>
      <c r="AS576" s="288"/>
    </row>
    <row r="577" spans="1:45">
      <c r="A577" s="290"/>
      <c r="B577" s="290"/>
      <c r="C577" s="290"/>
      <c r="D577" s="290"/>
      <c r="E577" s="290"/>
      <c r="F577" s="290"/>
      <c r="G577" s="290"/>
      <c r="H577" s="289"/>
      <c r="I577" s="289"/>
      <c r="J577" s="289"/>
      <c r="K577" s="289"/>
      <c r="L577" s="289"/>
      <c r="M577" s="289"/>
      <c r="N577" s="289"/>
      <c r="O577" s="289"/>
      <c r="P577" s="352">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8"/>
      <c r="AS577" s="288"/>
    </row>
    <row r="578" spans="1:45">
      <c r="A578" s="290"/>
      <c r="B578" s="290"/>
      <c r="C578" s="290"/>
      <c r="D578" s="290"/>
      <c r="E578" s="290"/>
      <c r="F578" s="290"/>
      <c r="G578" s="290"/>
      <c r="H578" s="289"/>
      <c r="I578" s="289"/>
      <c r="J578" s="289"/>
      <c r="K578" s="289"/>
      <c r="L578" s="289"/>
      <c r="M578" s="289"/>
      <c r="N578" s="289"/>
      <c r="O578" s="289"/>
      <c r="P578" s="352">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8"/>
      <c r="AS578" s="288"/>
    </row>
    <row r="579" spans="1:45">
      <c r="A579" s="290"/>
      <c r="B579" s="290"/>
      <c r="C579" s="290"/>
      <c r="D579" s="290"/>
      <c r="E579" s="290"/>
      <c r="F579" s="290"/>
      <c r="G579" s="290"/>
      <c r="H579" s="289"/>
      <c r="I579" s="289"/>
      <c r="J579" s="289"/>
      <c r="K579" s="289"/>
      <c r="L579" s="289"/>
      <c r="M579" s="289"/>
      <c r="N579" s="289"/>
      <c r="O579" s="289"/>
      <c r="P579" s="352">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8"/>
      <c r="AS579" s="288"/>
    </row>
    <row r="580" spans="1:45">
      <c r="A580" s="290"/>
      <c r="B580" s="290"/>
      <c r="C580" s="290"/>
      <c r="D580" s="290"/>
      <c r="E580" s="290"/>
      <c r="F580" s="290"/>
      <c r="G580" s="290"/>
      <c r="H580" s="289"/>
      <c r="I580" s="289"/>
      <c r="J580" s="289"/>
      <c r="K580" s="289"/>
      <c r="L580" s="289"/>
      <c r="M580" s="289"/>
      <c r="N580" s="289"/>
      <c r="O580" s="289"/>
      <c r="P580" s="352">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8"/>
      <c r="AS580" s="288"/>
    </row>
    <row r="581" spans="1:45">
      <c r="A581" s="290"/>
      <c r="B581" s="290"/>
      <c r="C581" s="290"/>
      <c r="D581" s="290"/>
      <c r="E581" s="290"/>
      <c r="F581" s="290"/>
      <c r="G581" s="290"/>
      <c r="H581" s="289"/>
      <c r="I581" s="289"/>
      <c r="J581" s="289"/>
      <c r="K581" s="289"/>
      <c r="L581" s="289"/>
      <c r="M581" s="289"/>
      <c r="N581" s="289"/>
      <c r="O581" s="289"/>
      <c r="P581" s="352">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8"/>
      <c r="AS581" s="288"/>
    </row>
    <row r="582" spans="1:45">
      <c r="A582" s="290"/>
      <c r="B582" s="290"/>
      <c r="C582" s="290"/>
      <c r="D582" s="290"/>
      <c r="E582" s="290"/>
      <c r="F582" s="290"/>
      <c r="G582" s="290"/>
      <c r="H582" s="289"/>
      <c r="I582" s="289"/>
      <c r="J582" s="289"/>
      <c r="K582" s="289"/>
      <c r="L582" s="289"/>
      <c r="M582" s="289"/>
      <c r="N582" s="289"/>
      <c r="O582" s="289"/>
      <c r="P582" s="352">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8"/>
      <c r="AS582" s="288"/>
    </row>
    <row r="583" spans="1:45">
      <c r="A583" s="290"/>
      <c r="B583" s="290"/>
      <c r="C583" s="290"/>
      <c r="D583" s="290"/>
      <c r="E583" s="290"/>
      <c r="F583" s="290"/>
      <c r="G583" s="290"/>
      <c r="H583" s="289"/>
      <c r="I583" s="289"/>
      <c r="J583" s="289"/>
      <c r="K583" s="289"/>
      <c r="L583" s="289"/>
      <c r="M583" s="289"/>
      <c r="N583" s="289"/>
      <c r="O583" s="289"/>
      <c r="P583" s="352">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8"/>
      <c r="AS583" s="288"/>
    </row>
    <row r="584" spans="1:45">
      <c r="A584" s="290"/>
      <c r="B584" s="290"/>
      <c r="C584" s="290"/>
      <c r="D584" s="290"/>
      <c r="E584" s="290"/>
      <c r="F584" s="290"/>
      <c r="G584" s="290"/>
      <c r="H584" s="289"/>
      <c r="I584" s="289"/>
      <c r="J584" s="289"/>
      <c r="K584" s="289"/>
      <c r="L584" s="289"/>
      <c r="M584" s="289"/>
      <c r="N584" s="289"/>
      <c r="O584" s="289"/>
      <c r="P584" s="352">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8"/>
      <c r="AS584" s="288"/>
    </row>
    <row r="585" spans="1:45">
      <c r="A585" s="290"/>
      <c r="B585" s="290"/>
      <c r="C585" s="290"/>
      <c r="D585" s="290"/>
      <c r="E585" s="290"/>
      <c r="F585" s="290"/>
      <c r="G585" s="290"/>
      <c r="H585" s="289"/>
      <c r="I585" s="289"/>
      <c r="J585" s="289"/>
      <c r="K585" s="289"/>
      <c r="L585" s="289"/>
      <c r="M585" s="289"/>
      <c r="N585" s="289"/>
      <c r="O585" s="289"/>
      <c r="P585" s="352">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8"/>
      <c r="AS585" s="288"/>
    </row>
    <row r="586" spans="1:45">
      <c r="A586" s="290"/>
      <c r="B586" s="290"/>
      <c r="C586" s="290"/>
      <c r="D586" s="290"/>
      <c r="E586" s="290"/>
      <c r="F586" s="290"/>
      <c r="G586" s="290"/>
      <c r="H586" s="289"/>
      <c r="I586" s="289"/>
      <c r="J586" s="289"/>
      <c r="K586" s="289"/>
      <c r="L586" s="289"/>
      <c r="M586" s="289"/>
      <c r="N586" s="289"/>
      <c r="O586" s="289"/>
      <c r="P586" s="352">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8"/>
      <c r="AS586" s="288"/>
    </row>
    <row r="587" spans="1:45">
      <c r="A587" s="290"/>
      <c r="B587" s="290"/>
      <c r="C587" s="290"/>
      <c r="D587" s="290"/>
      <c r="E587" s="290"/>
      <c r="F587" s="290"/>
      <c r="G587" s="290"/>
      <c r="H587" s="289"/>
      <c r="I587" s="289"/>
      <c r="J587" s="289"/>
      <c r="K587" s="289"/>
      <c r="L587" s="289"/>
      <c r="M587" s="289"/>
      <c r="N587" s="289"/>
      <c r="O587" s="289"/>
      <c r="P587" s="352">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8"/>
      <c r="AS587" s="288"/>
    </row>
    <row r="588" spans="1:45">
      <c r="A588" s="290"/>
      <c r="B588" s="290"/>
      <c r="C588" s="290"/>
      <c r="D588" s="290"/>
      <c r="E588" s="290"/>
      <c r="F588" s="290"/>
      <c r="G588" s="290"/>
      <c r="H588" s="289"/>
      <c r="I588" s="289"/>
      <c r="J588" s="289"/>
      <c r="K588" s="289"/>
      <c r="L588" s="289"/>
      <c r="M588" s="289"/>
      <c r="N588" s="289"/>
      <c r="O588" s="289"/>
      <c r="P588" s="352">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8"/>
      <c r="AS588" s="288"/>
    </row>
    <row r="589" spans="1:45">
      <c r="A589" s="290"/>
      <c r="B589" s="290"/>
      <c r="C589" s="290"/>
      <c r="D589" s="290"/>
      <c r="E589" s="290"/>
      <c r="F589" s="290"/>
      <c r="G589" s="290"/>
      <c r="H589" s="289"/>
      <c r="I589" s="289"/>
      <c r="J589" s="289"/>
      <c r="K589" s="289"/>
      <c r="L589" s="289"/>
      <c r="M589" s="289"/>
      <c r="N589" s="289"/>
      <c r="O589" s="289"/>
      <c r="P589" s="352">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8"/>
      <c r="AS589" s="288"/>
    </row>
    <row r="590" spans="1:45">
      <c r="A590" s="290"/>
      <c r="B590" s="290"/>
      <c r="C590" s="290"/>
      <c r="D590" s="290"/>
      <c r="E590" s="290"/>
      <c r="F590" s="290"/>
      <c r="G590" s="290"/>
      <c r="H590" s="289"/>
      <c r="I590" s="289"/>
      <c r="J590" s="289"/>
      <c r="K590" s="289"/>
      <c r="L590" s="289"/>
      <c r="M590" s="289"/>
      <c r="N590" s="289"/>
      <c r="O590" s="289"/>
      <c r="P590" s="352">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8"/>
      <c r="AS590" s="288"/>
    </row>
    <row r="591" spans="1:45">
      <c r="A591" s="290"/>
      <c r="B591" s="290"/>
      <c r="C591" s="290"/>
      <c r="D591" s="290"/>
      <c r="E591" s="290"/>
      <c r="F591" s="290"/>
      <c r="G591" s="290"/>
      <c r="H591" s="289"/>
      <c r="I591" s="289"/>
      <c r="J591" s="289"/>
      <c r="K591" s="289"/>
      <c r="L591" s="289"/>
      <c r="M591" s="289"/>
      <c r="N591" s="289"/>
      <c r="O591" s="289"/>
      <c r="P591" s="352">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8"/>
      <c r="AS591" s="288"/>
    </row>
    <row r="592" spans="1:45">
      <c r="A592" s="290"/>
      <c r="B592" s="290"/>
      <c r="C592" s="290"/>
      <c r="D592" s="290"/>
      <c r="E592" s="290"/>
      <c r="F592" s="290"/>
      <c r="G592" s="290"/>
      <c r="H592" s="289"/>
      <c r="I592" s="289"/>
      <c r="J592" s="289"/>
      <c r="K592" s="289"/>
      <c r="L592" s="289"/>
      <c r="M592" s="289"/>
      <c r="N592" s="289"/>
      <c r="O592" s="289"/>
      <c r="P592" s="352">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8"/>
      <c r="AS592" s="288"/>
    </row>
    <row r="593" spans="1:45">
      <c r="A593" s="290"/>
      <c r="B593" s="290"/>
      <c r="C593" s="290"/>
      <c r="D593" s="290"/>
      <c r="E593" s="290"/>
      <c r="F593" s="290"/>
      <c r="G593" s="290"/>
      <c r="H593" s="289"/>
      <c r="I593" s="289"/>
      <c r="J593" s="289"/>
      <c r="K593" s="289"/>
      <c r="L593" s="289"/>
      <c r="M593" s="289"/>
      <c r="N593" s="289"/>
      <c r="O593" s="289"/>
      <c r="P593" s="352">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8"/>
      <c r="AS593" s="288"/>
    </row>
    <row r="594" spans="1:45">
      <c r="A594" s="290"/>
      <c r="B594" s="290"/>
      <c r="C594" s="290"/>
      <c r="D594" s="290"/>
      <c r="E594" s="290"/>
      <c r="F594" s="290"/>
      <c r="G594" s="290"/>
      <c r="H594" s="289"/>
      <c r="I594" s="289"/>
      <c r="J594" s="289"/>
      <c r="K594" s="289"/>
      <c r="L594" s="289"/>
      <c r="M594" s="289"/>
      <c r="N594" s="289"/>
      <c r="O594" s="289"/>
      <c r="P594" s="352">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8"/>
      <c r="AS594" s="288"/>
    </row>
    <row r="595" spans="1:45">
      <c r="A595" s="290"/>
      <c r="B595" s="290"/>
      <c r="C595" s="290"/>
      <c r="D595" s="290"/>
      <c r="E595" s="290"/>
      <c r="F595" s="290"/>
      <c r="G595" s="290"/>
      <c r="H595" s="289"/>
      <c r="I595" s="289"/>
      <c r="J595" s="289"/>
      <c r="K595" s="289"/>
      <c r="L595" s="289"/>
      <c r="M595" s="289"/>
      <c r="N595" s="289"/>
      <c r="O595" s="289"/>
      <c r="P595" s="352">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8"/>
      <c r="AS595" s="288"/>
    </row>
    <row r="596" spans="1:45">
      <c r="A596" s="290"/>
      <c r="B596" s="290"/>
      <c r="C596" s="290"/>
      <c r="D596" s="290"/>
      <c r="E596" s="290"/>
      <c r="F596" s="290"/>
      <c r="G596" s="290"/>
      <c r="H596" s="289"/>
      <c r="I596" s="289"/>
      <c r="J596" s="289"/>
      <c r="K596" s="289"/>
      <c r="L596" s="289"/>
      <c r="M596" s="289"/>
      <c r="N596" s="289"/>
      <c r="O596" s="289"/>
      <c r="P596" s="352">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8"/>
      <c r="AS596" s="288"/>
    </row>
    <row r="597" spans="1:45">
      <c r="A597" s="290"/>
      <c r="B597" s="290"/>
      <c r="C597" s="290"/>
      <c r="D597" s="290"/>
      <c r="E597" s="290"/>
      <c r="F597" s="290"/>
      <c r="G597" s="290"/>
      <c r="H597" s="289"/>
      <c r="I597" s="289"/>
      <c r="J597" s="289"/>
      <c r="K597" s="289"/>
      <c r="L597" s="289"/>
      <c r="M597" s="289"/>
      <c r="N597" s="289"/>
      <c r="O597" s="289"/>
      <c r="P597" s="352">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8"/>
      <c r="AS597" s="288"/>
    </row>
    <row r="598" spans="1:45">
      <c r="A598" s="290"/>
      <c r="B598" s="290"/>
      <c r="C598" s="290"/>
      <c r="D598" s="290"/>
      <c r="E598" s="290"/>
      <c r="F598" s="290"/>
      <c r="G598" s="290"/>
      <c r="H598" s="289"/>
      <c r="I598" s="289"/>
      <c r="J598" s="289"/>
      <c r="K598" s="289"/>
      <c r="L598" s="289"/>
      <c r="M598" s="289"/>
      <c r="N598" s="289"/>
      <c r="O598" s="289"/>
      <c r="P598" s="352">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8"/>
      <c r="AS598" s="288"/>
    </row>
    <row r="599" spans="1:45">
      <c r="A599" s="290"/>
      <c r="B599" s="290"/>
      <c r="C599" s="290"/>
      <c r="D599" s="290"/>
      <c r="E599" s="290"/>
      <c r="F599" s="290"/>
      <c r="G599" s="290"/>
      <c r="H599" s="289"/>
      <c r="I599" s="289"/>
      <c r="J599" s="289"/>
      <c r="K599" s="289"/>
      <c r="L599" s="289"/>
      <c r="M599" s="289"/>
      <c r="N599" s="289"/>
      <c r="O599" s="289"/>
      <c r="P599" s="352">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8"/>
      <c r="AS599" s="288"/>
    </row>
    <row r="600" spans="1:45">
      <c r="A600" s="290"/>
      <c r="B600" s="290"/>
      <c r="C600" s="290"/>
      <c r="D600" s="290"/>
      <c r="E600" s="290"/>
      <c r="F600" s="290"/>
      <c r="G600" s="290"/>
      <c r="H600" s="289"/>
      <c r="I600" s="289"/>
      <c r="J600" s="289"/>
      <c r="K600" s="289"/>
      <c r="L600" s="289"/>
      <c r="M600" s="289"/>
      <c r="N600" s="289"/>
      <c r="O600" s="289"/>
      <c r="P600" s="352">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8"/>
      <c r="AS600" s="288"/>
    </row>
    <row r="601" spans="1:45">
      <c r="A601" s="290"/>
      <c r="B601" s="290"/>
      <c r="C601" s="290"/>
      <c r="D601" s="290"/>
      <c r="E601" s="290"/>
      <c r="F601" s="290"/>
      <c r="G601" s="290"/>
      <c r="H601" s="289"/>
      <c r="I601" s="289"/>
      <c r="J601" s="289"/>
      <c r="K601" s="289"/>
      <c r="L601" s="289"/>
      <c r="M601" s="289"/>
      <c r="N601" s="289"/>
      <c r="O601" s="289"/>
      <c r="P601" s="352">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8"/>
      <c r="AS601" s="288"/>
    </row>
    <row r="602" spans="1:45">
      <c r="A602" s="290"/>
      <c r="B602" s="290"/>
      <c r="C602" s="290"/>
      <c r="D602" s="290"/>
      <c r="E602" s="290"/>
      <c r="F602" s="290"/>
      <c r="G602" s="290"/>
      <c r="H602" s="289"/>
      <c r="I602" s="289"/>
      <c r="J602" s="289"/>
      <c r="K602" s="289"/>
      <c r="L602" s="289"/>
      <c r="M602" s="289"/>
      <c r="N602" s="289"/>
      <c r="O602" s="289"/>
      <c r="P602" s="352">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8"/>
      <c r="AS602" s="288"/>
    </row>
    <row r="603" spans="1:45">
      <c r="A603" s="290"/>
      <c r="B603" s="290"/>
      <c r="C603" s="290"/>
      <c r="D603" s="290"/>
      <c r="E603" s="290"/>
      <c r="F603" s="290"/>
      <c r="G603" s="290"/>
      <c r="H603" s="289"/>
      <c r="I603" s="289"/>
      <c r="J603" s="289"/>
      <c r="K603" s="289"/>
      <c r="L603" s="289"/>
      <c r="M603" s="289"/>
      <c r="N603" s="289"/>
      <c r="O603" s="289"/>
      <c r="P603" s="352">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8"/>
      <c r="AS603" s="288"/>
    </row>
    <row r="604" spans="1:45">
      <c r="A604" s="290"/>
      <c r="B604" s="290"/>
      <c r="C604" s="290"/>
      <c r="D604" s="290"/>
      <c r="E604" s="290"/>
      <c r="F604" s="290"/>
      <c r="G604" s="290"/>
      <c r="H604" s="289"/>
      <c r="I604" s="289"/>
      <c r="J604" s="289"/>
      <c r="K604" s="289"/>
      <c r="L604" s="289"/>
      <c r="M604" s="289"/>
      <c r="N604" s="289"/>
      <c r="O604" s="289"/>
      <c r="P604" s="352">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8"/>
      <c r="AS604" s="288"/>
    </row>
    <row r="605" spans="1:45">
      <c r="A605" s="290"/>
      <c r="B605" s="290"/>
      <c r="C605" s="290"/>
      <c r="D605" s="290"/>
      <c r="E605" s="290"/>
      <c r="F605" s="290"/>
      <c r="G605" s="290"/>
      <c r="H605" s="289"/>
      <c r="I605" s="289"/>
      <c r="J605" s="289"/>
      <c r="K605" s="289"/>
      <c r="L605" s="289"/>
      <c r="M605" s="289"/>
      <c r="N605" s="289"/>
      <c r="O605" s="289"/>
      <c r="P605" s="352">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8"/>
      <c r="AS605" s="288"/>
    </row>
    <row r="606" spans="1:45">
      <c r="A606" s="290"/>
      <c r="B606" s="290"/>
      <c r="C606" s="290"/>
      <c r="D606" s="290"/>
      <c r="E606" s="290"/>
      <c r="F606" s="290"/>
      <c r="G606" s="290"/>
      <c r="H606" s="289"/>
      <c r="I606" s="289"/>
      <c r="J606" s="289"/>
      <c r="K606" s="289"/>
      <c r="L606" s="289"/>
      <c r="M606" s="289"/>
      <c r="N606" s="289"/>
      <c r="O606" s="289"/>
      <c r="P606" s="352">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8"/>
      <c r="AS606" s="288"/>
    </row>
    <row r="607" spans="1:45">
      <c r="A607" s="290"/>
      <c r="B607" s="290"/>
      <c r="C607" s="290"/>
      <c r="D607" s="290"/>
      <c r="E607" s="290"/>
      <c r="F607" s="290"/>
      <c r="G607" s="290"/>
      <c r="H607" s="289"/>
      <c r="I607" s="289"/>
      <c r="J607" s="289"/>
      <c r="K607" s="289"/>
      <c r="L607" s="289"/>
      <c r="M607" s="289"/>
      <c r="N607" s="289"/>
      <c r="O607" s="289"/>
      <c r="P607" s="352">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8"/>
      <c r="AS607" s="288"/>
    </row>
    <row r="608" spans="1:45">
      <c r="A608" s="290"/>
      <c r="B608" s="290"/>
      <c r="C608" s="290"/>
      <c r="D608" s="290"/>
      <c r="E608" s="290"/>
      <c r="F608" s="290"/>
      <c r="G608" s="290"/>
      <c r="H608" s="289"/>
      <c r="I608" s="289"/>
      <c r="J608" s="289"/>
      <c r="K608" s="289"/>
      <c r="L608" s="289"/>
      <c r="M608" s="289"/>
      <c r="N608" s="289"/>
      <c r="O608" s="289"/>
      <c r="P608" s="352">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8"/>
      <c r="AS608" s="288"/>
    </row>
    <row r="609" spans="1:45">
      <c r="A609" s="290"/>
      <c r="B609" s="290"/>
      <c r="C609" s="290"/>
      <c r="D609" s="290"/>
      <c r="E609" s="290"/>
      <c r="F609" s="290"/>
      <c r="G609" s="290"/>
      <c r="H609" s="289"/>
      <c r="I609" s="289"/>
      <c r="J609" s="289"/>
      <c r="K609" s="289"/>
      <c r="L609" s="289"/>
      <c r="M609" s="289"/>
      <c r="N609" s="289"/>
      <c r="O609" s="289"/>
      <c r="P609" s="352">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8"/>
      <c r="AS609" s="288"/>
    </row>
    <row r="610" spans="1:45">
      <c r="A610" s="290"/>
      <c r="B610" s="290"/>
      <c r="C610" s="290"/>
      <c r="D610" s="290"/>
      <c r="E610" s="290"/>
      <c r="F610" s="290"/>
      <c r="G610" s="290"/>
      <c r="H610" s="289"/>
      <c r="I610" s="289"/>
      <c r="J610" s="289"/>
      <c r="K610" s="289"/>
      <c r="L610" s="289"/>
      <c r="M610" s="289"/>
      <c r="N610" s="289"/>
      <c r="O610" s="289"/>
      <c r="P610" s="352">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8"/>
      <c r="AS610" s="288"/>
    </row>
    <row r="611" spans="1:45">
      <c r="A611" s="290"/>
      <c r="B611" s="290"/>
      <c r="C611" s="290"/>
      <c r="D611" s="290"/>
      <c r="E611" s="290"/>
      <c r="F611" s="290"/>
      <c r="G611" s="290"/>
      <c r="H611" s="289"/>
      <c r="I611" s="289"/>
      <c r="J611" s="289"/>
      <c r="K611" s="289"/>
      <c r="L611" s="289"/>
      <c r="M611" s="289"/>
      <c r="N611" s="289"/>
      <c r="O611" s="289"/>
      <c r="P611" s="352">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8"/>
      <c r="AS611" s="288"/>
    </row>
    <row r="612" spans="1:45">
      <c r="A612" s="290"/>
      <c r="B612" s="290"/>
      <c r="C612" s="290"/>
      <c r="D612" s="290"/>
      <c r="E612" s="290"/>
      <c r="F612" s="290"/>
      <c r="G612" s="290"/>
      <c r="H612" s="289"/>
      <c r="I612" s="289"/>
      <c r="J612" s="289"/>
      <c r="K612" s="289"/>
      <c r="L612" s="289"/>
      <c r="M612" s="289"/>
      <c r="N612" s="289"/>
      <c r="O612" s="289"/>
      <c r="P612" s="352">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8"/>
      <c r="AS612" s="288"/>
    </row>
    <row r="613" spans="1:45">
      <c r="A613" s="290"/>
      <c r="B613" s="290"/>
      <c r="C613" s="290"/>
      <c r="D613" s="290"/>
      <c r="E613" s="290"/>
      <c r="F613" s="290"/>
      <c r="G613" s="290"/>
      <c r="H613" s="289"/>
      <c r="I613" s="289"/>
      <c r="J613" s="289"/>
      <c r="K613" s="289"/>
      <c r="L613" s="289"/>
      <c r="M613" s="289"/>
      <c r="N613" s="289"/>
      <c r="O613" s="289"/>
      <c r="P613" s="352">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8"/>
      <c r="AS613" s="288"/>
    </row>
    <row r="614" spans="1:45">
      <c r="A614" s="290"/>
      <c r="B614" s="290"/>
      <c r="C614" s="290"/>
      <c r="D614" s="290"/>
      <c r="E614" s="290"/>
      <c r="F614" s="290"/>
      <c r="G614" s="290"/>
      <c r="H614" s="289"/>
      <c r="I614" s="289"/>
      <c r="J614" s="289"/>
      <c r="K614" s="289"/>
      <c r="L614" s="289"/>
      <c r="M614" s="289"/>
      <c r="N614" s="289"/>
      <c r="O614" s="289"/>
      <c r="P614" s="352">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8"/>
      <c r="AS614" s="288"/>
    </row>
    <row r="615" spans="1:45">
      <c r="A615" s="290"/>
      <c r="B615" s="290"/>
      <c r="C615" s="290"/>
      <c r="D615" s="290"/>
      <c r="E615" s="290"/>
      <c r="F615" s="290"/>
      <c r="G615" s="290"/>
      <c r="H615" s="289"/>
      <c r="I615" s="289"/>
      <c r="J615" s="289"/>
      <c r="K615" s="289"/>
      <c r="L615" s="289"/>
      <c r="M615" s="289"/>
      <c r="N615" s="289"/>
      <c r="O615" s="289"/>
      <c r="P615" s="352">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8"/>
      <c r="AS615" s="288"/>
    </row>
    <row r="616" spans="1:45">
      <c r="A616" s="290"/>
      <c r="B616" s="290"/>
      <c r="C616" s="290"/>
      <c r="D616" s="290"/>
      <c r="E616" s="290"/>
      <c r="F616" s="290"/>
      <c r="G616" s="290"/>
      <c r="H616" s="289"/>
      <c r="I616" s="289"/>
      <c r="J616" s="289"/>
      <c r="K616" s="289"/>
      <c r="L616" s="289"/>
      <c r="M616" s="289"/>
      <c r="N616" s="289"/>
      <c r="O616" s="289"/>
      <c r="P616" s="352">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8"/>
      <c r="AS616" s="288"/>
    </row>
    <row r="617" spans="1:45">
      <c r="A617" s="290"/>
      <c r="B617" s="290"/>
      <c r="C617" s="290"/>
      <c r="D617" s="290"/>
      <c r="E617" s="290"/>
      <c r="F617" s="290"/>
      <c r="G617" s="290"/>
      <c r="H617" s="289"/>
      <c r="I617" s="289"/>
      <c r="J617" s="289"/>
      <c r="K617" s="289"/>
      <c r="L617" s="289"/>
      <c r="M617" s="289"/>
      <c r="N617" s="289"/>
      <c r="O617" s="289"/>
      <c r="P617" s="352">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8"/>
      <c r="AS617" s="288"/>
    </row>
    <row r="618" spans="1:45">
      <c r="A618" s="290"/>
      <c r="B618" s="290"/>
      <c r="C618" s="290"/>
      <c r="D618" s="290"/>
      <c r="E618" s="290"/>
      <c r="F618" s="290"/>
      <c r="G618" s="290"/>
      <c r="H618" s="289"/>
      <c r="I618" s="289"/>
      <c r="J618" s="289"/>
      <c r="K618" s="289"/>
      <c r="L618" s="289"/>
      <c r="M618" s="289"/>
      <c r="N618" s="289"/>
      <c r="O618" s="289"/>
      <c r="P618" s="352">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8"/>
      <c r="AS618" s="288"/>
    </row>
    <row r="619" spans="1:45">
      <c r="A619" s="290"/>
      <c r="B619" s="290"/>
      <c r="C619" s="290"/>
      <c r="D619" s="290"/>
      <c r="E619" s="290"/>
      <c r="F619" s="290"/>
      <c r="G619" s="290"/>
      <c r="H619" s="289"/>
      <c r="I619" s="289"/>
      <c r="J619" s="289"/>
      <c r="K619" s="289"/>
      <c r="L619" s="289"/>
      <c r="M619" s="289"/>
      <c r="N619" s="289"/>
      <c r="O619" s="289"/>
      <c r="P619" s="352">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8"/>
      <c r="AS619" s="288"/>
    </row>
    <row r="620" spans="1:45">
      <c r="A620" s="290"/>
      <c r="B620" s="290"/>
      <c r="C620" s="290"/>
      <c r="D620" s="290"/>
      <c r="E620" s="290"/>
      <c r="F620" s="290"/>
      <c r="G620" s="290"/>
      <c r="H620" s="289"/>
      <c r="I620" s="289"/>
      <c r="J620" s="289"/>
      <c r="K620" s="289"/>
      <c r="L620" s="289"/>
      <c r="M620" s="289"/>
      <c r="N620" s="289"/>
      <c r="O620" s="289"/>
      <c r="P620" s="352">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8"/>
      <c r="AS620" s="288"/>
    </row>
    <row r="621" spans="1:45">
      <c r="A621" s="290"/>
      <c r="B621" s="290"/>
      <c r="C621" s="290"/>
      <c r="D621" s="290"/>
      <c r="E621" s="290"/>
      <c r="F621" s="290"/>
      <c r="G621" s="290"/>
      <c r="H621" s="289"/>
      <c r="I621" s="289"/>
      <c r="J621" s="289"/>
      <c r="K621" s="289"/>
      <c r="L621" s="289"/>
      <c r="M621" s="289"/>
      <c r="N621" s="289"/>
      <c r="O621" s="289"/>
      <c r="P621" s="352">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8"/>
      <c r="AS621" s="288"/>
    </row>
    <row r="622" spans="1:45">
      <c r="A622" s="290"/>
      <c r="B622" s="290"/>
      <c r="C622" s="290"/>
      <c r="D622" s="290"/>
      <c r="E622" s="290"/>
      <c r="F622" s="290"/>
      <c r="G622" s="290"/>
      <c r="H622" s="289"/>
      <c r="I622" s="289"/>
      <c r="J622" s="289"/>
      <c r="K622" s="289"/>
      <c r="L622" s="289"/>
      <c r="M622" s="289"/>
      <c r="N622" s="289"/>
      <c r="O622" s="289"/>
      <c r="P622" s="352">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8"/>
      <c r="AS622" s="288"/>
    </row>
    <row r="623" spans="1:45">
      <c r="A623" s="290"/>
      <c r="B623" s="290"/>
      <c r="C623" s="290"/>
      <c r="D623" s="290"/>
      <c r="E623" s="290"/>
      <c r="F623" s="290"/>
      <c r="G623" s="290"/>
      <c r="H623" s="289"/>
      <c r="I623" s="289"/>
      <c r="J623" s="289"/>
      <c r="K623" s="289"/>
      <c r="L623" s="289"/>
      <c r="M623" s="289"/>
      <c r="N623" s="289"/>
      <c r="O623" s="289"/>
      <c r="P623" s="352">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8"/>
      <c r="AS623" s="288"/>
    </row>
    <row r="624" spans="1:45">
      <c r="A624" s="290"/>
      <c r="B624" s="290"/>
      <c r="C624" s="290"/>
      <c r="D624" s="290"/>
      <c r="E624" s="290"/>
      <c r="F624" s="290"/>
      <c r="G624" s="290"/>
      <c r="H624" s="289"/>
      <c r="I624" s="289"/>
      <c r="J624" s="289"/>
      <c r="K624" s="289"/>
      <c r="L624" s="289"/>
      <c r="M624" s="289"/>
      <c r="N624" s="289"/>
      <c r="O624" s="289"/>
      <c r="P624" s="352">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8"/>
      <c r="AS624" s="288"/>
    </row>
    <row r="625" spans="1:45">
      <c r="A625" s="290"/>
      <c r="B625" s="290"/>
      <c r="C625" s="290"/>
      <c r="D625" s="290"/>
      <c r="E625" s="290"/>
      <c r="F625" s="290"/>
      <c r="G625" s="290"/>
      <c r="H625" s="289"/>
      <c r="I625" s="289"/>
      <c r="J625" s="289"/>
      <c r="K625" s="289"/>
      <c r="L625" s="289"/>
      <c r="M625" s="289"/>
      <c r="N625" s="289"/>
      <c r="O625" s="289"/>
      <c r="P625" s="352">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8"/>
      <c r="AS625" s="288"/>
    </row>
    <row r="626" spans="1:45">
      <c r="A626" s="290"/>
      <c r="B626" s="290"/>
      <c r="C626" s="290"/>
      <c r="D626" s="290"/>
      <c r="E626" s="290"/>
      <c r="F626" s="290"/>
      <c r="G626" s="290"/>
      <c r="H626" s="289"/>
      <c r="I626" s="289"/>
      <c r="J626" s="289"/>
      <c r="K626" s="289"/>
      <c r="L626" s="289"/>
      <c r="M626" s="289"/>
      <c r="N626" s="289"/>
      <c r="O626" s="289"/>
      <c r="P626" s="352">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8"/>
      <c r="AS626" s="288"/>
    </row>
    <row r="627" spans="1:45">
      <c r="A627" s="290"/>
      <c r="B627" s="290"/>
      <c r="C627" s="290"/>
      <c r="D627" s="290"/>
      <c r="E627" s="290"/>
      <c r="F627" s="290"/>
      <c r="G627" s="290"/>
      <c r="H627" s="289"/>
      <c r="I627" s="289"/>
      <c r="J627" s="289"/>
      <c r="K627" s="289"/>
      <c r="L627" s="289"/>
      <c r="M627" s="289"/>
      <c r="N627" s="289"/>
      <c r="O627" s="289"/>
      <c r="P627" s="352">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8"/>
      <c r="AS627" s="288"/>
    </row>
    <row r="628" spans="1:45">
      <c r="A628" s="290"/>
      <c r="B628" s="290"/>
      <c r="C628" s="290"/>
      <c r="D628" s="290"/>
      <c r="E628" s="290"/>
      <c r="F628" s="290"/>
      <c r="G628" s="290"/>
      <c r="H628" s="289"/>
      <c r="I628" s="289"/>
      <c r="J628" s="289"/>
      <c r="K628" s="289"/>
      <c r="L628" s="289"/>
      <c r="M628" s="289"/>
      <c r="N628" s="289"/>
      <c r="O628" s="289"/>
      <c r="P628" s="352">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8"/>
      <c r="AS628" s="288"/>
    </row>
    <row r="629" spans="1:45">
      <c r="A629" s="290"/>
      <c r="B629" s="290"/>
      <c r="C629" s="290"/>
      <c r="D629" s="290"/>
      <c r="E629" s="290"/>
      <c r="F629" s="290"/>
      <c r="G629" s="290"/>
      <c r="H629" s="289"/>
      <c r="I629" s="289"/>
      <c r="J629" s="289"/>
      <c r="K629" s="289"/>
      <c r="L629" s="289"/>
      <c r="M629" s="289"/>
      <c r="N629" s="289"/>
      <c r="O629" s="289"/>
      <c r="P629" s="352">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8"/>
      <c r="AS629" s="288"/>
    </row>
    <row r="630" spans="1:45">
      <c r="A630" s="290"/>
      <c r="B630" s="290"/>
      <c r="C630" s="290"/>
      <c r="D630" s="290"/>
      <c r="E630" s="290"/>
      <c r="F630" s="290"/>
      <c r="G630" s="290"/>
      <c r="H630" s="289"/>
      <c r="I630" s="289"/>
      <c r="J630" s="289"/>
      <c r="K630" s="289"/>
      <c r="L630" s="289"/>
      <c r="M630" s="289"/>
      <c r="N630" s="289"/>
      <c r="O630" s="289"/>
      <c r="P630" s="352">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8"/>
      <c r="AS630" s="288"/>
    </row>
    <row r="631" spans="1:45">
      <c r="A631" s="290"/>
      <c r="B631" s="290"/>
      <c r="C631" s="290"/>
      <c r="D631" s="290"/>
      <c r="E631" s="290"/>
      <c r="F631" s="290"/>
      <c r="G631" s="290"/>
      <c r="H631" s="289"/>
      <c r="I631" s="289"/>
      <c r="J631" s="289"/>
      <c r="K631" s="289"/>
      <c r="L631" s="289"/>
      <c r="M631" s="289"/>
      <c r="N631" s="289"/>
      <c r="O631" s="289"/>
      <c r="P631" s="352">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8"/>
      <c r="AS631" s="288"/>
    </row>
    <row r="632" spans="1:45">
      <c r="A632" s="290"/>
      <c r="B632" s="290"/>
      <c r="C632" s="290"/>
      <c r="D632" s="290"/>
      <c r="E632" s="290"/>
      <c r="F632" s="290"/>
      <c r="G632" s="290"/>
      <c r="H632" s="289"/>
      <c r="I632" s="289"/>
      <c r="J632" s="289"/>
      <c r="K632" s="289"/>
      <c r="L632" s="289"/>
      <c r="M632" s="289"/>
      <c r="N632" s="289"/>
      <c r="O632" s="289"/>
      <c r="P632" s="352">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8"/>
      <c r="AS632" s="288"/>
    </row>
    <row r="633" spans="1:45">
      <c r="A633" s="290"/>
      <c r="B633" s="290"/>
      <c r="C633" s="290"/>
      <c r="D633" s="290"/>
      <c r="E633" s="290"/>
      <c r="F633" s="290"/>
      <c r="G633" s="290"/>
      <c r="H633" s="289"/>
      <c r="I633" s="289"/>
      <c r="J633" s="289"/>
      <c r="K633" s="289"/>
      <c r="L633" s="289"/>
      <c r="M633" s="289"/>
      <c r="N633" s="289"/>
      <c r="O633" s="289"/>
      <c r="P633" s="352">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8"/>
      <c r="AS633" s="288"/>
    </row>
    <row r="634" spans="1:45">
      <c r="A634" s="290"/>
      <c r="B634" s="290"/>
      <c r="C634" s="290"/>
      <c r="D634" s="290"/>
      <c r="E634" s="290"/>
      <c r="F634" s="290"/>
      <c r="G634" s="290"/>
      <c r="H634" s="289"/>
      <c r="I634" s="289"/>
      <c r="J634" s="289"/>
      <c r="K634" s="289"/>
      <c r="L634" s="289"/>
      <c r="M634" s="289"/>
      <c r="N634" s="289"/>
      <c r="O634" s="289"/>
      <c r="P634" s="352">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8"/>
      <c r="AS634" s="288"/>
    </row>
    <row r="635" spans="1:45">
      <c r="A635" s="290"/>
      <c r="B635" s="290"/>
      <c r="C635" s="290"/>
      <c r="D635" s="290"/>
      <c r="E635" s="290"/>
      <c r="F635" s="290"/>
      <c r="G635" s="290"/>
      <c r="H635" s="289"/>
      <c r="I635" s="289"/>
      <c r="J635" s="289"/>
      <c r="K635" s="289"/>
      <c r="L635" s="289"/>
      <c r="M635" s="289"/>
      <c r="N635" s="289"/>
      <c r="O635" s="289"/>
      <c r="P635" s="352">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8"/>
      <c r="AS635" s="288"/>
    </row>
    <row r="636" spans="1:45">
      <c r="A636" s="290"/>
      <c r="B636" s="290"/>
      <c r="C636" s="290"/>
      <c r="D636" s="290"/>
      <c r="E636" s="290"/>
      <c r="F636" s="290"/>
      <c r="G636" s="290"/>
      <c r="H636" s="289"/>
      <c r="I636" s="289"/>
      <c r="J636" s="289"/>
      <c r="K636" s="289"/>
      <c r="L636" s="289"/>
      <c r="M636" s="289"/>
      <c r="N636" s="289"/>
      <c r="O636" s="289"/>
      <c r="P636" s="352">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8"/>
      <c r="AS636" s="288"/>
    </row>
    <row r="637" spans="1:45">
      <c r="A637" s="290"/>
      <c r="B637" s="290"/>
      <c r="C637" s="290"/>
      <c r="D637" s="290"/>
      <c r="E637" s="290"/>
      <c r="F637" s="290"/>
      <c r="G637" s="290"/>
      <c r="H637" s="289"/>
      <c r="I637" s="289"/>
      <c r="J637" s="289"/>
      <c r="K637" s="289"/>
      <c r="L637" s="289"/>
      <c r="M637" s="289"/>
      <c r="N637" s="289"/>
      <c r="O637" s="289"/>
      <c r="P637" s="352">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8"/>
      <c r="AS637" s="288"/>
    </row>
    <row r="638" spans="1:45">
      <c r="A638" s="290"/>
      <c r="B638" s="290"/>
      <c r="C638" s="290"/>
      <c r="D638" s="290"/>
      <c r="E638" s="290"/>
      <c r="F638" s="290"/>
      <c r="G638" s="290"/>
      <c r="H638" s="289"/>
      <c r="I638" s="289"/>
      <c r="J638" s="289"/>
      <c r="K638" s="289"/>
      <c r="L638" s="289"/>
      <c r="M638" s="289"/>
      <c r="N638" s="289"/>
      <c r="O638" s="289"/>
      <c r="P638" s="352">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8"/>
      <c r="AS638" s="288"/>
    </row>
    <row r="639" spans="1:45">
      <c r="A639" s="290"/>
      <c r="B639" s="290"/>
      <c r="C639" s="290"/>
      <c r="D639" s="290"/>
      <c r="E639" s="290"/>
      <c r="F639" s="290"/>
      <c r="G639" s="290"/>
      <c r="H639" s="289"/>
      <c r="I639" s="289"/>
      <c r="J639" s="289"/>
      <c r="K639" s="289"/>
      <c r="L639" s="289"/>
      <c r="M639" s="289"/>
      <c r="N639" s="289"/>
      <c r="O639" s="289"/>
      <c r="P639" s="352">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8"/>
      <c r="AS639" s="288"/>
    </row>
    <row r="640" spans="1:45">
      <c r="A640" s="290"/>
      <c r="B640" s="290"/>
      <c r="C640" s="290"/>
      <c r="D640" s="290"/>
      <c r="E640" s="290"/>
      <c r="F640" s="290"/>
      <c r="G640" s="290"/>
      <c r="H640" s="289"/>
      <c r="I640" s="289"/>
      <c r="J640" s="289"/>
      <c r="K640" s="289"/>
      <c r="L640" s="289"/>
      <c r="M640" s="289"/>
      <c r="N640" s="289"/>
      <c r="O640" s="361"/>
      <c r="P640" s="352">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8"/>
      <c r="AS640" s="288"/>
    </row>
    <row r="641" spans="1:45">
      <c r="A641" s="290"/>
      <c r="B641" s="290"/>
      <c r="C641" s="290"/>
      <c r="D641" s="290"/>
      <c r="E641" s="290"/>
      <c r="F641" s="290"/>
      <c r="G641" s="290"/>
      <c r="H641" s="289"/>
      <c r="I641" s="289"/>
      <c r="J641" s="289"/>
      <c r="K641" s="289"/>
      <c r="L641" s="289"/>
      <c r="M641" s="289"/>
      <c r="N641" s="289"/>
      <c r="O641" s="289"/>
      <c r="P641" s="352">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8"/>
      <c r="AS641" s="288"/>
    </row>
    <row r="642" spans="1:45">
      <c r="A642" s="290"/>
      <c r="B642" s="290"/>
      <c r="C642" s="290"/>
      <c r="D642" s="290"/>
      <c r="E642" s="290"/>
      <c r="F642" s="290"/>
      <c r="G642" s="290"/>
      <c r="H642" s="289"/>
      <c r="I642" s="289"/>
      <c r="J642" s="289"/>
      <c r="K642" s="289"/>
      <c r="L642" s="289"/>
      <c r="M642" s="289"/>
      <c r="N642" s="289"/>
      <c r="O642" s="289"/>
      <c r="P642" s="352">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8"/>
      <c r="AS642" s="288"/>
    </row>
    <row r="643" spans="1:45">
      <c r="A643" s="290"/>
      <c r="B643" s="290"/>
      <c r="C643" s="290"/>
      <c r="D643" s="290"/>
      <c r="E643" s="290"/>
      <c r="F643" s="290"/>
      <c r="G643" s="290"/>
      <c r="H643" s="289"/>
      <c r="I643" s="289"/>
      <c r="J643" s="289"/>
      <c r="K643" s="289"/>
      <c r="L643" s="289"/>
      <c r="M643" s="289"/>
      <c r="N643" s="289"/>
      <c r="O643" s="289"/>
      <c r="P643" s="352">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8"/>
      <c r="AS643" s="288"/>
    </row>
    <row r="644" spans="1:45">
      <c r="A644" s="290"/>
      <c r="B644" s="290"/>
      <c r="C644" s="290"/>
      <c r="D644" s="290"/>
      <c r="E644" s="290"/>
      <c r="F644" s="290"/>
      <c r="G644" s="290"/>
      <c r="H644" s="289"/>
      <c r="I644" s="289"/>
      <c r="J644" s="289"/>
      <c r="K644" s="289"/>
      <c r="L644" s="289"/>
      <c r="M644" s="289"/>
      <c r="N644" s="289"/>
      <c r="O644" s="289"/>
      <c r="P644" s="352">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8"/>
      <c r="AS644" s="288"/>
    </row>
    <row r="645" spans="1:45">
      <c r="A645" s="290"/>
      <c r="B645" s="290"/>
      <c r="C645" s="290"/>
      <c r="D645" s="290"/>
      <c r="E645" s="290"/>
      <c r="F645" s="290"/>
      <c r="G645" s="290"/>
      <c r="H645" s="289"/>
      <c r="I645" s="289"/>
      <c r="J645" s="289"/>
      <c r="K645" s="289"/>
      <c r="L645" s="289"/>
      <c r="M645" s="289"/>
      <c r="N645" s="289"/>
      <c r="O645" s="289"/>
      <c r="P645" s="352">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8"/>
      <c r="AS645" s="288"/>
    </row>
    <row r="646" spans="1:45">
      <c r="A646" s="290"/>
      <c r="B646" s="290"/>
      <c r="C646" s="290"/>
      <c r="D646" s="290"/>
      <c r="E646" s="290"/>
      <c r="F646" s="290"/>
      <c r="G646" s="290"/>
      <c r="H646" s="289"/>
      <c r="I646" s="289"/>
      <c r="J646" s="289"/>
      <c r="K646" s="289"/>
      <c r="L646" s="289"/>
      <c r="M646" s="289"/>
      <c r="N646" s="289"/>
      <c r="O646" s="289"/>
      <c r="P646" s="352">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8"/>
      <c r="AS646" s="288"/>
    </row>
    <row r="647" spans="1:45">
      <c r="A647" s="290"/>
      <c r="B647" s="290"/>
      <c r="C647" s="290"/>
      <c r="D647" s="290"/>
      <c r="E647" s="290"/>
      <c r="F647" s="290"/>
      <c r="G647" s="290"/>
      <c r="H647" s="289"/>
      <c r="I647" s="289"/>
      <c r="J647" s="289"/>
      <c r="K647" s="289"/>
      <c r="L647" s="289"/>
      <c r="M647" s="289"/>
      <c r="N647" s="289"/>
      <c r="O647" s="289"/>
      <c r="P647" s="352">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8"/>
      <c r="AS647" s="288"/>
    </row>
    <row r="648" spans="1:45">
      <c r="A648" s="290"/>
      <c r="B648" s="290"/>
      <c r="C648" s="290"/>
      <c r="D648" s="290"/>
      <c r="E648" s="290"/>
      <c r="F648" s="290"/>
      <c r="G648" s="290"/>
      <c r="H648" s="289"/>
      <c r="I648" s="289"/>
      <c r="J648" s="289"/>
      <c r="K648" s="289"/>
      <c r="L648" s="289"/>
      <c r="M648" s="289"/>
      <c r="N648" s="289"/>
      <c r="O648" s="289"/>
      <c r="P648" s="352">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8"/>
      <c r="AS648" s="288"/>
    </row>
    <row r="649" spans="1:45">
      <c r="A649" s="290"/>
      <c r="B649" s="290"/>
      <c r="C649" s="290"/>
      <c r="D649" s="290"/>
      <c r="E649" s="290"/>
      <c r="F649" s="290"/>
      <c r="G649" s="290"/>
      <c r="H649" s="289"/>
      <c r="I649" s="289"/>
      <c r="J649" s="289"/>
      <c r="K649" s="289"/>
      <c r="L649" s="289"/>
      <c r="M649" s="289"/>
      <c r="N649" s="289"/>
      <c r="O649" s="289"/>
      <c r="P649" s="352">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8"/>
      <c r="AS649" s="288"/>
    </row>
    <row r="650" spans="1:45">
      <c r="A650" s="290"/>
      <c r="B650" s="290"/>
      <c r="C650" s="290"/>
      <c r="D650" s="290"/>
      <c r="E650" s="290"/>
      <c r="F650" s="290"/>
      <c r="G650" s="290"/>
      <c r="H650" s="289"/>
      <c r="I650" s="289"/>
      <c r="J650" s="289"/>
      <c r="K650" s="289"/>
      <c r="L650" s="289"/>
      <c r="M650" s="289"/>
      <c r="N650" s="289"/>
      <c r="O650" s="289"/>
      <c r="P650" s="352">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8"/>
      <c r="AS650" s="288"/>
    </row>
    <row r="651" spans="1:45">
      <c r="A651" s="290"/>
      <c r="B651" s="290"/>
      <c r="C651" s="290"/>
      <c r="D651" s="290"/>
      <c r="E651" s="290"/>
      <c r="F651" s="290"/>
      <c r="G651" s="290"/>
      <c r="H651" s="289"/>
      <c r="I651" s="289"/>
      <c r="J651" s="289"/>
      <c r="K651" s="289"/>
      <c r="L651" s="289"/>
      <c r="M651" s="289"/>
      <c r="N651" s="289"/>
      <c r="O651" s="289"/>
      <c r="P651" s="352">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8"/>
      <c r="AS651" s="288"/>
    </row>
    <row r="652" spans="1:45">
      <c r="A652" s="290"/>
      <c r="B652" s="290"/>
      <c r="C652" s="290"/>
      <c r="D652" s="290"/>
      <c r="E652" s="290"/>
      <c r="F652" s="290"/>
      <c r="G652" s="290"/>
      <c r="H652" s="289"/>
      <c r="I652" s="289"/>
      <c r="J652" s="289"/>
      <c r="K652" s="289"/>
      <c r="L652" s="289"/>
      <c r="M652" s="289"/>
      <c r="N652" s="289"/>
      <c r="O652" s="289"/>
      <c r="P652" s="352">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8"/>
      <c r="AS652" s="288"/>
    </row>
    <row r="653" spans="1:45">
      <c r="A653" s="290"/>
      <c r="B653" s="290"/>
      <c r="C653" s="290"/>
      <c r="D653" s="290"/>
      <c r="E653" s="290"/>
      <c r="F653" s="290"/>
      <c r="G653" s="290"/>
      <c r="H653" s="289"/>
      <c r="I653" s="289"/>
      <c r="J653" s="289"/>
      <c r="K653" s="289"/>
      <c r="L653" s="289"/>
      <c r="M653" s="289"/>
      <c r="N653" s="289"/>
      <c r="O653" s="289"/>
      <c r="P653" s="352">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8"/>
      <c r="AS653" s="288"/>
    </row>
    <row r="654" spans="1:45">
      <c r="A654" s="290"/>
      <c r="B654" s="290"/>
      <c r="C654" s="290"/>
      <c r="D654" s="290"/>
      <c r="E654" s="290"/>
      <c r="F654" s="290"/>
      <c r="G654" s="290"/>
      <c r="H654" s="289"/>
      <c r="I654" s="289"/>
      <c r="J654" s="289"/>
      <c r="K654" s="289"/>
      <c r="L654" s="289"/>
      <c r="M654" s="289"/>
      <c r="N654" s="289"/>
      <c r="O654" s="289"/>
      <c r="P654" s="352">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8"/>
      <c r="AS654" s="288"/>
    </row>
    <row r="655" spans="1:45">
      <c r="A655" s="290"/>
      <c r="B655" s="290"/>
      <c r="C655" s="290"/>
      <c r="D655" s="290"/>
      <c r="E655" s="290"/>
      <c r="F655" s="290"/>
      <c r="G655" s="290"/>
      <c r="H655" s="289"/>
      <c r="I655" s="289"/>
      <c r="J655" s="289"/>
      <c r="K655" s="289"/>
      <c r="L655" s="289"/>
      <c r="M655" s="289"/>
      <c r="N655" s="289"/>
      <c r="O655" s="289"/>
      <c r="P655" s="352">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8"/>
      <c r="AS655" s="288"/>
    </row>
    <row r="656" spans="1:45">
      <c r="A656" s="290"/>
      <c r="B656" s="290"/>
      <c r="C656" s="290"/>
      <c r="D656" s="290"/>
      <c r="E656" s="290"/>
      <c r="F656" s="290"/>
      <c r="G656" s="290"/>
      <c r="H656" s="289"/>
      <c r="I656" s="289"/>
      <c r="J656" s="289"/>
      <c r="K656" s="289"/>
      <c r="L656" s="289"/>
      <c r="M656" s="289"/>
      <c r="N656" s="289"/>
      <c r="O656" s="289"/>
      <c r="P656" s="352">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8"/>
      <c r="AS656" s="288"/>
    </row>
    <row r="657" spans="1:45">
      <c r="A657" s="290"/>
      <c r="B657" s="290"/>
      <c r="C657" s="290"/>
      <c r="D657" s="290"/>
      <c r="E657" s="290"/>
      <c r="F657" s="290"/>
      <c r="G657" s="290"/>
      <c r="H657" s="289"/>
      <c r="I657" s="289"/>
      <c r="J657" s="289"/>
      <c r="K657" s="289"/>
      <c r="L657" s="289"/>
      <c r="M657" s="289"/>
      <c r="N657" s="289"/>
      <c r="O657" s="289"/>
      <c r="P657" s="352">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8"/>
      <c r="AS657" s="288"/>
    </row>
    <row r="658" spans="1:45">
      <c r="A658" s="290"/>
      <c r="B658" s="290"/>
      <c r="C658" s="290"/>
      <c r="D658" s="290"/>
      <c r="E658" s="290"/>
      <c r="F658" s="290"/>
      <c r="G658" s="290"/>
      <c r="H658" s="289"/>
      <c r="I658" s="289"/>
      <c r="J658" s="289"/>
      <c r="K658" s="289"/>
      <c r="L658" s="289"/>
      <c r="M658" s="289"/>
      <c r="N658" s="289"/>
      <c r="O658" s="289"/>
      <c r="P658" s="352">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8"/>
      <c r="AS658" s="288"/>
    </row>
    <row r="659" spans="1:45">
      <c r="A659" s="290"/>
      <c r="B659" s="290"/>
      <c r="C659" s="290"/>
      <c r="D659" s="290"/>
      <c r="E659" s="290"/>
      <c r="F659" s="290"/>
      <c r="G659" s="290"/>
      <c r="H659" s="289"/>
      <c r="I659" s="289"/>
      <c r="J659" s="289"/>
      <c r="K659" s="289"/>
      <c r="L659" s="289"/>
      <c r="M659" s="289"/>
      <c r="N659" s="289"/>
      <c r="O659" s="289"/>
      <c r="P659" s="352">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8"/>
      <c r="AS659" s="288"/>
    </row>
    <row r="660" spans="1:45">
      <c r="A660" s="290"/>
      <c r="B660" s="290"/>
      <c r="C660" s="290"/>
      <c r="D660" s="290"/>
      <c r="E660" s="290"/>
      <c r="F660" s="290"/>
      <c r="G660" s="290"/>
      <c r="H660" s="289"/>
      <c r="I660" s="289"/>
      <c r="J660" s="289"/>
      <c r="K660" s="289"/>
      <c r="L660" s="289"/>
      <c r="M660" s="289"/>
      <c r="N660" s="289"/>
      <c r="O660" s="289"/>
      <c r="P660" s="352">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8"/>
      <c r="AS660" s="288"/>
    </row>
    <row r="661" spans="1:45">
      <c r="A661" s="290"/>
      <c r="B661" s="290"/>
      <c r="C661" s="290"/>
      <c r="D661" s="290"/>
      <c r="E661" s="290"/>
      <c r="F661" s="290"/>
      <c r="G661" s="290"/>
      <c r="H661" s="289"/>
      <c r="I661" s="289"/>
      <c r="J661" s="289"/>
      <c r="K661" s="289"/>
      <c r="L661" s="289"/>
      <c r="M661" s="289"/>
      <c r="N661" s="289"/>
      <c r="O661" s="289"/>
      <c r="P661" s="352">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8"/>
      <c r="AS661" s="288"/>
    </row>
    <row r="662" spans="1:45">
      <c r="A662" s="290"/>
      <c r="B662" s="290"/>
      <c r="C662" s="290"/>
      <c r="D662" s="290"/>
      <c r="E662" s="290"/>
      <c r="F662" s="290"/>
      <c r="G662" s="290"/>
      <c r="H662" s="289"/>
      <c r="I662" s="289"/>
      <c r="J662" s="289"/>
      <c r="K662" s="289"/>
      <c r="L662" s="289"/>
      <c r="M662" s="289"/>
      <c r="N662" s="289"/>
      <c r="O662" s="289"/>
      <c r="P662" s="352">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8"/>
      <c r="AS662" s="288"/>
    </row>
    <row r="663" spans="1:45">
      <c r="A663" s="290"/>
      <c r="B663" s="290"/>
      <c r="C663" s="290"/>
      <c r="D663" s="290"/>
      <c r="E663" s="290"/>
      <c r="F663" s="290"/>
      <c r="G663" s="290"/>
      <c r="H663" s="289"/>
      <c r="I663" s="289"/>
      <c r="J663" s="289"/>
      <c r="K663" s="289"/>
      <c r="L663" s="289"/>
      <c r="M663" s="289"/>
      <c r="N663" s="289"/>
      <c r="O663" s="289"/>
      <c r="P663" s="352">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8"/>
      <c r="AS663" s="288"/>
    </row>
    <row r="664" spans="1:45">
      <c r="A664" s="290"/>
      <c r="B664" s="290"/>
      <c r="C664" s="290"/>
      <c r="D664" s="290"/>
      <c r="E664" s="290"/>
      <c r="F664" s="290"/>
      <c r="G664" s="290"/>
      <c r="H664" s="289"/>
      <c r="I664" s="289"/>
      <c r="J664" s="289"/>
      <c r="K664" s="289"/>
      <c r="L664" s="289"/>
      <c r="M664" s="289"/>
      <c r="N664" s="289"/>
      <c r="O664" s="289"/>
      <c r="P664" s="352">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8"/>
      <c r="AS664" s="288"/>
    </row>
    <row r="665" spans="1:45">
      <c r="A665" s="290"/>
      <c r="B665" s="290"/>
      <c r="C665" s="290"/>
      <c r="D665" s="290"/>
      <c r="E665" s="290"/>
      <c r="F665" s="290"/>
      <c r="G665" s="290"/>
      <c r="H665" s="289"/>
      <c r="I665" s="289"/>
      <c r="J665" s="289"/>
      <c r="K665" s="289"/>
      <c r="L665" s="289"/>
      <c r="M665" s="289"/>
      <c r="N665" s="289"/>
      <c r="O665" s="289"/>
      <c r="P665" s="352">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8"/>
      <c r="AS665" s="288"/>
    </row>
    <row r="666" spans="1:45">
      <c r="A666" s="290"/>
      <c r="B666" s="290"/>
      <c r="C666" s="290"/>
      <c r="D666" s="290"/>
      <c r="E666" s="290"/>
      <c r="F666" s="290"/>
      <c r="G666" s="290"/>
      <c r="H666" s="289"/>
      <c r="I666" s="289"/>
      <c r="J666" s="289"/>
      <c r="K666" s="289"/>
      <c r="L666" s="289"/>
      <c r="M666" s="289"/>
      <c r="N666" s="289"/>
      <c r="O666" s="289"/>
      <c r="P666" s="352">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8"/>
      <c r="AS666" s="288"/>
    </row>
    <row r="667" spans="1:45">
      <c r="A667" s="290"/>
      <c r="B667" s="290"/>
      <c r="C667" s="290"/>
      <c r="D667" s="290"/>
      <c r="E667" s="290"/>
      <c r="F667" s="290"/>
      <c r="G667" s="290"/>
      <c r="H667" s="289"/>
      <c r="I667" s="289"/>
      <c r="J667" s="289"/>
      <c r="K667" s="289"/>
      <c r="L667" s="289"/>
      <c r="M667" s="289"/>
      <c r="N667" s="289"/>
      <c r="O667" s="289"/>
      <c r="P667" s="352">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8"/>
      <c r="AS667" s="288"/>
    </row>
    <row r="668" spans="1:45">
      <c r="A668" s="290"/>
      <c r="B668" s="290"/>
      <c r="C668" s="290"/>
      <c r="D668" s="290"/>
      <c r="E668" s="290"/>
      <c r="F668" s="290"/>
      <c r="G668" s="290"/>
      <c r="H668" s="289"/>
      <c r="I668" s="289"/>
      <c r="J668" s="289"/>
      <c r="K668" s="289"/>
      <c r="L668" s="289"/>
      <c r="M668" s="289"/>
      <c r="N668" s="289"/>
      <c r="O668" s="289"/>
      <c r="P668" s="352">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8"/>
      <c r="AS668" s="288"/>
    </row>
    <row r="669" spans="1:45">
      <c r="A669" s="290"/>
      <c r="B669" s="290"/>
      <c r="C669" s="290"/>
      <c r="D669" s="290"/>
      <c r="E669" s="290"/>
      <c r="F669" s="290"/>
      <c r="G669" s="290"/>
      <c r="H669" s="289"/>
      <c r="I669" s="289"/>
      <c r="J669" s="289"/>
      <c r="K669" s="289"/>
      <c r="L669" s="289"/>
      <c r="M669" s="289"/>
      <c r="N669" s="289"/>
      <c r="O669" s="289"/>
      <c r="P669" s="352">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8"/>
      <c r="AS669" s="288"/>
    </row>
    <row r="670" spans="1:45">
      <c r="A670" s="290"/>
      <c r="B670" s="290"/>
      <c r="C670" s="290"/>
      <c r="D670" s="290"/>
      <c r="E670" s="290"/>
      <c r="F670" s="290"/>
      <c r="G670" s="290"/>
      <c r="H670" s="289"/>
      <c r="I670" s="289"/>
      <c r="J670" s="289"/>
      <c r="K670" s="289"/>
      <c r="L670" s="289"/>
      <c r="M670" s="289"/>
      <c r="N670" s="289"/>
      <c r="O670" s="289"/>
      <c r="P670" s="352">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8"/>
      <c r="AS670" s="288"/>
    </row>
    <row r="671" spans="1:45">
      <c r="A671" s="290"/>
      <c r="B671" s="290"/>
      <c r="C671" s="290"/>
      <c r="D671" s="290"/>
      <c r="E671" s="290"/>
      <c r="F671" s="290"/>
      <c r="G671" s="290"/>
      <c r="H671" s="289"/>
      <c r="I671" s="289"/>
      <c r="J671" s="289"/>
      <c r="K671" s="289"/>
      <c r="L671" s="289"/>
      <c r="M671" s="289"/>
      <c r="N671" s="289"/>
      <c r="O671" s="289"/>
      <c r="P671" s="352">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8"/>
      <c r="AS671" s="288"/>
    </row>
    <row r="672" spans="1:45">
      <c r="A672" s="290"/>
      <c r="B672" s="290"/>
      <c r="C672" s="290"/>
      <c r="D672" s="290"/>
      <c r="E672" s="290"/>
      <c r="F672" s="290"/>
      <c r="G672" s="290"/>
      <c r="H672" s="289"/>
      <c r="I672" s="289"/>
      <c r="J672" s="289"/>
      <c r="K672" s="289"/>
      <c r="L672" s="289"/>
      <c r="M672" s="289"/>
      <c r="N672" s="289"/>
      <c r="O672" s="289"/>
      <c r="P672" s="352">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8"/>
      <c r="AS672" s="288"/>
    </row>
    <row r="673" spans="1:45">
      <c r="A673" s="290"/>
      <c r="B673" s="290"/>
      <c r="C673" s="290"/>
      <c r="D673" s="290"/>
      <c r="E673" s="290"/>
      <c r="F673" s="290"/>
      <c r="G673" s="290"/>
      <c r="H673" s="289"/>
      <c r="I673" s="289"/>
      <c r="J673" s="289"/>
      <c r="K673" s="289"/>
      <c r="L673" s="289"/>
      <c r="M673" s="289"/>
      <c r="N673" s="289"/>
      <c r="O673" s="289"/>
      <c r="P673" s="352">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8"/>
      <c r="AS673" s="288"/>
    </row>
    <row r="674" spans="1:45">
      <c r="A674" s="290"/>
      <c r="B674" s="290"/>
      <c r="C674" s="290"/>
      <c r="D674" s="290"/>
      <c r="E674" s="290"/>
      <c r="F674" s="290"/>
      <c r="G674" s="290"/>
      <c r="H674" s="289"/>
      <c r="I674" s="289"/>
      <c r="J674" s="289"/>
      <c r="K674" s="289"/>
      <c r="L674" s="289"/>
      <c r="M674" s="289"/>
      <c r="N674" s="289"/>
      <c r="O674" s="289"/>
      <c r="P674" s="352">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8"/>
      <c r="AS674" s="288"/>
    </row>
    <row r="675" spans="1:45">
      <c r="A675" s="290"/>
      <c r="B675" s="290"/>
      <c r="C675" s="290"/>
      <c r="D675" s="290"/>
      <c r="E675" s="290"/>
      <c r="F675" s="290"/>
      <c r="G675" s="290"/>
      <c r="H675" s="289"/>
      <c r="I675" s="289"/>
      <c r="J675" s="289"/>
      <c r="K675" s="289"/>
      <c r="L675" s="289"/>
      <c r="M675" s="289"/>
      <c r="N675" s="289"/>
      <c r="O675" s="289"/>
      <c r="P675" s="352">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8"/>
      <c r="AS675" s="288"/>
    </row>
    <row r="676" spans="1:45">
      <c r="A676" s="290"/>
      <c r="B676" s="290"/>
      <c r="C676" s="290"/>
      <c r="D676" s="290"/>
      <c r="E676" s="290"/>
      <c r="F676" s="290"/>
      <c r="G676" s="290"/>
      <c r="H676" s="289"/>
      <c r="I676" s="289"/>
      <c r="J676" s="289"/>
      <c r="K676" s="289"/>
      <c r="L676" s="289"/>
      <c r="M676" s="289"/>
      <c r="N676" s="289"/>
      <c r="O676" s="289"/>
      <c r="P676" s="352">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8"/>
      <c r="AS676" s="288"/>
    </row>
    <row r="677" spans="1:45">
      <c r="A677" s="290"/>
      <c r="B677" s="290"/>
      <c r="C677" s="290"/>
      <c r="D677" s="290"/>
      <c r="E677" s="290"/>
      <c r="F677" s="290"/>
      <c r="G677" s="290"/>
      <c r="H677" s="289"/>
      <c r="I677" s="289"/>
      <c r="J677" s="289"/>
      <c r="K677" s="289"/>
      <c r="L677" s="289"/>
      <c r="M677" s="289"/>
      <c r="N677" s="289"/>
      <c r="O677" s="289"/>
      <c r="P677" s="352">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8"/>
      <c r="AS677" s="288"/>
    </row>
    <row r="678" spans="1:45">
      <c r="A678" s="290"/>
      <c r="B678" s="290"/>
      <c r="C678" s="290"/>
      <c r="D678" s="290"/>
      <c r="E678" s="290"/>
      <c r="F678" s="290"/>
      <c r="G678" s="290"/>
      <c r="H678" s="289"/>
      <c r="I678" s="289"/>
      <c r="J678" s="289"/>
      <c r="K678" s="289"/>
      <c r="L678" s="289"/>
      <c r="M678" s="289"/>
      <c r="N678" s="289"/>
      <c r="O678" s="289"/>
      <c r="P678" s="352">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8"/>
      <c r="AS678" s="288"/>
    </row>
    <row r="679" spans="1:45">
      <c r="A679" s="290"/>
      <c r="B679" s="290"/>
      <c r="C679" s="290"/>
      <c r="D679" s="290"/>
      <c r="E679" s="290"/>
      <c r="F679" s="290"/>
      <c r="G679" s="290"/>
      <c r="H679" s="289"/>
      <c r="I679" s="289"/>
      <c r="J679" s="289"/>
      <c r="K679" s="289"/>
      <c r="L679" s="289"/>
      <c r="M679" s="289"/>
      <c r="N679" s="289"/>
      <c r="O679" s="289"/>
      <c r="P679" s="352">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8"/>
      <c r="AS679" s="288"/>
    </row>
    <row r="680" spans="1:45">
      <c r="A680" s="290"/>
      <c r="B680" s="290"/>
      <c r="C680" s="290"/>
      <c r="D680" s="290"/>
      <c r="E680" s="290"/>
      <c r="F680" s="290"/>
      <c r="G680" s="290"/>
      <c r="H680" s="289"/>
      <c r="I680" s="289"/>
      <c r="J680" s="289"/>
      <c r="K680" s="289"/>
      <c r="L680" s="289"/>
      <c r="M680" s="289"/>
      <c r="N680" s="289"/>
      <c r="O680" s="289"/>
      <c r="P680" s="352">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8"/>
      <c r="AS680" s="288"/>
    </row>
    <row r="681" spans="1:45">
      <c r="A681" s="290"/>
      <c r="B681" s="290"/>
      <c r="C681" s="290"/>
      <c r="D681" s="290"/>
      <c r="E681" s="290"/>
      <c r="F681" s="290"/>
      <c r="G681" s="290"/>
      <c r="H681" s="289"/>
      <c r="I681" s="289"/>
      <c r="J681" s="289"/>
      <c r="K681" s="289"/>
      <c r="L681" s="289"/>
      <c r="M681" s="289"/>
      <c r="N681" s="289"/>
      <c r="O681" s="289"/>
      <c r="P681" s="352">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8"/>
      <c r="AS681" s="288"/>
    </row>
    <row r="682" spans="1:45">
      <c r="A682" s="290"/>
      <c r="B682" s="290"/>
      <c r="C682" s="290"/>
      <c r="D682" s="290"/>
      <c r="E682" s="290"/>
      <c r="F682" s="290"/>
      <c r="G682" s="290"/>
      <c r="H682" s="289"/>
      <c r="I682" s="289"/>
      <c r="J682" s="289"/>
      <c r="K682" s="289"/>
      <c r="L682" s="289"/>
      <c r="M682" s="289"/>
      <c r="N682" s="289"/>
      <c r="O682" s="289"/>
      <c r="P682" s="352">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8"/>
      <c r="AS682" s="288"/>
    </row>
    <row r="683" spans="1:45">
      <c r="A683" s="290"/>
      <c r="B683" s="290"/>
      <c r="C683" s="290"/>
      <c r="D683" s="290"/>
      <c r="E683" s="290"/>
      <c r="F683" s="290"/>
      <c r="G683" s="290"/>
      <c r="H683" s="289"/>
      <c r="I683" s="289"/>
      <c r="J683" s="289"/>
      <c r="K683" s="289"/>
      <c r="L683" s="289"/>
      <c r="M683" s="289"/>
      <c r="N683" s="289"/>
      <c r="O683" s="289"/>
      <c r="P683" s="352">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8"/>
      <c r="AS683" s="288"/>
    </row>
    <row r="684" spans="1:45">
      <c r="A684" s="290"/>
      <c r="B684" s="290"/>
      <c r="C684" s="290"/>
      <c r="D684" s="290"/>
      <c r="E684" s="290"/>
      <c r="F684" s="290"/>
      <c r="G684" s="290"/>
      <c r="H684" s="289"/>
      <c r="I684" s="289"/>
      <c r="J684" s="289"/>
      <c r="K684" s="289"/>
      <c r="L684" s="289"/>
      <c r="M684" s="289"/>
      <c r="N684" s="289"/>
      <c r="O684" s="289"/>
      <c r="P684" s="352">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8"/>
      <c r="AS684" s="288"/>
    </row>
    <row r="685" spans="1:45">
      <c r="A685" s="290"/>
      <c r="B685" s="290"/>
      <c r="C685" s="290"/>
      <c r="D685" s="290"/>
      <c r="E685" s="290"/>
      <c r="F685" s="290"/>
      <c r="G685" s="290"/>
      <c r="H685" s="289"/>
      <c r="I685" s="289"/>
      <c r="J685" s="289"/>
      <c r="K685" s="289"/>
      <c r="L685" s="289"/>
      <c r="M685" s="289"/>
      <c r="N685" s="289"/>
      <c r="O685" s="289"/>
      <c r="P685" s="352">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8"/>
      <c r="AS685" s="288"/>
    </row>
    <row r="686" spans="1:45">
      <c r="A686" s="290"/>
      <c r="B686" s="290"/>
      <c r="C686" s="290"/>
      <c r="D686" s="290"/>
      <c r="E686" s="290"/>
      <c r="F686" s="290"/>
      <c r="G686" s="290"/>
      <c r="H686" s="289"/>
      <c r="I686" s="289"/>
      <c r="J686" s="289"/>
      <c r="K686" s="289"/>
      <c r="L686" s="289"/>
      <c r="M686" s="289"/>
      <c r="N686" s="289"/>
      <c r="O686" s="289"/>
      <c r="P686" s="352">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8"/>
      <c r="AS686" s="288"/>
    </row>
    <row r="687" spans="1:45">
      <c r="A687" s="290"/>
      <c r="B687" s="290"/>
      <c r="C687" s="290"/>
      <c r="D687" s="290"/>
      <c r="E687" s="290"/>
      <c r="F687" s="290"/>
      <c r="G687" s="290"/>
      <c r="H687" s="289"/>
      <c r="I687" s="289"/>
      <c r="J687" s="289"/>
      <c r="K687" s="289"/>
      <c r="L687" s="289"/>
      <c r="M687" s="289"/>
      <c r="N687" s="289"/>
      <c r="O687" s="289"/>
      <c r="P687" s="352">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8"/>
      <c r="AS687" s="288"/>
    </row>
    <row r="688" spans="1:45">
      <c r="A688" s="290"/>
      <c r="B688" s="290"/>
      <c r="C688" s="290"/>
      <c r="D688" s="290"/>
      <c r="E688" s="290"/>
      <c r="F688" s="290"/>
      <c r="G688" s="290"/>
      <c r="H688" s="289"/>
      <c r="I688" s="289"/>
      <c r="J688" s="289"/>
      <c r="K688" s="289"/>
      <c r="L688" s="289"/>
      <c r="M688" s="289"/>
      <c r="N688" s="289"/>
      <c r="O688" s="289"/>
      <c r="P688" s="352">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8"/>
      <c r="AS688" s="288"/>
    </row>
    <row r="689" spans="1:45">
      <c r="A689" s="290"/>
      <c r="B689" s="290"/>
      <c r="C689" s="290"/>
      <c r="D689" s="290"/>
      <c r="E689" s="290"/>
      <c r="F689" s="290"/>
      <c r="G689" s="290"/>
      <c r="H689" s="289"/>
      <c r="I689" s="289"/>
      <c r="J689" s="289"/>
      <c r="K689" s="289"/>
      <c r="L689" s="289"/>
      <c r="M689" s="289"/>
      <c r="N689" s="289"/>
      <c r="O689" s="289"/>
      <c r="P689" s="352">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8"/>
      <c r="AS689" s="288"/>
    </row>
    <row r="690" spans="1:45">
      <c r="A690" s="290"/>
      <c r="B690" s="290"/>
      <c r="C690" s="290"/>
      <c r="D690" s="290"/>
      <c r="E690" s="290"/>
      <c r="F690" s="290"/>
      <c r="G690" s="290"/>
      <c r="H690" s="289"/>
      <c r="I690" s="289"/>
      <c r="J690" s="289"/>
      <c r="K690" s="289"/>
      <c r="L690" s="289"/>
      <c r="M690" s="289"/>
      <c r="N690" s="289"/>
      <c r="O690" s="289"/>
      <c r="P690" s="352">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8"/>
      <c r="AS690" s="288"/>
    </row>
    <row r="691" spans="1:45">
      <c r="A691" s="290"/>
      <c r="B691" s="290"/>
      <c r="C691" s="290"/>
      <c r="D691" s="290"/>
      <c r="E691" s="290"/>
      <c r="F691" s="290"/>
      <c r="G691" s="290"/>
      <c r="H691" s="289"/>
      <c r="I691" s="289"/>
      <c r="J691" s="289"/>
      <c r="K691" s="289"/>
      <c r="L691" s="289"/>
      <c r="M691" s="289"/>
      <c r="N691" s="289"/>
      <c r="O691" s="289"/>
      <c r="P691" s="352">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8"/>
      <c r="AS691" s="288"/>
    </row>
    <row r="692" spans="1:45">
      <c r="A692" s="290"/>
      <c r="B692" s="290"/>
      <c r="C692" s="290"/>
      <c r="D692" s="290"/>
      <c r="E692" s="290"/>
      <c r="F692" s="290"/>
      <c r="G692" s="290"/>
      <c r="H692" s="289"/>
      <c r="I692" s="289"/>
      <c r="J692" s="289"/>
      <c r="K692" s="289"/>
      <c r="L692" s="289"/>
      <c r="M692" s="289"/>
      <c r="N692" s="289"/>
      <c r="O692" s="289"/>
      <c r="P692" s="352">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8"/>
      <c r="AS692" s="288"/>
    </row>
    <row r="693" spans="1:45">
      <c r="A693" s="290"/>
      <c r="B693" s="290"/>
      <c r="C693" s="290"/>
      <c r="D693" s="290"/>
      <c r="E693" s="290"/>
      <c r="F693" s="290"/>
      <c r="G693" s="290"/>
      <c r="H693" s="289"/>
      <c r="I693" s="289"/>
      <c r="J693" s="289"/>
      <c r="K693" s="289"/>
      <c r="L693" s="289"/>
      <c r="M693" s="289"/>
      <c r="N693" s="289"/>
      <c r="O693" s="289"/>
      <c r="P693" s="352">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8"/>
      <c r="AS693" s="288"/>
    </row>
    <row r="694" spans="1:45">
      <c r="A694" s="290"/>
      <c r="B694" s="290"/>
      <c r="C694" s="290"/>
      <c r="D694" s="290"/>
      <c r="E694" s="290"/>
      <c r="F694" s="290"/>
      <c r="G694" s="290"/>
      <c r="H694" s="289"/>
      <c r="I694" s="289"/>
      <c r="J694" s="289"/>
      <c r="K694" s="289"/>
      <c r="L694" s="289"/>
      <c r="M694" s="289"/>
      <c r="N694" s="289"/>
      <c r="O694" s="289"/>
      <c r="P694" s="352">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8"/>
      <c r="AS694" s="288"/>
    </row>
    <row r="695" spans="1:45">
      <c r="A695" s="290"/>
      <c r="B695" s="290"/>
      <c r="C695" s="290"/>
      <c r="D695" s="290"/>
      <c r="E695" s="290"/>
      <c r="F695" s="290"/>
      <c r="G695" s="290"/>
      <c r="H695" s="289"/>
      <c r="I695" s="289"/>
      <c r="J695" s="289"/>
      <c r="K695" s="289"/>
      <c r="L695" s="289"/>
      <c r="M695" s="289"/>
      <c r="N695" s="289"/>
      <c r="O695" s="289"/>
      <c r="P695" s="352">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8"/>
      <c r="AS695" s="288"/>
    </row>
    <row r="696" spans="1:45">
      <c r="A696" s="290"/>
      <c r="B696" s="290"/>
      <c r="C696" s="290"/>
      <c r="D696" s="290"/>
      <c r="E696" s="290"/>
      <c r="F696" s="290"/>
      <c r="G696" s="290"/>
      <c r="H696" s="289"/>
      <c r="I696" s="289"/>
      <c r="J696" s="289"/>
      <c r="K696" s="289"/>
      <c r="L696" s="289"/>
      <c r="M696" s="289"/>
      <c r="N696" s="289"/>
      <c r="O696" s="289"/>
      <c r="P696" s="352">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8"/>
      <c r="AS696" s="288"/>
    </row>
    <row r="697" spans="1:45">
      <c r="A697" s="290"/>
      <c r="B697" s="290"/>
      <c r="C697" s="290"/>
      <c r="D697" s="290"/>
      <c r="E697" s="290"/>
      <c r="F697" s="290"/>
      <c r="G697" s="290"/>
      <c r="H697" s="289"/>
      <c r="I697" s="289"/>
      <c r="J697" s="289"/>
      <c r="K697" s="289"/>
      <c r="L697" s="289"/>
      <c r="M697" s="289"/>
      <c r="N697" s="289"/>
      <c r="O697" s="289"/>
      <c r="P697" s="352">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8"/>
      <c r="AS697" s="288"/>
    </row>
    <row r="698" spans="1:45">
      <c r="A698" s="290"/>
      <c r="B698" s="290"/>
      <c r="C698" s="290"/>
      <c r="D698" s="290"/>
      <c r="E698" s="290"/>
      <c r="F698" s="290"/>
      <c r="G698" s="290"/>
      <c r="H698" s="289"/>
      <c r="I698" s="289"/>
      <c r="J698" s="289"/>
      <c r="K698" s="289"/>
      <c r="L698" s="289"/>
      <c r="M698" s="289"/>
      <c r="N698" s="289"/>
      <c r="O698" s="289"/>
      <c r="P698" s="352">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8"/>
      <c r="AS698" s="288"/>
    </row>
    <row r="699" spans="1:45">
      <c r="A699" s="290"/>
      <c r="B699" s="290"/>
      <c r="C699" s="290"/>
      <c r="D699" s="290"/>
      <c r="E699" s="290"/>
      <c r="F699" s="290"/>
      <c r="G699" s="290"/>
      <c r="H699" s="289"/>
      <c r="I699" s="289"/>
      <c r="J699" s="289"/>
      <c r="K699" s="289"/>
      <c r="L699" s="289"/>
      <c r="M699" s="289"/>
      <c r="N699" s="289"/>
      <c r="O699" s="289"/>
      <c r="P699" s="352">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8"/>
      <c r="AS699" s="288"/>
    </row>
    <row r="700" spans="1:45">
      <c r="A700" s="290"/>
      <c r="B700" s="290"/>
      <c r="C700" s="290"/>
      <c r="D700" s="290"/>
      <c r="E700" s="290"/>
      <c r="F700" s="290"/>
      <c r="G700" s="290"/>
      <c r="H700" s="289"/>
      <c r="I700" s="289"/>
      <c r="J700" s="289"/>
      <c r="K700" s="289"/>
      <c r="L700" s="289"/>
      <c r="M700" s="289"/>
      <c r="N700" s="289"/>
      <c r="O700" s="289"/>
      <c r="P700" s="352">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8"/>
      <c r="AS700" s="288"/>
    </row>
    <row r="701" spans="1:45">
      <c r="A701" s="290"/>
      <c r="B701" s="290"/>
      <c r="C701" s="290"/>
      <c r="D701" s="290"/>
      <c r="E701" s="290"/>
      <c r="F701" s="290"/>
      <c r="G701" s="290"/>
      <c r="H701" s="289"/>
      <c r="I701" s="289"/>
      <c r="J701" s="289"/>
      <c r="K701" s="289"/>
      <c r="L701" s="289"/>
      <c r="M701" s="289"/>
      <c r="N701" s="289"/>
      <c r="O701" s="289"/>
      <c r="P701" s="352">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8"/>
      <c r="AS701" s="288"/>
    </row>
    <row r="702" spans="1:45">
      <c r="A702" s="290"/>
      <c r="B702" s="290"/>
      <c r="C702" s="290"/>
      <c r="D702" s="290"/>
      <c r="E702" s="290"/>
      <c r="F702" s="290"/>
      <c r="G702" s="290"/>
      <c r="H702" s="289"/>
      <c r="I702" s="289"/>
      <c r="J702" s="289"/>
      <c r="K702" s="289"/>
      <c r="L702" s="289"/>
      <c r="M702" s="289"/>
      <c r="N702" s="289"/>
      <c r="O702" s="289"/>
      <c r="P702" s="352">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8"/>
      <c r="AS702" s="288"/>
    </row>
    <row r="703" spans="1:45">
      <c r="A703" s="290"/>
      <c r="B703" s="290"/>
      <c r="C703" s="290"/>
      <c r="D703" s="290"/>
      <c r="E703" s="290"/>
      <c r="F703" s="290"/>
      <c r="G703" s="290"/>
      <c r="H703" s="289"/>
      <c r="I703" s="289"/>
      <c r="J703" s="289"/>
      <c r="K703" s="289"/>
      <c r="L703" s="289"/>
      <c r="M703" s="289"/>
      <c r="N703" s="289"/>
      <c r="O703" s="289"/>
      <c r="P703" s="352">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8"/>
      <c r="AS703" s="288"/>
    </row>
    <row r="704" spans="1:45">
      <c r="A704" s="290"/>
      <c r="B704" s="290"/>
      <c r="C704" s="290"/>
      <c r="D704" s="290"/>
      <c r="E704" s="290"/>
      <c r="F704" s="290"/>
      <c r="G704" s="290"/>
      <c r="H704" s="289"/>
      <c r="I704" s="289"/>
      <c r="J704" s="289"/>
      <c r="K704" s="289"/>
      <c r="L704" s="289"/>
      <c r="M704" s="289"/>
      <c r="N704" s="289"/>
      <c r="O704" s="289"/>
      <c r="P704" s="352">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8"/>
      <c r="AS704" s="288"/>
    </row>
    <row r="705" spans="1:45">
      <c r="A705" s="290"/>
      <c r="B705" s="290"/>
      <c r="C705" s="290"/>
      <c r="D705" s="290"/>
      <c r="E705" s="290"/>
      <c r="F705" s="290"/>
      <c r="G705" s="290"/>
      <c r="H705" s="289"/>
      <c r="I705" s="289"/>
      <c r="J705" s="289"/>
      <c r="K705" s="289"/>
      <c r="L705" s="289"/>
      <c r="M705" s="289"/>
      <c r="N705" s="289"/>
      <c r="O705" s="289"/>
      <c r="P705" s="352">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8"/>
      <c r="AS705" s="288"/>
    </row>
    <row r="706" spans="1:45">
      <c r="A706" s="290"/>
      <c r="B706" s="290"/>
      <c r="C706" s="290"/>
      <c r="D706" s="290"/>
      <c r="E706" s="290"/>
      <c r="F706" s="290"/>
      <c r="G706" s="290"/>
      <c r="H706" s="289"/>
      <c r="I706" s="289"/>
      <c r="J706" s="289"/>
      <c r="K706" s="289"/>
      <c r="L706" s="289"/>
      <c r="M706" s="289"/>
      <c r="N706" s="289"/>
      <c r="O706" s="289"/>
      <c r="P706" s="352">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8"/>
      <c r="AS706" s="288"/>
    </row>
    <row r="707" spans="1:45">
      <c r="A707" s="290"/>
      <c r="B707" s="290"/>
      <c r="C707" s="290"/>
      <c r="D707" s="290"/>
      <c r="E707" s="290"/>
      <c r="F707" s="290"/>
      <c r="G707" s="290"/>
      <c r="H707" s="289"/>
      <c r="I707" s="289"/>
      <c r="J707" s="289"/>
      <c r="K707" s="289"/>
      <c r="L707" s="289"/>
      <c r="M707" s="289"/>
      <c r="N707" s="289"/>
      <c r="O707" s="289"/>
      <c r="P707" s="352">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8"/>
      <c r="AS707" s="288"/>
    </row>
    <row r="708" spans="1:45">
      <c r="A708" s="290"/>
      <c r="B708" s="290"/>
      <c r="C708" s="290"/>
      <c r="D708" s="290"/>
      <c r="E708" s="290"/>
      <c r="F708" s="290"/>
      <c r="G708" s="290"/>
      <c r="H708" s="289"/>
      <c r="I708" s="289"/>
      <c r="J708" s="289"/>
      <c r="K708" s="289"/>
      <c r="L708" s="289"/>
      <c r="M708" s="289"/>
      <c r="N708" s="289"/>
      <c r="O708" s="289"/>
      <c r="P708" s="352">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8"/>
      <c r="AS708" s="288"/>
    </row>
    <row r="709" spans="1:45">
      <c r="A709" s="290"/>
      <c r="B709" s="290"/>
      <c r="C709" s="290"/>
      <c r="D709" s="290"/>
      <c r="E709" s="290"/>
      <c r="F709" s="290"/>
      <c r="G709" s="290"/>
      <c r="H709" s="289"/>
      <c r="I709" s="289"/>
      <c r="J709" s="289"/>
      <c r="K709" s="289"/>
      <c r="L709" s="289"/>
      <c r="M709" s="289"/>
      <c r="N709" s="289"/>
      <c r="O709" s="289"/>
      <c r="P709" s="352">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8"/>
      <c r="AS709" s="288"/>
    </row>
    <row r="710" spans="1:45">
      <c r="A710" s="290"/>
      <c r="B710" s="290"/>
      <c r="C710" s="290"/>
      <c r="D710" s="290"/>
      <c r="E710" s="290"/>
      <c r="F710" s="290"/>
      <c r="G710" s="290"/>
      <c r="H710" s="289"/>
      <c r="I710" s="289"/>
      <c r="J710" s="289"/>
      <c r="K710" s="289"/>
      <c r="L710" s="289"/>
      <c r="M710" s="289"/>
      <c r="N710" s="289"/>
      <c r="O710" s="289"/>
      <c r="P710" s="352">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8"/>
      <c r="AS710" s="288"/>
    </row>
    <row r="711" spans="1:45">
      <c r="A711" s="290"/>
      <c r="B711" s="290"/>
      <c r="C711" s="290"/>
      <c r="D711" s="290"/>
      <c r="E711" s="290"/>
      <c r="F711" s="290"/>
      <c r="G711" s="290"/>
      <c r="H711" s="289"/>
      <c r="I711" s="289"/>
      <c r="J711" s="289"/>
      <c r="K711" s="289"/>
      <c r="L711" s="289"/>
      <c r="M711" s="289"/>
      <c r="N711" s="289"/>
      <c r="O711" s="289"/>
      <c r="P711" s="352">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8"/>
      <c r="AS711" s="288"/>
    </row>
    <row r="712" spans="1:45">
      <c r="A712" s="290"/>
      <c r="B712" s="290"/>
      <c r="C712" s="290"/>
      <c r="D712" s="290"/>
      <c r="E712" s="290"/>
      <c r="F712" s="290"/>
      <c r="G712" s="290"/>
      <c r="H712" s="289"/>
      <c r="I712" s="289"/>
      <c r="J712" s="289"/>
      <c r="K712" s="289"/>
      <c r="L712" s="289"/>
      <c r="M712" s="289"/>
      <c r="N712" s="289"/>
      <c r="O712" s="289"/>
      <c r="P712" s="352">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8"/>
      <c r="AS712" s="288"/>
    </row>
    <row r="713" spans="1:45">
      <c r="A713" s="290"/>
      <c r="B713" s="290"/>
      <c r="C713" s="290"/>
      <c r="D713" s="290"/>
      <c r="E713" s="290"/>
      <c r="F713" s="290"/>
      <c r="G713" s="290"/>
      <c r="H713" s="289"/>
      <c r="I713" s="289"/>
      <c r="J713" s="289"/>
      <c r="K713" s="289"/>
      <c r="L713" s="289"/>
      <c r="M713" s="289"/>
      <c r="N713" s="289"/>
      <c r="O713" s="289"/>
      <c r="P713" s="352">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8"/>
      <c r="AS713" s="288"/>
    </row>
    <row r="714" spans="1:45">
      <c r="A714" s="290"/>
      <c r="B714" s="290"/>
      <c r="C714" s="290"/>
      <c r="D714" s="290"/>
      <c r="E714" s="290"/>
      <c r="F714" s="290"/>
      <c r="G714" s="290"/>
      <c r="H714" s="289"/>
      <c r="I714" s="289"/>
      <c r="J714" s="289"/>
      <c r="K714" s="289"/>
      <c r="L714" s="289"/>
      <c r="M714" s="289"/>
      <c r="N714" s="289"/>
      <c r="O714" s="289"/>
      <c r="P714" s="352">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8"/>
      <c r="AS714" s="288"/>
    </row>
    <row r="715" spans="1:45">
      <c r="A715" s="290"/>
      <c r="B715" s="290"/>
      <c r="C715" s="290"/>
      <c r="D715" s="290"/>
      <c r="E715" s="290"/>
      <c r="F715" s="290"/>
      <c r="G715" s="290"/>
      <c r="H715" s="289"/>
      <c r="I715" s="289"/>
      <c r="J715" s="289"/>
      <c r="K715" s="289"/>
      <c r="L715" s="289"/>
      <c r="M715" s="289"/>
      <c r="N715" s="289"/>
      <c r="O715" s="289"/>
      <c r="P715" s="352">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8"/>
      <c r="AS715" s="288"/>
    </row>
    <row r="716" spans="1:45">
      <c r="A716" s="290"/>
      <c r="B716" s="290"/>
      <c r="C716" s="290"/>
      <c r="D716" s="290"/>
      <c r="E716" s="290"/>
      <c r="F716" s="290"/>
      <c r="G716" s="290"/>
      <c r="H716" s="289"/>
      <c r="I716" s="289"/>
      <c r="J716" s="289"/>
      <c r="K716" s="289"/>
      <c r="L716" s="289"/>
      <c r="M716" s="289"/>
      <c r="N716" s="289"/>
      <c r="O716" s="289"/>
      <c r="P716" s="352">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8"/>
      <c r="AS716" s="288"/>
    </row>
    <row r="717" spans="1:45">
      <c r="A717" s="290"/>
      <c r="B717" s="290"/>
      <c r="C717" s="290"/>
      <c r="D717" s="290"/>
      <c r="E717" s="290"/>
      <c r="F717" s="290"/>
      <c r="G717" s="290"/>
      <c r="H717" s="289"/>
      <c r="I717" s="289"/>
      <c r="J717" s="289"/>
      <c r="K717" s="289"/>
      <c r="L717" s="289"/>
      <c r="M717" s="289"/>
      <c r="N717" s="289"/>
      <c r="O717" s="289"/>
      <c r="P717" s="352">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8"/>
      <c r="AS717" s="288"/>
    </row>
    <row r="718" spans="1:45">
      <c r="A718" s="290"/>
      <c r="B718" s="290"/>
      <c r="C718" s="290"/>
      <c r="D718" s="290"/>
      <c r="E718" s="290"/>
      <c r="F718" s="290"/>
      <c r="G718" s="290"/>
      <c r="H718" s="289"/>
      <c r="I718" s="289"/>
      <c r="J718" s="289"/>
      <c r="K718" s="289"/>
      <c r="L718" s="289"/>
      <c r="M718" s="289"/>
      <c r="N718" s="289"/>
      <c r="O718" s="289"/>
      <c r="P718" s="352">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8"/>
      <c r="AS718" s="288"/>
    </row>
    <row r="719" spans="1:45">
      <c r="A719" s="290"/>
      <c r="B719" s="290"/>
      <c r="C719" s="290"/>
      <c r="D719" s="290"/>
      <c r="E719" s="290"/>
      <c r="F719" s="290"/>
      <c r="G719" s="290"/>
      <c r="H719" s="289"/>
      <c r="I719" s="289"/>
      <c r="J719" s="289"/>
      <c r="K719" s="289"/>
      <c r="L719" s="289"/>
      <c r="M719" s="289"/>
      <c r="N719" s="289"/>
      <c r="O719" s="289"/>
      <c r="P719" s="352">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8"/>
      <c r="AS719" s="288"/>
    </row>
    <row r="720" spans="1:45">
      <c r="A720" s="290"/>
      <c r="B720" s="290"/>
      <c r="C720" s="290"/>
      <c r="D720" s="290"/>
      <c r="E720" s="290"/>
      <c r="F720" s="290"/>
      <c r="G720" s="290"/>
      <c r="H720" s="289"/>
      <c r="I720" s="289"/>
      <c r="J720" s="289"/>
      <c r="K720" s="289"/>
      <c r="L720" s="289"/>
      <c r="M720" s="289"/>
      <c r="N720" s="289"/>
      <c r="O720" s="289"/>
      <c r="P720" s="352">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8"/>
      <c r="AS720" s="288"/>
    </row>
    <row r="721" spans="1:45">
      <c r="A721" s="290"/>
      <c r="B721" s="290"/>
      <c r="C721" s="290"/>
      <c r="D721" s="290"/>
      <c r="E721" s="290"/>
      <c r="F721" s="290"/>
      <c r="G721" s="290"/>
      <c r="H721" s="289"/>
      <c r="I721" s="289"/>
      <c r="J721" s="289"/>
      <c r="K721" s="289"/>
      <c r="L721" s="289"/>
      <c r="M721" s="289"/>
      <c r="N721" s="289"/>
      <c r="O721" s="289"/>
      <c r="P721" s="352">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8"/>
      <c r="AS721" s="288"/>
    </row>
    <row r="722" spans="1:45">
      <c r="A722" s="290"/>
      <c r="B722" s="290"/>
      <c r="C722" s="290"/>
      <c r="D722" s="290"/>
      <c r="E722" s="290"/>
      <c r="F722" s="290"/>
      <c r="G722" s="290"/>
      <c r="H722" s="289"/>
      <c r="I722" s="289"/>
      <c r="J722" s="289"/>
      <c r="K722" s="289"/>
      <c r="L722" s="289"/>
      <c r="M722" s="289"/>
      <c r="N722" s="289"/>
      <c r="O722" s="289"/>
      <c r="P722" s="352">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8"/>
      <c r="AS722" s="288"/>
    </row>
    <row r="723" spans="1:45">
      <c r="A723" s="290"/>
      <c r="B723" s="290"/>
      <c r="C723" s="290"/>
      <c r="D723" s="290"/>
      <c r="E723" s="290"/>
      <c r="F723" s="290"/>
      <c r="G723" s="290"/>
      <c r="H723" s="289"/>
      <c r="I723" s="289"/>
      <c r="J723" s="289"/>
      <c r="K723" s="289"/>
      <c r="L723" s="289"/>
      <c r="M723" s="289"/>
      <c r="N723" s="289"/>
      <c r="O723" s="289"/>
      <c r="P723" s="352">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8"/>
      <c r="AS723" s="288"/>
    </row>
    <row r="724" spans="1:45">
      <c r="A724" s="290"/>
      <c r="B724" s="290"/>
      <c r="C724" s="290"/>
      <c r="D724" s="290"/>
      <c r="E724" s="290"/>
      <c r="F724" s="290"/>
      <c r="G724" s="290"/>
      <c r="H724" s="289"/>
      <c r="I724" s="289"/>
      <c r="J724" s="289"/>
      <c r="K724" s="289"/>
      <c r="L724" s="289"/>
      <c r="M724" s="289"/>
      <c r="N724" s="289"/>
      <c r="O724" s="289"/>
      <c r="P724" s="352">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8"/>
      <c r="AS724" s="288"/>
    </row>
    <row r="725" spans="1:45">
      <c r="A725" s="290"/>
      <c r="B725" s="290"/>
      <c r="C725" s="290"/>
      <c r="D725" s="290"/>
      <c r="E725" s="290"/>
      <c r="F725" s="290"/>
      <c r="G725" s="290"/>
      <c r="H725" s="289"/>
      <c r="I725" s="289"/>
      <c r="J725" s="289"/>
      <c r="K725" s="289"/>
      <c r="L725" s="289"/>
      <c r="M725" s="289"/>
      <c r="N725" s="289"/>
      <c r="O725" s="289"/>
      <c r="P725" s="352">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8"/>
      <c r="AS725" s="288"/>
    </row>
    <row r="726" spans="1:45">
      <c r="A726" s="290"/>
      <c r="B726" s="290"/>
      <c r="C726" s="290"/>
      <c r="D726" s="290"/>
      <c r="E726" s="290"/>
      <c r="F726" s="290"/>
      <c r="G726" s="290"/>
      <c r="H726" s="289"/>
      <c r="I726" s="289"/>
      <c r="J726" s="289"/>
      <c r="K726" s="289"/>
      <c r="L726" s="289"/>
      <c r="M726" s="289"/>
      <c r="N726" s="289"/>
      <c r="O726" s="289"/>
      <c r="P726" s="352">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8"/>
      <c r="AS726" s="288"/>
    </row>
    <row r="727" spans="1:45">
      <c r="A727" s="290"/>
      <c r="B727" s="290"/>
      <c r="C727" s="290"/>
      <c r="D727" s="290"/>
      <c r="E727" s="290"/>
      <c r="F727" s="290"/>
      <c r="G727" s="290"/>
      <c r="H727" s="289"/>
      <c r="I727" s="289"/>
      <c r="J727" s="289"/>
      <c r="K727" s="289"/>
      <c r="L727" s="289"/>
      <c r="M727" s="289"/>
      <c r="N727" s="289"/>
      <c r="O727" s="289"/>
      <c r="P727" s="352">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8"/>
      <c r="AS727" s="288"/>
    </row>
    <row r="728" spans="1:45">
      <c r="A728" s="290"/>
      <c r="B728" s="290"/>
      <c r="C728" s="290"/>
      <c r="D728" s="290"/>
      <c r="E728" s="290"/>
      <c r="F728" s="290"/>
      <c r="G728" s="290"/>
      <c r="H728" s="289"/>
      <c r="I728" s="289"/>
      <c r="J728" s="289"/>
      <c r="K728" s="289"/>
      <c r="L728" s="289"/>
      <c r="M728" s="289"/>
      <c r="N728" s="289"/>
      <c r="O728" s="289"/>
      <c r="P728" s="352">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8"/>
      <c r="AS728" s="288"/>
    </row>
    <row r="729" spans="1:45">
      <c r="A729" s="290"/>
      <c r="B729" s="290"/>
      <c r="C729" s="290"/>
      <c r="D729" s="290"/>
      <c r="E729" s="290"/>
      <c r="F729" s="290"/>
      <c r="G729" s="290"/>
      <c r="H729" s="289"/>
      <c r="I729" s="289"/>
      <c r="J729" s="289"/>
      <c r="K729" s="289"/>
      <c r="L729" s="289"/>
      <c r="M729" s="289"/>
      <c r="N729" s="289"/>
      <c r="O729" s="289"/>
      <c r="P729" s="352">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8"/>
      <c r="AS729" s="288"/>
    </row>
    <row r="730" spans="1:45">
      <c r="A730" s="290"/>
      <c r="B730" s="290"/>
      <c r="C730" s="290"/>
      <c r="D730" s="290"/>
      <c r="E730" s="290"/>
      <c r="F730" s="290"/>
      <c r="G730" s="290"/>
      <c r="H730" s="289"/>
      <c r="I730" s="289"/>
      <c r="J730" s="289"/>
      <c r="K730" s="289"/>
      <c r="L730" s="289"/>
      <c r="M730" s="289"/>
      <c r="N730" s="289"/>
      <c r="O730" s="289"/>
      <c r="P730" s="352">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8"/>
      <c r="AS730" s="288"/>
    </row>
    <row r="731" spans="1:45">
      <c r="A731" s="290"/>
      <c r="B731" s="290"/>
      <c r="C731" s="290"/>
      <c r="D731" s="290"/>
      <c r="E731" s="290"/>
      <c r="F731" s="290"/>
      <c r="G731" s="290"/>
      <c r="H731" s="289"/>
      <c r="I731" s="289"/>
      <c r="J731" s="289"/>
      <c r="K731" s="289"/>
      <c r="L731" s="289"/>
      <c r="M731" s="289"/>
      <c r="N731" s="289"/>
      <c r="O731" s="289"/>
      <c r="P731" s="352">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8"/>
      <c r="AS731" s="288"/>
    </row>
    <row r="732" spans="1:45">
      <c r="A732" s="290"/>
      <c r="B732" s="290"/>
      <c r="C732" s="290"/>
      <c r="D732" s="290"/>
      <c r="E732" s="290"/>
      <c r="F732" s="290"/>
      <c r="G732" s="290"/>
      <c r="H732" s="289"/>
      <c r="I732" s="289"/>
      <c r="J732" s="289"/>
      <c r="K732" s="289"/>
      <c r="L732" s="289"/>
      <c r="M732" s="289"/>
      <c r="N732" s="289"/>
      <c r="O732" s="289"/>
      <c r="P732" s="352">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8"/>
      <c r="AS732" s="288"/>
    </row>
    <row r="733" spans="1:45">
      <c r="A733" s="290"/>
      <c r="B733" s="290"/>
      <c r="C733" s="290"/>
      <c r="D733" s="290"/>
      <c r="E733" s="290"/>
      <c r="F733" s="290"/>
      <c r="G733" s="290"/>
      <c r="H733" s="289"/>
      <c r="I733" s="289"/>
      <c r="J733" s="289"/>
      <c r="K733" s="289"/>
      <c r="L733" s="289"/>
      <c r="M733" s="289"/>
      <c r="N733" s="289"/>
      <c r="O733" s="289"/>
      <c r="P733" s="352">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8"/>
      <c r="AS733" s="288"/>
    </row>
    <row r="734" spans="1:45">
      <c r="A734" s="290"/>
      <c r="B734" s="290"/>
      <c r="C734" s="290"/>
      <c r="D734" s="290"/>
      <c r="E734" s="290"/>
      <c r="F734" s="290"/>
      <c r="G734" s="290"/>
      <c r="H734" s="289"/>
      <c r="I734" s="289"/>
      <c r="J734" s="289"/>
      <c r="K734" s="289"/>
      <c r="L734" s="289"/>
      <c r="M734" s="289"/>
      <c r="N734" s="289"/>
      <c r="O734" s="289"/>
      <c r="P734" s="352">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8"/>
      <c r="AS734" s="288"/>
    </row>
    <row r="735" spans="1:45">
      <c r="A735" s="290"/>
      <c r="B735" s="290"/>
      <c r="C735" s="290"/>
      <c r="D735" s="290"/>
      <c r="E735" s="290"/>
      <c r="F735" s="290"/>
      <c r="G735" s="290"/>
      <c r="H735" s="289"/>
      <c r="I735" s="289"/>
      <c r="J735" s="289"/>
      <c r="K735" s="289"/>
      <c r="L735" s="289"/>
      <c r="M735" s="289"/>
      <c r="N735" s="289"/>
      <c r="O735" s="289"/>
      <c r="P735" s="352">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8"/>
      <c r="AS735" s="288"/>
    </row>
    <row r="736" spans="1:45">
      <c r="A736" s="290"/>
      <c r="B736" s="290"/>
      <c r="C736" s="290"/>
      <c r="D736" s="290"/>
      <c r="E736" s="290"/>
      <c r="F736" s="290"/>
      <c r="G736" s="290"/>
      <c r="H736" s="289"/>
      <c r="I736" s="289"/>
      <c r="J736" s="289"/>
      <c r="K736" s="289"/>
      <c r="L736" s="289"/>
      <c r="M736" s="289"/>
      <c r="N736" s="289"/>
      <c r="O736" s="289"/>
      <c r="P736" s="352">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8"/>
      <c r="AS736" s="288"/>
    </row>
    <row r="737" spans="1:45">
      <c r="A737" s="290"/>
      <c r="B737" s="290"/>
      <c r="C737" s="290"/>
      <c r="D737" s="290"/>
      <c r="E737" s="290"/>
      <c r="F737" s="290"/>
      <c r="G737" s="290"/>
      <c r="H737" s="289"/>
      <c r="I737" s="289"/>
      <c r="J737" s="289"/>
      <c r="K737" s="289"/>
      <c r="L737" s="289"/>
      <c r="M737" s="289"/>
      <c r="N737" s="289"/>
      <c r="O737" s="289"/>
      <c r="P737" s="352">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8"/>
      <c r="AS737" s="288"/>
    </row>
    <row r="738" spans="1:45">
      <c r="A738" s="290"/>
      <c r="B738" s="290"/>
      <c r="C738" s="290"/>
      <c r="D738" s="290"/>
      <c r="E738" s="290"/>
      <c r="F738" s="290"/>
      <c r="G738" s="290"/>
      <c r="H738" s="289"/>
      <c r="I738" s="289"/>
      <c r="J738" s="289"/>
      <c r="K738" s="289"/>
      <c r="L738" s="289"/>
      <c r="M738" s="289"/>
      <c r="N738" s="289"/>
      <c r="O738" s="289"/>
      <c r="P738" s="352">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8"/>
      <c r="AS738" s="288"/>
    </row>
    <row r="739" spans="1:45">
      <c r="A739" s="290"/>
      <c r="B739" s="290"/>
      <c r="C739" s="290"/>
      <c r="D739" s="290"/>
      <c r="E739" s="290"/>
      <c r="F739" s="290"/>
      <c r="G739" s="290"/>
      <c r="H739" s="289"/>
      <c r="I739" s="289"/>
      <c r="J739" s="289"/>
      <c r="K739" s="289"/>
      <c r="L739" s="289"/>
      <c r="M739" s="289"/>
      <c r="N739" s="289"/>
      <c r="O739" s="289"/>
      <c r="P739" s="352">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8"/>
      <c r="AS739" s="288"/>
    </row>
    <row r="740" spans="1:45">
      <c r="A740" s="290"/>
      <c r="B740" s="290"/>
      <c r="C740" s="290"/>
      <c r="D740" s="290"/>
      <c r="E740" s="290"/>
      <c r="F740" s="290"/>
      <c r="G740" s="290"/>
      <c r="H740" s="289"/>
      <c r="I740" s="289"/>
      <c r="J740" s="289"/>
      <c r="K740" s="289"/>
      <c r="L740" s="289"/>
      <c r="M740" s="289"/>
      <c r="N740" s="289"/>
      <c r="O740" s="289"/>
      <c r="P740" s="352">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8"/>
      <c r="AS740" s="288"/>
    </row>
    <row r="741" spans="1:45">
      <c r="A741" s="290"/>
      <c r="B741" s="290"/>
      <c r="C741" s="290"/>
      <c r="D741" s="290"/>
      <c r="E741" s="290"/>
      <c r="F741" s="290"/>
      <c r="G741" s="290"/>
      <c r="H741" s="289"/>
      <c r="I741" s="289"/>
      <c r="J741" s="289"/>
      <c r="K741" s="289"/>
      <c r="L741" s="289"/>
      <c r="M741" s="289"/>
      <c r="N741" s="289"/>
      <c r="O741" s="289"/>
      <c r="P741" s="352">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8"/>
      <c r="AS741" s="288"/>
    </row>
    <row r="742" spans="1:45">
      <c r="A742" s="290"/>
      <c r="B742" s="290"/>
      <c r="C742" s="290"/>
      <c r="D742" s="290"/>
      <c r="E742" s="290"/>
      <c r="F742" s="290"/>
      <c r="G742" s="290"/>
      <c r="H742" s="289"/>
      <c r="I742" s="289"/>
      <c r="J742" s="289"/>
      <c r="K742" s="289"/>
      <c r="L742" s="289"/>
      <c r="M742" s="289"/>
      <c r="N742" s="289"/>
      <c r="O742" s="289"/>
      <c r="P742" s="352">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8"/>
      <c r="AS742" s="288"/>
    </row>
    <row r="743" spans="1:45">
      <c r="A743" s="290"/>
      <c r="B743" s="290"/>
      <c r="C743" s="290"/>
      <c r="D743" s="290"/>
      <c r="E743" s="290"/>
      <c r="F743" s="290"/>
      <c r="G743" s="290"/>
      <c r="H743" s="289"/>
      <c r="I743" s="289"/>
      <c r="J743" s="289"/>
      <c r="K743" s="289"/>
      <c r="L743" s="289"/>
      <c r="M743" s="289"/>
      <c r="N743" s="289"/>
      <c r="O743" s="289"/>
      <c r="P743" s="352">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8"/>
      <c r="AS743" s="288"/>
    </row>
    <row r="744" spans="1:45">
      <c r="A744" s="290"/>
      <c r="B744" s="290"/>
      <c r="C744" s="290"/>
      <c r="D744" s="290"/>
      <c r="E744" s="290"/>
      <c r="F744" s="290"/>
      <c r="G744" s="290"/>
      <c r="H744" s="289"/>
      <c r="I744" s="289"/>
      <c r="J744" s="289"/>
      <c r="K744" s="289"/>
      <c r="L744" s="289"/>
      <c r="M744" s="289"/>
      <c r="N744" s="289"/>
      <c r="O744" s="289"/>
      <c r="P744" s="352">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8"/>
      <c r="AS744" s="288"/>
    </row>
    <row r="745" spans="1:45">
      <c r="A745" s="290"/>
      <c r="B745" s="290"/>
      <c r="C745" s="290"/>
      <c r="D745" s="290"/>
      <c r="E745" s="290"/>
      <c r="F745" s="290"/>
      <c r="G745" s="290"/>
      <c r="H745" s="289"/>
      <c r="I745" s="289"/>
      <c r="J745" s="289"/>
      <c r="K745" s="289"/>
      <c r="L745" s="289"/>
      <c r="M745" s="289"/>
      <c r="N745" s="289"/>
      <c r="O745" s="289"/>
      <c r="P745" s="352">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8"/>
      <c r="AS745" s="288"/>
    </row>
    <row r="746" spans="1:45">
      <c r="A746" s="290"/>
      <c r="B746" s="290"/>
      <c r="C746" s="290"/>
      <c r="D746" s="290"/>
      <c r="E746" s="290"/>
      <c r="F746" s="290"/>
      <c r="G746" s="290"/>
      <c r="H746" s="289"/>
      <c r="I746" s="289"/>
      <c r="J746" s="289"/>
      <c r="K746" s="289"/>
      <c r="L746" s="289"/>
      <c r="M746" s="289"/>
      <c r="N746" s="289"/>
      <c r="O746" s="289"/>
      <c r="P746" s="352">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8"/>
      <c r="AS746" s="288"/>
    </row>
    <row r="747" spans="1:45">
      <c r="A747" s="290"/>
      <c r="B747" s="290"/>
      <c r="C747" s="290"/>
      <c r="D747" s="290"/>
      <c r="E747" s="290"/>
      <c r="F747" s="290"/>
      <c r="G747" s="290"/>
      <c r="H747" s="289"/>
      <c r="I747" s="289"/>
      <c r="J747" s="289"/>
      <c r="K747" s="289"/>
      <c r="L747" s="289"/>
      <c r="M747" s="289"/>
      <c r="N747" s="289"/>
      <c r="O747" s="289"/>
      <c r="P747" s="352">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8"/>
      <c r="AS747" s="288"/>
    </row>
    <row r="748" spans="1:45">
      <c r="A748" s="290"/>
      <c r="B748" s="290"/>
      <c r="C748" s="290"/>
      <c r="D748" s="290"/>
      <c r="E748" s="290"/>
      <c r="F748" s="290"/>
      <c r="G748" s="290"/>
      <c r="H748" s="289"/>
      <c r="I748" s="289"/>
      <c r="J748" s="289"/>
      <c r="K748" s="289"/>
      <c r="L748" s="289"/>
      <c r="M748" s="289"/>
      <c r="N748" s="289"/>
      <c r="O748" s="289"/>
      <c r="P748" s="352">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8"/>
      <c r="AS748" s="288"/>
    </row>
    <row r="749" spans="1:45">
      <c r="A749" s="290"/>
      <c r="B749" s="290"/>
      <c r="C749" s="290"/>
      <c r="D749" s="290"/>
      <c r="E749" s="290"/>
      <c r="F749" s="290"/>
      <c r="G749" s="290"/>
      <c r="H749" s="289"/>
      <c r="I749" s="289"/>
      <c r="J749" s="289"/>
      <c r="K749" s="289"/>
      <c r="L749" s="289"/>
      <c r="M749" s="289"/>
      <c r="N749" s="289"/>
      <c r="O749" s="289"/>
      <c r="P749" s="352">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8"/>
      <c r="AS749" s="288"/>
    </row>
    <row r="750" spans="1:45">
      <c r="A750" s="290"/>
      <c r="B750" s="290"/>
      <c r="C750" s="290"/>
      <c r="D750" s="290"/>
      <c r="E750" s="290"/>
      <c r="F750" s="290"/>
      <c r="G750" s="290"/>
      <c r="H750" s="289"/>
      <c r="I750" s="289"/>
      <c r="J750" s="289"/>
      <c r="K750" s="289"/>
      <c r="L750" s="289"/>
      <c r="M750" s="289"/>
      <c r="N750" s="289"/>
      <c r="O750" s="289"/>
      <c r="P750" s="352">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8"/>
      <c r="AS750" s="288"/>
    </row>
    <row r="751" spans="1:45">
      <c r="A751" s="290"/>
      <c r="B751" s="290"/>
      <c r="C751" s="290"/>
      <c r="D751" s="290"/>
      <c r="E751" s="290"/>
      <c r="F751" s="290"/>
      <c r="G751" s="290"/>
      <c r="H751" s="289"/>
      <c r="I751" s="289"/>
      <c r="J751" s="289"/>
      <c r="K751" s="289"/>
      <c r="L751" s="289"/>
      <c r="M751" s="289"/>
      <c r="N751" s="289"/>
      <c r="O751" s="289"/>
      <c r="P751" s="352">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8"/>
      <c r="AS751" s="288"/>
    </row>
    <row r="752" spans="1:45">
      <c r="A752" s="290"/>
      <c r="B752" s="290"/>
      <c r="C752" s="290"/>
      <c r="D752" s="290"/>
      <c r="E752" s="290"/>
      <c r="F752" s="290"/>
      <c r="G752" s="290"/>
      <c r="H752" s="289"/>
      <c r="I752" s="289"/>
      <c r="J752" s="289"/>
      <c r="K752" s="289"/>
      <c r="L752" s="289"/>
      <c r="M752" s="289"/>
      <c r="N752" s="289"/>
      <c r="O752" s="289"/>
      <c r="P752" s="352">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8"/>
      <c r="AS752" s="288"/>
    </row>
    <row r="753" spans="1:45">
      <c r="A753" s="290"/>
      <c r="B753" s="290"/>
      <c r="C753" s="290"/>
      <c r="D753" s="290"/>
      <c r="E753" s="290"/>
      <c r="F753" s="290"/>
      <c r="G753" s="290"/>
      <c r="H753" s="289"/>
      <c r="I753" s="289"/>
      <c r="J753" s="289"/>
      <c r="K753" s="289"/>
      <c r="L753" s="289"/>
      <c r="M753" s="289"/>
      <c r="N753" s="289"/>
      <c r="O753" s="289"/>
      <c r="P753" s="352">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8"/>
      <c r="AS753" s="288"/>
    </row>
    <row r="754" spans="1:45">
      <c r="A754" s="290"/>
      <c r="B754" s="290"/>
      <c r="C754" s="290"/>
      <c r="D754" s="290"/>
      <c r="E754" s="290"/>
      <c r="F754" s="290"/>
      <c r="G754" s="290"/>
      <c r="H754" s="289"/>
      <c r="I754" s="289"/>
      <c r="J754" s="289"/>
      <c r="K754" s="289"/>
      <c r="L754" s="289"/>
      <c r="M754" s="289"/>
      <c r="N754" s="289"/>
      <c r="O754" s="289"/>
      <c r="P754" s="352">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8"/>
      <c r="AS754" s="288"/>
    </row>
    <row r="755" spans="1:45">
      <c r="A755" s="290"/>
      <c r="B755" s="290"/>
      <c r="C755" s="290"/>
      <c r="D755" s="290"/>
      <c r="E755" s="290"/>
      <c r="F755" s="290"/>
      <c r="G755" s="290"/>
      <c r="H755" s="289"/>
      <c r="I755" s="289"/>
      <c r="J755" s="289"/>
      <c r="K755" s="289"/>
      <c r="L755" s="289"/>
      <c r="M755" s="289"/>
      <c r="N755" s="289"/>
      <c r="O755" s="289"/>
      <c r="P755" s="352">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8"/>
      <c r="AS755" s="288"/>
    </row>
    <row r="756" spans="1:45">
      <c r="A756" s="290"/>
      <c r="B756" s="290"/>
      <c r="C756" s="290"/>
      <c r="D756" s="290"/>
      <c r="E756" s="290"/>
      <c r="F756" s="290"/>
      <c r="G756" s="290"/>
      <c r="H756" s="289"/>
      <c r="I756" s="289"/>
      <c r="J756" s="289"/>
      <c r="K756" s="289"/>
      <c r="L756" s="289"/>
      <c r="M756" s="289"/>
      <c r="N756" s="289"/>
      <c r="O756" s="289"/>
      <c r="P756" s="352">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8"/>
      <c r="AS756" s="288"/>
    </row>
    <row r="757" spans="1:45">
      <c r="A757" s="290"/>
      <c r="B757" s="290"/>
      <c r="C757" s="290"/>
      <c r="D757" s="290"/>
      <c r="E757" s="290"/>
      <c r="F757" s="290"/>
      <c r="G757" s="290"/>
      <c r="H757" s="289"/>
      <c r="I757" s="289"/>
      <c r="J757" s="289"/>
      <c r="K757" s="289"/>
      <c r="L757" s="289"/>
      <c r="M757" s="289"/>
      <c r="N757" s="289"/>
      <c r="O757" s="289"/>
      <c r="P757" s="352">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8"/>
      <c r="AS757" s="288"/>
    </row>
    <row r="758" spans="1:45">
      <c r="A758" s="290"/>
      <c r="B758" s="290"/>
      <c r="C758" s="290"/>
      <c r="D758" s="290"/>
      <c r="E758" s="290"/>
      <c r="F758" s="290"/>
      <c r="G758" s="290"/>
      <c r="H758" s="289"/>
      <c r="I758" s="289"/>
      <c r="J758" s="289"/>
      <c r="K758" s="289"/>
      <c r="L758" s="289"/>
      <c r="M758" s="289"/>
      <c r="N758" s="289"/>
      <c r="O758" s="289"/>
      <c r="P758" s="352">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8"/>
      <c r="AS758" s="288"/>
    </row>
    <row r="759" spans="1:45">
      <c r="A759" s="290"/>
      <c r="B759" s="290"/>
      <c r="C759" s="290"/>
      <c r="D759" s="290"/>
      <c r="E759" s="290"/>
      <c r="F759" s="290"/>
      <c r="G759" s="290"/>
      <c r="H759" s="289"/>
      <c r="I759" s="289"/>
      <c r="J759" s="289"/>
      <c r="K759" s="289"/>
      <c r="L759" s="289"/>
      <c r="M759" s="289"/>
      <c r="N759" s="289"/>
      <c r="O759" s="289"/>
      <c r="P759" s="352">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8"/>
      <c r="AS759" s="288"/>
    </row>
    <row r="760" spans="1:45">
      <c r="A760" s="290"/>
      <c r="B760" s="290"/>
      <c r="C760" s="290"/>
      <c r="D760" s="290"/>
      <c r="E760" s="290"/>
      <c r="F760" s="290"/>
      <c r="G760" s="290"/>
      <c r="H760" s="289"/>
      <c r="I760" s="289"/>
      <c r="J760" s="289"/>
      <c r="K760" s="289"/>
      <c r="L760" s="289"/>
      <c r="M760" s="289"/>
      <c r="N760" s="289"/>
      <c r="O760" s="289"/>
      <c r="P760" s="352">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8"/>
      <c r="AS760" s="288"/>
    </row>
    <row r="761" spans="1:45">
      <c r="A761" s="290"/>
      <c r="B761" s="290"/>
      <c r="C761" s="290"/>
      <c r="D761" s="290"/>
      <c r="E761" s="290"/>
      <c r="F761" s="290"/>
      <c r="G761" s="290"/>
      <c r="H761" s="289"/>
      <c r="I761" s="289"/>
      <c r="J761" s="289"/>
      <c r="K761" s="289"/>
      <c r="L761" s="289"/>
      <c r="M761" s="289"/>
      <c r="N761" s="289"/>
      <c r="O761" s="289"/>
      <c r="P761" s="352">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8"/>
      <c r="AS761" s="288"/>
    </row>
    <row r="762" spans="1:45">
      <c r="A762" s="290"/>
      <c r="B762" s="290"/>
      <c r="C762" s="290"/>
      <c r="D762" s="290"/>
      <c r="E762" s="290"/>
      <c r="F762" s="290"/>
      <c r="G762" s="290"/>
      <c r="H762" s="289"/>
      <c r="I762" s="289"/>
      <c r="J762" s="289"/>
      <c r="K762" s="289"/>
      <c r="L762" s="289"/>
      <c r="M762" s="289"/>
      <c r="N762" s="289"/>
      <c r="O762" s="289"/>
      <c r="P762" s="352">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8"/>
      <c r="AS762" s="288"/>
    </row>
    <row r="763" spans="1:45">
      <c r="A763" s="290"/>
      <c r="B763" s="290"/>
      <c r="C763" s="290"/>
      <c r="D763" s="290"/>
      <c r="E763" s="290"/>
      <c r="F763" s="290"/>
      <c r="G763" s="290"/>
      <c r="H763" s="289"/>
      <c r="I763" s="289"/>
      <c r="J763" s="289"/>
      <c r="K763" s="289"/>
      <c r="L763" s="289"/>
      <c r="M763" s="289"/>
      <c r="N763" s="289"/>
      <c r="O763" s="289"/>
      <c r="P763" s="352">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8"/>
      <c r="AS763" s="288"/>
    </row>
    <row r="764" spans="1:45">
      <c r="A764" s="290"/>
      <c r="B764" s="290"/>
      <c r="C764" s="290"/>
      <c r="D764" s="290"/>
      <c r="E764" s="290"/>
      <c r="F764" s="290"/>
      <c r="G764" s="290"/>
      <c r="H764" s="289"/>
      <c r="I764" s="289"/>
      <c r="J764" s="289"/>
      <c r="K764" s="289"/>
      <c r="L764" s="289"/>
      <c r="M764" s="289"/>
      <c r="N764" s="289"/>
      <c r="O764" s="289"/>
      <c r="P764" s="352">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8"/>
      <c r="AS764" s="288"/>
    </row>
    <row r="765" spans="1:45">
      <c r="A765" s="290"/>
      <c r="B765" s="290"/>
      <c r="C765" s="290"/>
      <c r="D765" s="290"/>
      <c r="E765" s="290"/>
      <c r="F765" s="290"/>
      <c r="G765" s="290"/>
      <c r="H765" s="289"/>
      <c r="I765" s="289"/>
      <c r="J765" s="289"/>
      <c r="K765" s="289"/>
      <c r="L765" s="289"/>
      <c r="M765" s="289"/>
      <c r="N765" s="289"/>
      <c r="O765" s="289"/>
      <c r="P765" s="352">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8"/>
      <c r="AS765" s="288"/>
    </row>
    <row r="766" spans="1:45">
      <c r="A766" s="290"/>
      <c r="B766" s="290"/>
      <c r="C766" s="290"/>
      <c r="D766" s="290"/>
      <c r="E766" s="290"/>
      <c r="F766" s="290"/>
      <c r="G766" s="290"/>
      <c r="H766" s="289"/>
      <c r="I766" s="289"/>
      <c r="J766" s="289"/>
      <c r="K766" s="289"/>
      <c r="L766" s="289"/>
      <c r="M766" s="289"/>
      <c r="N766" s="289"/>
      <c r="O766" s="289"/>
      <c r="P766" s="352">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8"/>
      <c r="AS766" s="288"/>
    </row>
    <row r="767" spans="1:45">
      <c r="A767" s="290"/>
      <c r="B767" s="290"/>
      <c r="C767" s="290"/>
      <c r="D767" s="290"/>
      <c r="E767" s="290"/>
      <c r="F767" s="290"/>
      <c r="G767" s="290"/>
      <c r="H767" s="289"/>
      <c r="I767" s="289"/>
      <c r="J767" s="289"/>
      <c r="K767" s="289"/>
      <c r="L767" s="289"/>
      <c r="M767" s="289"/>
      <c r="N767" s="289"/>
      <c r="O767" s="289"/>
      <c r="P767" s="352">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8"/>
      <c r="AS767" s="288"/>
    </row>
    <row r="768" spans="1:45">
      <c r="A768" s="290"/>
      <c r="B768" s="290"/>
      <c r="C768" s="290"/>
      <c r="D768" s="290"/>
      <c r="E768" s="290"/>
      <c r="F768" s="290"/>
      <c r="G768" s="290"/>
      <c r="H768" s="289"/>
      <c r="I768" s="289"/>
      <c r="J768" s="289"/>
      <c r="K768" s="289"/>
      <c r="L768" s="289"/>
      <c r="M768" s="289"/>
      <c r="N768" s="289"/>
      <c r="O768" s="289"/>
      <c r="P768" s="352">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8"/>
      <c r="AS768" s="288"/>
    </row>
    <row r="769" spans="1:45">
      <c r="A769" s="290"/>
      <c r="B769" s="290"/>
      <c r="C769" s="290"/>
      <c r="D769" s="290"/>
      <c r="E769" s="290"/>
      <c r="F769" s="290"/>
      <c r="G769" s="290"/>
      <c r="H769" s="289"/>
      <c r="I769" s="289"/>
      <c r="J769" s="289"/>
      <c r="K769" s="289"/>
      <c r="L769" s="289"/>
      <c r="M769" s="289"/>
      <c r="N769" s="289"/>
      <c r="O769" s="289"/>
      <c r="P769" s="352">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8"/>
      <c r="AS769" s="288"/>
    </row>
    <row r="770" spans="1:45">
      <c r="A770" s="290"/>
      <c r="B770" s="290"/>
      <c r="C770" s="290"/>
      <c r="D770" s="290"/>
      <c r="E770" s="290"/>
      <c r="F770" s="290"/>
      <c r="G770" s="290"/>
      <c r="H770" s="289"/>
      <c r="I770" s="289"/>
      <c r="J770" s="289"/>
      <c r="K770" s="289"/>
      <c r="L770" s="289"/>
      <c r="M770" s="289"/>
      <c r="N770" s="289"/>
      <c r="O770" s="289"/>
      <c r="P770" s="352">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8"/>
      <c r="AS770" s="288"/>
    </row>
    <row r="771" spans="1:45">
      <c r="A771" s="290"/>
      <c r="B771" s="290"/>
      <c r="C771" s="290"/>
      <c r="D771" s="290"/>
      <c r="E771" s="290"/>
      <c r="F771" s="290"/>
      <c r="G771" s="290"/>
      <c r="H771" s="289"/>
      <c r="I771" s="289"/>
      <c r="J771" s="289"/>
      <c r="K771" s="289"/>
      <c r="L771" s="289"/>
      <c r="M771" s="289"/>
      <c r="N771" s="289"/>
      <c r="O771" s="289"/>
      <c r="P771" s="352">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8"/>
      <c r="AS771" s="288"/>
    </row>
    <row r="772" spans="1:45">
      <c r="A772" s="290"/>
      <c r="B772" s="290"/>
      <c r="C772" s="290"/>
      <c r="D772" s="290"/>
      <c r="E772" s="290"/>
      <c r="F772" s="290"/>
      <c r="G772" s="290"/>
      <c r="H772" s="289"/>
      <c r="I772" s="289"/>
      <c r="J772" s="289"/>
      <c r="K772" s="289"/>
      <c r="L772" s="289"/>
      <c r="M772" s="289"/>
      <c r="N772" s="289"/>
      <c r="O772" s="289"/>
      <c r="P772" s="352">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8"/>
      <c r="AS772" s="288"/>
    </row>
    <row r="773" spans="1:45">
      <c r="A773" s="290"/>
      <c r="B773" s="290"/>
      <c r="C773" s="290"/>
      <c r="D773" s="290"/>
      <c r="E773" s="290"/>
      <c r="F773" s="290"/>
      <c r="G773" s="290"/>
      <c r="H773" s="289"/>
      <c r="I773" s="289"/>
      <c r="J773" s="289"/>
      <c r="K773" s="289"/>
      <c r="L773" s="289"/>
      <c r="M773" s="289"/>
      <c r="N773" s="289"/>
      <c r="O773" s="289"/>
      <c r="P773" s="352">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8"/>
      <c r="AS773" s="288"/>
    </row>
    <row r="774" spans="1:45">
      <c r="A774" s="290"/>
      <c r="B774" s="290"/>
      <c r="C774" s="290"/>
      <c r="D774" s="290"/>
      <c r="E774" s="290"/>
      <c r="F774" s="290"/>
      <c r="G774" s="290"/>
      <c r="H774" s="289"/>
      <c r="I774" s="289"/>
      <c r="J774" s="289"/>
      <c r="K774" s="289"/>
      <c r="L774" s="289"/>
      <c r="M774" s="289"/>
      <c r="N774" s="289"/>
      <c r="O774" s="289"/>
      <c r="P774" s="352">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8"/>
      <c r="AS774" s="288"/>
    </row>
    <row r="775" spans="1:45">
      <c r="A775" s="290"/>
      <c r="B775" s="290"/>
      <c r="C775" s="290"/>
      <c r="D775" s="290"/>
      <c r="E775" s="290"/>
      <c r="F775" s="290"/>
      <c r="G775" s="290"/>
      <c r="H775" s="289"/>
      <c r="I775" s="289"/>
      <c r="J775" s="289"/>
      <c r="K775" s="289"/>
      <c r="L775" s="289"/>
      <c r="M775" s="289"/>
      <c r="N775" s="289"/>
      <c r="O775" s="289"/>
      <c r="P775" s="352">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8"/>
      <c r="AS775" s="288"/>
    </row>
    <row r="776" spans="1:45">
      <c r="A776" s="290"/>
      <c r="B776" s="290"/>
      <c r="C776" s="290"/>
      <c r="D776" s="290"/>
      <c r="E776" s="290"/>
      <c r="F776" s="290"/>
      <c r="G776" s="290"/>
      <c r="H776" s="289"/>
      <c r="I776" s="289"/>
      <c r="J776" s="289"/>
      <c r="K776" s="289"/>
      <c r="L776" s="289"/>
      <c r="M776" s="289"/>
      <c r="N776" s="289"/>
      <c r="O776" s="289"/>
      <c r="P776" s="352">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8"/>
      <c r="AS776" s="288"/>
    </row>
    <row r="777" spans="1:45">
      <c r="A777" s="290"/>
      <c r="B777" s="290"/>
      <c r="C777" s="290"/>
      <c r="D777" s="290"/>
      <c r="E777" s="290"/>
      <c r="F777" s="290"/>
      <c r="G777" s="290"/>
      <c r="H777" s="289"/>
      <c r="I777" s="289"/>
      <c r="J777" s="289"/>
      <c r="K777" s="289"/>
      <c r="L777" s="289"/>
      <c r="M777" s="289"/>
      <c r="N777" s="289"/>
      <c r="O777" s="289"/>
      <c r="P777" s="352">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8"/>
      <c r="AS777" s="288"/>
    </row>
    <row r="778" spans="1:45">
      <c r="A778" s="290"/>
      <c r="B778" s="290"/>
      <c r="C778" s="290"/>
      <c r="D778" s="290"/>
      <c r="E778" s="290"/>
      <c r="F778" s="290"/>
      <c r="G778" s="290"/>
      <c r="H778" s="289"/>
      <c r="I778" s="289"/>
      <c r="J778" s="289"/>
      <c r="K778" s="289"/>
      <c r="L778" s="289"/>
      <c r="M778" s="289"/>
      <c r="N778" s="289"/>
      <c r="O778" s="289"/>
      <c r="P778" s="352">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8"/>
      <c r="AS778" s="288"/>
    </row>
    <row r="779" spans="1:45">
      <c r="A779" s="290"/>
      <c r="B779" s="290"/>
      <c r="C779" s="290"/>
      <c r="D779" s="290"/>
      <c r="E779" s="290"/>
      <c r="F779" s="290"/>
      <c r="G779" s="290"/>
      <c r="H779" s="289"/>
      <c r="I779" s="289"/>
      <c r="J779" s="289"/>
      <c r="K779" s="289"/>
      <c r="L779" s="289"/>
      <c r="M779" s="289"/>
      <c r="N779" s="289"/>
      <c r="O779" s="289"/>
      <c r="P779" s="352">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8"/>
      <c r="AS779" s="288"/>
    </row>
    <row r="780" spans="1:45">
      <c r="A780" s="290"/>
      <c r="B780" s="290"/>
      <c r="C780" s="290"/>
      <c r="D780" s="290"/>
      <c r="E780" s="290"/>
      <c r="F780" s="290"/>
      <c r="G780" s="290"/>
      <c r="H780" s="289"/>
      <c r="I780" s="289"/>
      <c r="J780" s="289"/>
      <c r="K780" s="289"/>
      <c r="L780" s="289"/>
      <c r="M780" s="289"/>
      <c r="N780" s="289"/>
      <c r="O780" s="289"/>
      <c r="P780" s="352">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8"/>
      <c r="AS780" s="288"/>
    </row>
    <row r="781" spans="1:45">
      <c r="A781" s="290"/>
      <c r="B781" s="290"/>
      <c r="C781" s="290"/>
      <c r="D781" s="290"/>
      <c r="E781" s="290"/>
      <c r="F781" s="290"/>
      <c r="G781" s="290"/>
      <c r="H781" s="289"/>
      <c r="I781" s="289"/>
      <c r="J781" s="289"/>
      <c r="K781" s="289"/>
      <c r="L781" s="289"/>
      <c r="M781" s="289"/>
      <c r="N781" s="289"/>
      <c r="O781" s="289"/>
      <c r="P781" s="352">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8"/>
      <c r="AS781" s="288"/>
    </row>
    <row r="782" spans="1:45">
      <c r="A782" s="290"/>
      <c r="B782" s="290"/>
      <c r="C782" s="290"/>
      <c r="D782" s="290"/>
      <c r="E782" s="290"/>
      <c r="F782" s="290"/>
      <c r="G782" s="290"/>
      <c r="H782" s="289"/>
      <c r="I782" s="289"/>
      <c r="J782" s="289"/>
      <c r="K782" s="289"/>
      <c r="L782" s="289"/>
      <c r="M782" s="289"/>
      <c r="N782" s="289"/>
      <c r="O782" s="289"/>
      <c r="P782" s="352">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8"/>
      <c r="AS782" s="288"/>
    </row>
    <row r="783" spans="1:45">
      <c r="A783" s="290"/>
      <c r="B783" s="290"/>
      <c r="C783" s="290"/>
      <c r="D783" s="290"/>
      <c r="E783" s="290"/>
      <c r="F783" s="290"/>
      <c r="G783" s="290"/>
      <c r="H783" s="289"/>
      <c r="I783" s="289"/>
      <c r="J783" s="289"/>
      <c r="K783" s="289"/>
      <c r="L783" s="289"/>
      <c r="M783" s="289"/>
      <c r="N783" s="289"/>
      <c r="O783" s="289"/>
      <c r="P783" s="352">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8"/>
      <c r="AS783" s="288"/>
    </row>
    <row r="784" spans="1:45">
      <c r="A784" s="290"/>
      <c r="B784" s="290"/>
      <c r="C784" s="290"/>
      <c r="D784" s="290"/>
      <c r="E784" s="290"/>
      <c r="F784" s="290"/>
      <c r="G784" s="290"/>
      <c r="H784" s="289"/>
      <c r="I784" s="289"/>
      <c r="J784" s="289"/>
      <c r="K784" s="289"/>
      <c r="L784" s="289"/>
      <c r="M784" s="289"/>
      <c r="N784" s="289"/>
      <c r="O784" s="289"/>
      <c r="P784" s="352">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8"/>
      <c r="AS784" s="288"/>
    </row>
    <row r="785" spans="1:45">
      <c r="A785" s="290"/>
      <c r="B785" s="290"/>
      <c r="C785" s="290"/>
      <c r="D785" s="290"/>
      <c r="E785" s="290"/>
      <c r="F785" s="290"/>
      <c r="G785" s="290"/>
      <c r="H785" s="289"/>
      <c r="I785" s="289"/>
      <c r="J785" s="289"/>
      <c r="K785" s="289"/>
      <c r="L785" s="289"/>
      <c r="M785" s="289"/>
      <c r="N785" s="289"/>
      <c r="O785" s="289"/>
      <c r="P785" s="352">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8"/>
      <c r="AS785" s="288"/>
    </row>
    <row r="786" spans="1:45">
      <c r="A786" s="290"/>
      <c r="B786" s="290"/>
      <c r="C786" s="290"/>
      <c r="D786" s="290"/>
      <c r="E786" s="290"/>
      <c r="F786" s="290"/>
      <c r="G786" s="290"/>
      <c r="H786" s="289"/>
      <c r="I786" s="289"/>
      <c r="J786" s="289"/>
      <c r="K786" s="289"/>
      <c r="L786" s="289"/>
      <c r="M786" s="289"/>
      <c r="N786" s="289"/>
      <c r="O786" s="289"/>
      <c r="P786" s="352">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8"/>
      <c r="AS786" s="288"/>
    </row>
    <row r="787" spans="1:45">
      <c r="A787" s="290"/>
      <c r="B787" s="290"/>
      <c r="C787" s="290"/>
      <c r="D787" s="290"/>
      <c r="E787" s="290"/>
      <c r="F787" s="290"/>
      <c r="G787" s="290"/>
      <c r="H787" s="289"/>
      <c r="I787" s="289"/>
      <c r="J787" s="289"/>
      <c r="K787" s="289"/>
      <c r="L787" s="289"/>
      <c r="M787" s="289"/>
      <c r="N787" s="289"/>
      <c r="O787" s="289"/>
      <c r="P787" s="352">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8"/>
      <c r="AS787" s="288"/>
    </row>
    <row r="788" spans="1:45">
      <c r="A788" s="290"/>
      <c r="B788" s="290"/>
      <c r="C788" s="290"/>
      <c r="D788" s="290"/>
      <c r="E788" s="290"/>
      <c r="F788" s="290"/>
      <c r="G788" s="290"/>
      <c r="H788" s="289"/>
      <c r="I788" s="289"/>
      <c r="J788" s="289"/>
      <c r="K788" s="289"/>
      <c r="L788" s="289"/>
      <c r="M788" s="289"/>
      <c r="N788" s="289"/>
      <c r="O788" s="289"/>
      <c r="P788" s="352">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8"/>
      <c r="AS788" s="288"/>
    </row>
    <row r="789" spans="1:45">
      <c r="A789" s="290"/>
      <c r="B789" s="290"/>
      <c r="C789" s="290"/>
      <c r="D789" s="290"/>
      <c r="E789" s="290"/>
      <c r="F789" s="290"/>
      <c r="G789" s="290"/>
      <c r="H789" s="289"/>
      <c r="I789" s="289"/>
      <c r="J789" s="289"/>
      <c r="K789" s="289"/>
      <c r="L789" s="289"/>
      <c r="M789" s="289"/>
      <c r="N789" s="289"/>
      <c r="O789" s="289"/>
      <c r="P789" s="352">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8"/>
      <c r="AS789" s="288"/>
    </row>
    <row r="790" spans="1:45">
      <c r="A790" s="290"/>
      <c r="B790" s="290"/>
      <c r="C790" s="290"/>
      <c r="D790" s="290"/>
      <c r="E790" s="290"/>
      <c r="F790" s="290"/>
      <c r="G790" s="290"/>
      <c r="H790" s="289"/>
      <c r="I790" s="289"/>
      <c r="J790" s="289"/>
      <c r="K790" s="289"/>
      <c r="L790" s="289"/>
      <c r="M790" s="289"/>
      <c r="N790" s="289"/>
      <c r="O790" s="289"/>
      <c r="P790" s="352">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8"/>
      <c r="AS790" s="288"/>
    </row>
    <row r="791" spans="1:45">
      <c r="A791" s="290"/>
      <c r="B791" s="290"/>
      <c r="C791" s="290"/>
      <c r="D791" s="290"/>
      <c r="E791" s="290"/>
      <c r="F791" s="290"/>
      <c r="G791" s="290"/>
      <c r="H791" s="289"/>
      <c r="I791" s="289"/>
      <c r="J791" s="289"/>
      <c r="K791" s="289"/>
      <c r="L791" s="289"/>
      <c r="M791" s="289"/>
      <c r="N791" s="289"/>
      <c r="O791" s="289"/>
      <c r="P791" s="352">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8"/>
      <c r="AS791" s="288"/>
    </row>
    <row r="792" spans="1:45">
      <c r="A792" s="290"/>
      <c r="B792" s="290"/>
      <c r="C792" s="290"/>
      <c r="D792" s="290"/>
      <c r="E792" s="290"/>
      <c r="F792" s="290"/>
      <c r="G792" s="290"/>
      <c r="H792" s="289"/>
      <c r="I792" s="289"/>
      <c r="J792" s="289"/>
      <c r="K792" s="289"/>
      <c r="L792" s="289"/>
      <c r="M792" s="289"/>
      <c r="N792" s="289"/>
      <c r="O792" s="289"/>
      <c r="P792" s="352">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8"/>
      <c r="AS792" s="288"/>
    </row>
    <row r="793" spans="1:45">
      <c r="A793" s="290"/>
      <c r="B793" s="290"/>
      <c r="C793" s="290"/>
      <c r="D793" s="290"/>
      <c r="E793" s="290"/>
      <c r="F793" s="290"/>
      <c r="G793" s="290"/>
      <c r="H793" s="289"/>
      <c r="I793" s="289"/>
      <c r="J793" s="289"/>
      <c r="K793" s="289"/>
      <c r="L793" s="289"/>
      <c r="M793" s="289"/>
      <c r="N793" s="289"/>
      <c r="O793" s="289"/>
      <c r="P793" s="352">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8"/>
      <c r="AS793" s="288"/>
    </row>
    <row r="794" spans="1:45">
      <c r="A794" s="290"/>
      <c r="B794" s="290"/>
      <c r="C794" s="290"/>
      <c r="D794" s="290"/>
      <c r="E794" s="290"/>
      <c r="F794" s="290"/>
      <c r="G794" s="290"/>
      <c r="H794" s="289"/>
      <c r="I794" s="289"/>
      <c r="J794" s="289"/>
      <c r="K794" s="289"/>
      <c r="L794" s="289"/>
      <c r="M794" s="289"/>
      <c r="N794" s="289"/>
      <c r="O794" s="289"/>
      <c r="P794" s="352">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8"/>
      <c r="AS794" s="288"/>
    </row>
    <row r="795" spans="1:45">
      <c r="A795" s="290"/>
      <c r="B795" s="290"/>
      <c r="C795" s="290"/>
      <c r="D795" s="290"/>
      <c r="E795" s="290"/>
      <c r="F795" s="290"/>
      <c r="G795" s="290"/>
      <c r="H795" s="289"/>
      <c r="I795" s="289"/>
      <c r="J795" s="289"/>
      <c r="K795" s="289"/>
      <c r="L795" s="289"/>
      <c r="M795" s="289"/>
      <c r="N795" s="289"/>
      <c r="O795" s="289"/>
      <c r="P795" s="352">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8"/>
      <c r="AS795" s="288"/>
    </row>
    <row r="796" spans="1:45">
      <c r="A796" s="290"/>
      <c r="B796" s="290"/>
      <c r="C796" s="290"/>
      <c r="D796" s="290"/>
      <c r="E796" s="290"/>
      <c r="F796" s="290"/>
      <c r="G796" s="290"/>
      <c r="H796" s="289"/>
      <c r="I796" s="289"/>
      <c r="J796" s="289"/>
      <c r="K796" s="289"/>
      <c r="L796" s="289"/>
      <c r="M796" s="289"/>
      <c r="N796" s="289"/>
      <c r="O796" s="289"/>
      <c r="P796" s="352">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8"/>
      <c r="AS796" s="288"/>
    </row>
    <row r="797" spans="1:45">
      <c r="A797" s="290"/>
      <c r="B797" s="290"/>
      <c r="C797" s="290"/>
      <c r="D797" s="290"/>
      <c r="E797" s="290"/>
      <c r="F797" s="290"/>
      <c r="G797" s="290"/>
      <c r="H797" s="289"/>
      <c r="I797" s="289"/>
      <c r="J797" s="289"/>
      <c r="K797" s="289"/>
      <c r="L797" s="289"/>
      <c r="M797" s="289"/>
      <c r="N797" s="289"/>
      <c r="O797" s="289"/>
      <c r="P797" s="352">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8"/>
      <c r="AS797" s="288"/>
    </row>
    <row r="798" spans="1:45">
      <c r="A798" s="290"/>
      <c r="B798" s="290"/>
      <c r="C798" s="290"/>
      <c r="D798" s="290"/>
      <c r="E798" s="290"/>
      <c r="F798" s="290"/>
      <c r="G798" s="290"/>
      <c r="H798" s="289"/>
      <c r="I798" s="289"/>
      <c r="J798" s="289"/>
      <c r="K798" s="289"/>
      <c r="L798" s="289"/>
      <c r="M798" s="289"/>
      <c r="N798" s="289"/>
      <c r="O798" s="289"/>
      <c r="P798" s="352">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8"/>
      <c r="AS798" s="288"/>
    </row>
    <row r="799" spans="1:45">
      <c r="A799" s="290"/>
      <c r="B799" s="290"/>
      <c r="C799" s="290"/>
      <c r="D799" s="290"/>
      <c r="E799" s="290"/>
      <c r="F799" s="290"/>
      <c r="G799" s="290"/>
      <c r="H799" s="289"/>
      <c r="I799" s="289"/>
      <c r="J799" s="289"/>
      <c r="K799" s="289"/>
      <c r="L799" s="289"/>
      <c r="M799" s="289"/>
      <c r="N799" s="289"/>
      <c r="O799" s="289"/>
      <c r="P799" s="352">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8"/>
      <c r="AS799" s="288"/>
    </row>
    <row r="800" spans="1:45">
      <c r="A800" s="290"/>
      <c r="B800" s="290"/>
      <c r="C800" s="290"/>
      <c r="D800" s="290"/>
      <c r="E800" s="290"/>
      <c r="F800" s="290"/>
      <c r="G800" s="290"/>
      <c r="H800" s="289"/>
      <c r="I800" s="289"/>
      <c r="J800" s="289"/>
      <c r="K800" s="289"/>
      <c r="L800" s="289"/>
      <c r="M800" s="289"/>
      <c r="N800" s="289"/>
      <c r="O800" s="289"/>
      <c r="P800" s="352">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8"/>
      <c r="AS800" s="288"/>
    </row>
    <row r="801" spans="1:45">
      <c r="A801" s="290"/>
      <c r="B801" s="290"/>
      <c r="C801" s="290"/>
      <c r="D801" s="290"/>
      <c r="E801" s="290"/>
      <c r="F801" s="290"/>
      <c r="G801" s="290"/>
      <c r="H801" s="289"/>
      <c r="I801" s="289"/>
      <c r="J801" s="289"/>
      <c r="K801" s="289"/>
      <c r="L801" s="289"/>
      <c r="M801" s="289"/>
      <c r="N801" s="289"/>
      <c r="O801" s="289"/>
      <c r="P801" s="352">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8"/>
      <c r="AS801" s="288"/>
    </row>
    <row r="802" spans="1:45">
      <c r="A802" s="290"/>
      <c r="B802" s="290"/>
      <c r="C802" s="290"/>
      <c r="D802" s="290"/>
      <c r="E802" s="290"/>
      <c r="F802" s="290"/>
      <c r="G802" s="290"/>
      <c r="H802" s="289"/>
      <c r="I802" s="289"/>
      <c r="J802" s="289"/>
      <c r="K802" s="289"/>
      <c r="L802" s="289"/>
      <c r="M802" s="289"/>
      <c r="N802" s="289"/>
      <c r="O802" s="289"/>
      <c r="P802" s="352">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8"/>
      <c r="AS802" s="288"/>
    </row>
    <row r="803" spans="1:45">
      <c r="A803" s="290"/>
      <c r="B803" s="290"/>
      <c r="C803" s="290"/>
      <c r="D803" s="290"/>
      <c r="E803" s="290"/>
      <c r="F803" s="290"/>
      <c r="G803" s="290"/>
      <c r="H803" s="289"/>
      <c r="I803" s="289"/>
      <c r="J803" s="289"/>
      <c r="K803" s="289"/>
      <c r="L803" s="289"/>
      <c r="M803" s="289"/>
      <c r="N803" s="289"/>
      <c r="O803" s="289"/>
      <c r="P803" s="352">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8"/>
      <c r="AS803" s="288"/>
    </row>
    <row r="804" spans="1:45">
      <c r="A804" s="290"/>
      <c r="B804" s="290"/>
      <c r="C804" s="290"/>
      <c r="D804" s="290"/>
      <c r="E804" s="290"/>
      <c r="F804" s="290"/>
      <c r="G804" s="290"/>
      <c r="H804" s="289"/>
      <c r="I804" s="289"/>
      <c r="J804" s="289"/>
      <c r="K804" s="289"/>
      <c r="L804" s="289"/>
      <c r="M804" s="289"/>
      <c r="N804" s="289"/>
      <c r="O804" s="289"/>
      <c r="P804" s="352">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8"/>
      <c r="AS804" s="288"/>
    </row>
    <row r="805" spans="1:45">
      <c r="A805" s="290"/>
      <c r="B805" s="290"/>
      <c r="C805" s="290"/>
      <c r="D805" s="290"/>
      <c r="E805" s="290"/>
      <c r="F805" s="290"/>
      <c r="G805" s="290"/>
      <c r="H805" s="289"/>
      <c r="I805" s="289"/>
      <c r="J805" s="289"/>
      <c r="K805" s="289"/>
      <c r="L805" s="289"/>
      <c r="M805" s="289"/>
      <c r="N805" s="289"/>
      <c r="O805" s="289"/>
      <c r="P805" s="352">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8"/>
      <c r="AS805" s="288"/>
    </row>
    <row r="806" spans="1:45">
      <c r="A806" s="290"/>
      <c r="B806" s="290"/>
      <c r="C806" s="290"/>
      <c r="D806" s="290"/>
      <c r="E806" s="290"/>
      <c r="F806" s="290"/>
      <c r="G806" s="290"/>
      <c r="H806" s="289"/>
      <c r="I806" s="289"/>
      <c r="J806" s="289"/>
      <c r="K806" s="289"/>
      <c r="L806" s="289"/>
      <c r="M806" s="289"/>
      <c r="N806" s="289"/>
      <c r="O806" s="289"/>
      <c r="P806" s="352">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8"/>
      <c r="AS806" s="288"/>
    </row>
    <row r="807" spans="1:45">
      <c r="A807" s="290"/>
      <c r="B807" s="290"/>
      <c r="C807" s="290"/>
      <c r="D807" s="290"/>
      <c r="E807" s="290"/>
      <c r="F807" s="290"/>
      <c r="G807" s="290"/>
      <c r="H807" s="289"/>
      <c r="I807" s="289"/>
      <c r="J807" s="289"/>
      <c r="K807" s="289"/>
      <c r="L807" s="289"/>
      <c r="M807" s="289"/>
      <c r="N807" s="289"/>
      <c r="O807" s="289"/>
      <c r="P807" s="352">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8"/>
      <c r="AS807" s="288"/>
    </row>
    <row r="808" spans="1:45">
      <c r="A808" s="290"/>
      <c r="B808" s="290"/>
      <c r="C808" s="290"/>
      <c r="D808" s="290"/>
      <c r="E808" s="290"/>
      <c r="F808" s="290"/>
      <c r="G808" s="290"/>
      <c r="H808" s="289"/>
      <c r="I808" s="289"/>
      <c r="J808" s="289"/>
      <c r="K808" s="289"/>
      <c r="L808" s="289"/>
      <c r="M808" s="289"/>
      <c r="N808" s="289"/>
      <c r="O808" s="289"/>
      <c r="P808" s="352">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8"/>
      <c r="AS808" s="288"/>
    </row>
    <row r="809" spans="1:45">
      <c r="A809" s="290"/>
      <c r="B809" s="290"/>
      <c r="C809" s="290"/>
      <c r="D809" s="290"/>
      <c r="E809" s="290"/>
      <c r="F809" s="290"/>
      <c r="G809" s="290"/>
      <c r="H809" s="289"/>
      <c r="I809" s="289"/>
      <c r="J809" s="289"/>
      <c r="K809" s="289"/>
      <c r="L809" s="289"/>
      <c r="M809" s="289"/>
      <c r="N809" s="289"/>
      <c r="O809" s="289"/>
      <c r="P809" s="352">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8"/>
      <c r="AS809" s="288"/>
    </row>
    <row r="810" spans="1:45">
      <c r="A810" s="290"/>
      <c r="B810" s="290"/>
      <c r="C810" s="290"/>
      <c r="D810" s="290"/>
      <c r="E810" s="290"/>
      <c r="F810" s="290"/>
      <c r="G810" s="290"/>
      <c r="H810" s="289"/>
      <c r="I810" s="289"/>
      <c r="J810" s="289"/>
      <c r="K810" s="289"/>
      <c r="L810" s="289"/>
      <c r="M810" s="289"/>
      <c r="N810" s="289"/>
      <c r="O810" s="289"/>
      <c r="P810" s="352">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8"/>
      <c r="AS810" s="288"/>
    </row>
    <row r="811" spans="1:45">
      <c r="A811" s="290"/>
      <c r="B811" s="290"/>
      <c r="C811" s="290"/>
      <c r="D811" s="290"/>
      <c r="E811" s="290"/>
      <c r="F811" s="290"/>
      <c r="G811" s="290"/>
      <c r="H811" s="289"/>
      <c r="I811" s="289"/>
      <c r="J811" s="289"/>
      <c r="K811" s="289"/>
      <c r="L811" s="289"/>
      <c r="M811" s="289"/>
      <c r="N811" s="289"/>
      <c r="O811" s="289"/>
      <c r="P811" s="352">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8"/>
      <c r="AS811" s="288"/>
    </row>
    <row r="812" spans="1:45">
      <c r="A812" s="290"/>
      <c r="B812" s="290"/>
      <c r="C812" s="290"/>
      <c r="D812" s="290"/>
      <c r="E812" s="290"/>
      <c r="F812" s="290"/>
      <c r="G812" s="290"/>
      <c r="H812" s="289"/>
      <c r="I812" s="289"/>
      <c r="J812" s="289"/>
      <c r="K812" s="289"/>
      <c r="L812" s="289"/>
      <c r="M812" s="289"/>
      <c r="N812" s="289"/>
      <c r="O812" s="289"/>
      <c r="P812" s="352">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8"/>
      <c r="AS812" s="288"/>
    </row>
    <row r="813" spans="1:45">
      <c r="A813" s="290"/>
      <c r="B813" s="290"/>
      <c r="C813" s="290"/>
      <c r="D813" s="290"/>
      <c r="E813" s="290"/>
      <c r="F813" s="290"/>
      <c r="G813" s="290"/>
      <c r="H813" s="289"/>
      <c r="I813" s="289"/>
      <c r="J813" s="289"/>
      <c r="K813" s="289"/>
      <c r="L813" s="289"/>
      <c r="M813" s="289"/>
      <c r="N813" s="289"/>
      <c r="O813" s="289"/>
      <c r="P813" s="352">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8"/>
      <c r="AS813" s="288"/>
    </row>
    <row r="814" spans="1:45">
      <c r="A814" s="290"/>
      <c r="B814" s="290"/>
      <c r="C814" s="290"/>
      <c r="D814" s="290"/>
      <c r="E814" s="290"/>
      <c r="F814" s="290"/>
      <c r="G814" s="290"/>
      <c r="H814" s="289"/>
      <c r="I814" s="289"/>
      <c r="J814" s="289"/>
      <c r="K814" s="289"/>
      <c r="L814" s="289"/>
      <c r="M814" s="289"/>
      <c r="N814" s="289"/>
      <c r="O814" s="289"/>
      <c r="P814" s="352">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8"/>
      <c r="AS814" s="288"/>
    </row>
    <row r="815" spans="1:45">
      <c r="A815" s="290"/>
      <c r="B815" s="290"/>
      <c r="C815" s="290"/>
      <c r="D815" s="290"/>
      <c r="E815" s="290"/>
      <c r="F815" s="290"/>
      <c r="G815" s="290"/>
      <c r="H815" s="289"/>
      <c r="I815" s="289"/>
      <c r="J815" s="289"/>
      <c r="K815" s="289"/>
      <c r="L815" s="289"/>
      <c r="M815" s="289"/>
      <c r="N815" s="289"/>
      <c r="O815" s="289"/>
      <c r="P815" s="352">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8"/>
      <c r="AS815" s="288"/>
    </row>
    <row r="816" spans="1:45">
      <c r="A816" s="290"/>
      <c r="B816" s="290"/>
      <c r="C816" s="290"/>
      <c r="D816" s="290"/>
      <c r="E816" s="290"/>
      <c r="F816" s="290"/>
      <c r="G816" s="290"/>
      <c r="H816" s="289"/>
      <c r="I816" s="289"/>
      <c r="J816" s="289"/>
      <c r="K816" s="289"/>
      <c r="L816" s="289"/>
      <c r="M816" s="289"/>
      <c r="N816" s="289"/>
      <c r="O816" s="289"/>
      <c r="P816" s="352">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8"/>
      <c r="AS816" s="288"/>
    </row>
    <row r="817" spans="1:45">
      <c r="A817" s="290"/>
      <c r="B817" s="290"/>
      <c r="C817" s="290"/>
      <c r="D817" s="290"/>
      <c r="E817" s="290"/>
      <c r="F817" s="290"/>
      <c r="G817" s="290"/>
      <c r="H817" s="289"/>
      <c r="I817" s="289"/>
      <c r="J817" s="289"/>
      <c r="K817" s="289"/>
      <c r="L817" s="289"/>
      <c r="M817" s="289"/>
      <c r="N817" s="289"/>
      <c r="O817" s="289"/>
      <c r="P817" s="352">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8"/>
      <c r="AS817" s="288"/>
    </row>
    <row r="818" spans="1:45">
      <c r="A818" s="290"/>
      <c r="B818" s="290"/>
      <c r="C818" s="290"/>
      <c r="D818" s="290"/>
      <c r="E818" s="290"/>
      <c r="F818" s="290"/>
      <c r="G818" s="290"/>
      <c r="H818" s="289"/>
      <c r="I818" s="289"/>
      <c r="J818" s="289"/>
      <c r="K818" s="289"/>
      <c r="L818" s="289"/>
      <c r="M818" s="289"/>
      <c r="N818" s="289"/>
      <c r="O818" s="289"/>
      <c r="P818" s="352">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8"/>
      <c r="AS818" s="288"/>
    </row>
    <row r="819" spans="1:45">
      <c r="A819" s="290"/>
      <c r="B819" s="290"/>
      <c r="C819" s="290"/>
      <c r="D819" s="290"/>
      <c r="E819" s="290"/>
      <c r="F819" s="290"/>
      <c r="G819" s="290"/>
      <c r="H819" s="289"/>
      <c r="I819" s="289"/>
      <c r="J819" s="289"/>
      <c r="K819" s="289"/>
      <c r="L819" s="289"/>
      <c r="M819" s="289"/>
      <c r="N819" s="289"/>
      <c r="O819" s="289"/>
      <c r="P819" s="352">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8"/>
      <c r="AS819" s="288"/>
    </row>
    <row r="820" spans="1:45">
      <c r="A820" s="290"/>
      <c r="B820" s="290"/>
      <c r="C820" s="290"/>
      <c r="D820" s="290"/>
      <c r="E820" s="290"/>
      <c r="F820" s="290"/>
      <c r="G820" s="290"/>
      <c r="H820" s="289"/>
      <c r="I820" s="289"/>
      <c r="J820" s="289"/>
      <c r="K820" s="289"/>
      <c r="L820" s="289"/>
      <c r="M820" s="289"/>
      <c r="N820" s="289"/>
      <c r="O820" s="289"/>
      <c r="P820" s="352">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8"/>
      <c r="AS820" s="288"/>
    </row>
    <row r="821" spans="1:45">
      <c r="A821" s="290"/>
      <c r="B821" s="290"/>
      <c r="C821" s="290"/>
      <c r="D821" s="290"/>
      <c r="E821" s="290"/>
      <c r="F821" s="290"/>
      <c r="G821" s="290"/>
      <c r="H821" s="289"/>
      <c r="I821" s="289"/>
      <c r="J821" s="289"/>
      <c r="K821" s="289"/>
      <c r="L821" s="289"/>
      <c r="M821" s="289"/>
      <c r="N821" s="289"/>
      <c r="O821" s="289"/>
      <c r="P821" s="352">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8"/>
      <c r="AS821" s="288"/>
    </row>
    <row r="822" spans="1:45">
      <c r="A822" s="290"/>
      <c r="B822" s="290"/>
      <c r="C822" s="290"/>
      <c r="D822" s="290"/>
      <c r="E822" s="290"/>
      <c r="F822" s="290"/>
      <c r="G822" s="290"/>
      <c r="H822" s="289"/>
      <c r="I822" s="289"/>
      <c r="J822" s="289"/>
      <c r="K822" s="289"/>
      <c r="L822" s="289"/>
      <c r="M822" s="289"/>
      <c r="N822" s="289"/>
      <c r="O822" s="289"/>
      <c r="P822" s="352">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8"/>
      <c r="AS822" s="288"/>
    </row>
    <row r="823" spans="1:45">
      <c r="A823" s="290"/>
      <c r="B823" s="290"/>
      <c r="C823" s="290"/>
      <c r="D823" s="290"/>
      <c r="E823" s="290"/>
      <c r="F823" s="290"/>
      <c r="G823" s="290"/>
      <c r="H823" s="289"/>
      <c r="I823" s="289"/>
      <c r="J823" s="289"/>
      <c r="K823" s="289"/>
      <c r="L823" s="289"/>
      <c r="M823" s="289"/>
      <c r="N823" s="289"/>
      <c r="O823" s="289"/>
      <c r="P823" s="352">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8"/>
      <c r="AS823" s="288"/>
    </row>
    <row r="824" spans="1:45">
      <c r="A824" s="290"/>
      <c r="B824" s="290"/>
      <c r="C824" s="290"/>
      <c r="D824" s="290"/>
      <c r="E824" s="290"/>
      <c r="F824" s="290"/>
      <c r="G824" s="290"/>
      <c r="H824" s="289"/>
      <c r="I824" s="289"/>
      <c r="J824" s="289"/>
      <c r="K824" s="289"/>
      <c r="L824" s="289"/>
      <c r="M824" s="289"/>
      <c r="N824" s="289"/>
      <c r="O824" s="289"/>
      <c r="P824" s="352">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8"/>
      <c r="AS824" s="288"/>
    </row>
    <row r="825" spans="1:45">
      <c r="A825" s="290"/>
      <c r="B825" s="290"/>
      <c r="C825" s="290"/>
      <c r="D825" s="290"/>
      <c r="E825" s="290"/>
      <c r="F825" s="290"/>
      <c r="G825" s="290"/>
      <c r="H825" s="289"/>
      <c r="I825" s="289"/>
      <c r="J825" s="289"/>
      <c r="K825" s="289"/>
      <c r="L825" s="289"/>
      <c r="M825" s="289"/>
      <c r="N825" s="289"/>
      <c r="O825" s="289"/>
      <c r="P825" s="352">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8"/>
      <c r="AS825" s="288"/>
    </row>
    <row r="826" spans="1:45">
      <c r="A826" s="290"/>
      <c r="B826" s="290"/>
      <c r="C826" s="290"/>
      <c r="D826" s="290"/>
      <c r="E826" s="290"/>
      <c r="F826" s="290"/>
      <c r="G826" s="290"/>
      <c r="H826" s="289"/>
      <c r="I826" s="289"/>
      <c r="J826" s="289"/>
      <c r="K826" s="289"/>
      <c r="L826" s="289"/>
      <c r="M826" s="289"/>
      <c r="N826" s="289"/>
      <c r="O826" s="289"/>
      <c r="P826" s="352">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8"/>
      <c r="AS826" s="288"/>
    </row>
    <row r="827" spans="1:45">
      <c r="A827" s="290"/>
      <c r="B827" s="290"/>
      <c r="C827" s="290"/>
      <c r="D827" s="290"/>
      <c r="E827" s="290"/>
      <c r="F827" s="290"/>
      <c r="G827" s="290"/>
      <c r="H827" s="289"/>
      <c r="I827" s="289"/>
      <c r="J827" s="289"/>
      <c r="K827" s="289"/>
      <c r="L827" s="289"/>
      <c r="M827" s="289"/>
      <c r="N827" s="289"/>
      <c r="O827" s="289"/>
      <c r="P827" s="352">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8"/>
      <c r="AS827" s="288"/>
    </row>
    <row r="828" spans="1:45">
      <c r="A828" s="290"/>
      <c r="B828" s="290"/>
      <c r="C828" s="290"/>
      <c r="D828" s="290"/>
      <c r="E828" s="290"/>
      <c r="F828" s="290"/>
      <c r="G828" s="290"/>
      <c r="H828" s="289"/>
      <c r="I828" s="289"/>
      <c r="J828" s="289"/>
      <c r="K828" s="289"/>
      <c r="L828" s="289"/>
      <c r="M828" s="289"/>
      <c r="N828" s="289"/>
      <c r="O828" s="289"/>
      <c r="P828" s="352">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8"/>
      <c r="AS828" s="288"/>
    </row>
    <row r="829" spans="1:45">
      <c r="A829" s="290"/>
      <c r="B829" s="290"/>
      <c r="C829" s="290"/>
      <c r="D829" s="290"/>
      <c r="E829" s="290"/>
      <c r="F829" s="290"/>
      <c r="G829" s="290"/>
      <c r="H829" s="289"/>
      <c r="I829" s="289"/>
      <c r="J829" s="289"/>
      <c r="K829" s="289"/>
      <c r="L829" s="289"/>
      <c r="M829" s="289"/>
      <c r="N829" s="289"/>
      <c r="O829" s="289"/>
      <c r="P829" s="352">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8"/>
      <c r="AS829" s="288"/>
    </row>
    <row r="830" spans="1:45">
      <c r="A830" s="290"/>
      <c r="B830" s="290"/>
      <c r="C830" s="290"/>
      <c r="D830" s="290"/>
      <c r="E830" s="290"/>
      <c r="F830" s="290"/>
      <c r="G830" s="290"/>
      <c r="H830" s="289"/>
      <c r="I830" s="289"/>
      <c r="J830" s="289"/>
      <c r="K830" s="289"/>
      <c r="L830" s="289"/>
      <c r="M830" s="289"/>
      <c r="N830" s="289"/>
      <c r="O830" s="289"/>
      <c r="P830" s="352">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8"/>
      <c r="AS830" s="288"/>
    </row>
    <row r="831" spans="1:45">
      <c r="A831" s="290"/>
      <c r="B831" s="290"/>
      <c r="C831" s="290"/>
      <c r="D831" s="290"/>
      <c r="E831" s="290"/>
      <c r="F831" s="290"/>
      <c r="G831" s="290"/>
      <c r="H831" s="289"/>
      <c r="I831" s="289"/>
      <c r="J831" s="289"/>
      <c r="K831" s="289"/>
      <c r="L831" s="289"/>
      <c r="M831" s="289"/>
      <c r="N831" s="289"/>
      <c r="O831" s="289"/>
      <c r="P831" s="352">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8"/>
      <c r="AS831" s="288"/>
    </row>
    <row r="832" spans="1:45">
      <c r="A832" s="290"/>
      <c r="B832" s="290"/>
      <c r="C832" s="290"/>
      <c r="D832" s="290"/>
      <c r="E832" s="290"/>
      <c r="F832" s="290"/>
      <c r="G832" s="290"/>
      <c r="H832" s="289"/>
      <c r="I832" s="289"/>
      <c r="J832" s="289"/>
      <c r="K832" s="289"/>
      <c r="L832" s="289"/>
      <c r="M832" s="289"/>
      <c r="N832" s="289"/>
      <c r="O832" s="289"/>
      <c r="P832" s="352">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8"/>
      <c r="AS832" s="288"/>
    </row>
    <row r="833" spans="1:45">
      <c r="A833" s="290"/>
      <c r="B833" s="290"/>
      <c r="C833" s="290"/>
      <c r="D833" s="290"/>
      <c r="E833" s="290"/>
      <c r="F833" s="290"/>
      <c r="G833" s="290"/>
      <c r="H833" s="289"/>
      <c r="I833" s="289"/>
      <c r="J833" s="289"/>
      <c r="K833" s="289"/>
      <c r="L833" s="289"/>
      <c r="M833" s="289"/>
      <c r="N833" s="289"/>
      <c r="O833" s="289"/>
      <c r="P833" s="352">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8"/>
      <c r="AS833" s="288"/>
    </row>
    <row r="834" spans="1:45">
      <c r="A834" s="290"/>
      <c r="B834" s="290"/>
      <c r="C834" s="290"/>
      <c r="D834" s="290"/>
      <c r="E834" s="290"/>
      <c r="F834" s="290"/>
      <c r="G834" s="290"/>
      <c r="H834" s="289"/>
      <c r="I834" s="289"/>
      <c r="J834" s="289"/>
      <c r="K834" s="289"/>
      <c r="L834" s="289"/>
      <c r="M834" s="289"/>
      <c r="N834" s="289"/>
      <c r="O834" s="289"/>
      <c r="P834" s="352">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8"/>
      <c r="AS834" s="288"/>
    </row>
    <row r="835" spans="1:45">
      <c r="A835" s="290"/>
      <c r="B835" s="290"/>
      <c r="C835" s="290"/>
      <c r="D835" s="290"/>
      <c r="E835" s="290"/>
      <c r="F835" s="290"/>
      <c r="G835" s="290"/>
      <c r="H835" s="289"/>
      <c r="I835" s="289"/>
      <c r="J835" s="289"/>
      <c r="K835" s="289"/>
      <c r="L835" s="289"/>
      <c r="M835" s="289"/>
      <c r="N835" s="289"/>
      <c r="O835" s="289"/>
      <c r="P835" s="352">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8"/>
      <c r="AS835" s="288"/>
    </row>
    <row r="836" spans="1:45">
      <c r="A836" s="290"/>
      <c r="B836" s="290"/>
      <c r="C836" s="290"/>
      <c r="D836" s="290"/>
      <c r="E836" s="290"/>
      <c r="F836" s="290"/>
      <c r="G836" s="290"/>
      <c r="H836" s="289"/>
      <c r="I836" s="289"/>
      <c r="J836" s="289"/>
      <c r="K836" s="289"/>
      <c r="L836" s="289"/>
      <c r="M836" s="289"/>
      <c r="N836" s="289"/>
      <c r="O836" s="289"/>
      <c r="P836" s="352">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8"/>
      <c r="AS836" s="288"/>
    </row>
    <row r="837" spans="1:45">
      <c r="A837" s="290"/>
      <c r="B837" s="290"/>
      <c r="C837" s="290"/>
      <c r="D837" s="290"/>
      <c r="E837" s="290"/>
      <c r="F837" s="290"/>
      <c r="G837" s="290"/>
      <c r="H837" s="289"/>
      <c r="I837" s="289"/>
      <c r="J837" s="289"/>
      <c r="K837" s="289"/>
      <c r="L837" s="289"/>
      <c r="M837" s="289"/>
      <c r="N837" s="289"/>
      <c r="O837" s="289"/>
      <c r="P837" s="352">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8"/>
      <c r="AS837" s="288"/>
    </row>
    <row r="838" spans="1:45">
      <c r="A838" s="290"/>
      <c r="B838" s="290"/>
      <c r="C838" s="290"/>
      <c r="D838" s="290"/>
      <c r="E838" s="290"/>
      <c r="F838" s="290"/>
      <c r="G838" s="290"/>
      <c r="H838" s="289"/>
      <c r="I838" s="289"/>
      <c r="J838" s="289"/>
      <c r="K838" s="289"/>
      <c r="L838" s="289"/>
      <c r="M838" s="289"/>
      <c r="N838" s="289"/>
      <c r="O838" s="289"/>
      <c r="P838" s="352">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8"/>
      <c r="AS838" s="288"/>
    </row>
    <row r="839" spans="1:45">
      <c r="A839" s="290"/>
      <c r="B839" s="290"/>
      <c r="C839" s="290"/>
      <c r="D839" s="290"/>
      <c r="E839" s="290"/>
      <c r="F839" s="290"/>
      <c r="G839" s="290"/>
      <c r="H839" s="289"/>
      <c r="I839" s="289"/>
      <c r="J839" s="289"/>
      <c r="K839" s="289"/>
      <c r="L839" s="289"/>
      <c r="M839" s="289"/>
      <c r="N839" s="289"/>
      <c r="O839" s="289"/>
      <c r="P839" s="352">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8"/>
      <c r="AS839" s="288"/>
    </row>
    <row r="840" spans="1:45">
      <c r="A840" s="290"/>
      <c r="B840" s="290"/>
      <c r="C840" s="290"/>
      <c r="D840" s="290"/>
      <c r="E840" s="290"/>
      <c r="F840" s="290"/>
      <c r="G840" s="290"/>
      <c r="H840" s="289"/>
      <c r="I840" s="289"/>
      <c r="J840" s="289"/>
      <c r="K840" s="289"/>
      <c r="L840" s="289"/>
      <c r="M840" s="289"/>
      <c r="N840" s="289"/>
      <c r="O840" s="289"/>
      <c r="P840" s="352">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8"/>
      <c r="AS840" s="288"/>
    </row>
    <row r="841" spans="1:45">
      <c r="A841" s="290"/>
      <c r="B841" s="290"/>
      <c r="C841" s="290"/>
      <c r="D841" s="290"/>
      <c r="E841" s="290"/>
      <c r="F841" s="290"/>
      <c r="G841" s="290"/>
      <c r="H841" s="289"/>
      <c r="I841" s="289"/>
      <c r="J841" s="289"/>
      <c r="K841" s="289"/>
      <c r="L841" s="289"/>
      <c r="M841" s="289"/>
      <c r="N841" s="289"/>
      <c r="O841" s="289"/>
      <c r="P841" s="352">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8"/>
      <c r="AS841" s="288"/>
    </row>
    <row r="842" spans="1:45">
      <c r="A842" s="290"/>
      <c r="B842" s="290"/>
      <c r="C842" s="290"/>
      <c r="D842" s="290"/>
      <c r="E842" s="290"/>
      <c r="F842" s="290"/>
      <c r="G842" s="290"/>
      <c r="H842" s="289"/>
      <c r="I842" s="289"/>
      <c r="J842" s="289"/>
      <c r="K842" s="289"/>
      <c r="L842" s="289"/>
      <c r="M842" s="289"/>
      <c r="N842" s="289"/>
      <c r="O842" s="289"/>
      <c r="P842" s="352">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8"/>
      <c r="AS842" s="288"/>
    </row>
    <row r="843" spans="1:45">
      <c r="A843" s="290"/>
      <c r="B843" s="290"/>
      <c r="C843" s="290"/>
      <c r="D843" s="290"/>
      <c r="E843" s="290"/>
      <c r="F843" s="290"/>
      <c r="G843" s="290"/>
      <c r="H843" s="289"/>
      <c r="I843" s="289"/>
      <c r="J843" s="289"/>
      <c r="K843" s="289"/>
      <c r="L843" s="289"/>
      <c r="M843" s="289"/>
      <c r="N843" s="289"/>
      <c r="O843" s="289"/>
      <c r="P843" s="352">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8"/>
      <c r="AS843" s="288"/>
    </row>
    <row r="844" spans="1:45">
      <c r="A844" s="290"/>
      <c r="B844" s="290"/>
      <c r="C844" s="290"/>
      <c r="D844" s="290"/>
      <c r="E844" s="290"/>
      <c r="F844" s="290"/>
      <c r="G844" s="290"/>
      <c r="H844" s="289"/>
      <c r="I844" s="289"/>
      <c r="J844" s="289"/>
      <c r="K844" s="289"/>
      <c r="L844" s="289"/>
      <c r="M844" s="289"/>
      <c r="N844" s="289"/>
      <c r="O844" s="289"/>
      <c r="P844" s="352">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8"/>
      <c r="AS844" s="288"/>
    </row>
    <row r="845" spans="1:45">
      <c r="A845" s="290"/>
      <c r="B845" s="290"/>
      <c r="C845" s="290"/>
      <c r="D845" s="290"/>
      <c r="E845" s="290"/>
      <c r="F845" s="290"/>
      <c r="G845" s="290"/>
      <c r="H845" s="289"/>
      <c r="I845" s="289"/>
      <c r="J845" s="289"/>
      <c r="K845" s="289"/>
      <c r="L845" s="289"/>
      <c r="M845" s="289"/>
      <c r="N845" s="289"/>
      <c r="O845" s="289"/>
      <c r="P845" s="352">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8"/>
      <c r="AS845" s="288"/>
    </row>
    <row r="846" spans="1:45">
      <c r="A846" s="290"/>
      <c r="B846" s="290"/>
      <c r="C846" s="290"/>
      <c r="D846" s="290"/>
      <c r="E846" s="290"/>
      <c r="F846" s="290"/>
      <c r="G846" s="290"/>
      <c r="H846" s="289"/>
      <c r="I846" s="289"/>
      <c r="J846" s="289"/>
      <c r="K846" s="289"/>
      <c r="L846" s="289"/>
      <c r="M846" s="289"/>
      <c r="N846" s="289"/>
      <c r="O846" s="289"/>
      <c r="P846" s="352">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8"/>
      <c r="AS846" s="288"/>
    </row>
    <row r="847" spans="1:45">
      <c r="A847" s="290"/>
      <c r="B847" s="290"/>
      <c r="C847" s="290"/>
      <c r="D847" s="290"/>
      <c r="E847" s="290"/>
      <c r="F847" s="290"/>
      <c r="G847" s="290"/>
      <c r="H847" s="289"/>
      <c r="I847" s="289"/>
      <c r="J847" s="289"/>
      <c r="K847" s="289"/>
      <c r="L847" s="289"/>
      <c r="M847" s="289"/>
      <c r="N847" s="289"/>
      <c r="O847" s="289"/>
      <c r="P847" s="352">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8"/>
      <c r="AS847" s="288"/>
    </row>
    <row r="848" spans="1:45">
      <c r="A848" s="290"/>
      <c r="B848" s="290"/>
      <c r="C848" s="290"/>
      <c r="D848" s="290"/>
      <c r="E848" s="290"/>
      <c r="F848" s="290"/>
      <c r="G848" s="290"/>
      <c r="H848" s="289"/>
      <c r="I848" s="289"/>
      <c r="J848" s="289"/>
      <c r="K848" s="289"/>
      <c r="L848" s="289"/>
      <c r="M848" s="289"/>
      <c r="N848" s="289"/>
      <c r="O848" s="289"/>
      <c r="P848" s="352">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8"/>
      <c r="AS848" s="288"/>
    </row>
    <row r="849" spans="1:45">
      <c r="A849" s="290"/>
      <c r="B849" s="290"/>
      <c r="C849" s="290"/>
      <c r="D849" s="290"/>
      <c r="E849" s="290"/>
      <c r="F849" s="290"/>
      <c r="G849" s="290"/>
      <c r="H849" s="289"/>
      <c r="I849" s="289"/>
      <c r="J849" s="289"/>
      <c r="K849" s="289"/>
      <c r="L849" s="289"/>
      <c r="M849" s="289"/>
      <c r="N849" s="289"/>
      <c r="O849" s="289"/>
      <c r="P849" s="352">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8"/>
      <c r="AS849" s="288"/>
    </row>
    <row r="850" spans="1:45">
      <c r="A850" s="290"/>
      <c r="B850" s="290"/>
      <c r="C850" s="290"/>
      <c r="D850" s="290"/>
      <c r="E850" s="290"/>
      <c r="F850" s="290"/>
      <c r="G850" s="290"/>
      <c r="H850" s="289"/>
      <c r="I850" s="289"/>
      <c r="J850" s="289"/>
      <c r="K850" s="289"/>
      <c r="L850" s="289"/>
      <c r="M850" s="289"/>
      <c r="N850" s="289"/>
      <c r="O850" s="289"/>
      <c r="P850" s="352">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8"/>
      <c r="AS850" s="288"/>
    </row>
    <row r="851" spans="1:45">
      <c r="A851" s="290"/>
      <c r="B851" s="290"/>
      <c r="C851" s="290"/>
      <c r="D851" s="290"/>
      <c r="E851" s="290"/>
      <c r="F851" s="290"/>
      <c r="G851" s="290"/>
      <c r="H851" s="289"/>
      <c r="I851" s="289"/>
      <c r="J851" s="289"/>
      <c r="K851" s="289"/>
      <c r="L851" s="289"/>
      <c r="M851" s="289"/>
      <c r="N851" s="289"/>
      <c r="O851" s="289"/>
      <c r="P851" s="352">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8"/>
      <c r="AS851" s="288"/>
    </row>
    <row r="852" spans="1:45">
      <c r="A852" s="290"/>
      <c r="B852" s="290"/>
      <c r="C852" s="290"/>
      <c r="D852" s="290"/>
      <c r="E852" s="290"/>
      <c r="F852" s="290"/>
      <c r="G852" s="290"/>
      <c r="H852" s="289"/>
      <c r="I852" s="289"/>
      <c r="J852" s="289"/>
      <c r="K852" s="289"/>
      <c r="L852" s="289"/>
      <c r="M852" s="289"/>
      <c r="N852" s="289"/>
      <c r="O852" s="289"/>
      <c r="P852" s="352">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8"/>
      <c r="AS852" s="288"/>
    </row>
    <row r="853" spans="1:45">
      <c r="A853" s="290"/>
      <c r="B853" s="290"/>
      <c r="C853" s="290"/>
      <c r="D853" s="290"/>
      <c r="E853" s="290"/>
      <c r="F853" s="290"/>
      <c r="G853" s="290"/>
      <c r="H853" s="289"/>
      <c r="I853" s="289"/>
      <c r="J853" s="289"/>
      <c r="K853" s="289"/>
      <c r="L853" s="289"/>
      <c r="M853" s="289"/>
      <c r="N853" s="289"/>
      <c r="O853" s="289"/>
      <c r="P853" s="352">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8"/>
      <c r="AS853" s="288"/>
    </row>
    <row r="854" spans="1:45">
      <c r="A854" s="290"/>
      <c r="B854" s="290"/>
      <c r="C854" s="290"/>
      <c r="D854" s="290"/>
      <c r="E854" s="290"/>
      <c r="F854" s="290"/>
      <c r="G854" s="290"/>
      <c r="H854" s="289"/>
      <c r="I854" s="289"/>
      <c r="J854" s="289"/>
      <c r="K854" s="289"/>
      <c r="L854" s="289"/>
      <c r="M854" s="289"/>
      <c r="N854" s="289"/>
      <c r="O854" s="289"/>
      <c r="P854" s="352">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8"/>
      <c r="AS854" s="288"/>
    </row>
    <row r="855" spans="1:45">
      <c r="A855" s="290"/>
      <c r="B855" s="290"/>
      <c r="C855" s="290"/>
      <c r="D855" s="290"/>
      <c r="E855" s="290"/>
      <c r="F855" s="290"/>
      <c r="G855" s="290"/>
      <c r="H855" s="289"/>
      <c r="I855" s="289"/>
      <c r="J855" s="289"/>
      <c r="K855" s="289"/>
      <c r="L855" s="289"/>
      <c r="M855" s="289"/>
      <c r="N855" s="289"/>
      <c r="O855" s="289"/>
      <c r="P855" s="352">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8"/>
      <c r="AS855" s="288"/>
    </row>
    <row r="856" spans="1:45">
      <c r="A856" s="290"/>
      <c r="B856" s="290"/>
      <c r="C856" s="290"/>
      <c r="D856" s="290"/>
      <c r="E856" s="290"/>
      <c r="F856" s="290"/>
      <c r="G856" s="290"/>
      <c r="H856" s="289"/>
      <c r="I856" s="289"/>
      <c r="J856" s="289"/>
      <c r="K856" s="289"/>
      <c r="L856" s="289"/>
      <c r="M856" s="289"/>
      <c r="N856" s="289"/>
      <c r="O856" s="289"/>
      <c r="P856" s="352">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8"/>
      <c r="AS856" s="288"/>
    </row>
    <row r="857" spans="1:45">
      <c r="A857" s="290"/>
      <c r="B857" s="290"/>
      <c r="C857" s="290"/>
      <c r="D857" s="290"/>
      <c r="E857" s="290"/>
      <c r="F857" s="290"/>
      <c r="G857" s="290"/>
      <c r="H857" s="289"/>
      <c r="I857" s="289"/>
      <c r="J857" s="289"/>
      <c r="K857" s="289"/>
      <c r="L857" s="289"/>
      <c r="M857" s="289"/>
      <c r="N857" s="289"/>
      <c r="O857" s="289"/>
      <c r="P857" s="352">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8"/>
      <c r="AS857" s="288"/>
    </row>
    <row r="858" spans="1:45">
      <c r="A858" s="290"/>
      <c r="B858" s="290"/>
      <c r="C858" s="290"/>
      <c r="D858" s="290"/>
      <c r="E858" s="290"/>
      <c r="F858" s="290"/>
      <c r="G858" s="290"/>
      <c r="H858" s="289"/>
      <c r="I858" s="289"/>
      <c r="J858" s="289"/>
      <c r="K858" s="289"/>
      <c r="L858" s="289"/>
      <c r="M858" s="289"/>
      <c r="N858" s="289"/>
      <c r="O858" s="289"/>
      <c r="P858" s="352">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8"/>
      <c r="AS858" s="288"/>
    </row>
    <row r="859" spans="1:45">
      <c r="A859" s="290"/>
      <c r="B859" s="290"/>
      <c r="C859" s="290"/>
      <c r="D859" s="290"/>
      <c r="E859" s="290"/>
      <c r="F859" s="290"/>
      <c r="G859" s="290"/>
      <c r="H859" s="289"/>
      <c r="I859" s="289"/>
      <c r="J859" s="289"/>
      <c r="K859" s="289"/>
      <c r="L859" s="289"/>
      <c r="M859" s="289"/>
      <c r="N859" s="289"/>
      <c r="O859" s="289"/>
      <c r="P859" s="352">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8"/>
      <c r="AS859" s="288"/>
    </row>
    <row r="860" spans="1:45">
      <c r="A860" s="290"/>
      <c r="B860" s="290"/>
      <c r="C860" s="290"/>
      <c r="D860" s="290"/>
      <c r="E860" s="290"/>
      <c r="F860" s="290"/>
      <c r="G860" s="290"/>
      <c r="H860" s="289"/>
      <c r="I860" s="289"/>
      <c r="J860" s="289"/>
      <c r="K860" s="289"/>
      <c r="L860" s="289"/>
      <c r="M860" s="289"/>
      <c r="N860" s="289"/>
      <c r="O860" s="289"/>
      <c r="P860" s="352">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8"/>
      <c r="AS860" s="288"/>
    </row>
    <row r="861" spans="1:45">
      <c r="A861" s="290"/>
      <c r="B861" s="290"/>
      <c r="C861" s="290"/>
      <c r="D861" s="290"/>
      <c r="E861" s="290"/>
      <c r="F861" s="290"/>
      <c r="G861" s="290"/>
      <c r="H861" s="289"/>
      <c r="I861" s="289"/>
      <c r="J861" s="289"/>
      <c r="K861" s="289"/>
      <c r="L861" s="289"/>
      <c r="M861" s="289"/>
      <c r="N861" s="289"/>
      <c r="O861" s="289"/>
      <c r="P861" s="352">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8"/>
      <c r="AS861" s="288"/>
    </row>
    <row r="862" spans="1:45">
      <c r="A862" s="290"/>
      <c r="B862" s="290"/>
      <c r="C862" s="290"/>
      <c r="D862" s="290"/>
      <c r="E862" s="290"/>
      <c r="F862" s="290"/>
      <c r="G862" s="290"/>
      <c r="H862" s="289"/>
      <c r="I862" s="289"/>
      <c r="J862" s="289"/>
      <c r="K862" s="289"/>
      <c r="L862" s="289"/>
      <c r="M862" s="289"/>
      <c r="N862" s="289"/>
      <c r="O862" s="289"/>
      <c r="P862" s="352">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8"/>
      <c r="AS862" s="288"/>
    </row>
    <row r="863" spans="1:45">
      <c r="A863" s="290"/>
      <c r="B863" s="290"/>
      <c r="C863" s="290"/>
      <c r="D863" s="290"/>
      <c r="E863" s="290"/>
      <c r="F863" s="290"/>
      <c r="G863" s="290"/>
      <c r="H863" s="289"/>
      <c r="I863" s="289"/>
      <c r="J863" s="289"/>
      <c r="K863" s="289"/>
      <c r="L863" s="289"/>
      <c r="M863" s="289"/>
      <c r="N863" s="289"/>
      <c r="O863" s="289"/>
      <c r="P863" s="352">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8"/>
      <c r="AS863" s="288"/>
    </row>
    <row r="864" spans="1:45">
      <c r="A864" s="290"/>
      <c r="B864" s="290"/>
      <c r="C864" s="290"/>
      <c r="D864" s="290"/>
      <c r="E864" s="290"/>
      <c r="F864" s="290"/>
      <c r="G864" s="290"/>
      <c r="H864" s="289"/>
      <c r="I864" s="289"/>
      <c r="J864" s="289"/>
      <c r="K864" s="289"/>
      <c r="L864" s="289"/>
      <c r="M864" s="289"/>
      <c r="N864" s="289"/>
      <c r="O864" s="289"/>
      <c r="P864" s="352">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8"/>
      <c r="AS864" s="288"/>
    </row>
    <row r="865" spans="1:45">
      <c r="A865" s="290"/>
      <c r="B865" s="290"/>
      <c r="C865" s="290"/>
      <c r="D865" s="290"/>
      <c r="E865" s="290"/>
      <c r="F865" s="290"/>
      <c r="G865" s="290"/>
      <c r="H865" s="289"/>
      <c r="I865" s="289"/>
      <c r="J865" s="289"/>
      <c r="K865" s="289"/>
      <c r="L865" s="289"/>
      <c r="M865" s="289"/>
      <c r="N865" s="289"/>
      <c r="O865" s="289"/>
      <c r="P865" s="352">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8"/>
      <c r="AS865" s="288"/>
    </row>
    <row r="866" spans="1:45">
      <c r="A866" s="290"/>
      <c r="B866" s="290"/>
      <c r="C866" s="290"/>
      <c r="D866" s="290"/>
      <c r="E866" s="290"/>
      <c r="F866" s="290"/>
      <c r="G866" s="290"/>
      <c r="H866" s="289"/>
      <c r="I866" s="289"/>
      <c r="J866" s="289"/>
      <c r="K866" s="289"/>
      <c r="L866" s="289"/>
      <c r="M866" s="289"/>
      <c r="N866" s="289"/>
      <c r="O866" s="289"/>
      <c r="P866" s="352">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8"/>
      <c r="AS866" s="288"/>
    </row>
    <row r="867" spans="1:45">
      <c r="A867" s="290"/>
      <c r="B867" s="290"/>
      <c r="C867" s="290"/>
      <c r="D867" s="290"/>
      <c r="E867" s="290"/>
      <c r="F867" s="290"/>
      <c r="G867" s="290"/>
      <c r="H867" s="289"/>
      <c r="I867" s="289"/>
      <c r="J867" s="289"/>
      <c r="K867" s="289"/>
      <c r="L867" s="289"/>
      <c r="M867" s="289"/>
      <c r="N867" s="289"/>
      <c r="O867" s="289"/>
      <c r="P867" s="352">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8"/>
      <c r="AS867" s="288"/>
    </row>
    <row r="868" spans="1:45">
      <c r="A868" s="290"/>
      <c r="B868" s="290"/>
      <c r="C868" s="290"/>
      <c r="D868" s="290"/>
      <c r="E868" s="290"/>
      <c r="F868" s="290"/>
      <c r="G868" s="290"/>
      <c r="H868" s="289"/>
      <c r="I868" s="289"/>
      <c r="J868" s="289"/>
      <c r="K868" s="289"/>
      <c r="L868" s="289"/>
      <c r="M868" s="289"/>
      <c r="N868" s="289"/>
      <c r="O868" s="289"/>
      <c r="P868" s="352">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8"/>
      <c r="AS868" s="288"/>
    </row>
    <row r="869" spans="1:45">
      <c r="A869" s="290"/>
      <c r="B869" s="290"/>
      <c r="C869" s="290"/>
      <c r="D869" s="290"/>
      <c r="E869" s="290"/>
      <c r="F869" s="290"/>
      <c r="G869" s="290"/>
      <c r="H869" s="289"/>
      <c r="I869" s="289"/>
      <c r="J869" s="289"/>
      <c r="K869" s="289"/>
      <c r="L869" s="289"/>
      <c r="M869" s="289"/>
      <c r="N869" s="289"/>
      <c r="O869" s="289"/>
      <c r="P869" s="352">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8"/>
      <c r="AS869" s="288"/>
    </row>
    <row r="870" spans="1:45">
      <c r="A870" s="290"/>
      <c r="B870" s="290"/>
      <c r="C870" s="290"/>
      <c r="D870" s="290"/>
      <c r="E870" s="290"/>
      <c r="F870" s="290"/>
      <c r="G870" s="290"/>
      <c r="H870" s="289"/>
      <c r="I870" s="289"/>
      <c r="J870" s="289"/>
      <c r="K870" s="289"/>
      <c r="L870" s="289"/>
      <c r="M870" s="289"/>
      <c r="N870" s="289"/>
      <c r="O870" s="289"/>
      <c r="P870" s="352">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8"/>
      <c r="AS870" s="288"/>
    </row>
    <row r="871" spans="1:45">
      <c r="A871" s="290"/>
      <c r="B871" s="290"/>
      <c r="C871" s="290"/>
      <c r="D871" s="290"/>
      <c r="E871" s="290"/>
      <c r="F871" s="290"/>
      <c r="G871" s="290"/>
      <c r="H871" s="289"/>
      <c r="I871" s="289"/>
      <c r="J871" s="289"/>
      <c r="K871" s="289"/>
      <c r="L871" s="289"/>
      <c r="M871" s="289"/>
      <c r="N871" s="289"/>
      <c r="O871" s="289"/>
      <c r="P871" s="352">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8"/>
      <c r="AS871" s="288"/>
    </row>
    <row r="872" spans="1:45">
      <c r="A872" s="290"/>
      <c r="B872" s="290"/>
      <c r="C872" s="290"/>
      <c r="D872" s="290"/>
      <c r="E872" s="290"/>
      <c r="F872" s="290"/>
      <c r="G872" s="290"/>
      <c r="H872" s="289"/>
      <c r="I872" s="289"/>
      <c r="J872" s="289"/>
      <c r="K872" s="289"/>
      <c r="L872" s="289"/>
      <c r="M872" s="289"/>
      <c r="N872" s="289"/>
      <c r="O872" s="289"/>
      <c r="P872" s="352">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8"/>
      <c r="AS872" s="288"/>
    </row>
    <row r="873" spans="1:45">
      <c r="A873" s="290"/>
      <c r="B873" s="290"/>
      <c r="C873" s="290"/>
      <c r="D873" s="290"/>
      <c r="E873" s="290"/>
      <c r="F873" s="290"/>
      <c r="G873" s="290"/>
      <c r="H873" s="289"/>
      <c r="I873" s="289"/>
      <c r="J873" s="289"/>
      <c r="K873" s="289"/>
      <c r="L873" s="289"/>
      <c r="M873" s="289"/>
      <c r="N873" s="289"/>
      <c r="O873" s="289"/>
      <c r="P873" s="352">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8"/>
      <c r="AS873" s="288"/>
    </row>
    <row r="874" spans="1:45">
      <c r="A874" s="290"/>
      <c r="B874" s="290"/>
      <c r="C874" s="290"/>
      <c r="D874" s="290"/>
      <c r="E874" s="290"/>
      <c r="F874" s="290"/>
      <c r="G874" s="290"/>
      <c r="H874" s="289"/>
      <c r="I874" s="289"/>
      <c r="J874" s="289"/>
      <c r="K874" s="289"/>
      <c r="L874" s="289"/>
      <c r="M874" s="289"/>
      <c r="N874" s="289"/>
      <c r="O874" s="289"/>
      <c r="P874" s="352">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8"/>
      <c r="AS874" s="288"/>
    </row>
    <row r="875" spans="1:45">
      <c r="A875" s="290"/>
      <c r="B875" s="290"/>
      <c r="C875" s="290"/>
      <c r="D875" s="290"/>
      <c r="E875" s="290"/>
      <c r="F875" s="290"/>
      <c r="G875" s="290"/>
      <c r="H875" s="289"/>
      <c r="I875" s="289"/>
      <c r="J875" s="289"/>
      <c r="K875" s="289"/>
      <c r="L875" s="289"/>
      <c r="M875" s="289"/>
      <c r="N875" s="289"/>
      <c r="O875" s="289"/>
      <c r="P875" s="352">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8"/>
      <c r="AS875" s="288"/>
    </row>
    <row r="876" spans="1:45">
      <c r="A876" s="290"/>
      <c r="B876" s="290"/>
      <c r="C876" s="290"/>
      <c r="D876" s="290"/>
      <c r="E876" s="290"/>
      <c r="F876" s="290"/>
      <c r="G876" s="290"/>
      <c r="H876" s="289"/>
      <c r="I876" s="289"/>
      <c r="J876" s="289"/>
      <c r="K876" s="289"/>
      <c r="L876" s="289"/>
      <c r="M876" s="289"/>
      <c r="N876" s="289"/>
      <c r="O876" s="289"/>
      <c r="P876" s="352">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8"/>
      <c r="AS876" s="288"/>
    </row>
    <row r="877" spans="1:45">
      <c r="A877" s="290"/>
      <c r="B877" s="290"/>
      <c r="C877" s="290"/>
      <c r="D877" s="290"/>
      <c r="E877" s="290"/>
      <c r="F877" s="290"/>
      <c r="G877" s="290"/>
      <c r="H877" s="289"/>
      <c r="I877" s="289"/>
      <c r="J877" s="289"/>
      <c r="K877" s="289"/>
      <c r="L877" s="289"/>
      <c r="M877" s="289"/>
      <c r="N877" s="289"/>
      <c r="O877" s="289"/>
      <c r="P877" s="352">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8"/>
      <c r="AS877" s="288"/>
    </row>
    <row r="878" spans="1:45">
      <c r="A878" s="290"/>
      <c r="B878" s="290"/>
      <c r="C878" s="290"/>
      <c r="D878" s="290"/>
      <c r="E878" s="290"/>
      <c r="F878" s="290"/>
      <c r="G878" s="290"/>
      <c r="H878" s="289"/>
      <c r="I878" s="289"/>
      <c r="J878" s="289"/>
      <c r="K878" s="289"/>
      <c r="L878" s="289"/>
      <c r="M878" s="289"/>
      <c r="N878" s="289"/>
      <c r="O878" s="289"/>
      <c r="P878" s="352">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8"/>
      <c r="AS878" s="288"/>
    </row>
    <row r="879" spans="1:45">
      <c r="A879" s="290"/>
      <c r="B879" s="290"/>
      <c r="C879" s="290"/>
      <c r="D879" s="290"/>
      <c r="E879" s="290"/>
      <c r="F879" s="290"/>
      <c r="G879" s="290"/>
      <c r="H879" s="289"/>
      <c r="I879" s="289"/>
      <c r="J879" s="289"/>
      <c r="K879" s="289"/>
      <c r="L879" s="289"/>
      <c r="M879" s="289"/>
      <c r="N879" s="289"/>
      <c r="O879" s="289"/>
      <c r="P879" s="352">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8"/>
      <c r="AS879" s="288"/>
    </row>
    <row r="880" spans="1:45">
      <c r="A880" s="290"/>
      <c r="B880" s="290"/>
      <c r="C880" s="290"/>
      <c r="D880" s="290"/>
      <c r="E880" s="290"/>
      <c r="F880" s="290"/>
      <c r="G880" s="290"/>
      <c r="H880" s="289"/>
      <c r="I880" s="289"/>
      <c r="J880" s="289"/>
      <c r="K880" s="289"/>
      <c r="L880" s="289"/>
      <c r="M880" s="289"/>
      <c r="N880" s="289"/>
      <c r="O880" s="289"/>
      <c r="P880" s="352">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8"/>
      <c r="AS880" s="288"/>
    </row>
    <row r="881" spans="1:45">
      <c r="A881" s="290"/>
      <c r="B881" s="290"/>
      <c r="C881" s="290"/>
      <c r="D881" s="290"/>
      <c r="E881" s="290"/>
      <c r="F881" s="290"/>
      <c r="G881" s="290"/>
      <c r="H881" s="289"/>
      <c r="I881" s="289"/>
      <c r="J881" s="289"/>
      <c r="K881" s="289"/>
      <c r="L881" s="289"/>
      <c r="M881" s="289"/>
      <c r="N881" s="289"/>
      <c r="O881" s="289"/>
      <c r="P881" s="352">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8"/>
      <c r="AS881" s="288"/>
    </row>
    <row r="882" spans="1:45">
      <c r="A882" s="290"/>
      <c r="B882" s="290"/>
      <c r="C882" s="290"/>
      <c r="D882" s="290"/>
      <c r="E882" s="290"/>
      <c r="F882" s="290"/>
      <c r="G882" s="290"/>
      <c r="H882" s="289"/>
      <c r="I882" s="289"/>
      <c r="J882" s="289"/>
      <c r="K882" s="289"/>
      <c r="L882" s="289"/>
      <c r="M882" s="289"/>
      <c r="N882" s="289"/>
      <c r="O882" s="289"/>
      <c r="P882" s="352">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8"/>
      <c r="AS882" s="288"/>
    </row>
    <row r="883" spans="1:45">
      <c r="A883" s="290"/>
      <c r="B883" s="290"/>
      <c r="C883" s="290"/>
      <c r="D883" s="290"/>
      <c r="E883" s="290"/>
      <c r="F883" s="290"/>
      <c r="G883" s="290"/>
      <c r="H883" s="289"/>
      <c r="I883" s="289"/>
      <c r="J883" s="289"/>
      <c r="K883" s="289"/>
      <c r="L883" s="289"/>
      <c r="M883" s="289"/>
      <c r="N883" s="289"/>
      <c r="O883" s="289"/>
      <c r="P883" s="352">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8"/>
      <c r="AS883" s="288"/>
    </row>
    <row r="884" spans="1:45">
      <c r="A884" s="290"/>
      <c r="B884" s="290"/>
      <c r="C884" s="290"/>
      <c r="D884" s="290"/>
      <c r="E884" s="290"/>
      <c r="F884" s="290"/>
      <c r="G884" s="290"/>
      <c r="H884" s="289"/>
      <c r="I884" s="289"/>
      <c r="J884" s="289"/>
      <c r="K884" s="289"/>
      <c r="L884" s="289"/>
      <c r="M884" s="289"/>
      <c r="N884" s="289"/>
      <c r="O884" s="289"/>
      <c r="P884" s="352">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8"/>
      <c r="AS884" s="288"/>
    </row>
    <row r="885" spans="1:45">
      <c r="A885" s="290"/>
      <c r="B885" s="290"/>
      <c r="C885" s="290"/>
      <c r="D885" s="290"/>
      <c r="E885" s="290"/>
      <c r="F885" s="290"/>
      <c r="G885" s="290"/>
      <c r="H885" s="289"/>
      <c r="I885" s="289"/>
      <c r="J885" s="289"/>
      <c r="K885" s="289"/>
      <c r="L885" s="289"/>
      <c r="M885" s="289"/>
      <c r="N885" s="289"/>
      <c r="O885" s="289"/>
      <c r="P885" s="352">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8"/>
      <c r="AS885" s="288"/>
    </row>
    <row r="886" spans="1:45">
      <c r="A886" s="290"/>
      <c r="B886" s="290"/>
      <c r="C886" s="290"/>
      <c r="D886" s="290"/>
      <c r="E886" s="290"/>
      <c r="F886" s="290"/>
      <c r="G886" s="290"/>
      <c r="H886" s="289"/>
      <c r="I886" s="289"/>
      <c r="J886" s="289"/>
      <c r="K886" s="289"/>
      <c r="L886" s="289"/>
      <c r="M886" s="289"/>
      <c r="N886" s="289"/>
      <c r="O886" s="289"/>
      <c r="P886" s="352">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8"/>
      <c r="AS886" s="288"/>
    </row>
    <row r="887" spans="1:45">
      <c r="A887" s="290"/>
      <c r="B887" s="290"/>
      <c r="C887" s="290"/>
      <c r="D887" s="290"/>
      <c r="E887" s="290"/>
      <c r="F887" s="290"/>
      <c r="G887" s="290"/>
      <c r="H887" s="289"/>
      <c r="I887" s="289"/>
      <c r="J887" s="289"/>
      <c r="K887" s="289"/>
      <c r="L887" s="289"/>
      <c r="M887" s="289"/>
      <c r="N887" s="289"/>
      <c r="O887" s="289"/>
      <c r="P887" s="352">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8"/>
      <c r="AS887" s="288"/>
    </row>
    <row r="888" spans="1:45">
      <c r="A888" s="290"/>
      <c r="B888" s="290"/>
      <c r="C888" s="290"/>
      <c r="D888" s="290"/>
      <c r="E888" s="290"/>
      <c r="F888" s="290"/>
      <c r="G888" s="290"/>
      <c r="H888" s="289"/>
      <c r="I888" s="289"/>
      <c r="J888" s="289"/>
      <c r="K888" s="289"/>
      <c r="L888" s="289"/>
      <c r="M888" s="289"/>
      <c r="N888" s="289"/>
      <c r="O888" s="289"/>
      <c r="P888" s="352">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8"/>
      <c r="AS888" s="288"/>
    </row>
    <row r="889" spans="1:45">
      <c r="A889" s="290"/>
      <c r="B889" s="290"/>
      <c r="C889" s="290"/>
      <c r="D889" s="290"/>
      <c r="E889" s="290"/>
      <c r="F889" s="290"/>
      <c r="G889" s="290"/>
      <c r="H889" s="289"/>
      <c r="I889" s="289"/>
      <c r="J889" s="289"/>
      <c r="K889" s="289"/>
      <c r="L889" s="289"/>
      <c r="M889" s="289"/>
      <c r="N889" s="289"/>
      <c r="O889" s="289"/>
      <c r="P889" s="352">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8"/>
      <c r="AS889" s="288"/>
    </row>
    <row r="890" spans="1:45">
      <c r="A890" s="290"/>
      <c r="B890" s="290"/>
      <c r="C890" s="290"/>
      <c r="D890" s="290"/>
      <c r="E890" s="290"/>
      <c r="F890" s="290"/>
      <c r="G890" s="290"/>
      <c r="H890" s="289"/>
      <c r="I890" s="289"/>
      <c r="J890" s="289"/>
      <c r="K890" s="289"/>
      <c r="L890" s="289"/>
      <c r="M890" s="289"/>
      <c r="N890" s="289"/>
      <c r="O890" s="289"/>
      <c r="P890" s="352">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8"/>
      <c r="AS890" s="288"/>
    </row>
    <row r="891" spans="1:45">
      <c r="A891" s="290"/>
      <c r="B891" s="290"/>
      <c r="C891" s="290"/>
      <c r="D891" s="290"/>
      <c r="E891" s="290"/>
      <c r="F891" s="290"/>
      <c r="G891" s="290"/>
      <c r="H891" s="289"/>
      <c r="I891" s="289"/>
      <c r="J891" s="289"/>
      <c r="K891" s="289"/>
      <c r="L891" s="289"/>
      <c r="M891" s="289"/>
      <c r="N891" s="289"/>
      <c r="O891" s="289"/>
      <c r="P891" s="352">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8"/>
      <c r="AS891" s="288"/>
    </row>
    <row r="892" spans="1:45">
      <c r="A892" s="290"/>
      <c r="B892" s="290"/>
      <c r="C892" s="290"/>
      <c r="D892" s="290"/>
      <c r="E892" s="290"/>
      <c r="F892" s="290"/>
      <c r="G892" s="290"/>
      <c r="H892" s="289"/>
      <c r="I892" s="289"/>
      <c r="J892" s="289"/>
      <c r="K892" s="289"/>
      <c r="L892" s="289"/>
      <c r="M892" s="289"/>
      <c r="N892" s="289"/>
      <c r="O892" s="289"/>
      <c r="P892" s="352">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8"/>
      <c r="AS892" s="288"/>
    </row>
    <row r="893" spans="1:45">
      <c r="A893" s="290"/>
      <c r="B893" s="290"/>
      <c r="C893" s="290"/>
      <c r="D893" s="290"/>
      <c r="E893" s="290"/>
      <c r="F893" s="290"/>
      <c r="G893" s="290"/>
      <c r="H893" s="289"/>
      <c r="I893" s="289"/>
      <c r="J893" s="289"/>
      <c r="K893" s="289"/>
      <c r="L893" s="289"/>
      <c r="M893" s="289"/>
      <c r="N893" s="289"/>
      <c r="O893" s="289"/>
      <c r="P893" s="352">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8"/>
      <c r="AS893" s="288"/>
    </row>
    <row r="894" spans="1:45">
      <c r="A894" s="290"/>
      <c r="B894" s="290"/>
      <c r="C894" s="290"/>
      <c r="D894" s="290"/>
      <c r="E894" s="290"/>
      <c r="F894" s="290"/>
      <c r="G894" s="290"/>
      <c r="H894" s="289"/>
      <c r="I894" s="289"/>
      <c r="J894" s="289"/>
      <c r="K894" s="289"/>
      <c r="L894" s="289"/>
      <c r="M894" s="289"/>
      <c r="N894" s="289"/>
      <c r="O894" s="289"/>
      <c r="P894" s="352">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8"/>
      <c r="AS894" s="288"/>
    </row>
    <row r="895" spans="1:45">
      <c r="A895" s="290"/>
      <c r="B895" s="290"/>
      <c r="C895" s="290"/>
      <c r="D895" s="290"/>
      <c r="E895" s="290"/>
      <c r="F895" s="290"/>
      <c r="G895" s="290"/>
      <c r="H895" s="289"/>
      <c r="I895" s="289"/>
      <c r="J895" s="289"/>
      <c r="K895" s="289"/>
      <c r="L895" s="289"/>
      <c r="M895" s="289"/>
      <c r="N895" s="289"/>
      <c r="O895" s="289"/>
      <c r="P895" s="352">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8"/>
      <c r="AS895" s="288"/>
    </row>
    <row r="896" spans="1:45">
      <c r="A896" s="290"/>
      <c r="B896" s="290"/>
      <c r="C896" s="290"/>
      <c r="D896" s="290"/>
      <c r="E896" s="290"/>
      <c r="F896" s="290"/>
      <c r="G896" s="290"/>
      <c r="H896" s="289"/>
      <c r="I896" s="289"/>
      <c r="J896" s="289"/>
      <c r="K896" s="289"/>
      <c r="L896" s="289"/>
      <c r="M896" s="289"/>
      <c r="N896" s="289"/>
      <c r="O896" s="289"/>
      <c r="P896" s="352">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8"/>
      <c r="AS896" s="288"/>
    </row>
    <row r="897" spans="1:45">
      <c r="A897" s="290"/>
      <c r="B897" s="290"/>
      <c r="C897" s="290"/>
      <c r="D897" s="290"/>
      <c r="E897" s="290"/>
      <c r="F897" s="290"/>
      <c r="G897" s="290"/>
      <c r="H897" s="289"/>
      <c r="I897" s="289"/>
      <c r="J897" s="289"/>
      <c r="K897" s="289"/>
      <c r="L897" s="289"/>
      <c r="M897" s="289"/>
      <c r="N897" s="289"/>
      <c r="O897" s="289"/>
      <c r="P897" s="352">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8"/>
      <c r="AS897" s="288"/>
    </row>
    <row r="898" spans="1:45">
      <c r="A898" s="290"/>
      <c r="B898" s="290"/>
      <c r="C898" s="290"/>
      <c r="D898" s="290"/>
      <c r="E898" s="290"/>
      <c r="F898" s="290"/>
      <c r="G898" s="290"/>
      <c r="H898" s="289"/>
      <c r="I898" s="289"/>
      <c r="J898" s="289"/>
      <c r="K898" s="289"/>
      <c r="L898" s="289"/>
      <c r="M898" s="289"/>
      <c r="N898" s="289"/>
      <c r="O898" s="289"/>
      <c r="P898" s="352">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8"/>
      <c r="AS898" s="288"/>
    </row>
    <row r="899" spans="1:45">
      <c r="A899" s="290"/>
      <c r="B899" s="290"/>
      <c r="C899" s="290"/>
      <c r="D899" s="290"/>
      <c r="E899" s="290"/>
      <c r="F899" s="290"/>
      <c r="G899" s="290"/>
      <c r="H899" s="289"/>
      <c r="I899" s="289"/>
      <c r="J899" s="289"/>
      <c r="K899" s="289"/>
      <c r="L899" s="289"/>
      <c r="M899" s="289"/>
      <c r="N899" s="289"/>
      <c r="O899" s="289"/>
      <c r="P899" s="352">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8"/>
      <c r="AS899" s="288"/>
    </row>
    <row r="900" spans="1:45">
      <c r="A900" s="290"/>
      <c r="B900" s="290"/>
      <c r="C900" s="290"/>
      <c r="D900" s="290"/>
      <c r="E900" s="290"/>
      <c r="F900" s="290"/>
      <c r="G900" s="290"/>
      <c r="H900" s="289"/>
      <c r="I900" s="289"/>
      <c r="J900" s="289"/>
      <c r="K900" s="289"/>
      <c r="L900" s="289"/>
      <c r="M900" s="289"/>
      <c r="N900" s="289"/>
      <c r="O900" s="289"/>
      <c r="P900" s="352">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8"/>
      <c r="AS900" s="288"/>
    </row>
    <row r="901" spans="1:45">
      <c r="A901" s="290"/>
      <c r="B901" s="290"/>
      <c r="C901" s="290"/>
      <c r="D901" s="290"/>
      <c r="E901" s="290"/>
      <c r="F901" s="290"/>
      <c r="G901" s="290"/>
      <c r="H901" s="289"/>
      <c r="I901" s="289"/>
      <c r="J901" s="289"/>
      <c r="K901" s="289"/>
      <c r="L901" s="289"/>
      <c r="M901" s="289"/>
      <c r="N901" s="289"/>
      <c r="O901" s="289"/>
      <c r="P901" s="352">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8"/>
      <c r="AS901" s="288"/>
    </row>
    <row r="902" spans="1:45">
      <c r="A902" s="290"/>
      <c r="B902" s="290"/>
      <c r="C902" s="290"/>
      <c r="D902" s="290"/>
      <c r="E902" s="290"/>
      <c r="F902" s="290"/>
      <c r="G902" s="290"/>
      <c r="H902" s="289"/>
      <c r="I902" s="289"/>
      <c r="J902" s="289"/>
      <c r="K902" s="289"/>
      <c r="L902" s="289"/>
      <c r="M902" s="289"/>
      <c r="N902" s="289"/>
      <c r="O902" s="289"/>
      <c r="P902" s="352">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8"/>
      <c r="AS902" s="288"/>
    </row>
    <row r="903" spans="1:45">
      <c r="A903" s="290"/>
      <c r="B903" s="290"/>
      <c r="C903" s="290"/>
      <c r="D903" s="290"/>
      <c r="E903" s="290"/>
      <c r="F903" s="290"/>
      <c r="G903" s="290"/>
      <c r="H903" s="289"/>
      <c r="I903" s="289"/>
      <c r="J903" s="289"/>
      <c r="K903" s="289"/>
      <c r="L903" s="289"/>
      <c r="M903" s="289"/>
      <c r="N903" s="289"/>
      <c r="O903" s="289"/>
      <c r="P903" s="352">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8"/>
      <c r="AS903" s="288"/>
    </row>
    <row r="904" spans="1:45">
      <c r="A904" s="290"/>
      <c r="B904" s="290"/>
      <c r="C904" s="290"/>
      <c r="D904" s="290"/>
      <c r="E904" s="290"/>
      <c r="F904" s="290"/>
      <c r="G904" s="290"/>
      <c r="H904" s="289"/>
      <c r="I904" s="289"/>
      <c r="J904" s="289"/>
      <c r="K904" s="289"/>
      <c r="L904" s="289"/>
      <c r="M904" s="289"/>
      <c r="N904" s="289"/>
      <c r="O904" s="289"/>
      <c r="P904" s="352">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8"/>
      <c r="AS904" s="288"/>
    </row>
    <row r="905" spans="1:45">
      <c r="A905" s="290"/>
      <c r="B905" s="290"/>
      <c r="C905" s="290"/>
      <c r="D905" s="290"/>
      <c r="E905" s="290"/>
      <c r="F905" s="290"/>
      <c r="G905" s="290"/>
      <c r="H905" s="289"/>
      <c r="I905" s="289"/>
      <c r="J905" s="289"/>
      <c r="K905" s="289"/>
      <c r="L905" s="289"/>
      <c r="M905" s="289"/>
      <c r="N905" s="289"/>
      <c r="O905" s="289"/>
      <c r="P905" s="352">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8"/>
      <c r="AS905" s="288"/>
    </row>
    <row r="906" spans="1:45">
      <c r="A906" s="290"/>
      <c r="B906" s="290"/>
      <c r="C906" s="290"/>
      <c r="D906" s="290"/>
      <c r="E906" s="290"/>
      <c r="F906" s="290"/>
      <c r="G906" s="290"/>
      <c r="H906" s="289"/>
      <c r="I906" s="289"/>
      <c r="J906" s="289"/>
      <c r="K906" s="289"/>
      <c r="L906" s="289"/>
      <c r="M906" s="289"/>
      <c r="N906" s="289"/>
      <c r="O906" s="289"/>
      <c r="P906" s="352">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8"/>
      <c r="AS906" s="288"/>
    </row>
    <row r="907" spans="1:45">
      <c r="A907" s="290"/>
      <c r="B907" s="290"/>
      <c r="C907" s="290"/>
      <c r="D907" s="290"/>
      <c r="E907" s="290"/>
      <c r="F907" s="290"/>
      <c r="G907" s="290"/>
      <c r="H907" s="289"/>
      <c r="I907" s="289"/>
      <c r="J907" s="289"/>
      <c r="K907" s="289"/>
      <c r="L907" s="289"/>
      <c r="M907" s="289"/>
      <c r="N907" s="289"/>
      <c r="O907" s="289"/>
      <c r="P907" s="352">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8"/>
      <c r="AS907" s="288"/>
    </row>
    <row r="908" spans="1:45">
      <c r="A908" s="290"/>
      <c r="B908" s="290"/>
      <c r="C908" s="290"/>
      <c r="D908" s="290"/>
      <c r="E908" s="290"/>
      <c r="F908" s="290"/>
      <c r="G908" s="290"/>
      <c r="H908" s="289"/>
      <c r="I908" s="289"/>
      <c r="J908" s="289"/>
      <c r="K908" s="289"/>
      <c r="L908" s="289"/>
      <c r="M908" s="289"/>
      <c r="N908" s="289"/>
      <c r="O908" s="289"/>
      <c r="P908" s="352">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8"/>
      <c r="AS908" s="288"/>
    </row>
    <row r="909" spans="1:45">
      <c r="A909" s="290"/>
      <c r="B909" s="290"/>
      <c r="C909" s="290"/>
      <c r="D909" s="290"/>
      <c r="E909" s="290"/>
      <c r="F909" s="290"/>
      <c r="G909" s="290"/>
      <c r="H909" s="289"/>
      <c r="I909" s="289"/>
      <c r="J909" s="289"/>
      <c r="K909" s="289"/>
      <c r="L909" s="289"/>
      <c r="M909" s="289"/>
      <c r="N909" s="289"/>
      <c r="O909" s="289"/>
      <c r="P909" s="352">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8"/>
      <c r="AS909" s="288"/>
    </row>
    <row r="910" spans="1:45">
      <c r="A910" s="290"/>
      <c r="B910" s="290"/>
      <c r="C910" s="290"/>
      <c r="D910" s="290"/>
      <c r="E910" s="290"/>
      <c r="F910" s="290"/>
      <c r="G910" s="290"/>
      <c r="H910" s="289"/>
      <c r="I910" s="289"/>
      <c r="J910" s="289"/>
      <c r="K910" s="289"/>
      <c r="L910" s="289"/>
      <c r="M910" s="289"/>
      <c r="N910" s="289"/>
      <c r="O910" s="289"/>
      <c r="P910" s="352">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8"/>
      <c r="AS910" s="288"/>
    </row>
    <row r="911" spans="1:45">
      <c r="A911" s="290"/>
      <c r="B911" s="290"/>
      <c r="C911" s="290"/>
      <c r="D911" s="290"/>
      <c r="E911" s="290"/>
      <c r="F911" s="290"/>
      <c r="G911" s="290"/>
      <c r="H911" s="289"/>
      <c r="I911" s="289"/>
      <c r="J911" s="289"/>
      <c r="K911" s="289"/>
      <c r="L911" s="289"/>
      <c r="M911" s="289"/>
      <c r="N911" s="289"/>
      <c r="O911" s="289"/>
      <c r="P911" s="352">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8"/>
      <c r="AS911" s="288"/>
    </row>
    <row r="912" spans="1:45">
      <c r="A912" s="290"/>
      <c r="B912" s="290"/>
      <c r="C912" s="290"/>
      <c r="D912" s="290"/>
      <c r="E912" s="290"/>
      <c r="F912" s="290"/>
      <c r="G912" s="290"/>
      <c r="H912" s="289"/>
      <c r="I912" s="289"/>
      <c r="J912" s="289"/>
      <c r="K912" s="289"/>
      <c r="L912" s="289"/>
      <c r="M912" s="289"/>
      <c r="N912" s="289"/>
      <c r="O912" s="289"/>
      <c r="P912" s="352">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8"/>
      <c r="AS912" s="288"/>
    </row>
    <row r="913" spans="1:45">
      <c r="A913" s="290"/>
      <c r="B913" s="290"/>
      <c r="C913" s="290"/>
      <c r="D913" s="290"/>
      <c r="E913" s="290"/>
      <c r="F913" s="290"/>
      <c r="G913" s="290"/>
      <c r="H913" s="289"/>
      <c r="I913" s="289"/>
      <c r="J913" s="289"/>
      <c r="K913" s="289"/>
      <c r="L913" s="289"/>
      <c r="M913" s="289"/>
      <c r="N913" s="289"/>
      <c r="O913" s="289"/>
      <c r="P913" s="352">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8"/>
      <c r="AS913" s="288"/>
    </row>
    <row r="914" spans="1:45">
      <c r="A914" s="290"/>
      <c r="B914" s="290"/>
      <c r="C914" s="290"/>
      <c r="D914" s="290"/>
      <c r="E914" s="290"/>
      <c r="F914" s="290"/>
      <c r="G914" s="290"/>
      <c r="H914" s="289"/>
      <c r="I914" s="289"/>
      <c r="J914" s="289"/>
      <c r="K914" s="289"/>
      <c r="L914" s="289"/>
      <c r="M914" s="289"/>
      <c r="N914" s="289"/>
      <c r="O914" s="289"/>
      <c r="P914" s="352">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8"/>
      <c r="AS914" s="288"/>
    </row>
    <row r="915" spans="1:45">
      <c r="A915" s="290"/>
      <c r="B915" s="290"/>
      <c r="C915" s="290"/>
      <c r="D915" s="290"/>
      <c r="E915" s="290"/>
      <c r="F915" s="290"/>
      <c r="G915" s="290"/>
      <c r="H915" s="289"/>
      <c r="I915" s="289"/>
      <c r="J915" s="289"/>
      <c r="K915" s="289"/>
      <c r="L915" s="289"/>
      <c r="M915" s="289"/>
      <c r="N915" s="289"/>
      <c r="O915" s="289"/>
      <c r="P915" s="352">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8"/>
      <c r="AS915" s="288"/>
    </row>
    <row r="916" spans="1:45">
      <c r="A916" s="290"/>
      <c r="B916" s="290"/>
      <c r="C916" s="290"/>
      <c r="D916" s="290"/>
      <c r="E916" s="290"/>
      <c r="F916" s="290"/>
      <c r="G916" s="290"/>
      <c r="H916" s="289"/>
      <c r="I916" s="289"/>
      <c r="J916" s="289"/>
      <c r="K916" s="289"/>
      <c r="L916" s="289"/>
      <c r="M916" s="289"/>
      <c r="N916" s="289"/>
      <c r="O916" s="289"/>
      <c r="P916" s="352">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8"/>
      <c r="AS916" s="288"/>
    </row>
    <row r="917" spans="1:45">
      <c r="A917" s="290"/>
      <c r="B917" s="290"/>
      <c r="C917" s="290"/>
      <c r="D917" s="290"/>
      <c r="E917" s="290"/>
      <c r="F917" s="290"/>
      <c r="G917" s="290"/>
      <c r="H917" s="289"/>
      <c r="I917" s="289"/>
      <c r="J917" s="289"/>
      <c r="K917" s="289"/>
      <c r="L917" s="289"/>
      <c r="M917" s="289"/>
      <c r="N917" s="289"/>
      <c r="O917" s="289"/>
      <c r="P917" s="352">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8"/>
      <c r="AS917" s="288"/>
    </row>
    <row r="918" spans="1:45">
      <c r="A918" s="290"/>
      <c r="B918" s="290"/>
      <c r="C918" s="290"/>
      <c r="D918" s="290"/>
      <c r="E918" s="290"/>
      <c r="F918" s="290"/>
      <c r="G918" s="290"/>
      <c r="H918" s="289"/>
      <c r="I918" s="289"/>
      <c r="J918" s="289"/>
      <c r="K918" s="289"/>
      <c r="L918" s="289"/>
      <c r="M918" s="289"/>
      <c r="N918" s="289"/>
      <c r="O918" s="289"/>
      <c r="P918" s="352">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8"/>
      <c r="AS918" s="288"/>
    </row>
    <row r="919" spans="1:45">
      <c r="A919" s="290"/>
      <c r="B919" s="290"/>
      <c r="C919" s="290"/>
      <c r="D919" s="290"/>
      <c r="E919" s="290"/>
      <c r="F919" s="290"/>
      <c r="G919" s="290"/>
      <c r="H919" s="289"/>
      <c r="I919" s="289"/>
      <c r="J919" s="289"/>
      <c r="K919" s="289"/>
      <c r="L919" s="289"/>
      <c r="M919" s="289"/>
      <c r="N919" s="289"/>
      <c r="O919" s="289"/>
      <c r="P919" s="352">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8"/>
      <c r="AS919" s="288"/>
    </row>
    <row r="920" spans="1:45">
      <c r="A920" s="290"/>
      <c r="B920" s="290"/>
      <c r="C920" s="290"/>
      <c r="D920" s="290"/>
      <c r="E920" s="290"/>
      <c r="F920" s="290"/>
      <c r="G920" s="290"/>
      <c r="H920" s="289"/>
      <c r="I920" s="289"/>
      <c r="J920" s="289"/>
      <c r="K920" s="289"/>
      <c r="L920" s="289"/>
      <c r="M920" s="289"/>
      <c r="N920" s="289"/>
      <c r="O920" s="289"/>
      <c r="P920" s="352">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8"/>
      <c r="AS920" s="288"/>
    </row>
    <row r="921" spans="1:45">
      <c r="A921" s="290"/>
      <c r="B921" s="290"/>
      <c r="C921" s="290"/>
      <c r="D921" s="290"/>
      <c r="E921" s="290"/>
      <c r="F921" s="290"/>
      <c r="G921" s="290"/>
      <c r="H921" s="289"/>
      <c r="I921" s="289"/>
      <c r="J921" s="289"/>
      <c r="K921" s="289"/>
      <c r="L921" s="289"/>
      <c r="M921" s="289"/>
      <c r="N921" s="289"/>
      <c r="O921" s="289"/>
      <c r="P921" s="352">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8"/>
      <c r="AS921" s="288"/>
    </row>
    <row r="922" spans="1:45">
      <c r="A922" s="290"/>
      <c r="B922" s="290"/>
      <c r="C922" s="290"/>
      <c r="D922" s="290"/>
      <c r="E922" s="290"/>
      <c r="F922" s="290"/>
      <c r="G922" s="290"/>
      <c r="H922" s="289"/>
      <c r="I922" s="289"/>
      <c r="J922" s="289"/>
      <c r="K922" s="289"/>
      <c r="L922" s="289"/>
      <c r="M922" s="289"/>
      <c r="N922" s="289"/>
      <c r="O922" s="289"/>
      <c r="P922" s="352">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8"/>
      <c r="AS922" s="288"/>
    </row>
    <row r="923" spans="1:45">
      <c r="A923" s="290"/>
      <c r="B923" s="290"/>
      <c r="C923" s="290"/>
      <c r="D923" s="290"/>
      <c r="E923" s="290"/>
      <c r="F923" s="290"/>
      <c r="G923" s="290"/>
      <c r="H923" s="289"/>
      <c r="I923" s="289"/>
      <c r="J923" s="289"/>
      <c r="K923" s="289"/>
      <c r="L923" s="289"/>
      <c r="M923" s="289"/>
      <c r="N923" s="289"/>
      <c r="O923" s="289"/>
      <c r="P923" s="352">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8"/>
      <c r="AS923" s="288"/>
    </row>
    <row r="924" spans="1:45">
      <c r="A924" s="290"/>
      <c r="B924" s="290"/>
      <c r="C924" s="290"/>
      <c r="D924" s="290"/>
      <c r="E924" s="290"/>
      <c r="F924" s="290"/>
      <c r="G924" s="290"/>
      <c r="H924" s="289"/>
      <c r="I924" s="289"/>
      <c r="J924" s="289"/>
      <c r="K924" s="289"/>
      <c r="L924" s="289"/>
      <c r="M924" s="289"/>
      <c r="N924" s="289"/>
      <c r="O924" s="289"/>
      <c r="P924" s="352">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8"/>
      <c r="AS924" s="288"/>
    </row>
    <row r="925" spans="1:45">
      <c r="A925" s="290"/>
      <c r="B925" s="290"/>
      <c r="C925" s="290"/>
      <c r="D925" s="290"/>
      <c r="E925" s="290"/>
      <c r="F925" s="290"/>
      <c r="G925" s="290"/>
      <c r="H925" s="289"/>
      <c r="I925" s="289"/>
      <c r="J925" s="289"/>
      <c r="K925" s="289"/>
      <c r="L925" s="289"/>
      <c r="M925" s="289"/>
      <c r="N925" s="289"/>
      <c r="O925" s="289"/>
      <c r="P925" s="352">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8"/>
      <c r="AS925" s="288"/>
    </row>
    <row r="926" spans="1:45">
      <c r="A926" s="290"/>
      <c r="B926" s="290"/>
      <c r="C926" s="290"/>
      <c r="D926" s="290"/>
      <c r="E926" s="290"/>
      <c r="F926" s="290"/>
      <c r="G926" s="290"/>
      <c r="H926" s="289"/>
      <c r="I926" s="289"/>
      <c r="J926" s="289"/>
      <c r="K926" s="289"/>
      <c r="L926" s="289"/>
      <c r="M926" s="289"/>
      <c r="N926" s="289"/>
      <c r="O926" s="289"/>
      <c r="P926" s="352">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8"/>
      <c r="AS926" s="288"/>
    </row>
    <row r="927" spans="1:45">
      <c r="A927" s="290"/>
      <c r="B927" s="290"/>
      <c r="C927" s="290"/>
      <c r="D927" s="290"/>
      <c r="E927" s="290"/>
      <c r="F927" s="290"/>
      <c r="G927" s="290"/>
      <c r="H927" s="289"/>
      <c r="I927" s="289"/>
      <c r="J927" s="289"/>
      <c r="K927" s="289"/>
      <c r="L927" s="289"/>
      <c r="M927" s="289"/>
      <c r="N927" s="289"/>
      <c r="O927" s="289"/>
      <c r="P927" s="352">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8"/>
      <c r="AS927" s="288"/>
    </row>
    <row r="928" spans="1:45">
      <c r="A928" s="290"/>
      <c r="B928" s="290"/>
      <c r="C928" s="290"/>
      <c r="D928" s="290"/>
      <c r="E928" s="290"/>
      <c r="F928" s="290"/>
      <c r="G928" s="290"/>
      <c r="H928" s="289"/>
      <c r="I928" s="289"/>
      <c r="J928" s="289"/>
      <c r="K928" s="289"/>
      <c r="L928" s="289"/>
      <c r="M928" s="289"/>
      <c r="N928" s="289"/>
      <c r="O928" s="289"/>
      <c r="P928" s="352">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8"/>
      <c r="AS928" s="288"/>
    </row>
    <row r="929" spans="1:45">
      <c r="A929" s="290"/>
      <c r="B929" s="290"/>
      <c r="C929" s="290"/>
      <c r="D929" s="290"/>
      <c r="E929" s="290"/>
      <c r="F929" s="290"/>
      <c r="G929" s="290"/>
      <c r="H929" s="289"/>
      <c r="I929" s="289"/>
      <c r="J929" s="289"/>
      <c r="K929" s="289"/>
      <c r="L929" s="289"/>
      <c r="M929" s="289"/>
      <c r="N929" s="289"/>
      <c r="O929" s="289"/>
      <c r="P929" s="352">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8"/>
      <c r="AS929" s="288"/>
    </row>
    <row r="930" spans="1:45">
      <c r="A930" s="290"/>
      <c r="B930" s="290"/>
      <c r="C930" s="290"/>
      <c r="D930" s="290"/>
      <c r="E930" s="290"/>
      <c r="F930" s="290"/>
      <c r="G930" s="290"/>
      <c r="H930" s="289"/>
      <c r="I930" s="289"/>
      <c r="J930" s="289"/>
      <c r="K930" s="289"/>
      <c r="L930" s="289"/>
      <c r="M930" s="289"/>
      <c r="N930" s="289"/>
      <c r="O930" s="289"/>
      <c r="P930" s="352">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8"/>
      <c r="AS930" s="288"/>
    </row>
    <row r="931" spans="1:45">
      <c r="A931" s="290"/>
      <c r="B931" s="290"/>
      <c r="C931" s="290"/>
      <c r="D931" s="290"/>
      <c r="E931" s="290"/>
      <c r="F931" s="290"/>
      <c r="G931" s="290"/>
      <c r="H931" s="289"/>
      <c r="I931" s="289"/>
      <c r="J931" s="289"/>
      <c r="K931" s="289"/>
      <c r="L931" s="289"/>
      <c r="M931" s="289"/>
      <c r="N931" s="289"/>
      <c r="O931" s="289"/>
      <c r="P931" s="352">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8"/>
      <c r="AS931" s="288"/>
    </row>
    <row r="932" spans="1:45">
      <c r="A932" s="290"/>
      <c r="B932" s="290"/>
      <c r="C932" s="290"/>
      <c r="D932" s="290"/>
      <c r="E932" s="290"/>
      <c r="F932" s="290"/>
      <c r="G932" s="290"/>
      <c r="H932" s="289"/>
      <c r="I932" s="289"/>
      <c r="J932" s="289"/>
      <c r="K932" s="289"/>
      <c r="L932" s="289"/>
      <c r="M932" s="289"/>
      <c r="N932" s="289"/>
      <c r="O932" s="289"/>
      <c r="P932" s="352">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8"/>
      <c r="AS932" s="288"/>
    </row>
    <row r="933" spans="1:45">
      <c r="A933" s="290"/>
      <c r="B933" s="290"/>
      <c r="C933" s="290"/>
      <c r="D933" s="290"/>
      <c r="E933" s="290"/>
      <c r="F933" s="290"/>
      <c r="G933" s="290"/>
      <c r="H933" s="289"/>
      <c r="I933" s="289"/>
      <c r="J933" s="289"/>
      <c r="K933" s="289"/>
      <c r="L933" s="289"/>
      <c r="M933" s="289"/>
      <c r="N933" s="289"/>
      <c r="O933" s="289"/>
      <c r="P933" s="352">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8"/>
      <c r="AS933" s="288"/>
    </row>
    <row r="934" spans="1:45">
      <c r="A934" s="290"/>
      <c r="B934" s="290"/>
      <c r="C934" s="290"/>
      <c r="D934" s="290"/>
      <c r="E934" s="290"/>
      <c r="F934" s="290"/>
      <c r="G934" s="290"/>
      <c r="H934" s="289"/>
      <c r="I934" s="289"/>
      <c r="J934" s="289"/>
      <c r="K934" s="289"/>
      <c r="L934" s="289"/>
      <c r="M934" s="289"/>
      <c r="N934" s="289"/>
      <c r="O934" s="289"/>
      <c r="P934" s="352">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8"/>
      <c r="AS934" s="288"/>
    </row>
    <row r="935" spans="1:45">
      <c r="A935" s="290"/>
      <c r="B935" s="290"/>
      <c r="C935" s="290"/>
      <c r="D935" s="290"/>
      <c r="E935" s="290"/>
      <c r="F935" s="290"/>
      <c r="G935" s="290"/>
      <c r="H935" s="289"/>
      <c r="I935" s="289"/>
      <c r="J935" s="289"/>
      <c r="K935" s="289"/>
      <c r="L935" s="289"/>
      <c r="M935" s="289"/>
      <c r="N935" s="289"/>
      <c r="O935" s="289"/>
      <c r="P935" s="352">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8"/>
      <c r="AS935" s="288"/>
    </row>
    <row r="936" spans="1:45">
      <c r="A936" s="290"/>
      <c r="B936" s="290"/>
      <c r="C936" s="290"/>
      <c r="D936" s="290"/>
      <c r="E936" s="290"/>
      <c r="F936" s="290"/>
      <c r="G936" s="290"/>
      <c r="H936" s="289"/>
      <c r="I936" s="289"/>
      <c r="J936" s="289"/>
      <c r="K936" s="289"/>
      <c r="L936" s="289"/>
      <c r="M936" s="289"/>
      <c r="N936" s="289"/>
      <c r="O936" s="289"/>
      <c r="P936" s="352">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8"/>
      <c r="AS936" s="288"/>
    </row>
    <row r="937" spans="1:45">
      <c r="A937" s="290"/>
      <c r="B937" s="290"/>
      <c r="C937" s="290"/>
      <c r="D937" s="290"/>
      <c r="E937" s="290"/>
      <c r="F937" s="290"/>
      <c r="G937" s="290"/>
      <c r="H937" s="289"/>
      <c r="I937" s="289"/>
      <c r="J937" s="289"/>
      <c r="K937" s="289"/>
      <c r="L937" s="289"/>
      <c r="M937" s="289"/>
      <c r="N937" s="289"/>
      <c r="O937" s="289"/>
      <c r="P937" s="352">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8"/>
      <c r="AS937" s="288"/>
    </row>
    <row r="938" spans="1:45">
      <c r="A938" s="290"/>
      <c r="B938" s="290"/>
      <c r="C938" s="290"/>
      <c r="D938" s="290"/>
      <c r="E938" s="290"/>
      <c r="F938" s="290"/>
      <c r="G938" s="290"/>
      <c r="H938" s="289"/>
      <c r="I938" s="289"/>
      <c r="J938" s="289"/>
      <c r="K938" s="289"/>
      <c r="L938" s="289"/>
      <c r="M938" s="289"/>
      <c r="N938" s="289"/>
      <c r="O938" s="289"/>
      <c r="P938" s="352">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8"/>
      <c r="AS938" s="288"/>
    </row>
    <row r="939" spans="1:45">
      <c r="A939" s="290"/>
      <c r="B939" s="290"/>
      <c r="C939" s="290"/>
      <c r="D939" s="290"/>
      <c r="E939" s="290"/>
      <c r="F939" s="290"/>
      <c r="G939" s="290"/>
      <c r="H939" s="289"/>
      <c r="I939" s="289"/>
      <c r="J939" s="289"/>
      <c r="K939" s="289"/>
      <c r="L939" s="289"/>
      <c r="M939" s="289"/>
      <c r="N939" s="289"/>
      <c r="O939" s="289"/>
      <c r="P939" s="352">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8"/>
      <c r="AS939" s="288"/>
    </row>
    <row r="940" spans="1:45">
      <c r="A940" s="290"/>
      <c r="B940" s="290"/>
      <c r="C940" s="290"/>
      <c r="D940" s="290"/>
      <c r="E940" s="290"/>
      <c r="F940" s="290"/>
      <c r="G940" s="290"/>
      <c r="H940" s="289"/>
      <c r="I940" s="289"/>
      <c r="J940" s="289"/>
      <c r="K940" s="289"/>
      <c r="L940" s="289"/>
      <c r="M940" s="289"/>
      <c r="N940" s="289"/>
      <c r="O940" s="289"/>
      <c r="P940" s="352">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8"/>
      <c r="AS940" s="288"/>
    </row>
    <row r="941" spans="1:45">
      <c r="A941" s="290"/>
      <c r="B941" s="290"/>
      <c r="C941" s="290"/>
      <c r="D941" s="290"/>
      <c r="E941" s="290"/>
      <c r="F941" s="290"/>
      <c r="G941" s="290"/>
      <c r="H941" s="289"/>
      <c r="I941" s="289"/>
      <c r="J941" s="289"/>
      <c r="K941" s="289"/>
      <c r="L941" s="289"/>
      <c r="M941" s="289"/>
      <c r="N941" s="289"/>
      <c r="O941" s="289"/>
      <c r="P941" s="352">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8"/>
      <c r="AS941" s="288"/>
    </row>
    <row r="942" spans="1:45">
      <c r="A942" s="290"/>
      <c r="B942" s="290"/>
      <c r="C942" s="290"/>
      <c r="D942" s="290"/>
      <c r="E942" s="290"/>
      <c r="F942" s="290"/>
      <c r="G942" s="290"/>
      <c r="H942" s="289"/>
      <c r="I942" s="289"/>
      <c r="J942" s="289"/>
      <c r="K942" s="289"/>
      <c r="L942" s="289"/>
      <c r="M942" s="289"/>
      <c r="N942" s="289"/>
      <c r="O942" s="289"/>
      <c r="P942" s="352">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8"/>
      <c r="AS942" s="288"/>
    </row>
    <row r="943" spans="1:45">
      <c r="A943" s="290"/>
      <c r="B943" s="290"/>
      <c r="C943" s="290"/>
      <c r="D943" s="290"/>
      <c r="E943" s="290"/>
      <c r="F943" s="290"/>
      <c r="G943" s="290"/>
      <c r="H943" s="289"/>
      <c r="I943" s="289"/>
      <c r="J943" s="289"/>
      <c r="K943" s="289"/>
      <c r="L943" s="289"/>
      <c r="M943" s="289"/>
      <c r="N943" s="289"/>
      <c r="O943" s="289"/>
      <c r="P943" s="352">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8"/>
      <c r="AS943" s="288"/>
    </row>
    <row r="944" spans="1:45">
      <c r="A944" s="290"/>
      <c r="B944" s="290"/>
      <c r="C944" s="290"/>
      <c r="D944" s="290"/>
      <c r="E944" s="290"/>
      <c r="F944" s="290"/>
      <c r="G944" s="290"/>
      <c r="H944" s="289"/>
      <c r="I944" s="289"/>
      <c r="J944" s="289"/>
      <c r="K944" s="289"/>
      <c r="L944" s="289"/>
      <c r="M944" s="289"/>
      <c r="N944" s="289"/>
      <c r="O944" s="289"/>
      <c r="P944" s="352">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8"/>
      <c r="AS944" s="288"/>
    </row>
    <row r="945" spans="1:45">
      <c r="A945" s="290"/>
      <c r="B945" s="290"/>
      <c r="C945" s="290"/>
      <c r="D945" s="290"/>
      <c r="E945" s="290"/>
      <c r="F945" s="290"/>
      <c r="G945" s="290"/>
      <c r="H945" s="289"/>
      <c r="I945" s="289"/>
      <c r="J945" s="289"/>
      <c r="K945" s="289"/>
      <c r="L945" s="289"/>
      <c r="M945" s="289"/>
      <c r="N945" s="289"/>
      <c r="O945" s="289"/>
      <c r="P945" s="352">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8"/>
      <c r="AS945" s="288"/>
    </row>
    <row r="946" spans="1:45">
      <c r="A946" s="290"/>
      <c r="B946" s="290"/>
      <c r="C946" s="290"/>
      <c r="D946" s="290"/>
      <c r="E946" s="290"/>
      <c r="F946" s="290"/>
      <c r="G946" s="290"/>
      <c r="H946" s="289"/>
      <c r="I946" s="289"/>
      <c r="J946" s="289"/>
      <c r="K946" s="289"/>
      <c r="L946" s="289"/>
      <c r="M946" s="289"/>
      <c r="N946" s="289"/>
      <c r="O946" s="289"/>
      <c r="P946" s="352">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8"/>
      <c r="AS946" s="288"/>
    </row>
    <row r="947" spans="1:45">
      <c r="A947" s="290"/>
      <c r="B947" s="290"/>
      <c r="C947" s="290"/>
      <c r="D947" s="290"/>
      <c r="E947" s="290"/>
      <c r="F947" s="290"/>
      <c r="G947" s="290"/>
      <c r="H947" s="289"/>
      <c r="I947" s="289"/>
      <c r="J947" s="289"/>
      <c r="K947" s="289"/>
      <c r="L947" s="289"/>
      <c r="M947" s="289"/>
      <c r="N947" s="289"/>
      <c r="O947" s="289"/>
      <c r="P947" s="352">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8"/>
      <c r="AS947" s="288"/>
    </row>
    <row r="948" spans="1:45">
      <c r="A948" s="290"/>
      <c r="B948" s="290"/>
      <c r="C948" s="290"/>
      <c r="D948" s="290"/>
      <c r="E948" s="290"/>
      <c r="F948" s="290"/>
      <c r="G948" s="290"/>
      <c r="H948" s="289"/>
      <c r="I948" s="289"/>
      <c r="J948" s="289"/>
      <c r="K948" s="289"/>
      <c r="L948" s="289"/>
      <c r="M948" s="289"/>
      <c r="N948" s="289"/>
      <c r="O948" s="289"/>
      <c r="P948" s="352">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8"/>
      <c r="AS948" s="288"/>
    </row>
    <row r="949" spans="1:45">
      <c r="A949" s="290"/>
      <c r="B949" s="290"/>
      <c r="C949" s="290"/>
      <c r="D949" s="290"/>
      <c r="E949" s="290"/>
      <c r="F949" s="290"/>
      <c r="G949" s="290"/>
      <c r="H949" s="289"/>
      <c r="I949" s="289"/>
      <c r="J949" s="289"/>
      <c r="K949" s="289"/>
      <c r="L949" s="289"/>
      <c r="M949" s="289"/>
      <c r="N949" s="289"/>
      <c r="O949" s="289"/>
      <c r="P949" s="352">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8"/>
      <c r="AS949" s="288"/>
    </row>
    <row r="950" spans="1:45">
      <c r="A950" s="290"/>
      <c r="B950" s="290"/>
      <c r="C950" s="290"/>
      <c r="D950" s="290"/>
      <c r="E950" s="290"/>
      <c r="F950" s="290"/>
      <c r="G950" s="290"/>
      <c r="H950" s="289"/>
      <c r="I950" s="289"/>
      <c r="J950" s="289"/>
      <c r="K950" s="289"/>
      <c r="L950" s="289"/>
      <c r="M950" s="289"/>
      <c r="N950" s="289"/>
      <c r="O950" s="289"/>
      <c r="P950" s="352">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8"/>
      <c r="AS950" s="288"/>
    </row>
    <row r="951" spans="1:45">
      <c r="A951" s="290"/>
      <c r="B951" s="290"/>
      <c r="C951" s="290"/>
      <c r="D951" s="290"/>
      <c r="E951" s="290"/>
      <c r="F951" s="290"/>
      <c r="G951" s="290"/>
      <c r="H951" s="289"/>
      <c r="I951" s="289"/>
      <c r="J951" s="289"/>
      <c r="K951" s="289"/>
      <c r="L951" s="289"/>
      <c r="M951" s="289"/>
      <c r="N951" s="289"/>
      <c r="O951" s="289"/>
      <c r="P951" s="352">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8"/>
      <c r="AS951" s="288"/>
    </row>
    <row r="952" spans="1:45">
      <c r="A952" s="290"/>
      <c r="B952" s="290"/>
      <c r="C952" s="290"/>
      <c r="D952" s="290"/>
      <c r="E952" s="290"/>
      <c r="F952" s="290"/>
      <c r="G952" s="290"/>
      <c r="H952" s="289"/>
      <c r="I952" s="289"/>
      <c r="J952" s="289"/>
      <c r="K952" s="289"/>
      <c r="L952" s="289"/>
      <c r="M952" s="289"/>
      <c r="N952" s="289"/>
      <c r="O952" s="289"/>
      <c r="P952" s="352">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8"/>
      <c r="AS952" s="288"/>
    </row>
    <row r="953" spans="1:45">
      <c r="A953" s="290"/>
      <c r="B953" s="290"/>
      <c r="C953" s="290"/>
      <c r="D953" s="290"/>
      <c r="E953" s="290"/>
      <c r="F953" s="290"/>
      <c r="G953" s="290"/>
      <c r="H953" s="289"/>
      <c r="I953" s="289"/>
      <c r="J953" s="289"/>
      <c r="K953" s="289"/>
      <c r="L953" s="289"/>
      <c r="M953" s="289"/>
      <c r="N953" s="289"/>
      <c r="O953" s="289"/>
      <c r="P953" s="352">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8"/>
      <c r="AS953" s="288"/>
    </row>
    <row r="954" spans="1:45">
      <c r="A954" s="290"/>
      <c r="B954" s="290"/>
      <c r="C954" s="290"/>
      <c r="D954" s="290"/>
      <c r="E954" s="290"/>
      <c r="F954" s="290"/>
      <c r="G954" s="290"/>
      <c r="H954" s="289"/>
      <c r="I954" s="289"/>
      <c r="J954" s="289"/>
      <c r="K954" s="289"/>
      <c r="L954" s="289"/>
      <c r="M954" s="289"/>
      <c r="N954" s="289"/>
      <c r="O954" s="289"/>
      <c r="P954" s="352">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8"/>
      <c r="AS954" s="288"/>
    </row>
    <row r="955" spans="1:45">
      <c r="A955" s="290"/>
      <c r="B955" s="290"/>
      <c r="C955" s="290"/>
      <c r="D955" s="290"/>
      <c r="E955" s="290"/>
      <c r="F955" s="290"/>
      <c r="G955" s="290"/>
      <c r="H955" s="289"/>
      <c r="I955" s="289"/>
      <c r="J955" s="289"/>
      <c r="K955" s="289"/>
      <c r="L955" s="289"/>
      <c r="M955" s="289"/>
      <c r="N955" s="289"/>
      <c r="O955" s="289"/>
      <c r="P955" s="352">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8"/>
      <c r="AS955" s="288"/>
    </row>
    <row r="956" spans="1:45">
      <c r="A956" s="290"/>
      <c r="B956" s="290"/>
      <c r="C956" s="290"/>
      <c r="D956" s="290"/>
      <c r="E956" s="290"/>
      <c r="F956" s="290"/>
      <c r="G956" s="290"/>
      <c r="H956" s="289"/>
      <c r="I956" s="289"/>
      <c r="J956" s="289"/>
      <c r="K956" s="289"/>
      <c r="L956" s="289"/>
      <c r="M956" s="289"/>
      <c r="N956" s="289"/>
      <c r="O956" s="289"/>
      <c r="P956" s="352">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8"/>
      <c r="AS956" s="288"/>
    </row>
    <row r="957" spans="1:45">
      <c r="A957" s="290"/>
      <c r="B957" s="290"/>
      <c r="C957" s="290"/>
      <c r="D957" s="290"/>
      <c r="E957" s="290"/>
      <c r="F957" s="290"/>
      <c r="G957" s="290"/>
      <c r="H957" s="289"/>
      <c r="I957" s="289"/>
      <c r="J957" s="289"/>
      <c r="K957" s="289"/>
      <c r="L957" s="289"/>
      <c r="M957" s="289"/>
      <c r="N957" s="289"/>
      <c r="O957" s="289"/>
      <c r="P957" s="352">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8"/>
      <c r="AS957" s="288"/>
    </row>
    <row r="958" spans="1:45">
      <c r="A958" s="290"/>
      <c r="B958" s="290"/>
      <c r="C958" s="290"/>
      <c r="D958" s="290"/>
      <c r="E958" s="290"/>
      <c r="F958" s="290"/>
      <c r="G958" s="290"/>
      <c r="H958" s="289"/>
      <c r="I958" s="289"/>
      <c r="J958" s="289"/>
      <c r="K958" s="289"/>
      <c r="L958" s="289"/>
      <c r="M958" s="289"/>
      <c r="N958" s="289"/>
      <c r="O958" s="289"/>
      <c r="P958" s="352">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8"/>
      <c r="AS958" s="288"/>
    </row>
    <row r="959" spans="1:45">
      <c r="A959" s="290"/>
      <c r="B959" s="290"/>
      <c r="C959" s="290"/>
      <c r="D959" s="290"/>
      <c r="E959" s="290"/>
      <c r="F959" s="290"/>
      <c r="G959" s="290"/>
      <c r="H959" s="289"/>
      <c r="I959" s="289"/>
      <c r="J959" s="289"/>
      <c r="K959" s="289"/>
      <c r="L959" s="289"/>
      <c r="M959" s="289"/>
      <c r="N959" s="289"/>
      <c r="O959" s="289"/>
      <c r="P959" s="352">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8"/>
      <c r="AS959" s="288"/>
    </row>
    <row r="960" spans="1:45">
      <c r="A960" s="290"/>
      <c r="B960" s="290"/>
      <c r="C960" s="290"/>
      <c r="D960" s="290"/>
      <c r="E960" s="290"/>
      <c r="F960" s="290"/>
      <c r="G960" s="290"/>
      <c r="H960" s="289"/>
      <c r="I960" s="289"/>
      <c r="J960" s="289"/>
      <c r="K960" s="289"/>
      <c r="L960" s="289"/>
      <c r="M960" s="289"/>
      <c r="N960" s="289"/>
      <c r="O960" s="289"/>
      <c r="P960" s="352">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8"/>
      <c r="AS960" s="288"/>
    </row>
    <row r="961" spans="1:45">
      <c r="A961" s="290"/>
      <c r="B961" s="290"/>
      <c r="C961" s="290"/>
      <c r="D961" s="290"/>
      <c r="E961" s="290"/>
      <c r="F961" s="290"/>
      <c r="G961" s="290"/>
      <c r="H961" s="289"/>
      <c r="I961" s="289"/>
      <c r="J961" s="289"/>
      <c r="K961" s="289"/>
      <c r="L961" s="289"/>
      <c r="M961" s="289"/>
      <c r="N961" s="289"/>
      <c r="O961" s="289"/>
      <c r="P961" s="352">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8"/>
      <c r="AS961" s="288"/>
    </row>
    <row r="962" spans="1:45">
      <c r="A962" s="290"/>
      <c r="B962" s="290"/>
      <c r="C962" s="290"/>
      <c r="D962" s="290"/>
      <c r="E962" s="290"/>
      <c r="F962" s="290"/>
      <c r="G962" s="290"/>
      <c r="H962" s="289"/>
      <c r="I962" s="289"/>
      <c r="J962" s="289"/>
      <c r="K962" s="289"/>
      <c r="L962" s="289"/>
      <c r="M962" s="289"/>
      <c r="N962" s="289"/>
      <c r="O962" s="289"/>
      <c r="P962" s="352">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8"/>
      <c r="AS962" s="288"/>
    </row>
    <row r="963" spans="1:45">
      <c r="A963" s="290"/>
      <c r="B963" s="290"/>
      <c r="C963" s="290"/>
      <c r="D963" s="290"/>
      <c r="E963" s="290"/>
      <c r="F963" s="290"/>
      <c r="G963" s="290"/>
      <c r="H963" s="289"/>
      <c r="I963" s="289"/>
      <c r="J963" s="289"/>
      <c r="K963" s="289"/>
      <c r="L963" s="289"/>
      <c r="M963" s="289"/>
      <c r="N963" s="289"/>
      <c r="O963" s="289"/>
      <c r="P963" s="352">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8"/>
      <c r="AS963" s="288"/>
    </row>
    <row r="964" spans="1:45">
      <c r="A964" s="290"/>
      <c r="B964" s="290"/>
      <c r="C964" s="290"/>
      <c r="D964" s="290"/>
      <c r="E964" s="290"/>
      <c r="F964" s="290"/>
      <c r="G964" s="290"/>
      <c r="H964" s="289"/>
      <c r="I964" s="289"/>
      <c r="J964" s="289"/>
      <c r="K964" s="289"/>
      <c r="L964" s="289"/>
      <c r="M964" s="289"/>
      <c r="N964" s="289"/>
      <c r="O964" s="289"/>
      <c r="P964" s="352">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8"/>
      <c r="AS964" s="288"/>
    </row>
    <row r="965" spans="1:45">
      <c r="A965" s="290"/>
      <c r="B965" s="290"/>
      <c r="C965" s="290"/>
      <c r="D965" s="290"/>
      <c r="E965" s="290"/>
      <c r="F965" s="290"/>
      <c r="G965" s="290"/>
      <c r="H965" s="289"/>
      <c r="I965" s="289"/>
      <c r="J965" s="289"/>
      <c r="K965" s="289"/>
      <c r="L965" s="289"/>
      <c r="M965" s="289"/>
      <c r="N965" s="289"/>
      <c r="O965" s="289"/>
      <c r="P965" s="352">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8"/>
      <c r="AS965" s="288"/>
    </row>
    <row r="966" spans="1:45">
      <c r="A966" s="290"/>
      <c r="B966" s="290"/>
      <c r="C966" s="290"/>
      <c r="D966" s="290"/>
      <c r="E966" s="290"/>
      <c r="F966" s="290"/>
      <c r="G966" s="290"/>
      <c r="H966" s="289"/>
      <c r="I966" s="289"/>
      <c r="J966" s="289"/>
      <c r="K966" s="289"/>
      <c r="L966" s="289"/>
      <c r="M966" s="289"/>
      <c r="N966" s="289"/>
      <c r="O966" s="289"/>
      <c r="P966" s="352">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8"/>
      <c r="AS966" s="288"/>
    </row>
    <row r="967" spans="1:45">
      <c r="A967" s="290"/>
      <c r="B967" s="290"/>
      <c r="C967" s="290"/>
      <c r="D967" s="290"/>
      <c r="E967" s="290"/>
      <c r="F967" s="290"/>
      <c r="G967" s="290"/>
      <c r="H967" s="289"/>
      <c r="I967" s="289"/>
      <c r="J967" s="289"/>
      <c r="K967" s="289"/>
      <c r="L967" s="289"/>
      <c r="M967" s="289"/>
      <c r="N967" s="289"/>
      <c r="O967" s="289"/>
      <c r="P967" s="352">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8"/>
      <c r="AS967" s="288"/>
    </row>
    <row r="968" spans="1:45">
      <c r="A968" s="290"/>
      <c r="B968" s="290"/>
      <c r="C968" s="290"/>
      <c r="D968" s="290"/>
      <c r="E968" s="290"/>
      <c r="F968" s="290"/>
      <c r="G968" s="290"/>
      <c r="H968" s="289"/>
      <c r="I968" s="289"/>
      <c r="J968" s="289"/>
      <c r="K968" s="289"/>
      <c r="L968" s="289"/>
      <c r="M968" s="289"/>
      <c r="N968" s="289"/>
      <c r="O968" s="289"/>
      <c r="P968" s="352">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8"/>
      <c r="AS968" s="288"/>
    </row>
    <row r="969" spans="1:45">
      <c r="A969" s="290"/>
      <c r="B969" s="290"/>
      <c r="C969" s="290"/>
      <c r="D969" s="290"/>
      <c r="E969" s="290"/>
      <c r="F969" s="290"/>
      <c r="G969" s="290"/>
      <c r="H969" s="289"/>
      <c r="I969" s="289"/>
      <c r="J969" s="289"/>
      <c r="K969" s="289"/>
      <c r="L969" s="289"/>
      <c r="M969" s="289"/>
      <c r="N969" s="289"/>
      <c r="O969" s="289"/>
      <c r="P969" s="352">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8"/>
      <c r="AS969" s="288"/>
    </row>
    <row r="970" spans="1:45">
      <c r="A970" s="290"/>
      <c r="B970" s="290"/>
      <c r="C970" s="290"/>
      <c r="D970" s="290"/>
      <c r="E970" s="290"/>
      <c r="F970" s="290"/>
      <c r="G970" s="290"/>
      <c r="H970" s="289"/>
      <c r="I970" s="289"/>
      <c r="J970" s="289"/>
      <c r="K970" s="289"/>
      <c r="L970" s="289"/>
      <c r="M970" s="289"/>
      <c r="N970" s="289"/>
      <c r="O970" s="289"/>
      <c r="P970" s="352">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8"/>
      <c r="AS970" s="288"/>
    </row>
    <row r="971" spans="1:45">
      <c r="A971" s="290"/>
      <c r="B971" s="290"/>
      <c r="C971" s="290"/>
      <c r="D971" s="290"/>
      <c r="E971" s="290"/>
      <c r="F971" s="290"/>
      <c r="G971" s="290"/>
      <c r="H971" s="289"/>
      <c r="I971" s="289"/>
      <c r="J971" s="289"/>
      <c r="K971" s="289"/>
      <c r="L971" s="289"/>
      <c r="M971" s="289"/>
      <c r="N971" s="289"/>
      <c r="O971" s="289"/>
      <c r="P971" s="352">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8"/>
      <c r="AS971" s="288"/>
    </row>
    <row r="972" spans="1:45">
      <c r="A972" s="290"/>
      <c r="B972" s="290"/>
      <c r="C972" s="290"/>
      <c r="D972" s="290"/>
      <c r="E972" s="290"/>
      <c r="F972" s="290"/>
      <c r="G972" s="290"/>
      <c r="H972" s="289"/>
      <c r="I972" s="289"/>
      <c r="J972" s="289"/>
      <c r="K972" s="289"/>
      <c r="L972" s="289"/>
      <c r="M972" s="289"/>
      <c r="N972" s="289"/>
      <c r="O972" s="289"/>
      <c r="P972" s="352">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8"/>
      <c r="AS972" s="288"/>
    </row>
    <row r="973" spans="1:45">
      <c r="A973" s="290"/>
      <c r="B973" s="290"/>
      <c r="C973" s="290"/>
      <c r="D973" s="290"/>
      <c r="E973" s="290"/>
      <c r="F973" s="290"/>
      <c r="G973" s="290"/>
      <c r="H973" s="289"/>
      <c r="I973" s="289"/>
      <c r="J973" s="289"/>
      <c r="K973" s="289"/>
      <c r="L973" s="289"/>
      <c r="M973" s="289"/>
      <c r="N973" s="289"/>
      <c r="O973" s="289"/>
      <c r="P973" s="352">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8"/>
      <c r="AS973" s="288"/>
    </row>
    <row r="974" spans="1:45">
      <c r="A974" s="290"/>
      <c r="B974" s="290"/>
      <c r="C974" s="290"/>
      <c r="D974" s="290"/>
      <c r="E974" s="290"/>
      <c r="F974" s="290"/>
      <c r="G974" s="290"/>
      <c r="H974" s="289"/>
      <c r="I974" s="289"/>
      <c r="J974" s="289"/>
      <c r="K974" s="289"/>
      <c r="L974" s="289"/>
      <c r="M974" s="289"/>
      <c r="N974" s="289"/>
      <c r="O974" s="289"/>
      <c r="P974" s="352">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8"/>
      <c r="AS974" s="288"/>
    </row>
    <row r="975" spans="1:45">
      <c r="A975" s="290"/>
      <c r="B975" s="290"/>
      <c r="C975" s="290"/>
      <c r="D975" s="290"/>
      <c r="E975" s="290"/>
      <c r="F975" s="290"/>
      <c r="G975" s="290"/>
      <c r="H975" s="289"/>
      <c r="I975" s="289"/>
      <c r="J975" s="289"/>
      <c r="K975" s="289"/>
      <c r="L975" s="289"/>
      <c r="M975" s="289"/>
      <c r="N975" s="289"/>
      <c r="O975" s="289"/>
      <c r="P975" s="352">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8"/>
      <c r="AS975" s="288"/>
    </row>
    <row r="976" spans="1:45">
      <c r="A976" s="290"/>
      <c r="B976" s="290"/>
      <c r="C976" s="290"/>
      <c r="D976" s="290"/>
      <c r="E976" s="290"/>
      <c r="F976" s="290"/>
      <c r="G976" s="290"/>
      <c r="H976" s="289"/>
      <c r="I976" s="289"/>
      <c r="J976" s="289"/>
      <c r="K976" s="289"/>
      <c r="L976" s="289"/>
      <c r="M976" s="289"/>
      <c r="N976" s="289"/>
      <c r="O976" s="289"/>
      <c r="P976" s="352">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8"/>
      <c r="AS976" s="288"/>
    </row>
    <row r="977" spans="1:45">
      <c r="A977" s="290"/>
      <c r="B977" s="290"/>
      <c r="C977" s="290"/>
      <c r="D977" s="290"/>
      <c r="E977" s="290"/>
      <c r="F977" s="290"/>
      <c r="G977" s="290"/>
      <c r="H977" s="289"/>
      <c r="I977" s="289"/>
      <c r="J977" s="289"/>
      <c r="K977" s="289"/>
      <c r="L977" s="289"/>
      <c r="M977" s="289"/>
      <c r="N977" s="289"/>
      <c r="O977" s="289"/>
      <c r="P977" s="352">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8"/>
      <c r="AS977" s="288"/>
    </row>
    <row r="978" spans="1:45">
      <c r="A978" s="290"/>
      <c r="B978" s="290"/>
      <c r="C978" s="290"/>
      <c r="D978" s="290"/>
      <c r="E978" s="290"/>
      <c r="F978" s="290"/>
      <c r="G978" s="290"/>
      <c r="H978" s="289"/>
      <c r="I978" s="289"/>
      <c r="J978" s="289"/>
      <c r="K978" s="289"/>
      <c r="L978" s="289"/>
      <c r="M978" s="289"/>
      <c r="N978" s="289"/>
      <c r="O978" s="289"/>
      <c r="P978" s="352">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8"/>
      <c r="AS978" s="288"/>
    </row>
    <row r="979" spans="1:45">
      <c r="A979" s="290"/>
      <c r="B979" s="290"/>
      <c r="C979" s="290"/>
      <c r="D979" s="290"/>
      <c r="E979" s="290"/>
      <c r="F979" s="290"/>
      <c r="G979" s="290"/>
      <c r="H979" s="289"/>
      <c r="I979" s="289"/>
      <c r="J979" s="289"/>
      <c r="K979" s="289"/>
      <c r="L979" s="289"/>
      <c r="M979" s="289"/>
      <c r="N979" s="289"/>
      <c r="O979" s="289"/>
      <c r="P979" s="352">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8"/>
      <c r="AS979" s="288"/>
    </row>
    <row r="980" spans="1:45">
      <c r="A980" s="290"/>
      <c r="B980" s="290"/>
      <c r="C980" s="290"/>
      <c r="D980" s="290"/>
      <c r="E980" s="290"/>
      <c r="F980" s="290"/>
      <c r="G980" s="290"/>
      <c r="H980" s="289"/>
      <c r="I980" s="289"/>
      <c r="J980" s="289"/>
      <c r="K980" s="289"/>
      <c r="L980" s="289"/>
      <c r="M980" s="289"/>
      <c r="N980" s="289"/>
      <c r="O980" s="289"/>
      <c r="P980" s="352">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8"/>
      <c r="AS980" s="288"/>
    </row>
    <row r="981" spans="1:45">
      <c r="A981" s="290"/>
      <c r="B981" s="290"/>
      <c r="C981" s="290"/>
      <c r="D981" s="290"/>
      <c r="E981" s="290"/>
      <c r="F981" s="290"/>
      <c r="G981" s="290"/>
      <c r="H981" s="289"/>
      <c r="I981" s="289"/>
      <c r="J981" s="289"/>
      <c r="K981" s="289"/>
      <c r="L981" s="289"/>
      <c r="M981" s="289"/>
      <c r="N981" s="289"/>
      <c r="O981" s="289"/>
      <c r="P981" s="352">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8"/>
      <c r="AS981" s="288"/>
    </row>
    <row r="982" spans="1:45">
      <c r="A982" s="290"/>
      <c r="B982" s="290"/>
      <c r="C982" s="290"/>
      <c r="D982" s="290"/>
      <c r="E982" s="290"/>
      <c r="F982" s="290"/>
      <c r="G982" s="290"/>
      <c r="H982" s="289"/>
      <c r="I982" s="289"/>
      <c r="J982" s="289"/>
      <c r="K982" s="289"/>
      <c r="L982" s="289"/>
      <c r="M982" s="289"/>
      <c r="N982" s="289"/>
      <c r="O982" s="289"/>
      <c r="P982" s="352">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8"/>
      <c r="AS982" s="288"/>
    </row>
    <row r="983" spans="1:45">
      <c r="A983" s="290"/>
      <c r="B983" s="290"/>
      <c r="C983" s="290"/>
      <c r="D983" s="290"/>
      <c r="E983" s="290"/>
      <c r="F983" s="290"/>
      <c r="G983" s="290"/>
      <c r="H983" s="289"/>
      <c r="I983" s="289"/>
      <c r="J983" s="289"/>
      <c r="K983" s="289"/>
      <c r="L983" s="289"/>
      <c r="M983" s="289"/>
      <c r="N983" s="289"/>
      <c r="O983" s="289"/>
      <c r="P983" s="352">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8"/>
      <c r="AS983" s="288"/>
    </row>
    <row r="984" spans="1:45">
      <c r="A984" s="290"/>
      <c r="B984" s="290"/>
      <c r="C984" s="290"/>
      <c r="D984" s="290"/>
      <c r="E984" s="290"/>
      <c r="F984" s="290"/>
      <c r="G984" s="290"/>
      <c r="H984" s="289"/>
      <c r="I984" s="289"/>
      <c r="J984" s="289"/>
      <c r="K984" s="289"/>
      <c r="L984" s="289"/>
      <c r="M984" s="289"/>
      <c r="N984" s="289"/>
      <c r="O984" s="289"/>
      <c r="P984" s="352">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8"/>
      <c r="AS984" s="288"/>
    </row>
    <row r="985" spans="1:45">
      <c r="A985" s="290"/>
      <c r="B985" s="290"/>
      <c r="C985" s="290"/>
      <c r="D985" s="290"/>
      <c r="E985" s="290"/>
      <c r="F985" s="290"/>
      <c r="G985" s="290"/>
      <c r="H985" s="289"/>
      <c r="I985" s="289"/>
      <c r="J985" s="289"/>
      <c r="K985" s="289"/>
      <c r="L985" s="289"/>
      <c r="M985" s="289"/>
      <c r="N985" s="289"/>
      <c r="O985" s="289"/>
      <c r="P985" s="352">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8"/>
      <c r="AS985" s="288"/>
    </row>
    <row r="986" spans="1:45">
      <c r="A986" s="290"/>
      <c r="B986" s="290"/>
      <c r="C986" s="290"/>
      <c r="D986" s="290"/>
      <c r="E986" s="290"/>
      <c r="F986" s="290"/>
      <c r="G986" s="290"/>
      <c r="H986" s="289"/>
      <c r="I986" s="289"/>
      <c r="J986" s="289"/>
      <c r="K986" s="289"/>
      <c r="L986" s="289"/>
      <c r="M986" s="289"/>
      <c r="N986" s="289"/>
      <c r="O986" s="289"/>
      <c r="P986" s="352">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8"/>
      <c r="AS986" s="288"/>
    </row>
    <row r="987" spans="1:45">
      <c r="A987" s="290"/>
      <c r="B987" s="290"/>
      <c r="C987" s="290"/>
      <c r="D987" s="290"/>
      <c r="E987" s="290"/>
      <c r="F987" s="290"/>
      <c r="G987" s="290"/>
      <c r="H987" s="289"/>
      <c r="I987" s="289"/>
      <c r="J987" s="289"/>
      <c r="K987" s="289"/>
      <c r="L987" s="289"/>
      <c r="M987" s="289"/>
      <c r="N987" s="289"/>
      <c r="O987" s="289"/>
      <c r="P987" s="352">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8"/>
      <c r="AS987" s="288"/>
    </row>
    <row r="988" spans="1:45">
      <c r="A988" s="290"/>
      <c r="B988" s="290"/>
      <c r="C988" s="290"/>
      <c r="D988" s="290"/>
      <c r="E988" s="290"/>
      <c r="F988" s="290"/>
      <c r="G988" s="290"/>
      <c r="H988" s="289"/>
      <c r="I988" s="289"/>
      <c r="J988" s="289"/>
      <c r="K988" s="289"/>
      <c r="L988" s="289"/>
      <c r="M988" s="289"/>
      <c r="N988" s="289"/>
      <c r="O988" s="289"/>
      <c r="P988" s="352">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8"/>
      <c r="AS988" s="288"/>
    </row>
    <row r="989" spans="1:45">
      <c r="A989" s="290"/>
      <c r="B989" s="290"/>
      <c r="C989" s="290"/>
      <c r="D989" s="290"/>
      <c r="E989" s="290"/>
      <c r="F989" s="290"/>
      <c r="G989" s="290"/>
      <c r="H989" s="289"/>
      <c r="I989" s="289"/>
      <c r="J989" s="289"/>
      <c r="K989" s="289"/>
      <c r="L989" s="289"/>
      <c r="M989" s="289"/>
      <c r="N989" s="289"/>
      <c r="O989" s="289"/>
      <c r="P989" s="352">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8"/>
      <c r="AS989" s="288"/>
    </row>
    <row r="990" spans="1:45">
      <c r="A990" s="290"/>
      <c r="B990" s="290"/>
      <c r="C990" s="290"/>
      <c r="D990" s="290"/>
      <c r="E990" s="290"/>
      <c r="F990" s="290"/>
      <c r="G990" s="290"/>
      <c r="H990" s="289"/>
      <c r="I990" s="289"/>
      <c r="J990" s="289"/>
      <c r="K990" s="289"/>
      <c r="L990" s="289"/>
      <c r="M990" s="289"/>
      <c r="N990" s="289"/>
      <c r="O990" s="289"/>
      <c r="P990" s="352">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8"/>
      <c r="AS990" s="288"/>
    </row>
    <row r="991" spans="1:45">
      <c r="A991" s="290"/>
      <c r="B991" s="290"/>
      <c r="C991" s="290"/>
      <c r="D991" s="290"/>
      <c r="E991" s="290"/>
      <c r="F991" s="290"/>
      <c r="G991" s="290"/>
      <c r="H991" s="289"/>
      <c r="I991" s="289"/>
      <c r="J991" s="289"/>
      <c r="K991" s="289"/>
      <c r="L991" s="289"/>
      <c r="M991" s="289"/>
      <c r="N991" s="289"/>
      <c r="O991" s="289"/>
      <c r="P991" s="352">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8"/>
      <c r="AS991" s="288"/>
    </row>
    <row r="992" spans="1:45">
      <c r="A992" s="290"/>
      <c r="B992" s="290"/>
      <c r="C992" s="290"/>
      <c r="D992" s="290"/>
      <c r="E992" s="290"/>
      <c r="F992" s="290"/>
      <c r="G992" s="290"/>
      <c r="H992" s="289"/>
      <c r="I992" s="289"/>
      <c r="J992" s="289"/>
      <c r="K992" s="289"/>
      <c r="L992" s="289"/>
      <c r="M992" s="289"/>
      <c r="N992" s="289"/>
      <c r="O992" s="289"/>
      <c r="P992" s="352">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8"/>
      <c r="AS992" s="288"/>
    </row>
    <row r="993" spans="1:45">
      <c r="A993" s="290"/>
      <c r="B993" s="290"/>
      <c r="C993" s="290"/>
      <c r="D993" s="290"/>
      <c r="E993" s="290"/>
      <c r="F993" s="290"/>
      <c r="G993" s="290"/>
      <c r="H993" s="289"/>
      <c r="I993" s="289"/>
      <c r="J993" s="289"/>
      <c r="K993" s="289"/>
      <c r="L993" s="289"/>
      <c r="M993" s="289"/>
      <c r="N993" s="289"/>
      <c r="O993" s="289"/>
      <c r="P993" s="352">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8"/>
      <c r="AS993" s="288"/>
    </row>
    <row r="994" spans="1:45">
      <c r="A994" s="290"/>
      <c r="B994" s="290"/>
      <c r="C994" s="290"/>
      <c r="D994" s="290"/>
      <c r="E994" s="290"/>
      <c r="F994" s="290"/>
      <c r="G994" s="290"/>
      <c r="H994" s="289"/>
      <c r="I994" s="289"/>
      <c r="J994" s="289"/>
      <c r="K994" s="289"/>
      <c r="L994" s="289"/>
      <c r="M994" s="289"/>
      <c r="N994" s="289"/>
      <c r="O994" s="289"/>
      <c r="P994" s="352">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8"/>
      <c r="AS994" s="288"/>
    </row>
    <row r="995" spans="1:45">
      <c r="A995" s="290"/>
      <c r="B995" s="290"/>
      <c r="C995" s="290"/>
      <c r="D995" s="290"/>
      <c r="E995" s="290"/>
      <c r="F995" s="290"/>
      <c r="G995" s="290"/>
      <c r="H995" s="289"/>
      <c r="I995" s="289"/>
      <c r="J995" s="289"/>
      <c r="K995" s="289"/>
      <c r="L995" s="289"/>
      <c r="M995" s="289"/>
      <c r="N995" s="289"/>
      <c r="O995" s="289"/>
      <c r="P995" s="352">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8"/>
      <c r="AS995" s="288"/>
    </row>
    <row r="996" spans="1:45">
      <c r="A996" s="290"/>
      <c r="B996" s="290"/>
      <c r="C996" s="290"/>
      <c r="D996" s="290"/>
      <c r="E996" s="290"/>
      <c r="F996" s="290"/>
      <c r="G996" s="290"/>
      <c r="H996" s="289"/>
      <c r="I996" s="289"/>
      <c r="J996" s="289"/>
      <c r="K996" s="289"/>
      <c r="L996" s="289"/>
      <c r="M996" s="289"/>
      <c r="N996" s="289"/>
      <c r="O996" s="289"/>
      <c r="P996" s="352">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8"/>
      <c r="AS996" s="288"/>
    </row>
    <row r="997" spans="1:45">
      <c r="A997" s="290"/>
      <c r="B997" s="290"/>
      <c r="C997" s="290"/>
      <c r="D997" s="290"/>
      <c r="E997" s="290"/>
      <c r="F997" s="290"/>
      <c r="G997" s="290"/>
      <c r="H997" s="289"/>
      <c r="I997" s="289"/>
      <c r="J997" s="289"/>
      <c r="K997" s="289"/>
      <c r="L997" s="289"/>
      <c r="M997" s="289"/>
      <c r="N997" s="289"/>
      <c r="O997" s="289"/>
      <c r="P997" s="352">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8"/>
      <c r="AS997" s="288"/>
    </row>
    <row r="998" spans="1:45">
      <c r="A998" s="290"/>
      <c r="B998" s="290"/>
      <c r="C998" s="290"/>
      <c r="D998" s="290"/>
      <c r="E998" s="290"/>
      <c r="F998" s="290"/>
      <c r="G998" s="290"/>
      <c r="H998" s="289"/>
      <c r="I998" s="289"/>
      <c r="J998" s="289"/>
      <c r="K998" s="289"/>
      <c r="L998" s="289"/>
      <c r="M998" s="289"/>
      <c r="N998" s="289"/>
      <c r="O998" s="289"/>
      <c r="P998" s="352">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8"/>
      <c r="AS998" s="288"/>
    </row>
    <row r="999" spans="1:45">
      <c r="A999" s="290"/>
      <c r="B999" s="290"/>
      <c r="C999" s="290"/>
      <c r="D999" s="290"/>
      <c r="E999" s="290"/>
      <c r="F999" s="290"/>
      <c r="G999" s="290"/>
      <c r="H999" s="289"/>
      <c r="I999" s="289"/>
      <c r="J999" s="289"/>
      <c r="K999" s="289"/>
      <c r="L999" s="289"/>
      <c r="M999" s="289"/>
      <c r="N999" s="289"/>
      <c r="O999" s="289"/>
      <c r="P999" s="352">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8"/>
      <c r="AS999" s="288"/>
    </row>
    <row r="1000" spans="1:45">
      <c r="A1000" s="290"/>
      <c r="B1000" s="290"/>
      <c r="C1000" s="290"/>
      <c r="D1000" s="290"/>
      <c r="E1000" s="290"/>
      <c r="F1000" s="290"/>
      <c r="G1000" s="290"/>
      <c r="H1000" s="289"/>
      <c r="I1000" s="289"/>
      <c r="J1000" s="289"/>
      <c r="K1000" s="289"/>
      <c r="L1000" s="289"/>
      <c r="M1000" s="289"/>
      <c r="N1000" s="289"/>
      <c r="O1000" s="289"/>
      <c r="P1000" s="352">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8"/>
      <c r="AS1000" s="288"/>
    </row>
  </sheetData>
  <sheetProtection password="CDF4"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scale="64"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sheetPr codeName="Sheet12"/>
  <dimension ref="A1:B35"/>
  <sheetViews>
    <sheetView workbookViewId="0">
      <selection activeCell="C12" sqref="C12"/>
    </sheetView>
  </sheetViews>
  <sheetFormatPr defaultColWidth="8.85546875" defaultRowHeight="15"/>
  <cols>
    <col min="1" max="1" width="14.42578125" customWidth="1"/>
    <col min="2" max="2" width="16.42578125" customWidth="1"/>
  </cols>
  <sheetData>
    <row r="1" spans="1:2" s="14" customFormat="1" ht="30">
      <c r="A1" s="14" t="s">
        <v>1255</v>
      </c>
      <c r="B1" s="14" t="s">
        <v>1262</v>
      </c>
    </row>
    <row r="2" spans="1:2">
      <c r="A2" t="s">
        <v>1284</v>
      </c>
      <c r="B2" s="95" t="s">
        <v>1264</v>
      </c>
    </row>
    <row r="3" spans="1:2">
      <c r="A3" t="s">
        <v>1293</v>
      </c>
      <c r="B3" s="95" t="s">
        <v>1263</v>
      </c>
    </row>
    <row r="4" spans="1:2">
      <c r="A4" t="s">
        <v>1266</v>
      </c>
      <c r="B4" t="s">
        <v>1265</v>
      </c>
    </row>
    <row r="5" spans="1:2">
      <c r="A5" t="s">
        <v>1285</v>
      </c>
    </row>
    <row r="6" spans="1:2">
      <c r="A6" t="s">
        <v>1261</v>
      </c>
    </row>
    <row r="7" spans="1:2">
      <c r="A7" t="s">
        <v>1256</v>
      </c>
    </row>
    <row r="8" spans="1:2">
      <c r="A8" t="s">
        <v>1286</v>
      </c>
    </row>
    <row r="9" spans="1:2">
      <c r="A9" t="s">
        <v>1267</v>
      </c>
    </row>
    <row r="10" spans="1:2">
      <c r="A10" t="s">
        <v>1287</v>
      </c>
    </row>
    <row r="11" spans="1:2">
      <c r="A11" t="s">
        <v>1258</v>
      </c>
    </row>
    <row r="12" spans="1:2">
      <c r="A12" t="s">
        <v>1270</v>
      </c>
    </row>
    <row r="13" spans="1:2">
      <c r="A13" t="s">
        <v>1271</v>
      </c>
    </row>
    <row r="14" spans="1:2">
      <c r="A14" t="s">
        <v>1273</v>
      </c>
    </row>
    <row r="15" spans="1:2">
      <c r="A15" t="s">
        <v>1274</v>
      </c>
    </row>
    <row r="16" spans="1:2">
      <c r="A16" t="s">
        <v>1259</v>
      </c>
    </row>
    <row r="17" spans="1:1">
      <c r="A17" t="s">
        <v>1275</v>
      </c>
    </row>
    <row r="18" spans="1:1">
      <c r="A18" t="s">
        <v>1276</v>
      </c>
    </row>
    <row r="19" spans="1:1">
      <c r="A19" t="s">
        <v>1260</v>
      </c>
    </row>
    <row r="20" spans="1:1">
      <c r="A20" t="s">
        <v>1277</v>
      </c>
    </row>
    <row r="21" spans="1:1">
      <c r="A21" t="s">
        <v>1278</v>
      </c>
    </row>
    <row r="22" spans="1:1">
      <c r="A22" t="s">
        <v>1279</v>
      </c>
    </row>
    <row r="23" spans="1:1">
      <c r="A23" t="s">
        <v>1280</v>
      </c>
    </row>
    <row r="24" spans="1:1">
      <c r="A24" t="s">
        <v>1288</v>
      </c>
    </row>
    <row r="25" spans="1:1">
      <c r="A25" t="s">
        <v>1289</v>
      </c>
    </row>
    <row r="26" spans="1:1">
      <c r="A26" t="s">
        <v>1257</v>
      </c>
    </row>
    <row r="27" spans="1:1">
      <c r="A27" t="s">
        <v>1268</v>
      </c>
    </row>
    <row r="28" spans="1:1">
      <c r="A28" t="s">
        <v>1269</v>
      </c>
    </row>
    <row r="29" spans="1:1">
      <c r="A29" t="s">
        <v>1272</v>
      </c>
    </row>
    <row r="30" spans="1:1">
      <c r="A30" t="s">
        <v>1291</v>
      </c>
    </row>
    <row r="31" spans="1:1">
      <c r="A31" t="s">
        <v>1290</v>
      </c>
    </row>
    <row r="32" spans="1:1">
      <c r="A32" t="s">
        <v>1281</v>
      </c>
    </row>
    <row r="33" spans="1:1">
      <c r="A33" t="s">
        <v>1282</v>
      </c>
    </row>
    <row r="34" spans="1:1">
      <c r="A34" t="s">
        <v>1283</v>
      </c>
    </row>
    <row r="35" spans="1:1">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
    <pageSetUpPr fitToPage="1"/>
  </sheetPr>
  <dimension ref="A1:U27"/>
  <sheetViews>
    <sheetView showZeros="0" topLeftCell="C1" zoomScale="90" zoomScaleNormal="90" zoomScaleSheetLayoutView="70" workbookViewId="0">
      <selection activeCell="C19" sqref="C19"/>
    </sheetView>
  </sheetViews>
  <sheetFormatPr defaultColWidth="0" defaultRowHeight="14.25"/>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c r="A1" s="422" t="s">
        <v>8</v>
      </c>
      <c r="B1" s="422"/>
      <c r="C1" s="422"/>
      <c r="D1" s="422"/>
      <c r="E1" s="422"/>
      <c r="F1" s="422"/>
      <c r="G1" s="422"/>
      <c r="H1" s="422"/>
      <c r="I1" s="422"/>
      <c r="J1" s="422"/>
      <c r="K1" s="422"/>
      <c r="L1" s="422"/>
      <c r="M1" s="422"/>
      <c r="N1" s="422"/>
      <c r="O1" s="74"/>
      <c r="P1" s="74"/>
      <c r="Q1" s="74"/>
      <c r="R1" s="74"/>
      <c r="S1" s="74"/>
      <c r="T1" s="74"/>
      <c r="U1" s="74"/>
    </row>
    <row r="2" spans="1:21" s="261" customFormat="1" ht="20.25" customHeight="1">
      <c r="A2" s="423" t="s">
        <v>9</v>
      </c>
      <c r="B2" s="423"/>
      <c r="C2" s="423"/>
      <c r="D2" s="423"/>
      <c r="E2" s="423"/>
      <c r="F2" s="423"/>
      <c r="G2" s="423"/>
      <c r="H2" s="423"/>
      <c r="I2" s="423"/>
      <c r="J2" s="423"/>
      <c r="K2" s="423"/>
      <c r="L2" s="423"/>
      <c r="M2" s="423"/>
      <c r="N2" s="423"/>
      <c r="O2" s="75"/>
      <c r="P2" s="75"/>
      <c r="Q2" s="75"/>
      <c r="R2" s="75"/>
      <c r="S2" s="75"/>
      <c r="T2" s="75"/>
      <c r="U2" s="75"/>
    </row>
    <row r="3" spans="1:21" s="261" customFormat="1" ht="24" customHeight="1" thickBot="1">
      <c r="A3" s="418" t="s">
        <v>1378</v>
      </c>
      <c r="B3" s="418"/>
      <c r="C3" s="418"/>
      <c r="D3" s="418"/>
      <c r="E3" s="418"/>
      <c r="F3" s="418"/>
      <c r="G3" s="418"/>
      <c r="H3" s="418"/>
      <c r="I3" s="418"/>
      <c r="J3" s="418"/>
      <c r="K3" s="418"/>
      <c r="L3" s="418"/>
      <c r="M3" s="418"/>
      <c r="N3" s="418"/>
      <c r="O3" s="76"/>
      <c r="P3" s="76"/>
      <c r="Q3" s="76"/>
      <c r="R3" s="76"/>
      <c r="S3" s="76"/>
      <c r="T3" s="76"/>
      <c r="U3" s="76"/>
    </row>
    <row r="4" spans="1:21" s="79" customFormat="1" ht="33.75" customHeight="1">
      <c r="A4" s="334" t="s">
        <v>10</v>
      </c>
      <c r="B4" s="244" t="str">
        <f>'Start Here'!B4:D4</f>
        <v>Pinole</v>
      </c>
      <c r="C4" s="332"/>
      <c r="D4" s="78"/>
      <c r="E4" s="78"/>
      <c r="F4" s="78"/>
      <c r="G4" s="78"/>
      <c r="H4" s="78"/>
      <c r="I4" s="431" t="s">
        <v>1372</v>
      </c>
      <c r="J4" s="432"/>
      <c r="K4" s="432"/>
      <c r="L4" s="432"/>
      <c r="M4" s="433"/>
    </row>
    <row r="5" spans="1:21" s="79" customFormat="1" ht="22.5" customHeight="1" thickBot="1">
      <c r="A5" s="334" t="s">
        <v>36</v>
      </c>
      <c r="B5" s="243">
        <f>'Start Here'!B5:C5</f>
        <v>2018</v>
      </c>
      <c r="C5" s="333" t="str">
        <f>'Table A'!C5</f>
        <v>(Jan. 1 - Dec. 31)</v>
      </c>
      <c r="D5" s="78"/>
      <c r="E5" s="106"/>
      <c r="F5" s="106"/>
      <c r="G5" s="106"/>
      <c r="H5" s="106"/>
      <c r="I5" s="434" t="s">
        <v>1292</v>
      </c>
      <c r="J5" s="435"/>
      <c r="K5" s="435"/>
      <c r="L5" s="435"/>
      <c r="M5" s="436"/>
    </row>
    <row r="7" spans="1:21" ht="18">
      <c r="A7" s="427" t="s">
        <v>13</v>
      </c>
      <c r="B7" s="427"/>
      <c r="C7" s="427"/>
      <c r="D7" s="427"/>
      <c r="E7" s="427"/>
      <c r="F7" s="427"/>
      <c r="G7" s="427"/>
      <c r="H7" s="427"/>
      <c r="I7" s="427"/>
      <c r="J7" s="427"/>
      <c r="K7" s="427"/>
      <c r="L7" s="427"/>
      <c r="M7" s="427"/>
      <c r="N7" s="427"/>
    </row>
    <row r="8" spans="1:21" ht="18">
      <c r="A8" s="427" t="s">
        <v>84</v>
      </c>
      <c r="B8" s="427"/>
      <c r="C8" s="427"/>
      <c r="D8" s="427"/>
      <c r="E8" s="427"/>
      <c r="F8" s="427"/>
      <c r="G8" s="427"/>
      <c r="H8" s="427"/>
      <c r="I8" s="427"/>
      <c r="J8" s="427"/>
      <c r="K8" s="427"/>
      <c r="L8" s="427"/>
      <c r="M8" s="427"/>
      <c r="N8" s="427"/>
    </row>
    <row r="9" spans="1:21" ht="18">
      <c r="A9" s="427" t="s">
        <v>14</v>
      </c>
      <c r="B9" s="427"/>
      <c r="C9" s="427"/>
      <c r="D9" s="427"/>
      <c r="E9" s="427"/>
      <c r="F9" s="427"/>
      <c r="G9" s="427"/>
      <c r="H9" s="427"/>
      <c r="I9" s="427"/>
      <c r="J9" s="427"/>
      <c r="K9" s="427"/>
      <c r="L9" s="427"/>
      <c r="M9" s="427"/>
      <c r="N9" s="427"/>
    </row>
    <row r="10" spans="1:21">
      <c r="A10" s="107"/>
      <c r="B10" s="107"/>
      <c r="C10" s="210">
        <v>1</v>
      </c>
      <c r="D10" s="426">
        <v>2</v>
      </c>
      <c r="E10" s="426"/>
      <c r="F10" s="426"/>
      <c r="G10" s="426"/>
      <c r="H10" s="426"/>
      <c r="I10" s="426"/>
      <c r="J10" s="426"/>
      <c r="K10" s="426"/>
      <c r="L10" s="426"/>
      <c r="M10" s="210">
        <v>3</v>
      </c>
      <c r="N10" s="210">
        <v>4</v>
      </c>
    </row>
    <row r="11" spans="1:21" ht="58.5" customHeight="1">
      <c r="A11" s="440" t="s">
        <v>15</v>
      </c>
      <c r="B11" s="440"/>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c r="A12" s="424" t="s">
        <v>16</v>
      </c>
      <c r="B12" s="207" t="s">
        <v>5</v>
      </c>
      <c r="C12" s="425">
        <f>VLOOKUP($B$4,'RHNA Allocations'!$C$2:$H$540,2,0)</f>
        <v>80</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0">
        <f>SUM(D12:L12)+SUM(D13:L13)</f>
        <v>0</v>
      </c>
      <c r="N12" s="428">
        <f>MAX(0,C12-M12)</f>
        <v>80</v>
      </c>
    </row>
    <row r="13" spans="1:21">
      <c r="A13" s="424"/>
      <c r="B13" s="207" t="s">
        <v>20</v>
      </c>
      <c r="C13" s="425"/>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9"/>
      <c r="N13" s="429"/>
    </row>
    <row r="14" spans="1:21">
      <c r="A14" s="424" t="s">
        <v>17</v>
      </c>
      <c r="B14" s="207" t="s">
        <v>5</v>
      </c>
      <c r="C14" s="425">
        <f>VLOOKUP($B$4,'RHNA Allocations'!$C$2:$H$540,3,0)</f>
        <v>48</v>
      </c>
      <c r="D14" s="11">
        <f>IF(D$11=$B$5,'Table A2'!$S$12+'Table F'!$H$16,IF(D$11&lt;$B$5,(VLOOKUP(CONCATENATE($B$4," ",D$11),'RHNA past year values'!$D$2:$V$2433,9,0)),0))</f>
        <v>0</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0">
        <f>SUM(D14:L14)+SUM(D15:L15)</f>
        <v>0</v>
      </c>
      <c r="N14" s="428">
        <f>MAX(0,C14-M14)</f>
        <v>48</v>
      </c>
    </row>
    <row r="15" spans="1:21">
      <c r="A15" s="424"/>
      <c r="B15" s="207" t="s">
        <v>20</v>
      </c>
      <c r="C15" s="425"/>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9"/>
      <c r="N15" s="429"/>
    </row>
    <row r="16" spans="1:21">
      <c r="A16" s="424" t="s">
        <v>18</v>
      </c>
      <c r="B16" s="207" t="s">
        <v>5</v>
      </c>
      <c r="C16" s="425">
        <f>VLOOKUP($B$4,'RHNA Allocations'!$C$2:$H$540,4,0)</f>
        <v>43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0">
        <f>SUM(D16:L16)+SUM(D17:L17)</f>
        <v>1</v>
      </c>
      <c r="N16" s="428">
        <f>MAX(0,C16-M16)</f>
        <v>42</v>
      </c>
    </row>
    <row r="17" spans="1:14">
      <c r="A17" s="424"/>
      <c r="B17" s="207" t="s">
        <v>20</v>
      </c>
      <c r="C17" s="425"/>
      <c r="D17" s="11">
        <f>IF(D$11=$B$5,'Table A2'!$V$12,IF(D$11&lt;$B$5,(VLOOKUP(CONCATENATE($B$4," ",D$11),'RHNA past year values'!$D$2:$V$2433,13,0)),0))</f>
        <v>0</v>
      </c>
      <c r="E17" s="11">
        <f>IF(E$11=$B$5,'Table A2'!$V$12,IF(E$11&lt;$B$5,(VLOOKUP(CONCATENATE($B$4," ",E$11),'RHNA past year values'!$D$2:$V$2433,13,0)),0))</f>
        <v>1</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9"/>
      <c r="N17" s="429"/>
    </row>
    <row r="18" spans="1:14" ht="15" thickBot="1">
      <c r="A18" s="195" t="s">
        <v>19</v>
      </c>
      <c r="B18" s="196"/>
      <c r="C18" s="197">
        <f>VLOOKUP($B$4,'RHNA Allocations'!$C$2:$H$540,5,0)</f>
        <v>126</v>
      </c>
      <c r="D18" s="12">
        <f>IF(D$11=$B$5,'Table A2'!$W$12,IF(D$11&lt;$B$5,(VLOOKUP(CONCATENATE($B$4," ",D$11),'RHNA past year values'!$D$2:$V$2433,16,0)),0))</f>
        <v>0</v>
      </c>
      <c r="E18" s="12">
        <f>IF(E$11=$B$5,'Table A2'!$W$12,IF(E$11&lt;$B$5,(VLOOKUP(CONCATENATE($B$4," ",E$11),'RHNA past year values'!$D$2:$V$2433,16,0)),0))</f>
        <v>2</v>
      </c>
      <c r="F18" s="12">
        <f>IF(F$11=$B$5,'Table A2'!$W$12,IF(F$11&lt;$B$5,(VLOOKUP(CONCATENATE($B$4," ",F$11),'RHNA past year values'!$D$2:$V$2433,16,0)),0))</f>
        <v>2</v>
      </c>
      <c r="G18" s="12">
        <f>IF(G$11=$B$5,'Table A2'!$W$12,IF(G$11&lt;$B$5,(VLOOKUP(CONCATENATE($B$4," ",G$11),'RHNA past year values'!$D$2:$V$2433,16,0)),0))</f>
        <v>2</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6</v>
      </c>
      <c r="N18" s="199">
        <f>MAX(0,C18-M18)</f>
        <v>120</v>
      </c>
    </row>
    <row r="19" spans="1:14" ht="15" thickTop="1">
      <c r="A19" s="437" t="s">
        <v>80</v>
      </c>
      <c r="B19" s="438"/>
      <c r="C19" s="200">
        <f>SUM(C12:C18)</f>
        <v>297</v>
      </c>
      <c r="D19" s="201"/>
      <c r="E19" s="201"/>
      <c r="F19" s="201"/>
      <c r="G19" s="201"/>
      <c r="H19" s="201"/>
      <c r="I19" s="201"/>
      <c r="J19" s="201"/>
      <c r="K19" s="201"/>
      <c r="L19" s="201"/>
      <c r="M19" s="201"/>
      <c r="N19" s="202"/>
    </row>
    <row r="20" spans="1:14">
      <c r="A20" s="439" t="s">
        <v>1377</v>
      </c>
      <c r="B20" s="439"/>
      <c r="C20" s="439"/>
      <c r="D20" s="203">
        <f t="shared" ref="D20:N20" si="0">SUM(D12:D18)</f>
        <v>0</v>
      </c>
      <c r="E20" s="203">
        <f t="shared" si="0"/>
        <v>3</v>
      </c>
      <c r="F20" s="203">
        <f t="shared" si="0"/>
        <v>2</v>
      </c>
      <c r="G20" s="203">
        <f t="shared" si="0"/>
        <v>2</v>
      </c>
      <c r="H20" s="203">
        <f t="shared" si="0"/>
        <v>0</v>
      </c>
      <c r="I20" s="203">
        <f t="shared" si="0"/>
        <v>0</v>
      </c>
      <c r="J20" s="203">
        <f t="shared" si="0"/>
        <v>0</v>
      </c>
      <c r="K20" s="203">
        <f t="shared" si="0"/>
        <v>0</v>
      </c>
      <c r="L20" s="203">
        <f t="shared" si="0"/>
        <v>0</v>
      </c>
      <c r="M20" s="203">
        <f t="shared" si="0"/>
        <v>7</v>
      </c>
      <c r="N20" s="203">
        <f t="shared" si="0"/>
        <v>290</v>
      </c>
    </row>
    <row r="21" spans="1:14">
      <c r="A21" s="109" t="s">
        <v>79</v>
      </c>
      <c r="B21" s="294"/>
      <c r="C21" s="294"/>
      <c r="D21" s="110"/>
      <c r="E21" s="110"/>
      <c r="F21" s="79"/>
      <c r="G21" s="79"/>
      <c r="H21" s="79"/>
      <c r="I21" s="79"/>
      <c r="J21" s="79"/>
      <c r="K21" s="79"/>
      <c r="L21" s="79"/>
      <c r="M21" s="79"/>
      <c r="N21" s="261"/>
    </row>
    <row r="22" spans="1:14">
      <c r="A22" s="97" t="s">
        <v>108</v>
      </c>
    </row>
    <row r="26" spans="1:14" ht="40.35" customHeight="1"/>
    <row r="27" spans="1:14" ht="29.45" customHeight="1"/>
  </sheetData>
  <sheetProtection algorithmName="SHA-512" hashValue="cbkEWJ93IVT1B8kgYmWh2qSlvPMv0nM0lOxzpkLBmC2DWxFpi1dyr6D72Oq9v+Ph28D7I6iKzAd/wKcwlhFung==" saltValue="tu6G9/MXAUkUXD5vAUDQOA==" spinCount="100000" sheet="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sheetPr codeName="Sheet10"/>
  <dimension ref="A1:O540"/>
  <sheetViews>
    <sheetView topLeftCell="E10" zoomScale="70" zoomScaleNormal="70" zoomScalePageLayoutView="48" workbookViewId="0">
      <selection activeCell="E39" sqref="A39:XFD39"/>
    </sheetView>
  </sheetViews>
  <sheetFormatPr defaultColWidth="8.85546875" defaultRowHeight="1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sheetPr codeName="Sheet13"/>
  <dimension ref="A1:V2433"/>
  <sheetViews>
    <sheetView topLeftCell="A380" zoomScale="50" zoomScaleNormal="50" workbookViewId="0">
      <selection activeCell="O384" sqref="O384"/>
    </sheetView>
  </sheetViews>
  <sheetFormatPr defaultRowHeight="15"/>
  <cols>
    <col min="1" max="1" width="33.7109375" customWidth="1"/>
    <col min="2" max="2" width="24.140625" customWidth="1"/>
    <col min="4" max="4" width="38.140625" customWidth="1"/>
    <col min="19" max="19" width="12.28515625" customWidth="1"/>
  </cols>
  <sheetData>
    <row r="1" spans="1:22" ht="51">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c r="A3" t="s">
        <v>928</v>
      </c>
      <c r="B3" s="37" t="str">
        <f>VLOOKUP(A3,'Planning Periods'!$E$2:$N$540,10,FALSE)</f>
        <v>10/15/2013 - 10/15/2021</v>
      </c>
      <c r="C3" s="138">
        <v>2014</v>
      </c>
      <c r="D3" s="138" t="str">
        <f t="shared" si="0"/>
        <v>Adelanto 2014</v>
      </c>
      <c r="E3" s="136"/>
    </row>
    <row r="4" spans="1:22">
      <c r="A4" t="s">
        <v>928</v>
      </c>
      <c r="B4" s="37" t="str">
        <f>VLOOKUP(A4,'Planning Periods'!$E$2:$N$540,10,FALSE)</f>
        <v>10/15/2013 - 10/15/2021</v>
      </c>
      <c r="C4" s="138">
        <v>2015</v>
      </c>
      <c r="D4" s="138" t="str">
        <f t="shared" si="0"/>
        <v>Adelanto 2015</v>
      </c>
    </row>
    <row r="5" spans="1:22" s="145" customFormat="1">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c r="A6" t="s">
        <v>928</v>
      </c>
      <c r="B6" s="37" t="str">
        <f>VLOOKUP(A6,'Planning Periods'!$E$2:$N$540,10,FALSE)</f>
        <v>10/15/2013 - 10/15/2021</v>
      </c>
      <c r="C6" s="138">
        <v>2017</v>
      </c>
      <c r="D6" s="138" t="str">
        <f>CONCATENATE(A6," ",C6)</f>
        <v>Adelanto 2017</v>
      </c>
    </row>
    <row r="7" spans="1:22">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c r="A39" t="s">
        <v>1026</v>
      </c>
      <c r="B39" s="37" t="str">
        <f>VLOOKUP(A39,'Planning Periods'!$E$2:$N$540,10,FALSE)</f>
        <v>06/30/2014 - 06/30/2019</v>
      </c>
      <c r="C39" s="138">
        <v>2015</v>
      </c>
      <c r="D39" s="138" t="str">
        <f t="shared" si="0"/>
        <v>Alturas 2015</v>
      </c>
    </row>
    <row r="40" spans="1:22">
      <c r="A40" t="s">
        <v>1026</v>
      </c>
      <c r="B40" s="37" t="str">
        <f>VLOOKUP(A40,'Planning Periods'!$E$2:$N$540,10,FALSE)</f>
        <v>06/30/2014 - 06/30/2019</v>
      </c>
      <c r="C40" s="138">
        <v>2016</v>
      </c>
      <c r="D40" s="138" t="str">
        <f t="shared" si="0"/>
        <v>Alturas 2016</v>
      </c>
    </row>
    <row r="41" spans="1:22">
      <c r="A41" t="s">
        <v>1026</v>
      </c>
      <c r="B41" s="37" t="str">
        <f>VLOOKUP(A41,'Planning Periods'!$E$2:$N$540,10,FALSE)</f>
        <v>06/30/2014 - 06/30/2019</v>
      </c>
      <c r="C41" s="138">
        <v>2017</v>
      </c>
      <c r="D41" s="138" t="str">
        <f t="shared" si="0"/>
        <v>Alturas 2017</v>
      </c>
    </row>
    <row r="42" spans="1:22">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c r="A43" t="s">
        <v>1230</v>
      </c>
      <c r="B43" s="37" t="str">
        <f>VLOOKUP(A43,'Planning Periods'!$E$2:$N$540,10,FALSE)</f>
        <v>06/30/2014 - 06/30/2019</v>
      </c>
      <c r="C43" s="138">
        <v>2015</v>
      </c>
      <c r="D43" s="138" t="str">
        <f t="shared" si="0"/>
        <v>Amador City 2015</v>
      </c>
    </row>
    <row r="44" spans="1:22">
      <c r="A44" t="s">
        <v>1230</v>
      </c>
      <c r="B44" s="37" t="str">
        <f>VLOOKUP(A44,'Planning Periods'!$E$2:$N$540,10,FALSE)</f>
        <v>06/30/2014 - 06/30/2019</v>
      </c>
      <c r="C44" s="138">
        <v>2016</v>
      </c>
      <c r="D44" s="138" t="str">
        <f t="shared" si="0"/>
        <v>Amador City 2016</v>
      </c>
    </row>
    <row r="45" spans="1:22">
      <c r="A45" t="s">
        <v>1230</v>
      </c>
      <c r="B45" s="37" t="str">
        <f>VLOOKUP(A45,'Planning Periods'!$E$2:$N$540,10,FALSE)</f>
        <v>06/30/2014 - 06/30/2019</v>
      </c>
      <c r="C45" s="138">
        <v>2017</v>
      </c>
      <c r="D45" s="138" t="str">
        <f t="shared" si="0"/>
        <v>Amador City 2017</v>
      </c>
    </row>
    <row r="46" spans="1:22">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c r="A64" t="s">
        <v>1344</v>
      </c>
      <c r="B64" s="37" t="str">
        <f>VLOOKUP(A64,'Planning Periods'!$E$2:$N$540,10,FALSE)</f>
        <v>06/30/2014 - 06/30/2019</v>
      </c>
      <c r="C64" s="138">
        <v>2015</v>
      </c>
      <c r="D64" s="138" t="str">
        <f t="shared" si="0"/>
        <v>Angels Camp 2015</v>
      </c>
    </row>
    <row r="65" spans="1:22">
      <c r="A65" t="s">
        <v>1344</v>
      </c>
      <c r="B65" s="37" t="str">
        <f>VLOOKUP(A65,'Planning Periods'!$E$2:$N$540,10,FALSE)</f>
        <v>06/30/2014 - 06/30/2019</v>
      </c>
      <c r="C65" s="138">
        <v>2016</v>
      </c>
      <c r="D65" s="138" t="str">
        <f t="shared" si="0"/>
        <v>Angels Camp 2016</v>
      </c>
    </row>
    <row r="66" spans="1:22">
      <c r="A66" t="s">
        <v>1344</v>
      </c>
      <c r="B66" s="37" t="str">
        <f>VLOOKUP(A66,'Planning Periods'!$E$2:$N$540,10,FALSE)</f>
        <v>06/30/2014 - 06/30/2019</v>
      </c>
      <c r="C66" s="138">
        <v>2017</v>
      </c>
      <c r="D66" s="138" t="str">
        <f t="shared" si="0"/>
        <v>Angels Camp 2017</v>
      </c>
    </row>
    <row r="67" spans="1:22">
      <c r="A67" t="s">
        <v>1216</v>
      </c>
      <c r="B67" s="37" t="str">
        <f>VLOOKUP(A67,'Planning Periods'!$E$2:$N$540,10,FALSE)</f>
        <v>01/31/2015 - 01/31/2023</v>
      </c>
      <c r="C67" s="138">
        <v>2014</v>
      </c>
      <c r="D67" s="138" t="str">
        <f t="shared" ref="D67:D131" si="1">CONCATENATE(A67," ",C67)</f>
        <v>Antioch 2014</v>
      </c>
    </row>
    <row r="68" spans="1:22">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c r="A128" t="s">
        <v>1130</v>
      </c>
      <c r="B128" s="37" t="str">
        <f>VLOOKUP(A128,'Planning Periods'!$E$2:$N$540,10,FALSE)</f>
        <v>10/15/2013 - 10/15/2021</v>
      </c>
      <c r="C128" s="138">
        <v>2015</v>
      </c>
      <c r="D128" s="138" t="str">
        <f t="shared" si="1"/>
        <v>Azusa 2015</v>
      </c>
    </row>
    <row r="129" spans="1:22">
      <c r="A129" t="s">
        <v>1130</v>
      </c>
      <c r="B129" s="37" t="str">
        <f>VLOOKUP(A129,'Planning Periods'!$E$2:$N$540,10,FALSE)</f>
        <v>10/15/2013 - 10/15/2021</v>
      </c>
      <c r="C129" s="138">
        <v>2016</v>
      </c>
      <c r="D129" s="138" t="str">
        <f t="shared" si="1"/>
        <v>Azusa 2016</v>
      </c>
    </row>
    <row r="130" spans="1:22">
      <c r="A130" t="s">
        <v>1130</v>
      </c>
      <c r="B130" s="37" t="str">
        <f>VLOOKUP(A130,'Planning Periods'!$E$2:$N$540,10,FALSE)</f>
        <v>10/15/2013 - 10/15/2021</v>
      </c>
      <c r="C130" s="138">
        <v>2017</v>
      </c>
      <c r="D130" s="138" t="str">
        <f t="shared" si="1"/>
        <v>Azusa 2017</v>
      </c>
    </row>
    <row r="131" spans="1:22">
      <c r="A131" s="139" t="s">
        <v>1156</v>
      </c>
      <c r="B131" s="37" t="str">
        <f>VLOOKUP(A131,'Planning Periods'!$E$2:$N$540,10,FALSE)</f>
        <v>12/31/2015 - 12/31/2023</v>
      </c>
      <c r="C131" s="138">
        <v>2013</v>
      </c>
      <c r="D131" s="138" t="str">
        <f t="shared" si="1"/>
        <v>Bakersfield 2013</v>
      </c>
    </row>
    <row r="132" spans="1:22">
      <c r="A132" s="139" t="s">
        <v>1156</v>
      </c>
      <c r="B132" s="37" t="str">
        <f>VLOOKUP(A132,'Planning Periods'!$E$2:$N$540,10,FALSE)</f>
        <v>12/31/2015 - 12/31/2023</v>
      </c>
      <c r="C132" s="138">
        <v>2014</v>
      </c>
      <c r="D132" s="138" t="str">
        <f t="shared" ref="D132:D203" si="2">CONCATENATE(A132," ",C132)</f>
        <v>Bakersfield 2014</v>
      </c>
    </row>
    <row r="133" spans="1:22">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c r="A206" t="s">
        <v>1174</v>
      </c>
      <c r="B206" s="37" t="str">
        <f>VLOOKUP(A206,'Planning Periods'!$E$2:$N$540,10,FALSE)</f>
        <v>06/30/2014 - 06/30/2019</v>
      </c>
      <c r="C206" s="138">
        <v>2015</v>
      </c>
      <c r="D206" s="138" t="str">
        <f t="shared" si="3"/>
        <v>Blue Lake 2015</v>
      </c>
    </row>
    <row r="207" spans="1:22">
      <c r="A207" t="s">
        <v>1174</v>
      </c>
      <c r="B207" s="37" t="str">
        <f>VLOOKUP(A207,'Planning Periods'!$E$2:$N$540,10,FALSE)</f>
        <v>06/30/2014 - 06/30/2019</v>
      </c>
      <c r="C207" s="138">
        <v>2016</v>
      </c>
      <c r="D207" s="138" t="str">
        <f t="shared" si="3"/>
        <v>Blue Lake 2016</v>
      </c>
    </row>
    <row r="208" spans="1:22">
      <c r="A208" t="s">
        <v>1174</v>
      </c>
      <c r="B208" s="37" t="str">
        <f>VLOOKUP(A208,'Planning Periods'!$E$2:$N$540,10,FALSE)</f>
        <v>06/30/2014 - 06/30/2019</v>
      </c>
      <c r="C208" s="138">
        <v>2017</v>
      </c>
      <c r="D208" s="138" t="str">
        <f t="shared" si="3"/>
        <v>Blue Lake 2017</v>
      </c>
    </row>
    <row r="209" spans="1:22">
      <c r="A209" s="139" t="s">
        <v>960</v>
      </c>
      <c r="B209" s="37"/>
      <c r="C209" s="138">
        <v>2013</v>
      </c>
      <c r="D209" s="138" t="str">
        <f t="shared" si="3"/>
        <v>Blythe 2013</v>
      </c>
    </row>
    <row r="210" spans="1:22">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c r="A211" t="s">
        <v>960</v>
      </c>
      <c r="B211" s="37" t="str">
        <f>VLOOKUP(A211,'Planning Periods'!$E$2:$N$540,10,FALSE)</f>
        <v>10/15/2013 - 10/15/2021</v>
      </c>
      <c r="C211" s="138">
        <v>2015</v>
      </c>
      <c r="D211" s="138" t="str">
        <f t="shared" si="3"/>
        <v>Blythe 2015</v>
      </c>
    </row>
    <row r="212" spans="1:22">
      <c r="A212" t="s">
        <v>960</v>
      </c>
      <c r="B212" s="37" t="str">
        <f>VLOOKUP(A212,'Planning Periods'!$E$2:$N$540,10,FALSE)</f>
        <v>10/15/2013 - 10/15/2021</v>
      </c>
      <c r="C212" s="138">
        <v>2016</v>
      </c>
      <c r="D212" s="138" t="str">
        <f t="shared" si="3"/>
        <v>Blythe 2016</v>
      </c>
    </row>
    <row r="213" spans="1:22">
      <c r="A213" t="s">
        <v>960</v>
      </c>
      <c r="B213" s="37" t="str">
        <f>VLOOKUP(A213,'Planning Periods'!$E$2:$N$540,10,FALSE)</f>
        <v>10/15/2013 - 10/15/2021</v>
      </c>
      <c r="C213" s="138">
        <v>2017</v>
      </c>
      <c r="D213" s="138" t="str">
        <f t="shared" si="3"/>
        <v>Blythe 2017</v>
      </c>
    </row>
    <row r="214" spans="1:22">
      <c r="A214" t="s">
        <v>1124</v>
      </c>
      <c r="B214" s="37"/>
      <c r="C214" s="138">
        <v>2013</v>
      </c>
      <c r="D214" s="138" t="str">
        <f t="shared" si="3"/>
        <v>Bradbury 2013</v>
      </c>
    </row>
    <row r="215" spans="1:22">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c r="A216" t="s">
        <v>1124</v>
      </c>
      <c r="B216" s="37" t="str">
        <f>VLOOKUP(A216,'Planning Periods'!$E$2:$N$540,10,FALSE)</f>
        <v>10/15/2013 - 10/15/2021</v>
      </c>
      <c r="C216" s="138">
        <v>2015</v>
      </c>
      <c r="D216" s="138" t="str">
        <f t="shared" si="3"/>
        <v>Bradbury 2015</v>
      </c>
    </row>
    <row r="217" spans="1:22">
      <c r="A217" t="s">
        <v>1124</v>
      </c>
      <c r="B217" s="37" t="str">
        <f>VLOOKUP(A217,'Planning Periods'!$E$2:$N$540,10,FALSE)</f>
        <v>10/15/2013 - 10/15/2021</v>
      </c>
      <c r="C217" s="138">
        <v>2016</v>
      </c>
      <c r="D217" s="138" t="str">
        <f t="shared" si="3"/>
        <v>Bradbury 2016</v>
      </c>
    </row>
    <row r="218" spans="1:22">
      <c r="A218" t="s">
        <v>1124</v>
      </c>
      <c r="B218" s="37" t="str">
        <f>VLOOKUP(A218,'Planning Periods'!$E$2:$N$540,10,FALSE)</f>
        <v>10/15/2013 - 10/15/2021</v>
      </c>
      <c r="C218" s="138">
        <v>2017</v>
      </c>
      <c r="D218" s="138" t="str">
        <f t="shared" si="3"/>
        <v>Bradbury 2017</v>
      </c>
    </row>
    <row r="219" spans="1:22">
      <c r="A219" s="139" t="s">
        <v>1167</v>
      </c>
      <c r="B219" s="37"/>
      <c r="C219" s="138">
        <v>2013</v>
      </c>
      <c r="D219" s="138" t="str">
        <f t="shared" si="3"/>
        <v>Brawley 2013</v>
      </c>
    </row>
    <row r="220" spans="1:22">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c r="A275" t="s">
        <v>1155</v>
      </c>
      <c r="B275" s="37" t="str">
        <f>VLOOKUP(A275,'Planning Periods'!$E$2:$N$540,10,FALSE)</f>
        <v>12/31/2015 - 12/31/2023</v>
      </c>
      <c r="C275" s="138">
        <v>2015</v>
      </c>
      <c r="D275" s="138" t="str">
        <f t="shared" si="3"/>
        <v>California City 2015</v>
      </c>
    </row>
    <row r="276" spans="1:22">
      <c r="A276" t="s">
        <v>1155</v>
      </c>
      <c r="B276" s="37" t="str">
        <f>VLOOKUP(A276,'Planning Periods'!$E$2:$N$540,10,FALSE)</f>
        <v>12/31/2015 - 12/31/2023</v>
      </c>
      <c r="C276" s="138">
        <v>2016</v>
      </c>
      <c r="D276" s="138" t="str">
        <f t="shared" ref="D276:D343" si="4">CONCATENATE(A276," ",C276)</f>
        <v>California City 2016</v>
      </c>
    </row>
    <row r="277" spans="1:22">
      <c r="A277" t="s">
        <v>1155</v>
      </c>
      <c r="B277" s="37" t="str">
        <f>VLOOKUP(A277,'Planning Periods'!$E$2:$N$540,10,FALSE)</f>
        <v>12/31/2015 - 12/31/2023</v>
      </c>
      <c r="C277" s="138">
        <v>2017</v>
      </c>
      <c r="D277" s="138" t="str">
        <f t="shared" si="4"/>
        <v>California City 2017</v>
      </c>
    </row>
    <row r="278" spans="1:22">
      <c r="A278" s="139" t="s">
        <v>959</v>
      </c>
      <c r="B278" s="37"/>
      <c r="C278" s="138">
        <v>2013</v>
      </c>
      <c r="D278" s="138" t="str">
        <f t="shared" si="4"/>
        <v>Calimesa 2013</v>
      </c>
    </row>
    <row r="279" spans="1:22">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c r="A303" t="s">
        <v>958</v>
      </c>
      <c r="B303" s="37" t="str">
        <f>VLOOKUP(A303,'Planning Periods'!$E$2:$N$540,10,FALSE)</f>
        <v>10/15/2013 - 10/15/2021</v>
      </c>
      <c r="C303" s="138">
        <v>2015</v>
      </c>
      <c r="D303" s="138" t="str">
        <f t="shared" si="4"/>
        <v>Canyon Lake 2015</v>
      </c>
    </row>
    <row r="304" spans="1:22">
      <c r="A304" t="s">
        <v>958</v>
      </c>
      <c r="B304" s="37" t="str">
        <f>VLOOKUP(A304,'Planning Periods'!$E$2:$N$540,10,FALSE)</f>
        <v>10/15/2013 - 10/15/2021</v>
      </c>
      <c r="C304" s="138">
        <v>2016</v>
      </c>
      <c r="D304" s="138" t="str">
        <f t="shared" si="4"/>
        <v>Canyon Lake 2016</v>
      </c>
    </row>
    <row r="305" spans="1:22">
      <c r="A305" t="s">
        <v>958</v>
      </c>
      <c r="B305" s="37" t="str">
        <f>VLOOKUP(A305,'Planning Periods'!$E$2:$N$540,10,FALSE)</f>
        <v>10/15/2013 - 10/15/2021</v>
      </c>
      <c r="C305" s="138">
        <v>2017</v>
      </c>
      <c r="D305" s="138" t="str">
        <f t="shared" si="4"/>
        <v>Canyon Lake 2017</v>
      </c>
    </row>
    <row r="306" spans="1:22">
      <c r="A306" s="139" t="s">
        <v>835</v>
      </c>
      <c r="B306" s="37" t="str">
        <f>VLOOKUP(A306,'Planning Periods'!$E$2:$N$540,10,FALSE)</f>
        <v>12/31/2015 - 12/31/2023</v>
      </c>
      <c r="C306" s="138">
        <v>2014</v>
      </c>
      <c r="D306" s="138" t="str">
        <f t="shared" si="4"/>
        <v>Capitola 2014</v>
      </c>
    </row>
    <row r="307" spans="1:22">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c r="A316" t="s">
        <v>1024</v>
      </c>
      <c r="B316" s="37" t="str">
        <f>VLOOKUP(A316,'Planning Periods'!$E$2:$N$540,10,FALSE)</f>
        <v>12/31/2015 - 12/31/2023</v>
      </c>
      <c r="C316" s="138">
        <v>2015</v>
      </c>
      <c r="D316" s="138" t="str">
        <f t="shared" si="4"/>
        <v>Carmel-by-the-Sea 2015</v>
      </c>
    </row>
    <row r="317" spans="1:22">
      <c r="A317" t="s">
        <v>1024</v>
      </c>
      <c r="B317" s="37" t="str">
        <f>VLOOKUP(A317,'Planning Periods'!$E$2:$N$540,10,FALSE)</f>
        <v>12/31/2015 - 12/31/2023</v>
      </c>
      <c r="C317" s="138">
        <v>2016</v>
      </c>
      <c r="D317" s="138" t="str">
        <f t="shared" si="4"/>
        <v>Carmel-by-the-Sea 2016</v>
      </c>
    </row>
    <row r="318" spans="1:22">
      <c r="A318" t="s">
        <v>1024</v>
      </c>
      <c r="B318" s="37" t="str">
        <f>VLOOKUP(A318,'Planning Periods'!$E$2:$N$540,10,FALSE)</f>
        <v>12/31/2015 - 12/31/2023</v>
      </c>
      <c r="C318" s="138">
        <v>2017</v>
      </c>
      <c r="D318" s="138" t="str">
        <f t="shared" si="4"/>
        <v>Carmel-by-the-Sea 2017</v>
      </c>
    </row>
    <row r="319" spans="1:22">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c r="A357" t="s">
        <v>1047</v>
      </c>
      <c r="B357" s="37" t="str">
        <f>VLOOKUP(A357,'Planning Periods'!$E$2:$N$540,10,FALSE)</f>
        <v>01/31/2016 - 01/31/2024</v>
      </c>
      <c r="C357" s="138">
        <v>2015</v>
      </c>
      <c r="D357" s="138" t="str">
        <f t="shared" si="5"/>
        <v>Chowchilla 2015</v>
      </c>
    </row>
    <row r="358" spans="1:22">
      <c r="A358" t="s">
        <v>1047</v>
      </c>
      <c r="B358" s="37" t="str">
        <f>VLOOKUP(A358,'Planning Periods'!$E$2:$N$540,10,FALSE)</f>
        <v>01/31/2016 - 01/31/2024</v>
      </c>
      <c r="C358" s="138">
        <v>2016</v>
      </c>
      <c r="D358" s="138" t="str">
        <f t="shared" si="5"/>
        <v>Chowchilla 2016</v>
      </c>
    </row>
    <row r="359" spans="1:22">
      <c r="A359" t="s">
        <v>1047</v>
      </c>
      <c r="B359" s="37" t="str">
        <f>VLOOKUP(A359,'Planning Periods'!$E$2:$N$540,10,FALSE)</f>
        <v>01/31/2016 - 01/31/2024</v>
      </c>
      <c r="C359" s="138">
        <v>2017</v>
      </c>
      <c r="D359" s="138" t="str">
        <f t="shared" si="5"/>
        <v>Chowchilla 2017</v>
      </c>
    </row>
    <row r="360" spans="1:22">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c r="A417" t="s">
        <v>1218</v>
      </c>
      <c r="B417" s="37" t="str">
        <f>VLOOKUP(A417,'Planning Periods'!$E$2:$N$540,10,FALSE)</f>
        <v>06/30/2014 - 06/30/2019</v>
      </c>
      <c r="C417" s="138">
        <v>2015</v>
      </c>
      <c r="D417" s="138" t="str">
        <f t="shared" si="6"/>
        <v>Colusa 2015</v>
      </c>
    </row>
    <row r="418" spans="1:22">
      <c r="A418" t="s">
        <v>1218</v>
      </c>
      <c r="B418" s="37" t="str">
        <f>VLOOKUP(A418,'Planning Periods'!$E$2:$N$540,10,FALSE)</f>
        <v>06/30/2014 - 06/30/2019</v>
      </c>
      <c r="C418" s="138">
        <v>2016</v>
      </c>
      <c r="D418" s="138" t="str">
        <f t="shared" si="6"/>
        <v>Colusa 2016</v>
      </c>
    </row>
    <row r="419" spans="1:22">
      <c r="A419" t="s">
        <v>1218</v>
      </c>
      <c r="B419" s="37" t="str">
        <f>VLOOKUP(A419,'Planning Periods'!$E$2:$N$540,10,FALSE)</f>
        <v>06/30/2014 - 06/30/2019</v>
      </c>
      <c r="C419" s="138">
        <v>2017</v>
      </c>
      <c r="D419" s="138" t="str">
        <f t="shared" si="6"/>
        <v>Colusa 2017</v>
      </c>
    </row>
    <row r="420" spans="1:22">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c r="A426" t="s">
        <v>1118</v>
      </c>
      <c r="B426" s="37" t="str">
        <f>VLOOKUP(A426,'Planning Periods'!$E$2:$N$540,10,FALSE)</f>
        <v>10/15/2013 - 10/15/2021</v>
      </c>
      <c r="C426" s="138">
        <v>2015</v>
      </c>
      <c r="D426" s="138" t="str">
        <f t="shared" si="6"/>
        <v>Commerce 2015</v>
      </c>
    </row>
    <row r="427" spans="1:22">
      <c r="A427" t="s">
        <v>1118</v>
      </c>
      <c r="B427" s="37" t="str">
        <f>VLOOKUP(A427,'Planning Periods'!$E$2:$N$540,10,FALSE)</f>
        <v>10/15/2013 - 10/15/2021</v>
      </c>
      <c r="C427" s="138">
        <v>2016</v>
      </c>
      <c r="D427" s="138" t="str">
        <f t="shared" si="6"/>
        <v>Commerce 2016</v>
      </c>
    </row>
    <row r="428" spans="1:22">
      <c r="A428" t="s">
        <v>1118</v>
      </c>
      <c r="B428" s="37" t="str">
        <f>VLOOKUP(A428,'Planning Periods'!$E$2:$N$540,10,FALSE)</f>
        <v>10/15/2013 - 10/15/2021</v>
      </c>
      <c r="C428" s="138">
        <v>2017</v>
      </c>
      <c r="D428" s="138" t="str">
        <f t="shared" si="6"/>
        <v>Commerce 2017</v>
      </c>
    </row>
    <row r="429" spans="1:22">
      <c r="A429" t="s">
        <v>1117</v>
      </c>
      <c r="B429" s="37"/>
      <c r="C429" s="138">
        <v>2013</v>
      </c>
      <c r="D429" s="138" t="str">
        <f t="shared" si="6"/>
        <v>Compton 2013</v>
      </c>
    </row>
    <row r="430" spans="1:22">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c r="A431" t="s">
        <v>1117</v>
      </c>
      <c r="B431" s="37" t="str">
        <f>VLOOKUP(A431,'Planning Periods'!$E$2:$N$540,10,FALSE)</f>
        <v>10/15/2013 - 10/15/2021</v>
      </c>
      <c r="C431" s="138">
        <v>2015</v>
      </c>
      <c r="D431" s="138" t="str">
        <f t="shared" si="6"/>
        <v>Compton 2015</v>
      </c>
    </row>
    <row r="432" spans="1:22">
      <c r="A432" t="s">
        <v>1117</v>
      </c>
      <c r="B432" s="37" t="str">
        <f>VLOOKUP(A432,'Planning Periods'!$E$2:$N$540,10,FALSE)</f>
        <v>10/15/2013 - 10/15/2021</v>
      </c>
      <c r="C432" s="138">
        <v>2016</v>
      </c>
      <c r="D432" s="138" t="str">
        <f t="shared" si="6"/>
        <v>Compton 2016</v>
      </c>
    </row>
    <row r="433" spans="1:22">
      <c r="A433" t="s">
        <v>1117</v>
      </c>
      <c r="B433" s="37" t="str">
        <f>VLOOKUP(A433,'Planning Periods'!$E$2:$N$540,10,FALSE)</f>
        <v>10/15/2013 - 10/15/2021</v>
      </c>
      <c r="C433" s="138">
        <v>2017</v>
      </c>
      <c r="D433" s="138" t="str">
        <f t="shared" si="6"/>
        <v>Compton 2017</v>
      </c>
    </row>
    <row r="434" spans="1:22">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c r="A443" t="s">
        <v>1144</v>
      </c>
      <c r="B443" s="37" t="str">
        <f>VLOOKUP(A443,'Planning Periods'!$E$2:$N$540,10,FALSE)</f>
        <v>01/31/2016 - 01/31/2024</v>
      </c>
      <c r="C443" s="138">
        <v>2015</v>
      </c>
      <c r="D443" s="138" t="str">
        <f t="shared" si="6"/>
        <v>Corcoran 2015</v>
      </c>
    </row>
    <row r="444" spans="1:22">
      <c r="A444" t="s">
        <v>1144</v>
      </c>
      <c r="B444" s="37" t="str">
        <f>VLOOKUP(A444,'Planning Periods'!$E$2:$N$540,10,FALSE)</f>
        <v>01/31/2016 - 01/31/2024</v>
      </c>
      <c r="C444" s="138">
        <v>2016</v>
      </c>
      <c r="D444" s="138" t="str">
        <f t="shared" si="6"/>
        <v>Corcoran 2016</v>
      </c>
    </row>
    <row r="445" spans="1:22">
      <c r="A445" t="s">
        <v>1144</v>
      </c>
      <c r="B445" s="37" t="str">
        <f>VLOOKUP(A445,'Planning Periods'!$E$2:$N$540,10,FALSE)</f>
        <v>01/31/2016 - 01/31/2024</v>
      </c>
      <c r="C445" s="138">
        <v>2017</v>
      </c>
      <c r="D445" s="138" t="str">
        <f t="shared" si="6"/>
        <v>Corcoran 2017</v>
      </c>
    </row>
    <row r="446" spans="1:22">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c r="A447" t="s">
        <v>786</v>
      </c>
      <c r="B447" s="37" t="str">
        <f>VLOOKUP(A447,'Planning Periods'!$E$2:$N$540,10,FALSE)</f>
        <v>06/30/2014 - 06/30/2019</v>
      </c>
      <c r="C447" s="138">
        <v>2015</v>
      </c>
      <c r="D447" s="138" t="str">
        <f t="shared" si="6"/>
        <v>Corning 2015</v>
      </c>
    </row>
    <row r="448" spans="1:22">
      <c r="A448" t="s">
        <v>786</v>
      </c>
      <c r="B448" s="37" t="str">
        <f>VLOOKUP(A448,'Planning Periods'!$E$2:$N$540,10,FALSE)</f>
        <v>06/30/2014 - 06/30/2019</v>
      </c>
      <c r="C448" s="138">
        <v>2016</v>
      </c>
      <c r="D448" s="138" t="str">
        <f t="shared" si="6"/>
        <v>Corning 2016</v>
      </c>
    </row>
    <row r="449" spans="1:22">
      <c r="A449" t="s">
        <v>786</v>
      </c>
      <c r="B449" s="37" t="str">
        <f>VLOOKUP(A449,'Planning Periods'!$E$2:$N$540,10,FALSE)</f>
        <v>06/30/2014 - 06/30/2019</v>
      </c>
      <c r="C449" s="138">
        <v>2017</v>
      </c>
      <c r="D449" s="138" t="str">
        <f t="shared" si="6"/>
        <v>Corning 2017</v>
      </c>
    </row>
    <row r="450" spans="1:22">
      <c r="A450" s="139" t="s">
        <v>956</v>
      </c>
      <c r="B450" s="37"/>
      <c r="C450" s="138">
        <v>2013</v>
      </c>
      <c r="D450" s="138" t="str">
        <f t="shared" si="6"/>
        <v>Corona 2013</v>
      </c>
    </row>
    <row r="451" spans="1:22">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c r="A475" t="s">
        <v>1116</v>
      </c>
      <c r="B475" s="37" t="str">
        <f>VLOOKUP(A475,'Planning Periods'!$E$2:$N$540,10,FALSE)</f>
        <v>10/15/2013 - 10/15/2021</v>
      </c>
      <c r="C475" s="138">
        <v>2015</v>
      </c>
      <c r="D475" s="138" t="str">
        <f t="shared" si="6"/>
        <v>Covina 2015</v>
      </c>
    </row>
    <row r="476" spans="1:22">
      <c r="A476" t="s">
        <v>1116</v>
      </c>
      <c r="B476" s="37" t="str">
        <f>VLOOKUP(A476,'Planning Periods'!$E$2:$N$540,10,FALSE)</f>
        <v>10/15/2013 - 10/15/2021</v>
      </c>
      <c r="C476" s="138">
        <v>2016</v>
      </c>
      <c r="D476" s="138" t="str">
        <f t="shared" ref="D476:D542" si="7">CONCATENATE(A476," ",C476)</f>
        <v>Covina 2016</v>
      </c>
    </row>
    <row r="477" spans="1:22">
      <c r="A477" t="s">
        <v>1116</v>
      </c>
      <c r="B477" s="37" t="str">
        <f>VLOOKUP(A477,'Planning Periods'!$E$2:$N$540,10,FALSE)</f>
        <v>10/15/2013 - 10/15/2021</v>
      </c>
      <c r="C477" s="138">
        <v>2017</v>
      </c>
      <c r="D477" s="138" t="str">
        <f t="shared" si="7"/>
        <v>Covina 2017</v>
      </c>
    </row>
    <row r="478" spans="1:22">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c r="A479" t="s">
        <v>1196</v>
      </c>
      <c r="B479" s="37" t="str">
        <f>VLOOKUP(A479,'Planning Periods'!$E$2:$N$540,10,FALSE)</f>
        <v>06/30/2014 - 06/30/2019</v>
      </c>
      <c r="C479" s="138">
        <v>2015</v>
      </c>
      <c r="D479" s="138" t="str">
        <f t="shared" si="7"/>
        <v>Crescent City 2015</v>
      </c>
    </row>
    <row r="480" spans="1:22">
      <c r="A480" t="s">
        <v>1196</v>
      </c>
      <c r="B480" s="37" t="str">
        <f>VLOOKUP(A480,'Planning Periods'!$E$2:$N$540,10,FALSE)</f>
        <v>06/30/2014 - 06/30/2019</v>
      </c>
      <c r="C480" s="138">
        <v>2016</v>
      </c>
      <c r="D480" s="138" t="str">
        <f t="shared" si="7"/>
        <v>Crescent City 2016</v>
      </c>
    </row>
    <row r="481" spans="1:22">
      <c r="A481" t="s">
        <v>1196</v>
      </c>
      <c r="B481" s="37" t="str">
        <f>VLOOKUP(A481,'Planning Periods'!$E$2:$N$540,10,FALSE)</f>
        <v>06/30/2014 - 06/30/2019</v>
      </c>
      <c r="C481" s="138">
        <v>2017</v>
      </c>
      <c r="D481" s="138" t="str">
        <f t="shared" si="7"/>
        <v>Crescent City 2017</v>
      </c>
    </row>
    <row r="482" spans="1:22">
      <c r="A482" s="139" t="s">
        <v>1115</v>
      </c>
      <c r="B482" s="37"/>
      <c r="C482" s="138">
        <v>2013</v>
      </c>
      <c r="D482" s="138" t="str">
        <f t="shared" si="7"/>
        <v>Cudahy 2013</v>
      </c>
    </row>
    <row r="483" spans="1:22">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c r="A529" t="s">
        <v>1023</v>
      </c>
      <c r="B529" s="37" t="str">
        <f>VLOOKUP(A529,'Planning Periods'!$E$2:$N$540,10,FALSE)</f>
        <v>12/31/2015 - 12/31/2023</v>
      </c>
      <c r="C529" s="138">
        <v>2015</v>
      </c>
      <c r="D529" s="138" t="str">
        <f t="shared" si="7"/>
        <v>Del Rey Oaks 2015</v>
      </c>
    </row>
    <row r="530" spans="1:22">
      <c r="A530" t="s">
        <v>1023</v>
      </c>
      <c r="B530" s="37" t="str">
        <f>VLOOKUP(A530,'Planning Periods'!$E$2:$N$540,10,FALSE)</f>
        <v>12/31/2015 - 12/31/2023</v>
      </c>
      <c r="C530" s="138">
        <v>2016</v>
      </c>
      <c r="D530" s="138" t="str">
        <f t="shared" si="7"/>
        <v>Del Rey Oaks 2016</v>
      </c>
    </row>
    <row r="531" spans="1:22">
      <c r="A531" t="s">
        <v>1023</v>
      </c>
      <c r="B531" s="37" t="str">
        <f>VLOOKUP(A531,'Planning Periods'!$E$2:$N$540,10,FALSE)</f>
        <v>12/31/2015 - 12/31/2023</v>
      </c>
      <c r="C531" s="138">
        <v>2017</v>
      </c>
      <c r="D531" s="138" t="str">
        <f t="shared" si="7"/>
        <v>Del Rey Oaks 2017</v>
      </c>
    </row>
    <row r="532" spans="1:22">
      <c r="A532" s="139" t="s">
        <v>1154</v>
      </c>
      <c r="B532" s="37" t="str">
        <f>VLOOKUP(A532,'Planning Periods'!$E$2:$N$540,10,FALSE)</f>
        <v>12/31/2015 - 12/31/2023</v>
      </c>
      <c r="C532" s="138">
        <v>2013</v>
      </c>
      <c r="D532" s="138" t="str">
        <f t="shared" si="7"/>
        <v>Delano 2013</v>
      </c>
    </row>
    <row r="533" spans="1:22">
      <c r="A533" s="139" t="s">
        <v>1154</v>
      </c>
      <c r="B533" s="37" t="str">
        <f>VLOOKUP(A533,'Planning Periods'!$E$2:$N$540,10,FALSE)</f>
        <v>12/31/2015 - 12/31/2023</v>
      </c>
      <c r="C533" s="138">
        <v>2014</v>
      </c>
      <c r="D533" s="138" t="str">
        <f t="shared" si="7"/>
        <v>Delano 2014</v>
      </c>
    </row>
    <row r="534" spans="1:22">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c r="A560" t="s">
        <v>1032</v>
      </c>
      <c r="B560" s="37" t="str">
        <f>VLOOKUP(A560,'Planning Periods'!$E$2:$N$540,10,FALSE)</f>
        <v>03/31/2016 - 03/31/2024</v>
      </c>
      <c r="C560" s="138">
        <v>2015</v>
      </c>
      <c r="D560" s="138" t="str">
        <f t="shared" si="8"/>
        <v>Dos Palos 2015</v>
      </c>
    </row>
    <row r="561" spans="1:22">
      <c r="A561" t="s">
        <v>1032</v>
      </c>
      <c r="B561" s="37" t="str">
        <f>VLOOKUP(A561,'Planning Periods'!$E$2:$N$540,10,FALSE)</f>
        <v>03/31/2016 - 03/31/2024</v>
      </c>
      <c r="C561" s="138">
        <v>2016</v>
      </c>
      <c r="D561" s="138" t="str">
        <f t="shared" si="8"/>
        <v>Dos Palos 2016</v>
      </c>
    </row>
    <row r="562" spans="1:22">
      <c r="A562" t="s">
        <v>1032</v>
      </c>
      <c r="B562" s="37" t="str">
        <f>VLOOKUP(A562,'Planning Periods'!$E$2:$N$540,10,FALSE)</f>
        <v>03/31/2016 - 03/31/2024</v>
      </c>
      <c r="C562" s="138">
        <v>2017</v>
      </c>
      <c r="D562" s="138" t="str">
        <f t="shared" si="8"/>
        <v>Dos Palos 2017</v>
      </c>
    </row>
    <row r="563" spans="1:22">
      <c r="A563" s="139" t="s">
        <v>1112</v>
      </c>
      <c r="B563" s="37"/>
      <c r="C563" s="138">
        <v>2013</v>
      </c>
      <c r="D563" s="138" t="str">
        <f t="shared" si="8"/>
        <v>Downey 2013</v>
      </c>
    </row>
    <row r="564" spans="1:22">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c r="A578" t="s">
        <v>824</v>
      </c>
      <c r="B578" s="37" t="str">
        <f>VLOOKUP(A578,'Planning Periods'!$E$2:$N$540,10,FALSE)</f>
        <v>06/30/2014 - 06/30/2019</v>
      </c>
      <c r="C578" s="138">
        <v>2015</v>
      </c>
      <c r="D578" s="138" t="str">
        <f t="shared" si="8"/>
        <v>Dunsmuir 2015</v>
      </c>
    </row>
    <row r="579" spans="1:22">
      <c r="A579" t="s">
        <v>824</v>
      </c>
      <c r="B579" s="37" t="str">
        <f>VLOOKUP(A579,'Planning Periods'!$E$2:$N$540,10,FALSE)</f>
        <v>06/30/2014 - 06/30/2019</v>
      </c>
      <c r="C579" s="138">
        <v>2016</v>
      </c>
      <c r="D579" s="138" t="str">
        <f t="shared" si="8"/>
        <v>Dunsmuir 2016</v>
      </c>
    </row>
    <row r="580" spans="1:22">
      <c r="A580" t="s">
        <v>824</v>
      </c>
      <c r="B580" s="37" t="str">
        <f>VLOOKUP(A580,'Planning Periods'!$E$2:$N$540,10,FALSE)</f>
        <v>06/30/2014 - 06/30/2019</v>
      </c>
      <c r="C580" s="138">
        <v>2017</v>
      </c>
      <c r="D580" s="138" t="str">
        <f t="shared" si="8"/>
        <v>Dunsmuir 2017</v>
      </c>
    </row>
    <row r="581" spans="1:22">
      <c r="A581" s="139" t="s">
        <v>867</v>
      </c>
      <c r="B581" s="37" t="str">
        <f>VLOOKUP(A581,'Planning Periods'!$E$2:$N$540,10,FALSE)</f>
        <v>01/31/2015 - 01/31/2023</v>
      </c>
      <c r="C581" s="138">
        <v>2014</v>
      </c>
      <c r="D581" s="138" t="str">
        <f t="shared" si="8"/>
        <v>East Palo Alto 2014</v>
      </c>
    </row>
    <row r="582" spans="1:22">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c r="A616" t="s">
        <v>1109</v>
      </c>
      <c r="B616" s="37" t="str">
        <f>VLOOKUP(A616,'Planning Periods'!$E$2:$N$540,10,FALSE)</f>
        <v>10/15/2013 - 10/15/2021</v>
      </c>
      <c r="C616" s="138">
        <v>2015</v>
      </c>
      <c r="D616" s="138" t="str">
        <f t="shared" si="9"/>
        <v>El Segundo 2015</v>
      </c>
    </row>
    <row r="617" spans="1:22">
      <c r="A617" t="s">
        <v>1109</v>
      </c>
      <c r="B617" s="37" t="str">
        <f>VLOOKUP(A617,'Planning Periods'!$E$2:$N$540,10,FALSE)</f>
        <v>10/15/2013 - 10/15/2021</v>
      </c>
      <c r="C617" s="138">
        <v>2016</v>
      </c>
      <c r="D617" s="138" t="str">
        <f t="shared" si="9"/>
        <v>El Segundo 2016</v>
      </c>
    </row>
    <row r="618" spans="1:22">
      <c r="A618" t="s">
        <v>1109</v>
      </c>
      <c r="B618" s="37" t="str">
        <f>VLOOKUP(A618,'Planning Periods'!$E$2:$N$540,10,FALSE)</f>
        <v>10/15/2013 - 10/15/2021</v>
      </c>
      <c r="C618" s="138">
        <v>2017</v>
      </c>
      <c r="D618" s="138" t="str">
        <f t="shared" si="9"/>
        <v>El Segundo 2017</v>
      </c>
    </row>
    <row r="619" spans="1:22">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c r="A634" t="s">
        <v>887</v>
      </c>
      <c r="B634" s="37" t="str">
        <f>VLOOKUP(A634,'Planning Periods'!$E$2:$N$540,10,FALSE)</f>
        <v>12/31/2015 - 12/31/2023</v>
      </c>
      <c r="C634" s="138">
        <v>2015</v>
      </c>
      <c r="D634" s="138" t="str">
        <f t="shared" si="9"/>
        <v>Escalon 2015</v>
      </c>
    </row>
    <row r="635" spans="1:22">
      <c r="A635" t="s">
        <v>887</v>
      </c>
      <c r="B635" s="37" t="str">
        <f>VLOOKUP(A635,'Planning Periods'!$E$2:$N$540,10,FALSE)</f>
        <v>12/31/2015 - 12/31/2023</v>
      </c>
      <c r="C635" s="138">
        <v>2016</v>
      </c>
      <c r="D635" s="138" t="str">
        <f t="shared" si="9"/>
        <v>Escalon 2016</v>
      </c>
    </row>
    <row r="636" spans="1:22">
      <c r="A636" t="s">
        <v>887</v>
      </c>
      <c r="B636" s="37" t="str">
        <f>VLOOKUP(A636,'Planning Periods'!$E$2:$N$540,10,FALSE)</f>
        <v>12/31/2015 - 12/31/2023</v>
      </c>
      <c r="C636" s="138">
        <v>2017</v>
      </c>
      <c r="D636" s="138" t="str">
        <f t="shared" si="9"/>
        <v>Escalon 2017</v>
      </c>
    </row>
    <row r="637" spans="1:22">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c r="A667" t="s">
        <v>1172</v>
      </c>
      <c r="B667" s="37" t="str">
        <f>VLOOKUP(A667,'Planning Periods'!$E$2:$N$540,10,FALSE)</f>
        <v>06/30/2014 - 06/30/2019</v>
      </c>
      <c r="C667" s="138">
        <v>2015</v>
      </c>
      <c r="D667" s="138" t="str">
        <f t="shared" si="9"/>
        <v>Ferndale 2015</v>
      </c>
    </row>
    <row r="668" spans="1:22">
      <c r="A668" t="s">
        <v>1172</v>
      </c>
      <c r="B668" s="37" t="str">
        <f>VLOOKUP(A668,'Planning Periods'!$E$2:$N$540,10,FALSE)</f>
        <v>06/30/2014 - 06/30/2019</v>
      </c>
      <c r="C668" s="138">
        <v>2016</v>
      </c>
      <c r="D668" s="138" t="str">
        <f t="shared" ref="D668:D735" si="10">CONCATENATE(A668," ",C668)</f>
        <v>Ferndale 2016</v>
      </c>
    </row>
    <row r="669" spans="1:22">
      <c r="A669" t="s">
        <v>1172</v>
      </c>
      <c r="B669" s="37" t="str">
        <f>VLOOKUP(A669,'Planning Periods'!$E$2:$N$540,10,FALSE)</f>
        <v>06/30/2014 - 06/30/2019</v>
      </c>
      <c r="C669" s="138">
        <v>2017</v>
      </c>
      <c r="D669" s="138" t="str">
        <f t="shared" si="10"/>
        <v>Ferndale 2017</v>
      </c>
    </row>
    <row r="670" spans="1:22">
      <c r="A670" t="s">
        <v>772</v>
      </c>
      <c r="B670" s="37"/>
      <c r="C670" s="138">
        <v>2013</v>
      </c>
      <c r="D670" s="138" t="str">
        <f t="shared" si="10"/>
        <v>Fillmore 2013</v>
      </c>
    </row>
    <row r="671" spans="1:22">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c r="A672" t="s">
        <v>772</v>
      </c>
      <c r="B672" s="37" t="str">
        <f>VLOOKUP(A672,'Planning Periods'!$E$2:$N$540,10,FALSE)</f>
        <v>10/15/2013 - 10/15/2021</v>
      </c>
      <c r="C672" s="138">
        <v>2015</v>
      </c>
      <c r="D672" s="138" t="str">
        <f t="shared" si="10"/>
        <v>Fillmore 2015</v>
      </c>
    </row>
    <row r="673" spans="1:22">
      <c r="A673" t="s">
        <v>772</v>
      </c>
      <c r="B673" s="37" t="str">
        <f>VLOOKUP(A673,'Planning Periods'!$E$2:$N$540,10,FALSE)</f>
        <v>10/15/2013 - 10/15/2021</v>
      </c>
      <c r="C673" s="138">
        <v>2016</v>
      </c>
      <c r="D673" s="138" t="str">
        <f t="shared" si="10"/>
        <v>Fillmore 2016</v>
      </c>
    </row>
    <row r="674" spans="1:22">
      <c r="A674" t="s">
        <v>772</v>
      </c>
      <c r="B674" s="37" t="str">
        <f>VLOOKUP(A674,'Planning Periods'!$E$2:$N$540,10,FALSE)</f>
        <v>10/15/2013 - 10/15/2021</v>
      </c>
      <c r="C674" s="138">
        <v>2017</v>
      </c>
      <c r="D674" s="138" t="str">
        <f t="shared" si="10"/>
        <v>Fillmore 2017</v>
      </c>
    </row>
    <row r="675" spans="1:22">
      <c r="A675" s="139" t="s">
        <v>1190</v>
      </c>
      <c r="B675" s="37" t="str">
        <f>VLOOKUP(A675,'Planning Periods'!$E$2:$N$540,10,FALSE)</f>
        <v>12/31/2015 - 12/31/2023</v>
      </c>
      <c r="C675" s="138">
        <v>2013</v>
      </c>
      <c r="D675" s="138" t="str">
        <f t="shared" si="10"/>
        <v>Firebaugh 2013</v>
      </c>
    </row>
    <row r="676" spans="1:22">
      <c r="A676" s="139" t="s">
        <v>1190</v>
      </c>
      <c r="B676" s="37" t="str">
        <f>VLOOKUP(A676,'Planning Periods'!$E$2:$N$540,10,FALSE)</f>
        <v>12/31/2015 - 12/31/2023</v>
      </c>
      <c r="C676" s="138">
        <v>2014</v>
      </c>
      <c r="D676" s="138" t="str">
        <f t="shared" si="10"/>
        <v>Firebaugh 2014</v>
      </c>
    </row>
    <row r="677" spans="1:22">
      <c r="A677" s="139" t="s">
        <v>1190</v>
      </c>
      <c r="B677" s="37" t="str">
        <f>VLOOKUP(A677,'Planning Periods'!$E$2:$N$540,10,FALSE)</f>
        <v>12/31/2015 - 12/31/2023</v>
      </c>
      <c r="C677" s="138">
        <v>2015</v>
      </c>
      <c r="D677" s="138" t="str">
        <f t="shared" si="10"/>
        <v>Firebaugh 2015</v>
      </c>
    </row>
    <row r="678" spans="1:22">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c r="A695" t="s">
        <v>822</v>
      </c>
      <c r="B695" s="37" t="str">
        <f>VLOOKUP(A695,'Planning Periods'!$E$2:$N$540,10,FALSE)</f>
        <v>06/30/2014 - 06/30/2019</v>
      </c>
      <c r="C695" s="138">
        <v>2015</v>
      </c>
      <c r="D695" s="138" t="str">
        <f t="shared" si="10"/>
        <v>Fort Jones 2015</v>
      </c>
    </row>
    <row r="696" spans="1:22">
      <c r="A696" t="s">
        <v>822</v>
      </c>
      <c r="B696" s="37" t="str">
        <f>VLOOKUP(A696,'Planning Periods'!$E$2:$N$540,10,FALSE)</f>
        <v>06/30/2014 - 06/30/2019</v>
      </c>
      <c r="C696" s="138">
        <v>2016</v>
      </c>
      <c r="D696" s="138" t="str">
        <f t="shared" si="10"/>
        <v>Fort Jones 2016</v>
      </c>
    </row>
    <row r="697" spans="1:22">
      <c r="A697" t="s">
        <v>822</v>
      </c>
      <c r="B697" s="37" t="str">
        <f>VLOOKUP(A697,'Planning Periods'!$E$2:$N$540,10,FALSE)</f>
        <v>06/30/2014 - 06/30/2019</v>
      </c>
      <c r="C697" s="138">
        <v>2017</v>
      </c>
      <c r="D697" s="138" t="str">
        <f t="shared" si="10"/>
        <v>Fort Jones 2017</v>
      </c>
    </row>
    <row r="698" spans="1:22">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c r="A713" t="s">
        <v>1189</v>
      </c>
      <c r="B713" s="37" t="str">
        <f>VLOOKUP(A713,'Planning Periods'!$E$2:$N$540,10,FALSE)</f>
        <v>12/31/2015 - 12/31/2023</v>
      </c>
      <c r="C713" s="138">
        <v>2015</v>
      </c>
      <c r="D713" s="138" t="str">
        <f t="shared" si="10"/>
        <v>Fowler 2015</v>
      </c>
    </row>
    <row r="714" spans="1:22">
      <c r="A714" t="s">
        <v>1189</v>
      </c>
      <c r="B714" s="37" t="str">
        <f>VLOOKUP(A714,'Planning Periods'!$E$2:$N$540,10,FALSE)</f>
        <v>12/31/2015 - 12/31/2023</v>
      </c>
      <c r="C714" s="138">
        <v>2016</v>
      </c>
      <c r="D714" s="138" t="str">
        <f t="shared" si="10"/>
        <v>Fowler 2016</v>
      </c>
    </row>
    <row r="715" spans="1:22">
      <c r="A715" t="s">
        <v>1189</v>
      </c>
      <c r="B715" s="37" t="str">
        <f>VLOOKUP(A715,'Planning Periods'!$E$2:$N$540,10,FALSE)</f>
        <v>12/31/2015 - 12/31/2023</v>
      </c>
      <c r="C715" s="138">
        <v>2017</v>
      </c>
      <c r="D715" s="138" t="str">
        <f t="shared" si="10"/>
        <v>Fowler 2017</v>
      </c>
    </row>
    <row r="716" spans="1:22">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c r="A773" t="s">
        <v>1022</v>
      </c>
      <c r="B773" s="37" t="str">
        <f>VLOOKUP(A773,'Planning Periods'!$E$2:$N$540,10,FALSE)</f>
        <v>12/31/2015 - 12/31/2023</v>
      </c>
      <c r="C773" s="138">
        <v>2015</v>
      </c>
      <c r="D773" s="138" t="str">
        <f t="shared" si="11"/>
        <v>Gonzales 2015</v>
      </c>
    </row>
    <row r="774" spans="1:22">
      <c r="A774" t="s">
        <v>1022</v>
      </c>
      <c r="B774" s="37" t="str">
        <f>VLOOKUP(A774,'Planning Periods'!$E$2:$N$540,10,FALSE)</f>
        <v>12/31/2015 - 12/31/2023</v>
      </c>
      <c r="C774" s="138">
        <v>2016</v>
      </c>
      <c r="D774" s="138" t="str">
        <f t="shared" si="11"/>
        <v>Gonzales 2016</v>
      </c>
    </row>
    <row r="775" spans="1:22">
      <c r="A775" t="s">
        <v>1022</v>
      </c>
      <c r="B775" s="37" t="str">
        <f>VLOOKUP(A775,'Planning Periods'!$E$2:$N$540,10,FALSE)</f>
        <v>12/31/2015 - 12/31/2023</v>
      </c>
      <c r="C775" s="138">
        <v>2017</v>
      </c>
      <c r="D775" s="138" t="str">
        <f t="shared" si="11"/>
        <v>Gonzales 2017</v>
      </c>
    </row>
    <row r="776" spans="1:22">
      <c r="A776" s="139" t="s">
        <v>921</v>
      </c>
      <c r="B776" s="37"/>
      <c r="C776" s="138">
        <v>2013</v>
      </c>
      <c r="D776" s="138" t="str">
        <f t="shared" si="11"/>
        <v>Grand Terrace 2013</v>
      </c>
    </row>
    <row r="777" spans="1:22">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c r="A786" t="s">
        <v>1021</v>
      </c>
      <c r="B786" s="37" t="str">
        <f>VLOOKUP(A786,'Planning Periods'!$E$2:$N$540,10,FALSE)</f>
        <v>12/31/2015 - 12/31/2023</v>
      </c>
      <c r="C786" s="138">
        <v>2015</v>
      </c>
      <c r="D786" s="138" t="str">
        <f t="shared" si="11"/>
        <v>Greenfield 2015</v>
      </c>
    </row>
    <row r="787" spans="1:22">
      <c r="A787" t="s">
        <v>1021</v>
      </c>
      <c r="B787" s="37" t="str">
        <f>VLOOKUP(A787,'Planning Periods'!$E$2:$N$540,10,FALSE)</f>
        <v>12/31/2015 - 12/31/2023</v>
      </c>
      <c r="C787" s="138">
        <v>2016</v>
      </c>
      <c r="D787" s="138" t="str">
        <f t="shared" si="11"/>
        <v>Greenfield 2016</v>
      </c>
    </row>
    <row r="788" spans="1:22">
      <c r="A788" t="s">
        <v>1021</v>
      </c>
      <c r="B788" s="37" t="str">
        <f>VLOOKUP(A788,'Planning Periods'!$E$2:$N$540,10,FALSE)</f>
        <v>12/31/2015 - 12/31/2023</v>
      </c>
      <c r="C788" s="138">
        <v>2017</v>
      </c>
      <c r="D788" s="138" t="str">
        <f t="shared" si="11"/>
        <v>Greenfield 2017</v>
      </c>
    </row>
    <row r="789" spans="1:22">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c r="A798" t="s">
        <v>853</v>
      </c>
      <c r="B798" s="37" t="str">
        <f>VLOOKUP(A798,'Planning Periods'!$E$2:$N$540,10,FALSE)</f>
        <v>02/15/2015 - 02/15/2023</v>
      </c>
      <c r="C798" s="138">
        <v>2015</v>
      </c>
      <c r="D798" s="138" t="str">
        <f t="shared" si="11"/>
        <v>Guadalupe 2015</v>
      </c>
    </row>
    <row r="799" spans="1:22">
      <c r="A799" t="s">
        <v>853</v>
      </c>
      <c r="B799" s="37" t="str">
        <f>VLOOKUP(A799,'Planning Periods'!$E$2:$N$540,10,FALSE)</f>
        <v>02/15/2015 - 02/15/2023</v>
      </c>
      <c r="C799" s="138">
        <v>2016</v>
      </c>
      <c r="D799" s="138" t="str">
        <f t="shared" si="11"/>
        <v>Guadalupe 2016</v>
      </c>
    </row>
    <row r="800" spans="1:22">
      <c r="A800" t="s">
        <v>853</v>
      </c>
      <c r="B800" s="37" t="str">
        <f>VLOOKUP(A800,'Planning Periods'!$E$2:$N$540,10,FALSE)</f>
        <v>02/15/2015 - 02/15/2023</v>
      </c>
      <c r="C800" s="138">
        <v>2017</v>
      </c>
      <c r="D800" s="138" t="str">
        <f t="shared" si="11"/>
        <v>Guadalupe 2017</v>
      </c>
    </row>
    <row r="801" spans="1:22">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c r="A802" t="s">
        <v>1031</v>
      </c>
      <c r="B802" s="37" t="str">
        <f>VLOOKUP(A802,'Planning Periods'!$E$2:$N$540,10,FALSE)</f>
        <v>03/31/2016 - 03/31/2024</v>
      </c>
      <c r="C802" s="138">
        <v>2015</v>
      </c>
      <c r="D802" s="138" t="str">
        <f t="shared" si="11"/>
        <v>Gustine 2015</v>
      </c>
    </row>
    <row r="803" spans="1:22">
      <c r="A803" t="s">
        <v>1031</v>
      </c>
      <c r="B803" s="37" t="str">
        <f>VLOOKUP(A803,'Planning Periods'!$E$2:$N$540,10,FALSE)</f>
        <v>03/31/2016 - 03/31/2024</v>
      </c>
      <c r="C803" s="138">
        <v>2016</v>
      </c>
      <c r="D803" s="138" t="str">
        <f t="shared" si="11"/>
        <v>Gustine 2016</v>
      </c>
    </row>
    <row r="804" spans="1:22">
      <c r="A804" t="s">
        <v>1031</v>
      </c>
      <c r="B804" s="37" t="str">
        <f>VLOOKUP(A804,'Planning Periods'!$E$2:$N$540,10,FALSE)</f>
        <v>03/31/2016 - 03/31/2024</v>
      </c>
      <c r="C804" s="138">
        <v>2017</v>
      </c>
      <c r="D804" s="138" t="str">
        <f t="shared" si="11"/>
        <v>Gustine 2017</v>
      </c>
    </row>
    <row r="805" spans="1:22">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c r="A810" t="s">
        <v>1143</v>
      </c>
      <c r="B810" s="37" t="str">
        <f>VLOOKUP(A810,'Planning Periods'!$E$2:$N$540,10,FALSE)</f>
        <v>01/31/2016 - 01/31/2024</v>
      </c>
      <c r="C810" s="138">
        <v>2015</v>
      </c>
      <c r="D810" s="138" t="str">
        <f t="shared" si="12"/>
        <v>Hanford 2015</v>
      </c>
    </row>
    <row r="811" spans="1:22">
      <c r="A811" t="s">
        <v>1143</v>
      </c>
      <c r="B811" s="37" t="str">
        <f>VLOOKUP(A811,'Planning Periods'!$E$2:$N$540,10,FALSE)</f>
        <v>01/31/2016 - 01/31/2024</v>
      </c>
      <c r="C811" s="138">
        <v>2016</v>
      </c>
      <c r="D811" s="138" t="str">
        <f t="shared" si="12"/>
        <v>Hanford 2016</v>
      </c>
    </row>
    <row r="812" spans="1:22">
      <c r="A812" t="s">
        <v>1143</v>
      </c>
      <c r="B812" s="37" t="str">
        <f>VLOOKUP(A812,'Planning Periods'!$E$2:$N$540,10,FALSE)</f>
        <v>01/31/2016 - 01/31/2024</v>
      </c>
      <c r="C812" s="138">
        <v>2017</v>
      </c>
      <c r="D812" s="138" t="str">
        <f t="shared" si="12"/>
        <v>Hanford 2017</v>
      </c>
    </row>
    <row r="813" spans="1:22">
      <c r="A813" t="s">
        <v>1105</v>
      </c>
      <c r="B813" s="37"/>
      <c r="C813" s="138">
        <v>2013</v>
      </c>
      <c r="D813" s="138" t="str">
        <f t="shared" si="12"/>
        <v>Hawaiian Gardens 2013</v>
      </c>
    </row>
    <row r="814" spans="1:22">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c r="A815" t="s">
        <v>1105</v>
      </c>
      <c r="B815" s="37" t="str">
        <f>VLOOKUP(A815,'Planning Periods'!$E$2:$N$540,10,FALSE)</f>
        <v>10/15/2013 - 10/15/2021</v>
      </c>
      <c r="C815" s="138">
        <v>2015</v>
      </c>
      <c r="D815" s="138" t="str">
        <f t="shared" si="12"/>
        <v>Hawaiian Gardens 2015</v>
      </c>
    </row>
    <row r="816" spans="1:22">
      <c r="A816" t="s">
        <v>1105</v>
      </c>
      <c r="B816" s="37" t="str">
        <f>VLOOKUP(A816,'Planning Periods'!$E$2:$N$540,10,FALSE)</f>
        <v>10/15/2013 - 10/15/2021</v>
      </c>
      <c r="C816" s="138">
        <v>2016</v>
      </c>
      <c r="D816" s="138" t="str">
        <f t="shared" si="12"/>
        <v>Hawaiian Gardens 2016</v>
      </c>
    </row>
    <row r="817" spans="1:22">
      <c r="A817" t="s">
        <v>1105</v>
      </c>
      <c r="B817" s="37" t="str">
        <f>VLOOKUP(A817,'Planning Periods'!$E$2:$N$540,10,FALSE)</f>
        <v>10/15/2013 - 10/15/2021</v>
      </c>
      <c r="C817" s="138">
        <v>2017</v>
      </c>
      <c r="D817" s="138" t="str">
        <f t="shared" si="12"/>
        <v>Hawaiian Gardens 2017</v>
      </c>
    </row>
    <row r="818" spans="1:22">
      <c r="A818" s="139" t="s">
        <v>1104</v>
      </c>
      <c r="B818" s="37"/>
      <c r="C818" s="138">
        <v>2013</v>
      </c>
      <c r="D818" s="138" t="str">
        <f t="shared" si="12"/>
        <v>Hawthorne 2013</v>
      </c>
    </row>
    <row r="819" spans="1:22">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c r="A842" t="s">
        <v>1103</v>
      </c>
      <c r="B842" s="37" t="str">
        <f>VLOOKUP(A842,'Planning Periods'!$E$2:$N$540,10,FALSE)</f>
        <v>10/15/2013 - 10/15/2021</v>
      </c>
      <c r="C842" s="138">
        <v>2015</v>
      </c>
      <c r="D842" s="138" t="str">
        <f t="shared" si="12"/>
        <v>Hermosa Beach 2015</v>
      </c>
    </row>
    <row r="843" spans="1:22">
      <c r="A843" t="s">
        <v>1103</v>
      </c>
      <c r="B843" s="37" t="str">
        <f>VLOOKUP(A843,'Planning Periods'!$E$2:$N$540,10,FALSE)</f>
        <v>10/15/2013 - 10/15/2021</v>
      </c>
      <c r="C843" s="138">
        <v>2016</v>
      </c>
      <c r="D843" s="138" t="str">
        <f t="shared" si="12"/>
        <v>Hermosa Beach 2016</v>
      </c>
    </row>
    <row r="844" spans="1:22">
      <c r="A844" t="s">
        <v>1103</v>
      </c>
      <c r="B844" s="37" t="str">
        <f>VLOOKUP(A844,'Planning Periods'!$E$2:$N$540,10,FALSE)</f>
        <v>10/15/2013 - 10/15/2021</v>
      </c>
      <c r="C844" s="138">
        <v>2017</v>
      </c>
      <c r="D844" s="138" t="str">
        <f t="shared" si="12"/>
        <v>Hermosa Beach 2017</v>
      </c>
    </row>
    <row r="845" spans="1:22">
      <c r="A845" s="139" t="s">
        <v>920</v>
      </c>
      <c r="B845" s="37"/>
      <c r="C845" s="138">
        <v>2013</v>
      </c>
      <c r="D845" s="138" t="str">
        <f t="shared" si="12"/>
        <v>Hesperia 2013</v>
      </c>
    </row>
    <row r="846" spans="1:22">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c r="A852" t="s">
        <v>1102</v>
      </c>
      <c r="B852" s="37" t="str">
        <f>VLOOKUP(A852,'Planning Periods'!$E$2:$N$540,10,FALSE)</f>
        <v>10/15/2013 - 10/15/2021</v>
      </c>
      <c r="C852" s="138">
        <v>2015</v>
      </c>
      <c r="D852" s="138" t="str">
        <f t="shared" si="12"/>
        <v>Hidden Hills 2015</v>
      </c>
    </row>
    <row r="853" spans="1:22">
      <c r="A853" t="s">
        <v>1102</v>
      </c>
      <c r="B853" s="37" t="str">
        <f>VLOOKUP(A853,'Planning Periods'!$E$2:$N$540,10,FALSE)</f>
        <v>10/15/2013 - 10/15/2021</v>
      </c>
      <c r="C853" s="138">
        <v>2016</v>
      </c>
      <c r="D853" s="138" t="str">
        <f t="shared" si="12"/>
        <v>Hidden Hills 2016</v>
      </c>
    </row>
    <row r="854" spans="1:22">
      <c r="A854" t="s">
        <v>1102</v>
      </c>
      <c r="B854" s="37" t="str">
        <f>VLOOKUP(A854,'Planning Periods'!$E$2:$N$540,10,FALSE)</f>
        <v>10/15/2013 - 10/15/2021</v>
      </c>
      <c r="C854" s="138">
        <v>2017</v>
      </c>
      <c r="D854" s="138" t="str">
        <f t="shared" si="12"/>
        <v>Hidden Hills 2017</v>
      </c>
    </row>
    <row r="855" spans="1:22">
      <c r="A855" s="139" t="s">
        <v>919</v>
      </c>
      <c r="B855" s="37"/>
      <c r="C855" s="138">
        <v>2013</v>
      </c>
      <c r="D855" s="138" t="str">
        <f t="shared" si="12"/>
        <v>Highland 2013</v>
      </c>
    </row>
    <row r="856" spans="1:22">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c r="A883" t="s">
        <v>994</v>
      </c>
      <c r="B883" s="37" t="str">
        <f>VLOOKUP(A883,'Planning Periods'!$E$2:$N$540,10,FALSE)</f>
        <v>10/15/2013 - 10/15/2021</v>
      </c>
      <c r="C883" s="138">
        <v>2015</v>
      </c>
      <c r="D883" s="138" t="str">
        <f t="shared" si="13"/>
        <v>Huntington Beach 2015</v>
      </c>
    </row>
    <row r="884" spans="1:22">
      <c r="A884" t="s">
        <v>994</v>
      </c>
      <c r="B884" s="37" t="str">
        <f>VLOOKUP(A884,'Planning Periods'!$E$2:$N$540,10,FALSE)</f>
        <v>10/15/2013 - 10/15/2021</v>
      </c>
      <c r="C884" s="138">
        <v>2016</v>
      </c>
      <c r="D884" s="138" t="str">
        <f t="shared" si="13"/>
        <v>Huntington Beach 2016</v>
      </c>
    </row>
    <row r="885" spans="1:22">
      <c r="A885" t="s">
        <v>994</v>
      </c>
      <c r="B885" s="37" t="str">
        <f>VLOOKUP(A885,'Planning Periods'!$E$2:$N$540,10,FALSE)</f>
        <v>10/15/2013 - 10/15/2021</v>
      </c>
      <c r="C885" s="138">
        <v>2017</v>
      </c>
      <c r="D885" s="138" t="str">
        <f t="shared" si="13"/>
        <v>Huntington Beach 2017</v>
      </c>
    </row>
    <row r="886" spans="1:22">
      <c r="A886" t="s">
        <v>1101</v>
      </c>
      <c r="B886" s="37"/>
      <c r="C886" s="138">
        <v>2013</v>
      </c>
      <c r="D886" s="138" t="str">
        <f t="shared" si="13"/>
        <v>Huntington Park 2013</v>
      </c>
    </row>
    <row r="887" spans="1:22">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c r="A888" t="s">
        <v>1101</v>
      </c>
      <c r="B888" s="37" t="str">
        <f>VLOOKUP(A888,'Planning Periods'!$E$2:$N$540,10,FALSE)</f>
        <v>10/15/2013 - 10/15/2021</v>
      </c>
      <c r="C888" s="138">
        <v>2015</v>
      </c>
      <c r="D888" s="138" t="str">
        <f t="shared" si="13"/>
        <v>Huntington Park 2015</v>
      </c>
    </row>
    <row r="889" spans="1:22">
      <c r="A889" t="s">
        <v>1101</v>
      </c>
      <c r="B889" s="37" t="str">
        <f>VLOOKUP(A889,'Planning Periods'!$E$2:$N$540,10,FALSE)</f>
        <v>10/15/2013 - 10/15/2021</v>
      </c>
      <c r="C889" s="138">
        <v>2016</v>
      </c>
      <c r="D889" s="138" t="str">
        <f t="shared" si="13"/>
        <v>Huntington Park 2016</v>
      </c>
    </row>
    <row r="890" spans="1:22">
      <c r="A890" t="s">
        <v>1101</v>
      </c>
      <c r="B890" s="37" t="str">
        <f>VLOOKUP(A890,'Planning Periods'!$E$2:$N$540,10,FALSE)</f>
        <v>10/15/2013 - 10/15/2021</v>
      </c>
      <c r="C890" s="138">
        <v>2017</v>
      </c>
      <c r="D890" s="138" t="str">
        <f t="shared" si="13"/>
        <v>Huntington Park 2017</v>
      </c>
    </row>
    <row r="891" spans="1:22">
      <c r="A891" s="139" t="s">
        <v>1188</v>
      </c>
      <c r="B891" s="37" t="str">
        <f>VLOOKUP(A891,'Planning Periods'!$E$2:$N$540,10,FALSE)</f>
        <v>12/31/2015 - 12/31/2023</v>
      </c>
      <c r="C891" s="138">
        <v>2013</v>
      </c>
      <c r="D891" s="138" t="str">
        <f t="shared" si="13"/>
        <v>Huron 2013</v>
      </c>
    </row>
    <row r="892" spans="1:22">
      <c r="A892" s="139" t="s">
        <v>1188</v>
      </c>
      <c r="B892" s="37" t="str">
        <f>VLOOKUP(A892,'Planning Periods'!$E$2:$N$540,10,FALSE)</f>
        <v>12/31/2015 - 12/31/2023</v>
      </c>
      <c r="C892" s="138">
        <v>2014</v>
      </c>
      <c r="D892" s="138" t="str">
        <f t="shared" si="13"/>
        <v>Huron 2014</v>
      </c>
    </row>
    <row r="893" spans="1:22">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c r="A923" t="s">
        <v>1100</v>
      </c>
      <c r="B923" s="37" t="str">
        <f>VLOOKUP(A923,'Planning Periods'!$E$2:$N$540,10,FALSE)</f>
        <v>10/15/2013 - 10/15/2021</v>
      </c>
      <c r="C923" s="138">
        <v>2015</v>
      </c>
      <c r="D923" s="138" t="str">
        <f t="shared" si="13"/>
        <v>Industry 2015</v>
      </c>
    </row>
    <row r="924" spans="1:22">
      <c r="A924" t="s">
        <v>1100</v>
      </c>
      <c r="B924" s="37" t="str">
        <f>VLOOKUP(A924,'Planning Periods'!$E$2:$N$540,10,FALSE)</f>
        <v>10/15/2013 - 10/15/2021</v>
      </c>
      <c r="C924" s="138">
        <v>2016</v>
      </c>
      <c r="D924" s="138" t="str">
        <f t="shared" si="13"/>
        <v>Industry 2016</v>
      </c>
    </row>
    <row r="925" spans="1:22">
      <c r="A925" t="s">
        <v>1100</v>
      </c>
      <c r="B925" s="37" t="str">
        <f>VLOOKUP(A925,'Planning Periods'!$E$2:$N$540,10,FALSE)</f>
        <v>10/15/2013 - 10/15/2021</v>
      </c>
      <c r="C925" s="138">
        <v>2017</v>
      </c>
      <c r="D925" s="138" t="str">
        <f t="shared" si="13"/>
        <v>Industry 2017</v>
      </c>
    </row>
    <row r="926" spans="1:22">
      <c r="A926" s="139" t="s">
        <v>1099</v>
      </c>
      <c r="B926" s="37"/>
      <c r="C926" s="138">
        <v>2013</v>
      </c>
      <c r="D926" s="138" t="str">
        <f t="shared" si="13"/>
        <v>Inglewood 2013</v>
      </c>
    </row>
    <row r="927" spans="1:22">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c r="A936" t="s">
        <v>1229</v>
      </c>
      <c r="B936" s="37" t="str">
        <f>VLOOKUP(A936,'Planning Periods'!$E$2:$N$540,10,FALSE)</f>
        <v>06/30/2014 - 06/30/2019</v>
      </c>
      <c r="C936" s="138">
        <v>2015</v>
      </c>
      <c r="D936" s="138" t="str">
        <f t="shared" si="13"/>
        <v>Ione 2015</v>
      </c>
    </row>
    <row r="937" spans="1:22">
      <c r="A937" t="s">
        <v>1229</v>
      </c>
      <c r="B937" s="37" t="str">
        <f>VLOOKUP(A937,'Planning Periods'!$E$2:$N$540,10,FALSE)</f>
        <v>06/30/2014 - 06/30/2019</v>
      </c>
      <c r="C937" s="138">
        <v>2016</v>
      </c>
      <c r="D937" s="138" t="str">
        <f t="shared" si="13"/>
        <v>Ione 2016</v>
      </c>
    </row>
    <row r="938" spans="1:22">
      <c r="A938" t="s">
        <v>1229</v>
      </c>
      <c r="B938" s="37" t="str">
        <f>VLOOKUP(A938,'Planning Periods'!$E$2:$N$540,10,FALSE)</f>
        <v>06/30/2014 - 06/30/2019</v>
      </c>
      <c r="C938" s="138">
        <v>2017</v>
      </c>
      <c r="D938" s="138" t="str">
        <f t="shared" si="13"/>
        <v>Ione 2017</v>
      </c>
    </row>
    <row r="939" spans="1:22">
      <c r="A939" s="139" t="s">
        <v>993</v>
      </c>
      <c r="B939" s="37"/>
      <c r="C939" s="138">
        <v>2013</v>
      </c>
      <c r="D939" s="138" t="str">
        <f t="shared" si="13"/>
        <v>Irvine 2013</v>
      </c>
    </row>
    <row r="940" spans="1:22">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c r="A951" t="s">
        <v>934</v>
      </c>
      <c r="B951" s="37" t="str">
        <f>VLOOKUP(A951,'Planning Periods'!$E$2:$N$540,10,FALSE)</f>
        <v>10/31/2013 - 10/31/2021</v>
      </c>
      <c r="C951" s="138">
        <v>2015</v>
      </c>
      <c r="D951" s="138" t="str">
        <f t="shared" si="14"/>
        <v>Isleton 2015</v>
      </c>
    </row>
    <row r="952" spans="1:22">
      <c r="A952" t="s">
        <v>934</v>
      </c>
      <c r="B952" s="37" t="str">
        <f>VLOOKUP(A952,'Planning Periods'!$E$2:$N$540,10,FALSE)</f>
        <v>10/31/2013 - 10/31/2021</v>
      </c>
      <c r="C952" s="138">
        <v>2016</v>
      </c>
      <c r="D952" s="138" t="str">
        <f t="shared" si="14"/>
        <v>Isleton 2016</v>
      </c>
    </row>
    <row r="953" spans="1:22">
      <c r="A953" t="s">
        <v>934</v>
      </c>
      <c r="B953" s="37" t="str">
        <f>VLOOKUP(A953,'Planning Periods'!$E$2:$N$540,10,FALSE)</f>
        <v>10/31/2013 - 10/31/2021</v>
      </c>
      <c r="C953" s="138">
        <v>2017</v>
      </c>
      <c r="D953" s="138" t="str">
        <f t="shared" si="14"/>
        <v>Isleton 2017</v>
      </c>
    </row>
    <row r="954" spans="1:22">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c r="A960" t="s">
        <v>1352</v>
      </c>
      <c r="B960" s="37" t="str">
        <f>VLOOKUP(A960,'Planning Periods'!$E$2:$N$540,10,FALSE)</f>
        <v>10/15/2013 - 10/15/2021</v>
      </c>
      <c r="C960" s="138">
        <v>2015</v>
      </c>
      <c r="D960" s="138" t="str">
        <f t="shared" si="14"/>
        <v>Jurupa Valley 2015</v>
      </c>
    </row>
    <row r="961" spans="1:22">
      <c r="A961" t="s">
        <v>1352</v>
      </c>
      <c r="B961" s="37" t="str">
        <f>VLOOKUP(A961,'Planning Periods'!$E$2:$N$540,10,FALSE)</f>
        <v>10/15/2013 - 10/15/2021</v>
      </c>
      <c r="C961" s="138">
        <v>2016</v>
      </c>
      <c r="D961" s="138" t="str">
        <f t="shared" si="14"/>
        <v>Jurupa Valley 2016</v>
      </c>
    </row>
    <row r="962" spans="1:22">
      <c r="A962" t="s">
        <v>1352</v>
      </c>
      <c r="B962" s="37" t="str">
        <f>VLOOKUP(A962,'Planning Periods'!$E$2:$N$540,10,FALSE)</f>
        <v>10/15/2013 - 10/15/2021</v>
      </c>
      <c r="C962" s="138">
        <v>2017</v>
      </c>
      <c r="D962" s="138" t="str">
        <f t="shared" si="14"/>
        <v>Jurupa Valley 2017</v>
      </c>
    </row>
    <row r="963" spans="1:22">
      <c r="A963" s="139" t="s">
        <v>1187</v>
      </c>
      <c r="B963" s="37" t="str">
        <f>VLOOKUP(A963,'Planning Periods'!$E$2:$N$540,10,FALSE)</f>
        <v>12/31/2015 - 12/31/2023</v>
      </c>
      <c r="C963" s="138">
        <v>2013</v>
      </c>
      <c r="D963" s="138" t="str">
        <f t="shared" si="14"/>
        <v>Kerman 2013</v>
      </c>
    </row>
    <row r="964" spans="1:22">
      <c r="A964" s="139" t="s">
        <v>1187</v>
      </c>
      <c r="B964" s="37" t="str">
        <f>VLOOKUP(A964,'Planning Periods'!$E$2:$N$540,10,FALSE)</f>
        <v>12/31/2015 - 12/31/2023</v>
      </c>
      <c r="C964" s="138">
        <v>2014</v>
      </c>
      <c r="D964" s="138" t="str">
        <f t="shared" si="14"/>
        <v>Kerman 2014</v>
      </c>
    </row>
    <row r="965" spans="1:22">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c r="A983" t="s">
        <v>1186</v>
      </c>
      <c r="B983" s="37" t="str">
        <f>VLOOKUP(A983,'Planning Periods'!$E$2:$N$540,10,FALSE)</f>
        <v>12/31/2015 - 12/31/2023</v>
      </c>
      <c r="C983" s="138">
        <v>2015</v>
      </c>
      <c r="D983" s="138" t="str">
        <f t="shared" si="14"/>
        <v>Kingsburg 2015</v>
      </c>
    </row>
    <row r="984" spans="1:22">
      <c r="A984" t="s">
        <v>1186</v>
      </c>
      <c r="B984" s="37" t="str">
        <f>VLOOKUP(A984,'Planning Periods'!$E$2:$N$540,10,FALSE)</f>
        <v>12/31/2015 - 12/31/2023</v>
      </c>
      <c r="C984" s="138">
        <v>2016</v>
      </c>
      <c r="D984" s="138" t="str">
        <f t="shared" si="14"/>
        <v>Kingsburg 2016</v>
      </c>
    </row>
    <row r="985" spans="1:22">
      <c r="A985" t="s">
        <v>1186</v>
      </c>
      <c r="B985" s="37" t="str">
        <f>VLOOKUP(A985,'Planning Periods'!$E$2:$N$540,10,FALSE)</f>
        <v>12/31/2015 - 12/31/2023</v>
      </c>
      <c r="C985" s="138">
        <v>2017</v>
      </c>
      <c r="D985" s="138" t="str">
        <f t="shared" si="14"/>
        <v>Kingsburg 2017</v>
      </c>
    </row>
    <row r="986" spans="1:22">
      <c r="A986" s="139" t="s">
        <v>1097</v>
      </c>
      <c r="B986" s="37"/>
      <c r="C986" s="138">
        <v>2013</v>
      </c>
      <c r="D986" s="138" t="str">
        <f t="shared" si="14"/>
        <v>La Canada Flintridge 2013</v>
      </c>
    </row>
    <row r="987" spans="1:22">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c r="A998" t="s">
        <v>1096</v>
      </c>
      <c r="B998" s="37" t="str">
        <f>VLOOKUP(A998,'Planning Periods'!$E$2:$N$540,10,FALSE)</f>
        <v>10/15/2013 - 10/15/2021</v>
      </c>
      <c r="C998" s="138">
        <v>2015</v>
      </c>
      <c r="D998" s="138" t="str">
        <f t="shared" si="14"/>
        <v>La Habra Heights 2015</v>
      </c>
    </row>
    <row r="999" spans="1:22">
      <c r="A999" t="s">
        <v>1096</v>
      </c>
      <c r="B999" s="37" t="str">
        <f>VLOOKUP(A999,'Planning Periods'!$E$2:$N$540,10,FALSE)</f>
        <v>10/15/2013 - 10/15/2021</v>
      </c>
      <c r="C999" s="138">
        <v>2016</v>
      </c>
      <c r="D999" s="138" t="str">
        <f t="shared" si="14"/>
        <v>La Habra Heights 2016</v>
      </c>
    </row>
    <row r="1000" spans="1:22">
      <c r="A1000" t="s">
        <v>1096</v>
      </c>
      <c r="B1000" s="37" t="str">
        <f>VLOOKUP(A1000,'Planning Periods'!$E$2:$N$540,10,FALSE)</f>
        <v>10/15/2013 - 10/15/2021</v>
      </c>
      <c r="C1000" s="138">
        <v>2017</v>
      </c>
      <c r="D1000" s="138" t="str">
        <f t="shared" si="14"/>
        <v>La Habra Heights 2017</v>
      </c>
    </row>
    <row r="1001" spans="1:22">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c r="A1018" t="s">
        <v>1094</v>
      </c>
      <c r="B1018" s="37" t="str">
        <f>VLOOKUP(A1018,'Planning Periods'!$E$2:$N$540,10,FALSE)</f>
        <v>10/15/2013 - 10/15/2021</v>
      </c>
      <c r="C1018" s="138">
        <v>2015</v>
      </c>
      <c r="D1018" s="138" t="str">
        <f t="shared" si="15"/>
        <v>La Puente 2015</v>
      </c>
    </row>
    <row r="1019" spans="1:22">
      <c r="A1019" t="s">
        <v>1094</v>
      </c>
      <c r="B1019" s="37" t="str">
        <f>VLOOKUP(A1019,'Planning Periods'!$E$2:$N$540,10,FALSE)</f>
        <v>10/15/2013 - 10/15/2021</v>
      </c>
      <c r="C1019" s="138">
        <v>2016</v>
      </c>
      <c r="D1019" s="138" t="str">
        <f t="shared" si="15"/>
        <v>La Puente 2016</v>
      </c>
    </row>
    <row r="1020" spans="1:22">
      <c r="A1020" t="s">
        <v>1094</v>
      </c>
      <c r="B1020" s="37" t="str">
        <f>VLOOKUP(A1020,'Planning Periods'!$E$2:$N$540,10,FALSE)</f>
        <v>10/15/2013 - 10/15/2021</v>
      </c>
      <c r="C1020" s="138">
        <v>2017</v>
      </c>
      <c r="D1020" s="138" t="str">
        <f t="shared" si="15"/>
        <v>La Puente 2017</v>
      </c>
    </row>
    <row r="1021" spans="1:22">
      <c r="A1021" s="139" t="s">
        <v>951</v>
      </c>
      <c r="B1021" s="37"/>
      <c r="C1021" s="138">
        <v>2013</v>
      </c>
      <c r="D1021" s="138" t="str">
        <f t="shared" si="15"/>
        <v>La Quinta 2013</v>
      </c>
    </row>
    <row r="1022" spans="1:22">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c r="A1056" t="s">
        <v>613</v>
      </c>
      <c r="B1056" s="37" t="str">
        <f>VLOOKUP(A1056,'Planning Periods'!$E$2:$N$540,10,FALSE)</f>
        <v>06/30/2014 - 06/30/2019</v>
      </c>
      <c r="C1056" s="138">
        <v>2015</v>
      </c>
      <c r="D1056" s="138" t="str">
        <f t="shared" si="15"/>
        <v>Lake County - Unincorporated 2015</v>
      </c>
    </row>
    <row r="1057" spans="1:22">
      <c r="A1057" t="s">
        <v>613</v>
      </c>
      <c r="B1057" s="37" t="str">
        <f>VLOOKUP(A1057,'Planning Periods'!$E$2:$N$540,10,FALSE)</f>
        <v>06/30/2014 - 06/30/2019</v>
      </c>
      <c r="C1057" s="138">
        <v>2016</v>
      </c>
      <c r="D1057" s="138" t="str">
        <f t="shared" si="15"/>
        <v>Lake County - Unincorporated 2016</v>
      </c>
    </row>
    <row r="1058" spans="1:22">
      <c r="A1058" t="s">
        <v>613</v>
      </c>
      <c r="B1058" s="37" t="str">
        <f>VLOOKUP(A1058,'Planning Periods'!$E$2:$N$540,10,FALSE)</f>
        <v>06/30/2014 - 06/30/2019</v>
      </c>
      <c r="C1058" s="138">
        <v>2017</v>
      </c>
      <c r="D1058" s="138" t="str">
        <f t="shared" si="15"/>
        <v>Lake County - Unincorporated 2017</v>
      </c>
    </row>
    <row r="1059" spans="1:22">
      <c r="A1059" s="139" t="s">
        <v>950</v>
      </c>
      <c r="B1059" s="37"/>
      <c r="C1059" s="138">
        <v>2013</v>
      </c>
      <c r="D1059" s="138" t="str">
        <f t="shared" si="15"/>
        <v>Lake Elsinore 2013</v>
      </c>
    </row>
    <row r="1060" spans="1:22">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c r="A1080" t="s">
        <v>1091</v>
      </c>
      <c r="B1080" s="37" t="str">
        <f>VLOOKUP(A1080,'Planning Periods'!$E$2:$N$540,10,FALSE)</f>
        <v>10/15/2013 - 10/15/2021</v>
      </c>
      <c r="C1080" s="138">
        <v>2015</v>
      </c>
      <c r="D1080" s="138" t="str">
        <f t="shared" si="15"/>
        <v>Lancaster 2015</v>
      </c>
    </row>
    <row r="1081" spans="1:22">
      <c r="A1081" t="s">
        <v>1091</v>
      </c>
      <c r="B1081" s="37" t="str">
        <f>VLOOKUP(A1081,'Planning Periods'!$E$2:$N$540,10,FALSE)</f>
        <v>10/15/2013 - 10/15/2021</v>
      </c>
      <c r="C1081" s="138">
        <v>2016</v>
      </c>
      <c r="D1081" s="138" t="str">
        <f t="shared" si="15"/>
        <v>Lancaster 2016</v>
      </c>
    </row>
    <row r="1082" spans="1:22">
      <c r="A1082" t="s">
        <v>1091</v>
      </c>
      <c r="B1082" s="37" t="str">
        <f>VLOOKUP(A1082,'Planning Periods'!$E$2:$N$540,10,FALSE)</f>
        <v>10/15/2013 - 10/15/2021</v>
      </c>
      <c r="C1082" s="138">
        <v>2017</v>
      </c>
      <c r="D1082" s="138" t="str">
        <f t="shared" si="15"/>
        <v>Lancaster 2017</v>
      </c>
    </row>
    <row r="1083" spans="1:22">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c r="A1088" t="s">
        <v>610</v>
      </c>
      <c r="B1088" s="37" t="str">
        <f>VLOOKUP(A1088,'Planning Periods'!$E$2:$N$540,10,FALSE)</f>
        <v>06/30/2014 - 06/30/2019</v>
      </c>
      <c r="C1088" s="138">
        <v>2015</v>
      </c>
      <c r="D1088" s="138" t="str">
        <f t="shared" si="15"/>
        <v>Lassen County - Unincorporated 2015</v>
      </c>
    </row>
    <row r="1089" spans="1:22">
      <c r="A1089" t="s">
        <v>610</v>
      </c>
      <c r="B1089" s="37" t="str">
        <f>VLOOKUP(A1089,'Planning Periods'!$E$2:$N$540,10,FALSE)</f>
        <v>06/30/2014 - 06/30/2019</v>
      </c>
      <c r="C1089" s="138">
        <v>2016</v>
      </c>
      <c r="D1089" s="138" t="str">
        <f t="shared" si="15"/>
        <v>Lassen County - Unincorporated 2016</v>
      </c>
    </row>
    <row r="1090" spans="1:22">
      <c r="A1090" t="s">
        <v>610</v>
      </c>
      <c r="B1090" s="37" t="str">
        <f>VLOOKUP(A1090,'Planning Periods'!$E$2:$N$540,10,FALSE)</f>
        <v>06/30/2014 - 06/30/2019</v>
      </c>
      <c r="C1090" s="138">
        <v>2017</v>
      </c>
      <c r="D1090" s="138" t="str">
        <f t="shared" ref="D1090:D1154" si="16">CONCATENATE(A1090," ",C1090)</f>
        <v>Lassen County - Unincorporated 2017</v>
      </c>
    </row>
    <row r="1091" spans="1:22">
      <c r="A1091" s="139" t="s">
        <v>886</v>
      </c>
      <c r="B1091" s="37" t="str">
        <f>VLOOKUP(A1091,'Planning Periods'!$E$2:$N$540,10,FALSE)</f>
        <v>12/31/2015 - 12/31/2023</v>
      </c>
      <c r="C1091" s="138">
        <v>2014</v>
      </c>
      <c r="D1091" s="138" t="str">
        <f t="shared" si="16"/>
        <v>Lathrop 2014</v>
      </c>
    </row>
    <row r="1092" spans="1:22">
      <c r="A1092" s="139" t="s">
        <v>886</v>
      </c>
      <c r="B1092" s="37" t="str">
        <f>VLOOKUP(A1092,'Planning Periods'!$E$2:$N$540,10,FALSE)</f>
        <v>12/31/2015 - 12/31/2023</v>
      </c>
      <c r="C1092" s="138">
        <v>2015</v>
      </c>
      <c r="D1092" s="138" t="str">
        <f t="shared" si="16"/>
        <v>Lathrop 2015</v>
      </c>
    </row>
    <row r="1093" spans="1:22">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c r="A1106" t="s">
        <v>1141</v>
      </c>
      <c r="B1106" s="37" t="str">
        <f>VLOOKUP(A1106,'Planning Periods'!$E$2:$N$540,10,FALSE)</f>
        <v>01/31/2016 - 01/31/2024</v>
      </c>
      <c r="C1106" s="138">
        <v>2015</v>
      </c>
      <c r="D1106" s="138" t="str">
        <f t="shared" si="16"/>
        <v>Lemoore 2015</v>
      </c>
    </row>
    <row r="1107" spans="1:22">
      <c r="A1107" t="s">
        <v>1141</v>
      </c>
      <c r="B1107" s="37" t="str">
        <f>VLOOKUP(A1107,'Planning Periods'!$E$2:$N$540,10,FALSE)</f>
        <v>01/31/2016 - 01/31/2024</v>
      </c>
      <c r="C1107" s="138">
        <v>2016</v>
      </c>
      <c r="D1107" s="138" t="str">
        <f t="shared" si="16"/>
        <v>Lemoore 2016</v>
      </c>
    </row>
    <row r="1108" spans="1:22">
      <c r="A1108" t="s">
        <v>1141</v>
      </c>
      <c r="B1108" s="37" t="str">
        <f>VLOOKUP(A1108,'Planning Periods'!$E$2:$N$540,10,FALSE)</f>
        <v>01/31/2016 - 01/31/2024</v>
      </c>
      <c r="C1108" s="138">
        <v>2017</v>
      </c>
      <c r="D1108" s="138" t="str">
        <f t="shared" si="16"/>
        <v>Lemoore 2017</v>
      </c>
    </row>
    <row r="1109" spans="1:22">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c r="A1137" t="s">
        <v>918</v>
      </c>
      <c r="B1137" s="37" t="str">
        <f>VLOOKUP(A1137,'Planning Periods'!$E$2:$N$540,10,FALSE)</f>
        <v>10/15/2013 - 10/15/2021</v>
      </c>
      <c r="C1137" s="138">
        <v>2015</v>
      </c>
      <c r="D1137" s="138" t="str">
        <f t="shared" si="16"/>
        <v>Loma Linda 2015</v>
      </c>
    </row>
    <row r="1138" spans="1:22">
      <c r="A1138" t="s">
        <v>918</v>
      </c>
      <c r="B1138" s="37" t="str">
        <f>VLOOKUP(A1138,'Planning Periods'!$E$2:$N$540,10,FALSE)</f>
        <v>10/15/2013 - 10/15/2021</v>
      </c>
      <c r="C1138" s="138">
        <v>2016</v>
      </c>
      <c r="D1138" s="138" t="str">
        <f t="shared" si="16"/>
        <v>Loma Linda 2016</v>
      </c>
    </row>
    <row r="1139" spans="1:22">
      <c r="A1139" t="s">
        <v>918</v>
      </c>
      <c r="B1139" s="37" t="str">
        <f>VLOOKUP(A1139,'Planning Periods'!$E$2:$N$540,10,FALSE)</f>
        <v>10/15/2013 - 10/15/2021</v>
      </c>
      <c r="C1139" s="138">
        <v>2017</v>
      </c>
      <c r="D1139" s="138" t="str">
        <f t="shared" si="16"/>
        <v>Loma Linda 2017</v>
      </c>
    </row>
    <row r="1140" spans="1:22">
      <c r="A1140" s="139" t="s">
        <v>1089</v>
      </c>
      <c r="B1140" s="37"/>
      <c r="C1140" s="138">
        <v>2013</v>
      </c>
      <c r="D1140" s="138" t="str">
        <f t="shared" si="16"/>
        <v>Lomita 2013</v>
      </c>
    </row>
    <row r="1141" spans="1:22">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c r="A1191" t="s">
        <v>826</v>
      </c>
      <c r="B1191" s="37" t="str">
        <f>VLOOKUP(A1191,'Planning Periods'!$E$2:$N$540,10,FALSE)</f>
        <v>06/30/2014 - 06/30/2019</v>
      </c>
      <c r="C1191" s="138">
        <v>2015</v>
      </c>
      <c r="D1191" s="138" t="str">
        <f t="shared" si="17"/>
        <v>Loyalton 2015</v>
      </c>
    </row>
    <row r="1192" spans="1:22">
      <c r="A1192" t="s">
        <v>826</v>
      </c>
      <c r="B1192" s="37" t="str">
        <f>VLOOKUP(A1192,'Planning Periods'!$E$2:$N$540,10,FALSE)</f>
        <v>06/30/2014 - 06/30/2019</v>
      </c>
      <c r="C1192" s="138">
        <v>2016</v>
      </c>
      <c r="D1192" s="138" t="str">
        <f t="shared" si="17"/>
        <v>Loyalton 2016</v>
      </c>
    </row>
    <row r="1193" spans="1:22">
      <c r="A1193" t="s">
        <v>826</v>
      </c>
      <c r="B1193" s="37" t="str">
        <f>VLOOKUP(A1193,'Planning Periods'!$E$2:$N$540,10,FALSE)</f>
        <v>06/30/2014 - 06/30/2019</v>
      </c>
      <c r="C1193" s="138">
        <v>2017</v>
      </c>
      <c r="D1193" s="138" t="str">
        <f t="shared" si="17"/>
        <v>Loyalton 2017</v>
      </c>
    </row>
    <row r="1194" spans="1:22">
      <c r="A1194" t="s">
        <v>1087</v>
      </c>
      <c r="B1194" s="37"/>
      <c r="C1194" s="138">
        <v>2013</v>
      </c>
      <c r="D1194" s="138" t="str">
        <f t="shared" si="17"/>
        <v>Lynwood 2013</v>
      </c>
    </row>
    <row r="1195" spans="1:22">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c r="A1196" t="s">
        <v>1087</v>
      </c>
      <c r="B1196" s="37" t="str">
        <f>VLOOKUP(A1196,'Planning Periods'!$E$2:$N$540,10,FALSE)</f>
        <v>10/15/2013 - 10/15/2021</v>
      </c>
      <c r="C1196" s="138">
        <v>2015</v>
      </c>
      <c r="D1196" s="138" t="str">
        <f t="shared" si="17"/>
        <v>Lynwood 2015</v>
      </c>
    </row>
    <row r="1197" spans="1:22">
      <c r="A1197" t="s">
        <v>1087</v>
      </c>
      <c r="B1197" s="37" t="str">
        <f>VLOOKUP(A1197,'Planning Periods'!$E$2:$N$540,10,FALSE)</f>
        <v>10/15/2013 - 10/15/2021</v>
      </c>
      <c r="C1197" s="138">
        <v>2016</v>
      </c>
      <c r="D1197" s="138" t="str">
        <f t="shared" si="17"/>
        <v>Lynwood 2016</v>
      </c>
    </row>
    <row r="1198" spans="1:22">
      <c r="A1198" t="s">
        <v>1087</v>
      </c>
      <c r="B1198" s="37" t="str">
        <f>VLOOKUP(A1198,'Planning Periods'!$E$2:$N$540,10,FALSE)</f>
        <v>10/15/2013 - 10/15/2021</v>
      </c>
      <c r="C1198" s="138">
        <v>2017</v>
      </c>
      <c r="D1198" s="138" t="str">
        <f t="shared" si="17"/>
        <v>Lynwood 2017</v>
      </c>
    </row>
    <row r="1199" spans="1:22">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c r="A1218" t="s">
        <v>1085</v>
      </c>
      <c r="B1218" s="37" t="str">
        <f>VLOOKUP(A1218,'Planning Periods'!$E$2:$N$540,10,FALSE)</f>
        <v>10/15/2013 - 10/15/2021</v>
      </c>
      <c r="C1218" s="138">
        <v>2015</v>
      </c>
      <c r="D1218" s="138" t="str">
        <f t="shared" si="17"/>
        <v>Manhattan Beach 2015</v>
      </c>
    </row>
    <row r="1219" spans="1:22">
      <c r="A1219" t="s">
        <v>1085</v>
      </c>
      <c r="B1219" s="37" t="str">
        <f>VLOOKUP(A1219,'Planning Periods'!$E$2:$N$540,10,FALSE)</f>
        <v>10/15/2013 - 10/15/2021</v>
      </c>
      <c r="C1219" s="138">
        <v>2016</v>
      </c>
      <c r="D1219" s="138" t="str">
        <f t="shared" si="17"/>
        <v>Manhattan Beach 2016</v>
      </c>
    </row>
    <row r="1220" spans="1:22">
      <c r="A1220" t="s">
        <v>1085</v>
      </c>
      <c r="B1220" s="37" t="str">
        <f>VLOOKUP(A1220,'Planning Periods'!$E$2:$N$540,10,FALSE)</f>
        <v>10/15/2013 - 10/15/2021</v>
      </c>
      <c r="C1220" s="138">
        <v>2017</v>
      </c>
      <c r="D1220" s="138" t="str">
        <f t="shared" si="17"/>
        <v>Manhattan Beach 2017</v>
      </c>
    </row>
    <row r="1221" spans="1:22">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c r="A1222" t="s">
        <v>884</v>
      </c>
      <c r="B1222" s="37" t="str">
        <f>VLOOKUP(A1222,'Planning Periods'!$E$2:$N$540,10,FALSE)</f>
        <v>12/31/2015 - 12/31/2023</v>
      </c>
      <c r="C1222" s="138">
        <v>2015</v>
      </c>
      <c r="D1222" s="138" t="str">
        <f t="shared" si="17"/>
        <v>Manteca 2015</v>
      </c>
    </row>
    <row r="1223" spans="1:22">
      <c r="A1223" t="s">
        <v>884</v>
      </c>
      <c r="B1223" s="37" t="str">
        <f>VLOOKUP(A1223,'Planning Periods'!$E$2:$N$540,10,FALSE)</f>
        <v>12/31/2015 - 12/31/2023</v>
      </c>
      <c r="C1223" s="138">
        <v>2016</v>
      </c>
      <c r="D1223" s="138" t="str">
        <f t="shared" si="17"/>
        <v>Manteca 2016</v>
      </c>
    </row>
    <row r="1224" spans="1:22">
      <c r="A1224" t="s">
        <v>884</v>
      </c>
      <c r="B1224" s="37" t="str">
        <f>VLOOKUP(A1224,'Planning Periods'!$E$2:$N$540,10,FALSE)</f>
        <v>12/31/2015 - 12/31/2023</v>
      </c>
      <c r="C1224" s="138">
        <v>2017</v>
      </c>
      <c r="D1224" s="138" t="str">
        <f t="shared" si="17"/>
        <v>Manteca 2017</v>
      </c>
    </row>
    <row r="1225" spans="1:22">
      <c r="A1225" t="s">
        <v>1153</v>
      </c>
      <c r="B1225" s="37" t="str">
        <f>VLOOKUP(A1225,'Planning Periods'!$E$2:$N$540,10,FALSE)</f>
        <v>12/31/2015 - 12/31/2023</v>
      </c>
      <c r="C1225" s="138">
        <v>2013</v>
      </c>
      <c r="D1225" s="138" t="str">
        <f t="shared" ref="D1225:D1290" si="18">CONCATENATE(A1225," ",C1225)</f>
        <v>Maricopa 2013</v>
      </c>
    </row>
    <row r="1226" spans="1:22">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c r="A1227" t="s">
        <v>1153</v>
      </c>
      <c r="B1227" s="37" t="str">
        <f>VLOOKUP(A1227,'Planning Periods'!$E$2:$N$540,10,FALSE)</f>
        <v>12/31/2015 - 12/31/2023</v>
      </c>
      <c r="C1227" s="138">
        <v>2015</v>
      </c>
      <c r="D1227" s="138" t="str">
        <f t="shared" si="18"/>
        <v>Maricopa 2015</v>
      </c>
    </row>
    <row r="1228" spans="1:22">
      <c r="A1228" t="s">
        <v>1153</v>
      </c>
      <c r="B1228" s="37" t="str">
        <f>VLOOKUP(A1228,'Planning Periods'!$E$2:$N$540,10,FALSE)</f>
        <v>12/31/2015 - 12/31/2023</v>
      </c>
      <c r="C1228" s="138">
        <v>2016</v>
      </c>
      <c r="D1228" s="138" t="str">
        <f t="shared" si="18"/>
        <v>Maricopa 2016</v>
      </c>
    </row>
    <row r="1229" spans="1:22">
      <c r="A1229" t="s">
        <v>1153</v>
      </c>
      <c r="B1229" s="37" t="str">
        <f>VLOOKUP(A1229,'Planning Periods'!$E$2:$N$540,10,FALSE)</f>
        <v>12/31/2015 - 12/31/2023</v>
      </c>
      <c r="C1229" s="138">
        <v>2017</v>
      </c>
      <c r="D1229" s="138" t="str">
        <f t="shared" si="18"/>
        <v>Maricopa 2017</v>
      </c>
    </row>
    <row r="1230" spans="1:22">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c r="A1248" t="s">
        <v>757</v>
      </c>
      <c r="B1248" s="37" t="str">
        <f>VLOOKUP(A1248,'Planning Periods'!$E$2:$N$540,10,FALSE)</f>
        <v>10/31/2013 - 10/31/2021</v>
      </c>
      <c r="C1248" s="138">
        <v>2015</v>
      </c>
      <c r="D1248" s="138" t="str">
        <f t="shared" si="18"/>
        <v>Marysville 2015</v>
      </c>
    </row>
    <row r="1249" spans="1:22">
      <c r="A1249" t="s">
        <v>757</v>
      </c>
      <c r="B1249" s="37" t="str">
        <f>VLOOKUP(A1249,'Planning Periods'!$E$2:$N$540,10,FALSE)</f>
        <v>10/31/2013 - 10/31/2021</v>
      </c>
      <c r="C1249" s="138">
        <v>2016</v>
      </c>
      <c r="D1249" s="138" t="str">
        <f t="shared" si="18"/>
        <v>Marysville 2016</v>
      </c>
    </row>
    <row r="1250" spans="1:22">
      <c r="A1250" t="s">
        <v>757</v>
      </c>
      <c r="B1250" s="37" t="str">
        <f>VLOOKUP(A1250,'Planning Periods'!$E$2:$N$540,10,FALSE)</f>
        <v>10/31/2013 - 10/31/2021</v>
      </c>
      <c r="C1250" s="138">
        <v>2017</v>
      </c>
      <c r="D1250" s="138" t="str">
        <f t="shared" si="18"/>
        <v>Marysville 2017</v>
      </c>
    </row>
    <row r="1251" spans="1:22">
      <c r="A1251" t="s">
        <v>1084</v>
      </c>
      <c r="B1251" s="37"/>
      <c r="C1251" s="138">
        <v>2013</v>
      </c>
      <c r="D1251" s="138" t="str">
        <f t="shared" si="18"/>
        <v>Maywood 2013</v>
      </c>
    </row>
    <row r="1252" spans="1:22">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c r="A1253" t="s">
        <v>1084</v>
      </c>
      <c r="B1253" s="37" t="str">
        <f>VLOOKUP(A1253,'Planning Periods'!$E$2:$N$540,10,FALSE)</f>
        <v>10/15/2013 - 10/15/2021</v>
      </c>
      <c r="C1253" s="138">
        <v>2015</v>
      </c>
      <c r="D1253" s="138" t="str">
        <f t="shared" si="18"/>
        <v>Maywood 2015</v>
      </c>
    </row>
    <row r="1254" spans="1:22">
      <c r="A1254" t="s">
        <v>1084</v>
      </c>
      <c r="B1254" s="37" t="str">
        <f>VLOOKUP(A1254,'Planning Periods'!$E$2:$N$540,10,FALSE)</f>
        <v>10/15/2013 - 10/15/2021</v>
      </c>
      <c r="C1254" s="138">
        <v>2016</v>
      </c>
      <c r="D1254" s="138" t="str">
        <f t="shared" si="18"/>
        <v>Maywood 2016</v>
      </c>
    </row>
    <row r="1255" spans="1:22">
      <c r="A1255" t="s">
        <v>1084</v>
      </c>
      <c r="B1255" s="37" t="str">
        <f>VLOOKUP(A1255,'Planning Periods'!$E$2:$N$540,10,FALSE)</f>
        <v>10/15/2013 - 10/15/2021</v>
      </c>
      <c r="C1255" s="138">
        <v>2017</v>
      </c>
      <c r="D1255" s="138" t="str">
        <f t="shared" si="18"/>
        <v>Maywood 2017</v>
      </c>
    </row>
    <row r="1256" spans="1:22">
      <c r="A1256" s="139" t="s">
        <v>1320</v>
      </c>
      <c r="B1256" s="37" t="str">
        <f>VLOOKUP(A1256,'Planning Periods'!$E$2:$N$540,10,FALSE)</f>
        <v>12/31/2015 - 12/31/2023</v>
      </c>
      <c r="C1256" s="138">
        <v>2013</v>
      </c>
      <c r="D1256" s="138" t="str">
        <f t="shared" si="18"/>
        <v>Mcfarland 2013</v>
      </c>
    </row>
    <row r="1257" spans="1:22">
      <c r="A1257" s="139" t="s">
        <v>1320</v>
      </c>
      <c r="B1257" s="37" t="str">
        <f>VLOOKUP(A1257,'Planning Periods'!$E$2:$N$540,10,FALSE)</f>
        <v>12/31/2015 - 12/31/2023</v>
      </c>
      <c r="C1257" s="138">
        <v>2014</v>
      </c>
      <c r="D1257" s="138" t="str">
        <f t="shared" si="18"/>
        <v>Mcfarland 2014</v>
      </c>
    </row>
    <row r="1258" spans="1:22">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c r="A1267" t="s">
        <v>1185</v>
      </c>
      <c r="B1267" s="37" t="str">
        <f>VLOOKUP(A1267,'Planning Periods'!$E$2:$N$540,10,FALSE)</f>
        <v>12/31/2015 - 12/31/2023</v>
      </c>
      <c r="C1267" s="138">
        <v>2015</v>
      </c>
      <c r="D1267" s="138" t="str">
        <f t="shared" si="18"/>
        <v>Mendota 2015</v>
      </c>
    </row>
    <row r="1268" spans="1:22">
      <c r="A1268" t="s">
        <v>1185</v>
      </c>
      <c r="B1268" s="37" t="str">
        <f>VLOOKUP(A1268,'Planning Periods'!$E$2:$N$540,10,FALSE)</f>
        <v>12/31/2015 - 12/31/2023</v>
      </c>
      <c r="C1268" s="138">
        <v>2016</v>
      </c>
      <c r="D1268" s="138" t="str">
        <f t="shared" si="18"/>
        <v>Mendota 2016</v>
      </c>
    </row>
    <row r="1269" spans="1:22">
      <c r="A1269" t="s">
        <v>1185</v>
      </c>
      <c r="B1269" s="37" t="str">
        <f>VLOOKUP(A1269,'Planning Periods'!$E$2:$N$540,10,FALSE)</f>
        <v>12/31/2015 - 12/31/2023</v>
      </c>
      <c r="C1269" s="138">
        <v>2017</v>
      </c>
      <c r="D1269" s="138" t="str">
        <f t="shared" si="18"/>
        <v>Mendota 2017</v>
      </c>
    </row>
    <row r="1270" spans="1:22">
      <c r="A1270" s="139" t="s">
        <v>949</v>
      </c>
      <c r="B1270" s="37"/>
      <c r="C1270" s="138">
        <v>2013</v>
      </c>
      <c r="D1270" s="138" t="str">
        <f t="shared" si="18"/>
        <v>Menifee 2013</v>
      </c>
    </row>
    <row r="1271" spans="1:22">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c r="A1309" t="s">
        <v>483</v>
      </c>
      <c r="B1309" s="37" t="str">
        <f>VLOOKUP(A1309,'Planning Periods'!$E$2:$N$540,10,FALSE)</f>
        <v>06/30/2014 - 06/30/2019</v>
      </c>
      <c r="C1309" s="138">
        <v>2015</v>
      </c>
      <c r="D1309" s="138" t="str">
        <f t="shared" si="19"/>
        <v>Modoc County - Unincorporated 2015</v>
      </c>
    </row>
    <row r="1310" spans="1:22">
      <c r="A1310" t="s">
        <v>483</v>
      </c>
      <c r="B1310" s="37" t="str">
        <f>VLOOKUP(A1310,'Planning Periods'!$E$2:$N$540,10,FALSE)</f>
        <v>06/30/2014 - 06/30/2019</v>
      </c>
      <c r="C1310" s="138">
        <v>2016</v>
      </c>
      <c r="D1310" s="138" t="str">
        <f t="shared" si="19"/>
        <v>Modoc County - Unincorporated 2016</v>
      </c>
    </row>
    <row r="1311" spans="1:22">
      <c r="A1311" t="s">
        <v>483</v>
      </c>
      <c r="B1311" s="37" t="str">
        <f>VLOOKUP(A1311,'Planning Periods'!$E$2:$N$540,10,FALSE)</f>
        <v>06/30/2014 - 06/30/2019</v>
      </c>
      <c r="C1311" s="138">
        <v>2017</v>
      </c>
      <c r="D1311" s="138" t="str">
        <f t="shared" si="19"/>
        <v>Modoc County - Unincorporated 2017</v>
      </c>
    </row>
    <row r="1312" spans="1:22">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c r="A1327" t="s">
        <v>917</v>
      </c>
      <c r="B1327" s="37" t="str">
        <f>VLOOKUP(A1327,'Planning Periods'!$E$2:$N$540,10,FALSE)</f>
        <v>10/15/2013 - 10/15/2021</v>
      </c>
      <c r="C1327" s="138">
        <v>2015</v>
      </c>
      <c r="D1327" s="138" t="str">
        <f t="shared" si="19"/>
        <v>Montclair 2015</v>
      </c>
    </row>
    <row r="1328" spans="1:22">
      <c r="A1328" t="s">
        <v>917</v>
      </c>
      <c r="B1328" s="37" t="str">
        <f>VLOOKUP(A1328,'Planning Periods'!$E$2:$N$540,10,FALSE)</f>
        <v>10/15/2013 - 10/15/2021</v>
      </c>
      <c r="C1328" s="138">
        <v>2016</v>
      </c>
      <c r="D1328" s="138" t="str">
        <f t="shared" si="19"/>
        <v>Montclair 2016</v>
      </c>
    </row>
    <row r="1329" spans="1:22">
      <c r="A1329" t="s">
        <v>917</v>
      </c>
      <c r="B1329" s="37" t="str">
        <f>VLOOKUP(A1329,'Planning Periods'!$E$2:$N$540,10,FALSE)</f>
        <v>10/15/2013 - 10/15/2021</v>
      </c>
      <c r="C1329" s="138">
        <v>2017</v>
      </c>
      <c r="D1329" s="138" t="str">
        <f t="shared" si="19"/>
        <v>Montclair 2017</v>
      </c>
    </row>
    <row r="1330" spans="1:22">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c r="A1336" t="s">
        <v>1082</v>
      </c>
      <c r="B1336" s="37" t="str">
        <f>VLOOKUP(A1336,'Planning Periods'!$E$2:$N$540,10,FALSE)</f>
        <v>10/15/2013 - 10/15/2021</v>
      </c>
      <c r="C1336" s="138">
        <v>2015</v>
      </c>
      <c r="D1336" s="138" t="str">
        <f t="shared" si="19"/>
        <v>Montebello 2015</v>
      </c>
    </row>
    <row r="1337" spans="1:22">
      <c r="A1337" t="s">
        <v>1082</v>
      </c>
      <c r="B1337" s="37" t="str">
        <f>VLOOKUP(A1337,'Planning Periods'!$E$2:$N$540,10,FALSE)</f>
        <v>10/15/2013 - 10/15/2021</v>
      </c>
      <c r="C1337" s="138">
        <v>2016</v>
      </c>
      <c r="D1337" s="138" t="str">
        <f t="shared" si="19"/>
        <v>Montebello 2016</v>
      </c>
    </row>
    <row r="1338" spans="1:22">
      <c r="A1338" t="s">
        <v>1082</v>
      </c>
      <c r="B1338" s="37" t="str">
        <f>VLOOKUP(A1338,'Planning Periods'!$E$2:$N$540,10,FALSE)</f>
        <v>10/15/2013 - 10/15/2021</v>
      </c>
      <c r="C1338" s="138">
        <v>2017</v>
      </c>
      <c r="D1338" s="138" t="str">
        <f t="shared" si="19"/>
        <v>Montebello 2017</v>
      </c>
    </row>
    <row r="1339" spans="1:22">
      <c r="A1339" s="139" t="s">
        <v>1014</v>
      </c>
      <c r="B1339" s="37" t="str">
        <f>VLOOKUP(A1339,'Planning Periods'!$E$2:$N$540,10,FALSE)</f>
        <v>12/31/2015 - 12/31/2023</v>
      </c>
      <c r="C1339" s="138">
        <v>2014</v>
      </c>
      <c r="D1339" s="138" t="str">
        <f t="shared" si="19"/>
        <v>Monterey 2014</v>
      </c>
    </row>
    <row r="1340" spans="1:22">
      <c r="A1340" s="139" t="s">
        <v>1014</v>
      </c>
      <c r="B1340" s="37" t="str">
        <f>VLOOKUP(A1340,'Planning Periods'!$E$2:$N$540,10,FALSE)</f>
        <v>12/31/2015 - 12/31/2023</v>
      </c>
      <c r="C1340" s="138">
        <v>2015</v>
      </c>
      <c r="D1340" s="138" t="str">
        <f t="shared" si="19"/>
        <v>Monterey 2015</v>
      </c>
    </row>
    <row r="1341" spans="1:22">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c r="A1371" t="s">
        <v>875</v>
      </c>
      <c r="B1371" s="37" t="str">
        <f>VLOOKUP(A1371,'Planning Periods'!$E$2:$N$540,10,FALSE)</f>
        <v>06/30/2014 - 06/30/2019</v>
      </c>
      <c r="C1371" s="138">
        <v>2015</v>
      </c>
      <c r="D1371" s="138" t="str">
        <f t="shared" si="20"/>
        <v>Morro Bay 2015</v>
      </c>
    </row>
    <row r="1372" spans="1:22">
      <c r="A1372" t="s">
        <v>875</v>
      </c>
      <c r="B1372" s="37" t="str">
        <f>VLOOKUP(A1372,'Planning Periods'!$E$2:$N$540,10,FALSE)</f>
        <v>06/30/2014 - 06/30/2019</v>
      </c>
      <c r="C1372" s="138">
        <v>2016</v>
      </c>
      <c r="D1372" s="138" t="str">
        <f t="shared" si="20"/>
        <v>Morro Bay 2016</v>
      </c>
    </row>
    <row r="1373" spans="1:22">
      <c r="A1373" t="s">
        <v>875</v>
      </c>
      <c r="B1373" s="37" t="str">
        <f>VLOOKUP(A1373,'Planning Periods'!$E$2:$N$540,10,FALSE)</f>
        <v>06/30/2014 - 06/30/2019</v>
      </c>
      <c r="C1373" s="138">
        <v>2017</v>
      </c>
      <c r="D1373" s="138" t="str">
        <f t="shared" si="20"/>
        <v>Morro Bay 2017</v>
      </c>
    </row>
    <row r="1374" spans="1:22">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c r="A1406" t="s">
        <v>1007</v>
      </c>
      <c r="B1406" s="37" t="str">
        <f>VLOOKUP(A1406,'Planning Periods'!$E$2:$N$540,10,FALSE)</f>
        <v>06/30/2014 - 06/30/2019</v>
      </c>
      <c r="C1406" s="138">
        <v>2015</v>
      </c>
      <c r="D1406" s="138" t="str">
        <f t="shared" si="20"/>
        <v>Nevada City 2015</v>
      </c>
    </row>
    <row r="1407" spans="1:22">
      <c r="A1407" t="s">
        <v>1007</v>
      </c>
      <c r="B1407" s="37" t="str">
        <f>VLOOKUP(A1407,'Planning Periods'!$E$2:$N$540,10,FALSE)</f>
        <v>06/30/2014 - 06/30/2019</v>
      </c>
      <c r="C1407" s="138">
        <v>2016</v>
      </c>
      <c r="D1407" s="138" t="str">
        <f t="shared" si="20"/>
        <v>Nevada City 2016</v>
      </c>
    </row>
    <row r="1408" spans="1:22">
      <c r="A1408" t="s">
        <v>1007</v>
      </c>
      <c r="B1408" s="37" t="str">
        <f>VLOOKUP(A1408,'Planning Periods'!$E$2:$N$540,10,FALSE)</f>
        <v>06/30/2014 - 06/30/2019</v>
      </c>
      <c r="C1408" s="138">
        <v>2017</v>
      </c>
      <c r="D1408" s="138" t="str">
        <f t="shared" si="20"/>
        <v>Nevada City 2017</v>
      </c>
    </row>
    <row r="1409" spans="1:22">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c r="A1418" t="s">
        <v>796</v>
      </c>
      <c r="B1418" s="37" t="str">
        <f>VLOOKUP(A1418,'Planning Periods'!$E$2:$N$540,10,FALSE)</f>
        <v>12/31/2015 - 12/31/2023</v>
      </c>
      <c r="C1418" s="138">
        <v>2015</v>
      </c>
      <c r="D1418" s="138" t="str">
        <f t="shared" si="20"/>
        <v>Newman 2015</v>
      </c>
    </row>
    <row r="1419" spans="1:22">
      <c r="A1419" t="s">
        <v>796</v>
      </c>
      <c r="B1419" s="37" t="str">
        <f>VLOOKUP(A1419,'Planning Periods'!$E$2:$N$540,10,FALSE)</f>
        <v>12/31/2015 - 12/31/2023</v>
      </c>
      <c r="C1419" s="138">
        <v>2016</v>
      </c>
      <c r="D1419" s="138" t="str">
        <f t="shared" si="20"/>
        <v>Newman 2016</v>
      </c>
    </row>
    <row r="1420" spans="1:22">
      <c r="A1420" t="s">
        <v>796</v>
      </c>
      <c r="B1420" s="37" t="str">
        <f>VLOOKUP(A1420,'Planning Periods'!$E$2:$N$540,10,FALSE)</f>
        <v>12/31/2015 - 12/31/2023</v>
      </c>
      <c r="C1420" s="138">
        <v>2017</v>
      </c>
      <c r="D1420" s="138" t="str">
        <f t="shared" si="20"/>
        <v>Newman 2017</v>
      </c>
    </row>
    <row r="1421" spans="1:22">
      <c r="A1421" s="139" t="s">
        <v>983</v>
      </c>
      <c r="B1421" s="37"/>
      <c r="C1421" s="138">
        <v>2013</v>
      </c>
      <c r="D1421" s="138" t="str">
        <f t="shared" si="20"/>
        <v>Newport Beach 2013</v>
      </c>
    </row>
    <row r="1422" spans="1:22">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c r="A1479" t="s">
        <v>1184</v>
      </c>
      <c r="B1479" s="37" t="str">
        <f>VLOOKUP(A1479,'Planning Periods'!$E$2:$N$540,10,FALSE)</f>
        <v>12/31/2015 - 12/31/2023</v>
      </c>
      <c r="C1479" s="138">
        <v>2015</v>
      </c>
      <c r="D1479" s="138" t="str">
        <f t="shared" si="21"/>
        <v>Orange Cove 2015</v>
      </c>
    </row>
    <row r="1480" spans="1:22">
      <c r="A1480" t="s">
        <v>1184</v>
      </c>
      <c r="B1480" s="37" t="str">
        <f>VLOOKUP(A1480,'Planning Periods'!$E$2:$N$540,10,FALSE)</f>
        <v>12/31/2015 - 12/31/2023</v>
      </c>
      <c r="C1480" s="138">
        <v>2016</v>
      </c>
      <c r="D1480" s="138" t="str">
        <f t="shared" si="21"/>
        <v>Orange Cove 2016</v>
      </c>
    </row>
    <row r="1481" spans="1:22">
      <c r="A1481" t="s">
        <v>1184</v>
      </c>
      <c r="B1481" s="37" t="str">
        <f>VLOOKUP(A1481,'Planning Periods'!$E$2:$N$540,10,FALSE)</f>
        <v>12/31/2015 - 12/31/2023</v>
      </c>
      <c r="C1481" s="138">
        <v>2017</v>
      </c>
      <c r="D1481" s="138" t="str">
        <f t="shared" si="21"/>
        <v>Orange Cove 2017</v>
      </c>
    </row>
    <row r="1482" spans="1:22">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c r="A1528" t="s">
        <v>1078</v>
      </c>
      <c r="B1528" s="37" t="str">
        <f>VLOOKUP(A1528,'Planning Periods'!$E$2:$N$540,10,FALSE)</f>
        <v>10/15/2013 - 10/15/2021</v>
      </c>
      <c r="C1528" s="138">
        <v>2015</v>
      </c>
      <c r="D1528" s="138" t="str">
        <f t="shared" si="22"/>
        <v>Palos Verdes Estates 2015</v>
      </c>
    </row>
    <row r="1529" spans="1:22">
      <c r="A1529" t="s">
        <v>1078</v>
      </c>
      <c r="B1529" s="37" t="str">
        <f>VLOOKUP(A1529,'Planning Periods'!$E$2:$N$540,10,FALSE)</f>
        <v>10/15/2013 - 10/15/2021</v>
      </c>
      <c r="C1529" s="138">
        <v>2016</v>
      </c>
      <c r="D1529" s="138" t="str">
        <f t="shared" si="22"/>
        <v>Palos Verdes Estates 2016</v>
      </c>
    </row>
    <row r="1530" spans="1:22">
      <c r="A1530" t="s">
        <v>1078</v>
      </c>
      <c r="B1530" s="37" t="str">
        <f>VLOOKUP(A1530,'Planning Periods'!$E$2:$N$540,10,FALSE)</f>
        <v>10/15/2013 - 10/15/2021</v>
      </c>
      <c r="C1530" s="138">
        <v>2017</v>
      </c>
      <c r="D1530" s="138" t="str">
        <f t="shared" si="22"/>
        <v>Palos Verdes Estates 2017</v>
      </c>
    </row>
    <row r="1531" spans="1:22">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c r="A1555" t="s">
        <v>794</v>
      </c>
      <c r="B1555" s="37" t="str">
        <f>VLOOKUP(A1555,'Planning Periods'!$E$2:$N$540,10,FALSE)</f>
        <v>12/31/2015 - 12/31/2023</v>
      </c>
      <c r="C1555" s="138">
        <v>2015</v>
      </c>
      <c r="D1555" s="138" t="str">
        <f t="shared" si="22"/>
        <v>Patterson 2015</v>
      </c>
    </row>
    <row r="1556" spans="1:22">
      <c r="A1556" t="s">
        <v>794</v>
      </c>
      <c r="B1556" s="37" t="str">
        <f>VLOOKUP(A1556,'Planning Periods'!$E$2:$N$540,10,FALSE)</f>
        <v>12/31/2015 - 12/31/2023</v>
      </c>
      <c r="C1556" s="138">
        <v>2016</v>
      </c>
      <c r="D1556" s="138" t="str">
        <f t="shared" si="22"/>
        <v>Patterson 2016</v>
      </c>
    </row>
    <row r="1557" spans="1:22">
      <c r="A1557" t="s">
        <v>794</v>
      </c>
      <c r="B1557" s="37" t="str">
        <f>VLOOKUP(A1557,'Planning Periods'!$E$2:$N$540,10,FALSE)</f>
        <v>12/31/2015 - 12/31/2023</v>
      </c>
      <c r="C1557" s="138">
        <v>2017</v>
      </c>
      <c r="D1557" s="138" t="str">
        <f t="shared" si="22"/>
        <v>Patterson 2017</v>
      </c>
    </row>
    <row r="1558" spans="1:22">
      <c r="A1558" s="139" t="s">
        <v>943</v>
      </c>
      <c r="B1558" s="37"/>
      <c r="C1558" s="138">
        <v>2013</v>
      </c>
      <c r="D1558" s="138" t="str">
        <f t="shared" si="22"/>
        <v>Perris 2013</v>
      </c>
    </row>
    <row r="1559" spans="1:22">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c r="A1569" t="s">
        <v>1075</v>
      </c>
      <c r="B1569" s="37" t="str">
        <f>VLOOKUP(A1569,'Planning Periods'!$E$2:$N$540,10,FALSE)</f>
        <v>10/15/2013 - 10/15/2021</v>
      </c>
      <c r="C1569" s="138">
        <v>2015</v>
      </c>
      <c r="D1569" s="138" t="str">
        <f t="shared" si="23"/>
        <v>Pico Rivera 2015</v>
      </c>
    </row>
    <row r="1570" spans="1:22">
      <c r="A1570" t="s">
        <v>1075</v>
      </c>
      <c r="B1570" s="37" t="str">
        <f>VLOOKUP(A1570,'Planning Periods'!$E$2:$N$540,10,FALSE)</f>
        <v>10/15/2013 - 10/15/2021</v>
      </c>
      <c r="C1570" s="138">
        <v>2016</v>
      </c>
      <c r="D1570" s="138" t="str">
        <f t="shared" si="23"/>
        <v>Pico Rivera 2016</v>
      </c>
    </row>
    <row r="1571" spans="1:22">
      <c r="A1571" t="s">
        <v>1075</v>
      </c>
      <c r="B1571" s="37" t="str">
        <f>VLOOKUP(A1571,'Planning Periods'!$E$2:$N$540,10,FALSE)</f>
        <v>10/15/2013 - 10/15/2021</v>
      </c>
      <c r="C1571" s="138">
        <v>2017</v>
      </c>
      <c r="D1571" s="138" t="str">
        <f t="shared" si="23"/>
        <v>Pico Rivera 2017</v>
      </c>
    </row>
    <row r="1572" spans="1:22">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c r="A1581" t="s">
        <v>873</v>
      </c>
      <c r="B1581" s="37" t="str">
        <f>VLOOKUP(A1581,'Planning Periods'!$E$2:$N$540,10,FALSE)</f>
        <v>06/30/2014 - 06/30/2019</v>
      </c>
      <c r="C1581" s="138">
        <v>2015</v>
      </c>
      <c r="D1581" s="138" t="str">
        <f t="shared" si="23"/>
        <v>Pismo Beach 2015</v>
      </c>
    </row>
    <row r="1582" spans="1:22">
      <c r="A1582" t="s">
        <v>873</v>
      </c>
      <c r="B1582" s="37" t="str">
        <f>VLOOKUP(A1582,'Planning Periods'!$E$2:$N$540,10,FALSE)</f>
        <v>06/30/2014 - 06/30/2019</v>
      </c>
      <c r="C1582" s="138">
        <v>2016</v>
      </c>
      <c r="D1582" s="138" t="str">
        <f t="shared" si="23"/>
        <v>Pismo Beach 2016</v>
      </c>
    </row>
    <row r="1583" spans="1:22">
      <c r="A1583" t="s">
        <v>873</v>
      </c>
      <c r="B1583" s="37" t="str">
        <f>VLOOKUP(A1583,'Planning Periods'!$E$2:$N$540,10,FALSE)</f>
        <v>06/30/2014 - 06/30/2019</v>
      </c>
      <c r="C1583" s="138">
        <v>2017</v>
      </c>
      <c r="D1583" s="138" t="str">
        <f t="shared" si="23"/>
        <v>Pismo Beach 2017</v>
      </c>
    </row>
    <row r="1584" spans="1:22">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c r="A1625" t="s">
        <v>1074</v>
      </c>
      <c r="B1625" s="37" t="str">
        <f>VLOOKUP(A1625,'Planning Periods'!$E$2:$N$540,10,FALSE)</f>
        <v>10/15/2013 - 10/15/2021</v>
      </c>
      <c r="C1625" s="138">
        <v>2015</v>
      </c>
      <c r="D1625" s="138" t="str">
        <f t="shared" si="23"/>
        <v>Pomona 2015</v>
      </c>
    </row>
    <row r="1626" spans="1:22">
      <c r="A1626" t="s">
        <v>1074</v>
      </c>
      <c r="B1626" s="37" t="str">
        <f>VLOOKUP(A1626,'Planning Periods'!$E$2:$N$540,10,FALSE)</f>
        <v>10/15/2013 - 10/15/2021</v>
      </c>
      <c r="C1626" s="138">
        <v>2016</v>
      </c>
      <c r="D1626" s="138" t="str">
        <f t="shared" si="23"/>
        <v>Pomona 2016</v>
      </c>
    </row>
    <row r="1627" spans="1:22">
      <c r="A1627" t="s">
        <v>1074</v>
      </c>
      <c r="B1627" s="37" t="str">
        <f>VLOOKUP(A1627,'Planning Periods'!$E$2:$N$540,10,FALSE)</f>
        <v>10/15/2013 - 10/15/2021</v>
      </c>
      <c r="C1627" s="138">
        <v>2017</v>
      </c>
      <c r="D1627" s="138" t="str">
        <f t="shared" si="23"/>
        <v>Pomona 2017</v>
      </c>
    </row>
    <row r="1628" spans="1:22">
      <c r="A1628" s="139" t="s">
        <v>768</v>
      </c>
      <c r="B1628" s="37"/>
      <c r="C1628" s="138">
        <v>2013</v>
      </c>
      <c r="D1628" s="138" t="str">
        <f t="shared" si="23"/>
        <v>Port Hueneme 2013</v>
      </c>
    </row>
    <row r="1629" spans="1:22">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c r="A1638" t="s">
        <v>963</v>
      </c>
      <c r="B1638" s="37" t="str">
        <f>VLOOKUP(A1638,'Planning Periods'!$E$2:$N$540,10,FALSE)</f>
        <v>06/30/2014 - 06/30/2019</v>
      </c>
      <c r="C1638" s="138">
        <v>2015</v>
      </c>
      <c r="D1638" s="138" t="str">
        <f t="shared" si="24"/>
        <v>Portola 2015</v>
      </c>
    </row>
    <row r="1639" spans="1:22">
      <c r="A1639" t="s">
        <v>963</v>
      </c>
      <c r="B1639" s="37" t="str">
        <f>VLOOKUP(A1639,'Planning Periods'!$E$2:$N$540,10,FALSE)</f>
        <v>06/30/2014 - 06/30/2019</v>
      </c>
      <c r="C1639" s="138">
        <v>2016</v>
      </c>
      <c r="D1639" s="138" t="str">
        <f t="shared" si="24"/>
        <v>Portola 2016</v>
      </c>
    </row>
    <row r="1640" spans="1:22">
      <c r="A1640" t="s">
        <v>963</v>
      </c>
      <c r="B1640" s="37" t="str">
        <f>VLOOKUP(A1640,'Planning Periods'!$E$2:$N$540,10,FALSE)</f>
        <v>06/30/2014 - 06/30/2019</v>
      </c>
      <c r="C1640" s="138">
        <v>2017</v>
      </c>
      <c r="D1640" s="138" t="str">
        <f t="shared" si="24"/>
        <v>Portola 2017</v>
      </c>
    </row>
    <row r="1641" spans="1:22">
      <c r="A1641" s="139" t="s">
        <v>1336</v>
      </c>
      <c r="B1641" s="37" t="str">
        <f>VLOOKUP(A1641,'Planning Periods'!$E$2:$N$540,10,FALSE)</f>
        <v>01/31/2015 - 01/31/2023</v>
      </c>
      <c r="C1641" s="138">
        <v>2014</v>
      </c>
      <c r="D1641" s="138" t="str">
        <f t="shared" si="24"/>
        <v>Portola Valley 2014</v>
      </c>
    </row>
    <row r="1642" spans="1:22">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c r="A1713" t="s">
        <v>1151</v>
      </c>
      <c r="B1713" s="37" t="str">
        <f>VLOOKUP(A1713,'Planning Periods'!$E$2:$N$540,10,FALSE)</f>
        <v>12/31/2015 - 12/31/2023</v>
      </c>
      <c r="C1713" s="138">
        <v>2015</v>
      </c>
      <c r="D1713" s="138" t="str">
        <f t="shared" si="25"/>
        <v>Ridgecrest 2015</v>
      </c>
    </row>
    <row r="1714" spans="1:22">
      <c r="A1714" t="s">
        <v>1151</v>
      </c>
      <c r="B1714" s="37" t="str">
        <f>VLOOKUP(A1714,'Planning Periods'!$E$2:$N$540,10,FALSE)</f>
        <v>12/31/2015 - 12/31/2023</v>
      </c>
      <c r="C1714" s="138">
        <v>2016</v>
      </c>
      <c r="D1714" s="138" t="str">
        <f t="shared" si="25"/>
        <v>Ridgecrest 2016</v>
      </c>
    </row>
    <row r="1715" spans="1:22">
      <c r="A1715" t="s">
        <v>1151</v>
      </c>
      <c r="B1715" s="37" t="str">
        <f>VLOOKUP(A1715,'Planning Periods'!$E$2:$N$540,10,FALSE)</f>
        <v>12/31/2015 - 12/31/2023</v>
      </c>
      <c r="C1715" s="138">
        <v>2017</v>
      </c>
      <c r="D1715" s="138" t="str">
        <f t="shared" si="25"/>
        <v>Ridgecrest 2017</v>
      </c>
    </row>
    <row r="1716" spans="1:22">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c r="A1717" t="s">
        <v>1170</v>
      </c>
      <c r="B1717" s="37" t="str">
        <f>VLOOKUP(A1717,'Planning Periods'!$E$2:$N$540,10,FALSE)</f>
        <v>06/30/2014 - 06/30/2019</v>
      </c>
      <c r="C1717" s="138">
        <v>2015</v>
      </c>
      <c r="D1717" s="138" t="str">
        <f t="shared" si="25"/>
        <v>Rio Dell 2015</v>
      </c>
    </row>
    <row r="1718" spans="1:22">
      <c r="A1718" t="s">
        <v>1170</v>
      </c>
      <c r="B1718" s="37" t="str">
        <f>VLOOKUP(A1718,'Planning Periods'!$E$2:$N$540,10,FALSE)</f>
        <v>06/30/2014 - 06/30/2019</v>
      </c>
      <c r="C1718" s="138">
        <v>2016</v>
      </c>
      <c r="D1718" s="138" t="str">
        <f t="shared" si="25"/>
        <v>Rio Dell 2016</v>
      </c>
    </row>
    <row r="1719" spans="1:22">
      <c r="A1719" t="s">
        <v>1170</v>
      </c>
      <c r="B1719" s="37" t="str">
        <f>VLOOKUP(A1719,'Planning Periods'!$E$2:$N$540,10,FALSE)</f>
        <v>06/30/2014 - 06/30/2019</v>
      </c>
      <c r="C1719" s="138">
        <v>2017</v>
      </c>
      <c r="D1719" s="138" t="str">
        <f t="shared" si="25"/>
        <v>Rio Dell 2017</v>
      </c>
    </row>
    <row r="1720" spans="1:22">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c r="A1721" t="s">
        <v>812</v>
      </c>
      <c r="B1721" s="37" t="str">
        <f>VLOOKUP(A1721,'Planning Periods'!$E$2:$N$540,10,FALSE)</f>
        <v>01/31/2015 - 01/31/2023</v>
      </c>
      <c r="C1721" s="138">
        <v>2015</v>
      </c>
      <c r="D1721" s="138" t="str">
        <f t="shared" si="25"/>
        <v>Rio Vista 2015</v>
      </c>
    </row>
    <row r="1722" spans="1:22">
      <c r="A1722" t="s">
        <v>812</v>
      </c>
      <c r="B1722" s="37" t="str">
        <f>VLOOKUP(A1722,'Planning Periods'!$E$2:$N$540,10,FALSE)</f>
        <v>01/31/2015 - 01/31/2023</v>
      </c>
      <c r="C1722" s="138">
        <v>2016</v>
      </c>
      <c r="D1722" s="138" t="str">
        <f t="shared" si="25"/>
        <v>Rio Vista 2016</v>
      </c>
    </row>
    <row r="1723" spans="1:22">
      <c r="A1723" t="s">
        <v>812</v>
      </c>
      <c r="B1723" s="37" t="str">
        <f>VLOOKUP(A1723,'Planning Periods'!$E$2:$N$540,10,FALSE)</f>
        <v>01/31/2015 - 01/31/2023</v>
      </c>
      <c r="C1723" s="138">
        <v>2017</v>
      </c>
      <c r="D1723" s="138" t="str">
        <f t="shared" si="25"/>
        <v>Rio Vista 2017</v>
      </c>
    </row>
    <row r="1724" spans="1:22">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c r="A1725" t="s">
        <v>883</v>
      </c>
      <c r="B1725" s="37" t="str">
        <f>VLOOKUP(A1725,'Planning Periods'!$E$2:$N$540,10,FALSE)</f>
        <v>12/31/2015 - 12/31/2023</v>
      </c>
      <c r="C1725" s="138">
        <v>2015</v>
      </c>
      <c r="D1725" s="138" t="str">
        <f t="shared" si="25"/>
        <v>Ripon 2015</v>
      </c>
    </row>
    <row r="1726" spans="1:22">
      <c r="A1726" t="s">
        <v>883</v>
      </c>
      <c r="B1726" s="37" t="str">
        <f>VLOOKUP(A1726,'Planning Periods'!$E$2:$N$540,10,FALSE)</f>
        <v>12/31/2015 - 12/31/2023</v>
      </c>
      <c r="C1726" s="138">
        <v>2016</v>
      </c>
      <c r="D1726" s="138" t="str">
        <f t="shared" si="25"/>
        <v>Ripon 2016</v>
      </c>
    </row>
    <row r="1727" spans="1:22">
      <c r="A1727" t="s">
        <v>883</v>
      </c>
      <c r="B1727" s="37" t="str">
        <f>VLOOKUP(A1727,'Planning Periods'!$E$2:$N$540,10,FALSE)</f>
        <v>12/31/2015 - 12/31/2023</v>
      </c>
      <c r="C1727" s="138">
        <v>2017</v>
      </c>
      <c r="D1727" s="138" t="str">
        <f t="shared" si="25"/>
        <v>Ripon 2017</v>
      </c>
    </row>
    <row r="1728" spans="1:22">
      <c r="A1728" s="139" t="s">
        <v>793</v>
      </c>
      <c r="B1728" s="37" t="str">
        <f>VLOOKUP(A1728,'Planning Periods'!$E$2:$N$540,10,FALSE)</f>
        <v>12/31/2015 - 12/31/2023</v>
      </c>
      <c r="C1728" s="138">
        <v>2014</v>
      </c>
      <c r="D1728" s="138" t="str">
        <f t="shared" si="25"/>
        <v>Riverbank 2014</v>
      </c>
    </row>
    <row r="1729" spans="1:22">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c r="A1753" t="s">
        <v>1071</v>
      </c>
      <c r="B1753" s="37" t="str">
        <f>VLOOKUP(A1753,'Planning Periods'!$E$2:$N$540,10,FALSE)</f>
        <v>10/15/2013 - 10/15/2021</v>
      </c>
      <c r="C1753" s="138">
        <v>2015</v>
      </c>
      <c r="D1753" s="138" t="str">
        <f t="shared" si="25"/>
        <v>Rolling Hills 2015</v>
      </c>
    </row>
    <row r="1754" spans="1:22">
      <c r="A1754" t="s">
        <v>1071</v>
      </c>
      <c r="B1754" s="37" t="str">
        <f>VLOOKUP(A1754,'Planning Periods'!$E$2:$N$540,10,FALSE)</f>
        <v>10/15/2013 - 10/15/2021</v>
      </c>
      <c r="C1754" s="138">
        <v>2016</v>
      </c>
      <c r="D1754" s="138" t="str">
        <f t="shared" si="25"/>
        <v>Rolling Hills 2016</v>
      </c>
    </row>
    <row r="1755" spans="1:22">
      <c r="A1755" t="s">
        <v>1071</v>
      </c>
      <c r="B1755" s="37" t="str">
        <f>VLOOKUP(A1755,'Planning Periods'!$E$2:$N$540,10,FALSE)</f>
        <v>10/15/2013 - 10/15/2021</v>
      </c>
      <c r="C1755" s="138">
        <v>2017</v>
      </c>
      <c r="D1755" s="138" t="str">
        <f t="shared" si="25"/>
        <v>Rolling Hills 2017</v>
      </c>
    </row>
    <row r="1756" spans="1:22">
      <c r="A1756" s="139" t="s">
        <v>1070</v>
      </c>
      <c r="B1756" s="37"/>
      <c r="C1756" s="138">
        <v>2013</v>
      </c>
      <c r="D1756" s="138" t="str">
        <f t="shared" si="25"/>
        <v>Rolling Hills Estates 2013</v>
      </c>
    </row>
    <row r="1757" spans="1:22">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c r="A1861" t="s">
        <v>881</v>
      </c>
      <c r="B1861" s="37" t="str">
        <f>VLOOKUP(A1861,'Planning Periods'!$E$2:$N$540,10,FALSE)</f>
        <v>12/31/2015 - 12/31/2023</v>
      </c>
      <c r="C1861" s="138">
        <v>2015</v>
      </c>
      <c r="D1861" s="138" t="str">
        <f t="shared" si="27"/>
        <v>San Joaquin 2015</v>
      </c>
    </row>
    <row r="1862" spans="1:22">
      <c r="A1862" t="s">
        <v>881</v>
      </c>
      <c r="B1862" s="37" t="str">
        <f>VLOOKUP(A1862,'Planning Periods'!$E$2:$N$540,10,FALSE)</f>
        <v>12/31/2015 - 12/31/2023</v>
      </c>
      <c r="C1862" s="138">
        <v>2016</v>
      </c>
      <c r="D1862" s="138" t="str">
        <f t="shared" si="27"/>
        <v>San Joaquin 2016</v>
      </c>
    </row>
    <row r="1863" spans="1:22">
      <c r="A1863" t="s">
        <v>881</v>
      </c>
      <c r="B1863" s="37" t="str">
        <f>VLOOKUP(A1863,'Planning Periods'!$E$2:$N$540,10,FALSE)</f>
        <v>12/31/2015 - 12/31/2023</v>
      </c>
      <c r="C1863" s="138">
        <v>2017</v>
      </c>
      <c r="D1863" s="138" t="str">
        <f t="shared" si="27"/>
        <v>San Joaquin 2017</v>
      </c>
    </row>
    <row r="1864" spans="1:22">
      <c r="A1864" s="139" t="s">
        <v>879</v>
      </c>
      <c r="B1864" s="37" t="str">
        <f>VLOOKUP(A1864,'Planning Periods'!$E$2:$N$540,10,FALSE)</f>
        <v>12/31/2015 - 12/31/2023</v>
      </c>
      <c r="C1864" s="138">
        <v>2014</v>
      </c>
      <c r="D1864" s="138" t="str">
        <f t="shared" si="27"/>
        <v>San Joaquin County - Unincorporated 2014</v>
      </c>
    </row>
    <row r="1865" spans="1:22">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c r="A1873" t="s">
        <v>929</v>
      </c>
      <c r="B1873" s="37" t="str">
        <f>VLOOKUP(A1873,'Planning Periods'!$E$2:$N$540,10,FALSE)</f>
        <v>12/31/2015 - 12/31/2023</v>
      </c>
      <c r="C1873" s="138">
        <v>2015</v>
      </c>
      <c r="D1873" s="138" t="str">
        <f t="shared" si="27"/>
        <v>San Juan Bautista 2015</v>
      </c>
    </row>
    <row r="1874" spans="1:22">
      <c r="A1874" t="s">
        <v>929</v>
      </c>
      <c r="B1874" s="37" t="str">
        <f>VLOOKUP(A1874,'Planning Periods'!$E$2:$N$540,10,FALSE)</f>
        <v>12/31/2015 - 12/31/2023</v>
      </c>
      <c r="C1874" s="138">
        <v>2016</v>
      </c>
      <c r="D1874" s="138" t="str">
        <f t="shared" si="27"/>
        <v>San Juan Bautista 2016</v>
      </c>
    </row>
    <row r="1875" spans="1:22">
      <c r="A1875" t="s">
        <v>929</v>
      </c>
      <c r="B1875" s="37" t="str">
        <f>VLOOKUP(A1875,'Planning Periods'!$E$2:$N$540,10,FALSE)</f>
        <v>12/31/2015 - 12/31/2023</v>
      </c>
      <c r="C1875" s="138">
        <v>2017</v>
      </c>
      <c r="D1875" s="138" t="str">
        <f t="shared" si="27"/>
        <v>San Juan Bautista 2017</v>
      </c>
    </row>
    <row r="1876" spans="1:22">
      <c r="A1876" s="139" t="s">
        <v>979</v>
      </c>
      <c r="B1876" s="37"/>
      <c r="C1876" s="138">
        <v>2013</v>
      </c>
      <c r="D1876" s="138" t="str">
        <f t="shared" si="27"/>
        <v>San Juan Capistrano 2013</v>
      </c>
    </row>
    <row r="1877" spans="1:22">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c r="A1926" t="s">
        <v>1016</v>
      </c>
      <c r="B1926" s="37" t="str">
        <f>VLOOKUP(A1926,'Planning Periods'!$E$2:$N$540,10,FALSE)</f>
        <v>12/31/2015 - 12/31/2023</v>
      </c>
      <c r="C1926" s="138">
        <v>2015</v>
      </c>
      <c r="D1926" s="138" t="str">
        <f t="shared" si="28"/>
        <v>Sand City 2015</v>
      </c>
    </row>
    <row r="1927" spans="1:22">
      <c r="A1927" t="s">
        <v>1016</v>
      </c>
      <c r="B1927" s="37" t="str">
        <f>VLOOKUP(A1927,'Planning Periods'!$E$2:$N$540,10,FALSE)</f>
        <v>12/31/2015 - 12/31/2023</v>
      </c>
      <c r="C1927" s="138">
        <v>2016</v>
      </c>
      <c r="D1927" s="138" t="str">
        <f t="shared" si="28"/>
        <v>Sand City 2016</v>
      </c>
    </row>
    <row r="1928" spans="1:22">
      <c r="A1928" t="s">
        <v>1016</v>
      </c>
      <c r="B1928" s="37" t="str">
        <f>VLOOKUP(A1928,'Planning Periods'!$E$2:$N$540,10,FALSE)</f>
        <v>12/31/2015 - 12/31/2023</v>
      </c>
      <c r="C1928" s="138">
        <v>2017</v>
      </c>
      <c r="D1928" s="138" t="str">
        <f t="shared" si="28"/>
        <v>Sand City 2017</v>
      </c>
    </row>
    <row r="1929" spans="1:22">
      <c r="A1929" s="139" t="s">
        <v>1181</v>
      </c>
      <c r="B1929" s="37" t="str">
        <f>VLOOKUP(A1929,'Planning Periods'!$E$2:$N$540,10,FALSE)</f>
        <v>12/31/2015 - 12/31/2023</v>
      </c>
      <c r="C1929" s="138">
        <v>2013</v>
      </c>
      <c r="D1929" s="138" t="str">
        <f t="shared" si="28"/>
        <v>Sanger 2013</v>
      </c>
    </row>
    <row r="1930" spans="1:22">
      <c r="A1930" s="139" t="s">
        <v>1181</v>
      </c>
      <c r="B1930" s="37" t="str">
        <f>VLOOKUP(A1930,'Planning Periods'!$E$2:$N$540,10,FALSE)</f>
        <v>12/31/2015 - 12/31/2023</v>
      </c>
      <c r="C1930" s="138">
        <v>2014</v>
      </c>
      <c r="D1930" s="138" t="str">
        <f t="shared" si="28"/>
        <v>Sanger 2014</v>
      </c>
    </row>
    <row r="1931" spans="1:22">
      <c r="A1931" s="139" t="s">
        <v>1181</v>
      </c>
      <c r="B1931" s="37" t="str">
        <f>VLOOKUP(A1931,'Planning Periods'!$E$2:$N$540,10,FALSE)</f>
        <v>12/31/2015 - 12/31/2023</v>
      </c>
      <c r="C1931" s="138">
        <v>2015</v>
      </c>
      <c r="D1931" s="138" t="str">
        <f t="shared" si="28"/>
        <v>Sanger 2015</v>
      </c>
    </row>
    <row r="1932" spans="1:22">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c r="A2005" t="s">
        <v>834</v>
      </c>
      <c r="B2005" s="37" t="str">
        <f>VLOOKUP(A2005,'Planning Periods'!$E$2:$N$540,10,FALSE)</f>
        <v>12/31/2015 - 12/31/2023</v>
      </c>
      <c r="C2005" s="138">
        <v>2015</v>
      </c>
      <c r="D2005" s="138" t="str">
        <f t="shared" si="29"/>
        <v>Scotts Valley 2015</v>
      </c>
    </row>
    <row r="2006" spans="1:22">
      <c r="A2006" t="s">
        <v>834</v>
      </c>
      <c r="B2006" s="37" t="str">
        <f>VLOOKUP(A2006,'Planning Periods'!$E$2:$N$540,10,FALSE)</f>
        <v>12/31/2015 - 12/31/2023</v>
      </c>
      <c r="C2006" s="138">
        <v>2016</v>
      </c>
      <c r="D2006" s="138" t="str">
        <f t="shared" si="29"/>
        <v>Scotts Valley 2016</v>
      </c>
    </row>
    <row r="2007" spans="1:22">
      <c r="A2007" t="s">
        <v>834</v>
      </c>
      <c r="B2007" s="37" t="str">
        <f>VLOOKUP(A2007,'Planning Periods'!$E$2:$N$540,10,FALSE)</f>
        <v>12/31/2015 - 12/31/2023</v>
      </c>
      <c r="C2007" s="138">
        <v>2017</v>
      </c>
      <c r="D2007" s="138" t="str">
        <f t="shared" si="29"/>
        <v>Scotts Valley 2017</v>
      </c>
    </row>
    <row r="2008" spans="1:22">
      <c r="A2008" t="s">
        <v>977</v>
      </c>
      <c r="B2008" s="37"/>
      <c r="C2008" s="138">
        <v>2013</v>
      </c>
      <c r="D2008" s="138" t="str">
        <f t="shared" si="29"/>
        <v>Seal Beach 2013</v>
      </c>
    </row>
    <row r="2009" spans="1:22">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c r="A2010" t="s">
        <v>977</v>
      </c>
      <c r="B2010" s="37" t="str">
        <f>VLOOKUP(A2010,'Planning Periods'!$E$2:$N$540,10,FALSE)</f>
        <v>10/15/2013 - 10/15/2021</v>
      </c>
      <c r="C2010" s="138">
        <v>2015</v>
      </c>
      <c r="D2010" s="138" t="str">
        <f t="shared" si="29"/>
        <v>Seal Beach 2015</v>
      </c>
    </row>
    <row r="2011" spans="1:22">
      <c r="A2011" t="s">
        <v>977</v>
      </c>
      <c r="B2011" s="37" t="str">
        <f>VLOOKUP(A2011,'Planning Periods'!$E$2:$N$540,10,FALSE)</f>
        <v>10/15/2013 - 10/15/2021</v>
      </c>
      <c r="C2011" s="138">
        <v>2016</v>
      </c>
      <c r="D2011" s="138" t="str">
        <f t="shared" si="29"/>
        <v>Seal Beach 2016</v>
      </c>
    </row>
    <row r="2012" spans="1:22">
      <c r="A2012" t="s">
        <v>977</v>
      </c>
      <c r="B2012" s="37" t="str">
        <f>VLOOKUP(A2012,'Planning Periods'!$E$2:$N$540,10,FALSE)</f>
        <v>10/15/2013 - 10/15/2021</v>
      </c>
      <c r="C2012" s="138">
        <v>2017</v>
      </c>
      <c r="D2012" s="138" t="str">
        <f t="shared" si="29"/>
        <v>Seal Beach 2017</v>
      </c>
    </row>
    <row r="2013" spans="1:22">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c r="A2014" t="s">
        <v>1015</v>
      </c>
      <c r="B2014" s="37" t="str">
        <f>VLOOKUP(A2014,'Planning Periods'!$E$2:$N$540,10,FALSE)</f>
        <v>12/31/2015 - 12/31/2023</v>
      </c>
      <c r="C2014" s="138">
        <v>2015</v>
      </c>
      <c r="D2014" s="138" t="str">
        <f t="shared" si="29"/>
        <v>Seaside 2015</v>
      </c>
    </row>
    <row r="2015" spans="1:22">
      <c r="A2015" t="s">
        <v>1015</v>
      </c>
      <c r="B2015" s="37" t="str">
        <f>VLOOKUP(A2015,'Planning Periods'!$E$2:$N$540,10,FALSE)</f>
        <v>12/31/2015 - 12/31/2023</v>
      </c>
      <c r="C2015" s="138">
        <v>2016</v>
      </c>
      <c r="D2015" s="138" t="str">
        <f t="shared" si="29"/>
        <v>Seaside 2016</v>
      </c>
    </row>
    <row r="2016" spans="1:22">
      <c r="A2016" t="s">
        <v>1015</v>
      </c>
      <c r="B2016" s="37" t="str">
        <f>VLOOKUP(A2016,'Planning Periods'!$E$2:$N$540,10,FALSE)</f>
        <v>12/31/2015 - 12/31/2023</v>
      </c>
      <c r="C2016" s="138">
        <v>2017</v>
      </c>
      <c r="D2016" s="138" t="str">
        <f t="shared" si="29"/>
        <v>Seaside 2017</v>
      </c>
    </row>
    <row r="2017" spans="1:22">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c r="A2023" t="s">
        <v>1179</v>
      </c>
      <c r="B2023" s="37" t="str">
        <f>VLOOKUP(A2023,'Planning Periods'!$E$2:$N$540,10,FALSE)</f>
        <v>12/31/2015 - 12/31/2023</v>
      </c>
      <c r="C2023" s="138">
        <v>2015</v>
      </c>
      <c r="D2023" s="138" t="str">
        <f t="shared" si="29"/>
        <v>Selma 2015</v>
      </c>
    </row>
    <row r="2024" spans="1:22">
      <c r="A2024" t="s">
        <v>1179</v>
      </c>
      <c r="B2024" s="37" t="str">
        <f>VLOOKUP(A2024,'Planning Periods'!$E$2:$N$540,10,FALSE)</f>
        <v>12/31/2015 - 12/31/2023</v>
      </c>
      <c r="C2024" s="138">
        <v>2016</v>
      </c>
      <c r="D2024" s="138" t="str">
        <f t="shared" si="29"/>
        <v>Selma 2016</v>
      </c>
    </row>
    <row r="2025" spans="1:22">
      <c r="A2025" t="s">
        <v>1179</v>
      </c>
      <c r="B2025" s="37" t="str">
        <f>VLOOKUP(A2025,'Planning Periods'!$E$2:$N$540,10,FALSE)</f>
        <v>12/31/2015 - 12/31/2023</v>
      </c>
      <c r="C2025" s="138">
        <v>2017</v>
      </c>
      <c r="D2025" s="138" t="str">
        <f t="shared" si="29"/>
        <v>Selma 2017</v>
      </c>
    </row>
    <row r="2026" spans="1:22">
      <c r="A2026" t="s">
        <v>1150</v>
      </c>
      <c r="B2026" s="37" t="str">
        <f>VLOOKUP(A2026,'Planning Periods'!$E$2:$N$540,10,FALSE)</f>
        <v>12/31/2015 - 12/31/2023</v>
      </c>
      <c r="C2026" s="138">
        <v>2013</v>
      </c>
      <c r="D2026" s="138" t="str">
        <f t="shared" si="29"/>
        <v>Shafter 2013</v>
      </c>
    </row>
    <row r="2027" spans="1:22">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c r="A2028" t="s">
        <v>1150</v>
      </c>
      <c r="B2028" s="37" t="str">
        <f>VLOOKUP(A2028,'Planning Periods'!$E$2:$N$540,10,FALSE)</f>
        <v>12/31/2015 - 12/31/2023</v>
      </c>
      <c r="C2028" s="138">
        <v>2015</v>
      </c>
      <c r="D2028" s="138" t="str">
        <f t="shared" si="29"/>
        <v>Shafter 2015</v>
      </c>
    </row>
    <row r="2029" spans="1:22">
      <c r="A2029" t="s">
        <v>1150</v>
      </c>
      <c r="B2029" s="37" t="str">
        <f>VLOOKUP(A2029,'Planning Periods'!$E$2:$N$540,10,FALSE)</f>
        <v>12/31/2015 - 12/31/2023</v>
      </c>
      <c r="C2029" s="138">
        <v>2016</v>
      </c>
      <c r="D2029" s="138" t="str">
        <f t="shared" si="29"/>
        <v>Shafter 2016</v>
      </c>
    </row>
    <row r="2030" spans="1:22">
      <c r="A2030" t="s">
        <v>1150</v>
      </c>
      <c r="B2030" s="37" t="str">
        <f>VLOOKUP(A2030,'Planning Periods'!$E$2:$N$540,10,FALSE)</f>
        <v>12/31/2015 - 12/31/2023</v>
      </c>
      <c r="C2030" s="138">
        <v>2017</v>
      </c>
      <c r="D2030" s="138" t="str">
        <f t="shared" si="29"/>
        <v>Shafter 2017</v>
      </c>
    </row>
    <row r="2031" spans="1:22">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c r="A2040" t="s">
        <v>234</v>
      </c>
      <c r="B2040" s="37" t="str">
        <f>VLOOKUP(A2040,'Planning Periods'!$E$2:$N$540,10,FALSE)</f>
        <v>06/30/2014 - 06/30/2019</v>
      </c>
      <c r="C2040" s="138">
        <v>2015</v>
      </c>
      <c r="D2040" s="138" t="str">
        <f t="shared" si="30"/>
        <v>Sierra County - Unincorporated 2015</v>
      </c>
    </row>
    <row r="2041" spans="1:22">
      <c r="A2041" t="s">
        <v>234</v>
      </c>
      <c r="B2041" s="37" t="str">
        <f>VLOOKUP(A2041,'Planning Periods'!$E$2:$N$540,10,FALSE)</f>
        <v>06/30/2014 - 06/30/2019</v>
      </c>
      <c r="C2041" s="138">
        <v>2016</v>
      </c>
      <c r="D2041" s="138" t="str">
        <f t="shared" si="30"/>
        <v>Sierra County - Unincorporated 2016</v>
      </c>
    </row>
    <row r="2042" spans="1:22">
      <c r="A2042" t="s">
        <v>234</v>
      </c>
      <c r="B2042" s="37" t="str">
        <f>VLOOKUP(A2042,'Planning Periods'!$E$2:$N$540,10,FALSE)</f>
        <v>06/30/2014 - 06/30/2019</v>
      </c>
      <c r="C2042" s="138">
        <v>2017</v>
      </c>
      <c r="D2042" s="138" t="str">
        <f t="shared" si="30"/>
        <v>Sierra County - Unincorporated 2017</v>
      </c>
    </row>
    <row r="2043" spans="1:22">
      <c r="A2043" s="139" t="s">
        <v>1061</v>
      </c>
      <c r="B2043" s="37"/>
      <c r="C2043" s="138">
        <v>2013</v>
      </c>
      <c r="D2043" s="138" t="str">
        <f t="shared" si="30"/>
        <v>Sierra Madre 2013</v>
      </c>
    </row>
    <row r="2044" spans="1:22">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c r="A2059" t="s">
        <v>227</v>
      </c>
      <c r="B2059" s="37" t="str">
        <f>VLOOKUP(A2059,'Planning Periods'!$E$2:$N$540,10,FALSE)</f>
        <v>06/30/2014 - 06/30/2019</v>
      </c>
      <c r="C2059" s="138">
        <v>2015</v>
      </c>
      <c r="D2059" s="138" t="str">
        <f t="shared" si="30"/>
        <v>Siskiyou County - Unincorporated 2015</v>
      </c>
    </row>
    <row r="2060" spans="1:22">
      <c r="A2060" t="s">
        <v>227</v>
      </c>
      <c r="B2060" s="37" t="str">
        <f>VLOOKUP(A2060,'Planning Periods'!$E$2:$N$540,10,FALSE)</f>
        <v>06/30/2014 - 06/30/2019</v>
      </c>
      <c r="C2060" s="138">
        <v>2016</v>
      </c>
      <c r="D2060" s="138" t="str">
        <f t="shared" si="30"/>
        <v>Siskiyou County - Unincorporated 2016</v>
      </c>
    </row>
    <row r="2061" spans="1:22">
      <c r="A2061" t="s">
        <v>227</v>
      </c>
      <c r="B2061" s="37" t="str">
        <f>VLOOKUP(A2061,'Planning Periods'!$E$2:$N$540,10,FALSE)</f>
        <v>06/30/2014 - 06/30/2019</v>
      </c>
      <c r="C2061" s="138">
        <v>2017</v>
      </c>
      <c r="D2061" s="138" t="str">
        <f t="shared" si="30"/>
        <v>Siskiyou County - Unincorporated 2017</v>
      </c>
    </row>
    <row r="2062" spans="1:22">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c r="A2072" t="s">
        <v>1013</v>
      </c>
      <c r="B2072" s="37" t="str">
        <f>VLOOKUP(A2072,'Planning Periods'!$E$2:$N$540,10,FALSE)</f>
        <v>12/31/2015 - 12/31/2023</v>
      </c>
      <c r="C2072" s="138">
        <v>2015</v>
      </c>
      <c r="D2072" s="138" t="str">
        <f t="shared" si="30"/>
        <v>Soledad 2015</v>
      </c>
    </row>
    <row r="2073" spans="1:22">
      <c r="A2073" t="s">
        <v>1013</v>
      </c>
      <c r="B2073" s="37" t="str">
        <f>VLOOKUP(A2073,'Planning Periods'!$E$2:$N$540,10,FALSE)</f>
        <v>12/31/2015 - 12/31/2023</v>
      </c>
      <c r="C2073" s="138">
        <v>2016</v>
      </c>
      <c r="D2073" s="138" t="str">
        <f t="shared" si="30"/>
        <v>Soledad 2016</v>
      </c>
    </row>
    <row r="2074" spans="1:22">
      <c r="A2074" t="s">
        <v>1013</v>
      </c>
      <c r="B2074" s="37" t="str">
        <f>VLOOKUP(A2074,'Planning Periods'!$E$2:$N$540,10,FALSE)</f>
        <v>12/31/2015 - 12/31/2023</v>
      </c>
      <c r="C2074" s="138">
        <v>2017</v>
      </c>
      <c r="D2074" s="138" t="str">
        <f t="shared" si="30"/>
        <v>Soledad 2017</v>
      </c>
    </row>
    <row r="2075" spans="1:22">
      <c r="A2075" s="139" t="s">
        <v>849</v>
      </c>
      <c r="B2075" s="37" t="str">
        <f>VLOOKUP(A2075,'Planning Periods'!$E$2:$N$540,10,FALSE)</f>
        <v>02/15/2015 - 02/15/2023</v>
      </c>
      <c r="C2075" s="138">
        <v>2014</v>
      </c>
      <c r="D2075" s="138" t="str">
        <f t="shared" si="30"/>
        <v>Solvang 2014</v>
      </c>
    </row>
    <row r="2076" spans="1:22">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c r="A2093" t="s">
        <v>1059</v>
      </c>
      <c r="B2093" s="37" t="str">
        <f>VLOOKUP(A2093,'Planning Periods'!$E$2:$N$540,10,FALSE)</f>
        <v>10/15/2013 - 10/15/2021</v>
      </c>
      <c r="C2093" s="138">
        <v>2015</v>
      </c>
      <c r="D2093" s="138" t="str">
        <f t="shared" si="30"/>
        <v>South El Monte 2015</v>
      </c>
    </row>
    <row r="2094" spans="1:22">
      <c r="A2094" t="s">
        <v>1059</v>
      </c>
      <c r="B2094" s="37" t="str">
        <f>VLOOKUP(A2094,'Planning Periods'!$E$2:$N$540,10,FALSE)</f>
        <v>10/15/2013 - 10/15/2021</v>
      </c>
      <c r="C2094" s="138">
        <v>2016</v>
      </c>
      <c r="D2094" s="138" t="str">
        <f t="shared" si="30"/>
        <v>South El Monte 2016</v>
      </c>
    </row>
    <row r="2095" spans="1:22">
      <c r="A2095" t="s">
        <v>1059</v>
      </c>
      <c r="B2095" s="37" t="str">
        <f>VLOOKUP(A2095,'Planning Periods'!$E$2:$N$540,10,FALSE)</f>
        <v>10/15/2013 - 10/15/2021</v>
      </c>
      <c r="C2095" s="138">
        <v>2017</v>
      </c>
      <c r="D2095" s="138" t="str">
        <f t="shared" si="30"/>
        <v>South El Monte 2017</v>
      </c>
    </row>
    <row r="2096" spans="1:22">
      <c r="A2096" s="139" t="s">
        <v>1058</v>
      </c>
      <c r="B2096" s="37"/>
      <c r="C2096" s="138">
        <v>2013</v>
      </c>
      <c r="D2096" s="138" t="str">
        <f>CONCATENATE(A2096," ",C2096)</f>
        <v>South Gate 2013</v>
      </c>
    </row>
    <row r="2097" spans="1:22">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c r="A2141" t="s">
        <v>1136</v>
      </c>
      <c r="B2141" s="37" t="str">
        <f>VLOOKUP(A2141,'Planning Periods'!$E$2:$N$540,10,FALSE)</f>
        <v>06/30/2014 - 06/30/2019</v>
      </c>
      <c r="C2141" s="138">
        <v>2015</v>
      </c>
      <c r="D2141" s="138" t="str">
        <f t="shared" si="31"/>
        <v>Susanville 2015</v>
      </c>
    </row>
    <row r="2142" spans="1:22">
      <c r="A2142" t="s">
        <v>1136</v>
      </c>
      <c r="B2142" s="37" t="str">
        <f>VLOOKUP(A2142,'Planning Periods'!$E$2:$N$540,10,FALSE)</f>
        <v>06/30/2014 - 06/30/2019</v>
      </c>
      <c r="C2142" s="138">
        <v>2016</v>
      </c>
      <c r="D2142" s="138" t="str">
        <f t="shared" si="31"/>
        <v>Susanville 2016</v>
      </c>
    </row>
    <row r="2143" spans="1:22">
      <c r="A2143" t="s">
        <v>1136</v>
      </c>
      <c r="B2143" s="37" t="str">
        <f>VLOOKUP(A2143,'Planning Periods'!$E$2:$N$540,10,FALSE)</f>
        <v>06/30/2014 - 06/30/2019</v>
      </c>
      <c r="C2143" s="138">
        <v>2017</v>
      </c>
      <c r="D2143" s="138" t="str">
        <f t="shared" si="31"/>
        <v>Susanville 2017</v>
      </c>
    </row>
    <row r="2144" spans="1:22">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c r="A2160" t="s">
        <v>1148</v>
      </c>
      <c r="B2160" s="37" t="str">
        <f>VLOOKUP(A2160,'Planning Periods'!$E$2:$N$540,10,FALSE)</f>
        <v>12/31/2015 - 12/31/2023</v>
      </c>
      <c r="C2160" s="138">
        <v>2015</v>
      </c>
      <c r="D2160" s="138" t="str">
        <f t="shared" si="31"/>
        <v>Tehachapi 2015</v>
      </c>
    </row>
    <row r="2161" spans="1:22">
      <c r="A2161" t="s">
        <v>1148</v>
      </c>
      <c r="B2161" s="37" t="str">
        <f>VLOOKUP(A2161,'Planning Periods'!$E$2:$N$540,10,FALSE)</f>
        <v>12/31/2015 - 12/31/2023</v>
      </c>
      <c r="C2161" s="138">
        <v>2016</v>
      </c>
      <c r="D2161" s="138" t="str">
        <f t="shared" si="31"/>
        <v>Tehachapi 2016</v>
      </c>
    </row>
    <row r="2162" spans="1:22">
      <c r="A2162" t="s">
        <v>1148</v>
      </c>
      <c r="B2162" s="37" t="str">
        <f>VLOOKUP(A2162,'Planning Periods'!$E$2:$N$540,10,FALSE)</f>
        <v>12/31/2015 - 12/31/2023</v>
      </c>
      <c r="C2162" s="138">
        <v>2017</v>
      </c>
      <c r="D2162" s="138" t="str">
        <f t="shared" si="31"/>
        <v>Tehachapi 2017</v>
      </c>
    </row>
    <row r="2163" spans="1:22">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c r="A2200" t="s">
        <v>1168</v>
      </c>
      <c r="B2200" s="37" t="str">
        <f>VLOOKUP(A2200,'Planning Periods'!$E$2:$N$540,10,FALSE)</f>
        <v>06/30/2014 - 06/30/2019</v>
      </c>
      <c r="C2200" s="138">
        <v>2015</v>
      </c>
      <c r="D2200" s="138" t="str">
        <f t="shared" si="32"/>
        <v>Trinidad 2015</v>
      </c>
    </row>
    <row r="2201" spans="1:22">
      <c r="A2201" t="s">
        <v>1168</v>
      </c>
      <c r="B2201" s="37" t="str">
        <f>VLOOKUP(A2201,'Planning Periods'!$E$2:$N$540,10,FALSE)</f>
        <v>06/30/2014 - 06/30/2019</v>
      </c>
      <c r="C2201" s="138">
        <v>2016</v>
      </c>
      <c r="D2201" s="138" t="str">
        <f t="shared" si="32"/>
        <v>Trinidad 2016</v>
      </c>
    </row>
    <row r="2202" spans="1:22">
      <c r="A2202" t="s">
        <v>1168</v>
      </c>
      <c r="B2202" s="37" t="str">
        <f>VLOOKUP(A2202,'Planning Periods'!$E$2:$N$540,10,FALSE)</f>
        <v>06/30/2014 - 06/30/2019</v>
      </c>
      <c r="C2202" s="138">
        <v>2017</v>
      </c>
      <c r="D2202" s="138" t="str">
        <f t="shared" si="32"/>
        <v>Trinidad 2017</v>
      </c>
    </row>
    <row r="2203" spans="1:22">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c r="A2204" t="s">
        <v>1362</v>
      </c>
      <c r="B2204" s="37" t="str">
        <f>VLOOKUP(A2204,'Planning Periods'!$E$2:$N$540,10,FALSE)</f>
        <v>06/30/2014 - 06/30/2019</v>
      </c>
      <c r="C2204" s="138">
        <v>2015</v>
      </c>
      <c r="D2204" s="138" t="str">
        <f t="shared" si="32"/>
        <v>Trinity County - unincorporated 2015</v>
      </c>
    </row>
    <row r="2205" spans="1:22">
      <c r="A2205" t="s">
        <v>1361</v>
      </c>
      <c r="B2205" s="37" t="str">
        <f>VLOOKUP(A2205,'Planning Periods'!$E$2:$N$540,10,FALSE)</f>
        <v>06/30/2014 - 06/30/2019</v>
      </c>
      <c r="C2205" s="138">
        <v>2016</v>
      </c>
      <c r="D2205" s="138" t="str">
        <f t="shared" si="32"/>
        <v>Trinity County - Unincorporated 2016</v>
      </c>
    </row>
    <row r="2206" spans="1:22">
      <c r="A2206" t="s">
        <v>1361</v>
      </c>
      <c r="B2206" s="37" t="str">
        <f>VLOOKUP(A2206,'Planning Periods'!$E$2:$N$540,10,FALSE)</f>
        <v>06/30/2014 - 06/30/2019</v>
      </c>
      <c r="C2206" s="138">
        <v>2017</v>
      </c>
      <c r="D2206" s="138" t="str">
        <f t="shared" si="32"/>
        <v>Trinity County - Unincorporated 2017</v>
      </c>
    </row>
    <row r="2207" spans="1:22">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c r="A2220" t="s">
        <v>819</v>
      </c>
      <c r="B2220" s="37" t="str">
        <f>VLOOKUP(A2220,'Planning Periods'!$E$2:$N$540,10,FALSE)</f>
        <v>06/30/2014 - 06/30/2019</v>
      </c>
      <c r="C2220" s="138">
        <v>2015</v>
      </c>
      <c r="D2220" s="138" t="str">
        <f t="shared" si="32"/>
        <v>Tulelake 2015</v>
      </c>
    </row>
    <row r="2221" spans="1:22">
      <c r="A2221" t="s">
        <v>819</v>
      </c>
      <c r="B2221" s="37" t="str">
        <f>VLOOKUP(A2221,'Planning Periods'!$E$2:$N$540,10,FALSE)</f>
        <v>06/30/2014 - 06/30/2019</v>
      </c>
      <c r="C2221" s="138">
        <v>2016</v>
      </c>
      <c r="D2221" s="138" t="str">
        <f t="shared" si="32"/>
        <v>Tulelake 2016</v>
      </c>
    </row>
    <row r="2222" spans="1:22">
      <c r="A2222" t="s">
        <v>819</v>
      </c>
      <c r="B2222" s="37" t="str">
        <f>VLOOKUP(A2222,'Planning Periods'!$E$2:$N$540,10,FALSE)</f>
        <v>06/30/2014 - 06/30/2019</v>
      </c>
      <c r="C2222" s="138">
        <v>2017</v>
      </c>
      <c r="D2222" s="138" t="str">
        <f t="shared" si="32"/>
        <v>Tulelake 2017</v>
      </c>
    </row>
    <row r="2223" spans="1:22">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c r="A2269" t="s">
        <v>1054</v>
      </c>
      <c r="B2269" s="37" t="str">
        <f>VLOOKUP(A2269,'Planning Periods'!$E$2:$N$540,10,FALSE)</f>
        <v>10/15/2013 - 10/15/2021</v>
      </c>
      <c r="C2269" s="138">
        <v>2015</v>
      </c>
      <c r="D2269" s="138" t="str">
        <f t="shared" si="33"/>
        <v>Vernon 2015</v>
      </c>
    </row>
    <row r="2270" spans="1:22">
      <c r="A2270" t="s">
        <v>1054</v>
      </c>
      <c r="B2270" s="37" t="str">
        <f>VLOOKUP(A2270,'Planning Periods'!$E$2:$N$540,10,FALSE)</f>
        <v>10/15/2013 - 10/15/2021</v>
      </c>
      <c r="C2270" s="138">
        <v>2016</v>
      </c>
      <c r="D2270" s="138" t="str">
        <f t="shared" si="33"/>
        <v>Vernon 2016</v>
      </c>
    </row>
    <row r="2271" spans="1:22">
      <c r="A2271" t="s">
        <v>1054</v>
      </c>
      <c r="B2271" s="37" t="str">
        <f>VLOOKUP(A2271,'Planning Periods'!$E$2:$N$540,10,FALSE)</f>
        <v>10/15/2013 - 10/15/2021</v>
      </c>
      <c r="C2271" s="138">
        <v>2017</v>
      </c>
      <c r="D2271" s="138" t="str">
        <f t="shared" si="33"/>
        <v>Vernon 2017</v>
      </c>
    </row>
    <row r="2272" spans="1:22">
      <c r="A2272" t="s">
        <v>909</v>
      </c>
      <c r="B2272" s="37"/>
      <c r="C2272" s="138">
        <v>2013</v>
      </c>
      <c r="D2272" s="138" t="str">
        <f t="shared" si="33"/>
        <v>Victorville 2013</v>
      </c>
    </row>
    <row r="2273" spans="1:22">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c r="A2274" t="s">
        <v>909</v>
      </c>
      <c r="B2274" s="37" t="str">
        <f>VLOOKUP(A2274,'Planning Periods'!$E$2:$N$540,10,FALSE)</f>
        <v>10/15/2013 - 10/15/2021</v>
      </c>
      <c r="C2274" s="138">
        <v>2015</v>
      </c>
      <c r="D2274" s="138" t="str">
        <f t="shared" si="33"/>
        <v>Victorville 2015</v>
      </c>
    </row>
    <row r="2275" spans="1:22">
      <c r="A2275" t="s">
        <v>909</v>
      </c>
      <c r="B2275" s="37" t="str">
        <f>VLOOKUP(A2275,'Planning Periods'!$E$2:$N$540,10,FALSE)</f>
        <v>10/15/2013 - 10/15/2021</v>
      </c>
      <c r="C2275" s="138">
        <v>2016</v>
      </c>
      <c r="D2275" s="138" t="str">
        <f t="shared" si="33"/>
        <v>Victorville 2016</v>
      </c>
    </row>
    <row r="2276" spans="1:22">
      <c r="A2276" t="s">
        <v>909</v>
      </c>
      <c r="B2276" s="37" t="str">
        <f>VLOOKUP(A2276,'Planning Periods'!$E$2:$N$540,10,FALSE)</f>
        <v>10/15/2013 - 10/15/2021</v>
      </c>
      <c r="C2276" s="138">
        <v>2017</v>
      </c>
      <c r="D2276" s="138" t="str">
        <f t="shared" si="33"/>
        <v>Victorville 2017</v>
      </c>
    </row>
    <row r="2277" spans="1:22">
      <c r="A2277" s="139" t="s">
        <v>974</v>
      </c>
      <c r="B2277" s="37"/>
      <c r="C2277" s="138">
        <v>2013</v>
      </c>
      <c r="D2277" s="138" t="str">
        <f t="shared" si="33"/>
        <v>Villa Park 2013</v>
      </c>
    </row>
    <row r="2278" spans="1:22">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c r="A2306" t="s">
        <v>790</v>
      </c>
      <c r="B2306" s="37" t="str">
        <f>VLOOKUP(A2306,'Planning Periods'!$E$2:$N$540,10,FALSE)</f>
        <v>12/31/2015 - 12/31/2023</v>
      </c>
      <c r="C2306" s="138">
        <v>2015</v>
      </c>
      <c r="D2306" s="138" t="str">
        <f t="shared" si="34"/>
        <v>Waterford 2015</v>
      </c>
    </row>
    <row r="2307" spans="1:22">
      <c r="A2307" t="s">
        <v>790</v>
      </c>
      <c r="B2307" s="37" t="str">
        <f>VLOOKUP(A2307,'Planning Periods'!$E$2:$N$540,10,FALSE)</f>
        <v>12/31/2015 - 12/31/2023</v>
      </c>
      <c r="C2307" s="138">
        <v>2016</v>
      </c>
      <c r="D2307" s="138" t="str">
        <f t="shared" si="34"/>
        <v>Waterford 2016</v>
      </c>
    </row>
    <row r="2308" spans="1:22">
      <c r="A2308" t="s">
        <v>790</v>
      </c>
      <c r="B2308" s="37" t="str">
        <f>VLOOKUP(A2308,'Planning Periods'!$E$2:$N$540,10,FALSE)</f>
        <v>12/31/2015 - 12/31/2023</v>
      </c>
      <c r="C2308" s="138">
        <v>2017</v>
      </c>
      <c r="D2308" s="138" t="str">
        <f t="shared" si="34"/>
        <v>Waterford 2017</v>
      </c>
    </row>
    <row r="2309" spans="1:22">
      <c r="A2309" s="139" t="s">
        <v>832</v>
      </c>
      <c r="B2309" s="37" t="str">
        <f>VLOOKUP(A2309,'Planning Periods'!$E$2:$N$540,10,FALSE)</f>
        <v>12/31/2015 - 12/31/2023</v>
      </c>
      <c r="C2309" s="138">
        <v>2014</v>
      </c>
      <c r="D2309" s="138" t="str">
        <f t="shared" si="34"/>
        <v>Watsonville 2014</v>
      </c>
    </row>
    <row r="2310" spans="1:22">
      <c r="A2310" s="139" t="s">
        <v>832</v>
      </c>
      <c r="B2310" s="37" t="str">
        <f>VLOOKUP(A2310,'Planning Periods'!$E$2:$N$540,10,FALSE)</f>
        <v>12/31/2015 - 12/31/2023</v>
      </c>
      <c r="C2310" s="138">
        <v>2015</v>
      </c>
      <c r="D2310" s="138" t="str">
        <f t="shared" si="34"/>
        <v>Watsonville 2015</v>
      </c>
    </row>
    <row r="2311" spans="1:22">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c r="A2314" t="s">
        <v>818</v>
      </c>
      <c r="B2314" s="37" t="str">
        <f>VLOOKUP(A2314,'Planning Periods'!$E$2:$N$540,10,FALSE)</f>
        <v>06/30/2014 - 06/30/2019</v>
      </c>
      <c r="C2314" s="138">
        <v>2015</v>
      </c>
      <c r="D2314" s="138" t="str">
        <f t="shared" si="34"/>
        <v>Weed 2015</v>
      </c>
    </row>
    <row r="2315" spans="1:22">
      <c r="A2315" t="s">
        <v>818</v>
      </c>
      <c r="B2315" s="37" t="str">
        <f>VLOOKUP(A2315,'Planning Periods'!$E$2:$N$540,10,FALSE)</f>
        <v>06/30/2014 - 06/30/2019</v>
      </c>
      <c r="C2315" s="138">
        <v>2016</v>
      </c>
      <c r="D2315" s="138" t="str">
        <f t="shared" si="34"/>
        <v>Weed 2016</v>
      </c>
    </row>
    <row r="2316" spans="1:22">
      <c r="A2316" t="s">
        <v>818</v>
      </c>
      <c r="B2316" s="37" t="str">
        <f>VLOOKUP(A2316,'Planning Periods'!$E$2:$N$540,10,FALSE)</f>
        <v>06/30/2014 - 06/30/2019</v>
      </c>
      <c r="C2316" s="138">
        <v>2017</v>
      </c>
      <c r="D2316" s="138" t="str">
        <f t="shared" si="34"/>
        <v>Weed 2017</v>
      </c>
    </row>
    <row r="2317" spans="1:22">
      <c r="A2317" s="139" t="s">
        <v>1052</v>
      </c>
      <c r="B2317" s="37"/>
      <c r="C2317" s="138">
        <v>2013</v>
      </c>
      <c r="D2317" s="138" t="str">
        <f t="shared" si="34"/>
        <v>West Covina 2013</v>
      </c>
    </row>
    <row r="2318" spans="1:22">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c r="A2363" t="s">
        <v>1217</v>
      </c>
      <c r="B2363" s="37" t="str">
        <f>VLOOKUP(A2363,'Planning Periods'!$E$2:$N$540,10,FALSE)</f>
        <v>06/30/2014 - 06/30/2019</v>
      </c>
      <c r="C2363" s="138">
        <v>2015</v>
      </c>
      <c r="D2363" s="138" t="str">
        <f t="shared" si="34"/>
        <v>Williams 2015</v>
      </c>
    </row>
    <row r="2364" spans="1:22">
      <c r="A2364" t="s">
        <v>1217</v>
      </c>
      <c r="B2364" s="37" t="str">
        <f>VLOOKUP(A2364,'Planning Periods'!$E$2:$N$540,10,FALSE)</f>
        <v>06/30/2014 - 06/30/2019</v>
      </c>
      <c r="C2364" s="138">
        <v>2016</v>
      </c>
      <c r="D2364" s="138" t="str">
        <f t="shared" si="34"/>
        <v>Williams 2016</v>
      </c>
    </row>
    <row r="2365" spans="1:22">
      <c r="A2365" t="s">
        <v>1217</v>
      </c>
      <c r="B2365" s="37" t="str">
        <f>VLOOKUP(A2365,'Planning Periods'!$E$2:$N$540,10,FALSE)</f>
        <v>06/30/2014 - 06/30/2019</v>
      </c>
      <c r="C2365" s="138">
        <v>2017</v>
      </c>
      <c r="D2365" s="138" t="str">
        <f t="shared" si="34"/>
        <v>Williams 2017</v>
      </c>
    </row>
    <row r="2366" spans="1:22">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c r="A2367" t="s">
        <v>1034</v>
      </c>
      <c r="B2367" s="37" t="str">
        <f>VLOOKUP(A2367,'Planning Periods'!$E$2:$N$540,10,FALSE)</f>
        <v>06/30/2014 - 06/30/2019</v>
      </c>
      <c r="C2367" s="138">
        <v>2015</v>
      </c>
      <c r="D2367" s="138" t="str">
        <f t="shared" si="34"/>
        <v>Willits 2015</v>
      </c>
    </row>
    <row r="2368" spans="1:22">
      <c r="A2368" t="s">
        <v>1034</v>
      </c>
      <c r="B2368" s="37" t="str">
        <f>VLOOKUP(A2368,'Planning Periods'!$E$2:$N$540,10,FALSE)</f>
        <v>06/30/2014 - 06/30/2019</v>
      </c>
      <c r="C2368" s="138">
        <v>2016</v>
      </c>
      <c r="D2368" s="138" t="str">
        <f t="shared" si="34"/>
        <v>Willits 2016</v>
      </c>
    </row>
    <row r="2369" spans="1:22">
      <c r="A2369" t="s">
        <v>1034</v>
      </c>
      <c r="B2369" s="37" t="str">
        <f>VLOOKUP(A2369,'Planning Periods'!$E$2:$N$540,10,FALSE)</f>
        <v>06/30/2014 - 06/30/2019</v>
      </c>
      <c r="C2369" s="138">
        <v>2017</v>
      </c>
      <c r="D2369" s="138" t="str">
        <f t="shared" si="34"/>
        <v>Willits 2017</v>
      </c>
    </row>
    <row r="2370" spans="1:22">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c r="A2384" t="s">
        <v>776</v>
      </c>
      <c r="B2384" s="37" t="str">
        <f>VLOOKUP(A2384,'Planning Periods'!$E$2:$N$540,10,FALSE)</f>
        <v>12/31/2015 - 12/31/2023</v>
      </c>
      <c r="C2384" s="138">
        <v>2015</v>
      </c>
      <c r="D2384" s="138" t="str">
        <f t="shared" si="35"/>
        <v>Woodlake 2015</v>
      </c>
    </row>
    <row r="2385" spans="1:22">
      <c r="A2385" t="s">
        <v>776</v>
      </c>
      <c r="B2385" s="37" t="str">
        <f>VLOOKUP(A2385,'Planning Periods'!$E$2:$N$540,10,FALSE)</f>
        <v>12/31/2015 - 12/31/2023</v>
      </c>
      <c r="C2385" s="138">
        <v>2016</v>
      </c>
      <c r="D2385" s="138" t="str">
        <f t="shared" si="35"/>
        <v>Woodlake 2016</v>
      </c>
    </row>
    <row r="2386" spans="1:22">
      <c r="A2386" t="s">
        <v>776</v>
      </c>
      <c r="B2386" s="37" t="str">
        <f>VLOOKUP(A2386,'Planning Periods'!$E$2:$N$540,10,FALSE)</f>
        <v>12/31/2015 - 12/31/2023</v>
      </c>
      <c r="C2386" s="138">
        <v>2017</v>
      </c>
      <c r="D2386" s="138" t="str">
        <f t="shared" si="35"/>
        <v>Woodlake 2017</v>
      </c>
    </row>
    <row r="2387" spans="1:22">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9"/>
  <dimension ref="A1:K540"/>
  <sheetViews>
    <sheetView topLeftCell="B400" workbookViewId="0">
      <selection activeCell="D415" sqref="D415"/>
    </sheetView>
  </sheetViews>
  <sheetFormatPr defaultColWidth="8.85546875" defaultRowHeight="12.75"/>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c r="A1" s="68" t="s">
        <v>1250</v>
      </c>
      <c r="B1" s="67" t="s">
        <v>1249</v>
      </c>
      <c r="C1" s="49" t="s">
        <v>1248</v>
      </c>
      <c r="D1" s="66" t="s">
        <v>16</v>
      </c>
      <c r="E1" s="66" t="s">
        <v>17</v>
      </c>
      <c r="F1" s="66" t="s">
        <v>1247</v>
      </c>
      <c r="G1" s="66" t="s">
        <v>1246</v>
      </c>
      <c r="H1" s="65" t="s">
        <v>1245</v>
      </c>
      <c r="I1" s="64"/>
      <c r="J1" s="63"/>
      <c r="K1" s="63"/>
    </row>
    <row r="2" spans="1:11" ht="13.5" thickTop="1">
      <c r="A2" s="48" t="s">
        <v>907</v>
      </c>
      <c r="B2" s="48" t="s">
        <v>928</v>
      </c>
      <c r="C2" s="48" t="str">
        <f t="shared" ref="C2:C65" si="0">B2</f>
        <v>Adelanto</v>
      </c>
      <c r="D2" s="51">
        <v>633</v>
      </c>
      <c r="E2" s="51">
        <v>459</v>
      </c>
      <c r="F2" s="51">
        <v>513</v>
      </c>
      <c r="G2" s="51">
        <v>1236</v>
      </c>
      <c r="H2" s="50">
        <f t="shared" ref="H2:H65" si="1">SUM(D2:G2)</f>
        <v>2841</v>
      </c>
    </row>
    <row r="3" spans="1:11">
      <c r="A3" s="48" t="s">
        <v>1049</v>
      </c>
      <c r="B3" s="48" t="s">
        <v>1135</v>
      </c>
      <c r="C3" s="48" t="str">
        <f t="shared" si="0"/>
        <v>Agoura Hills</v>
      </c>
      <c r="D3" s="51">
        <v>31</v>
      </c>
      <c r="E3" s="51">
        <v>19</v>
      </c>
      <c r="F3" s="51">
        <v>20</v>
      </c>
      <c r="G3" s="51">
        <v>45</v>
      </c>
      <c r="H3" s="50">
        <f t="shared" si="1"/>
        <v>115</v>
      </c>
    </row>
    <row r="4" spans="1:11">
      <c r="A4" s="48" t="s">
        <v>1232</v>
      </c>
      <c r="B4" s="48" t="s">
        <v>1232</v>
      </c>
      <c r="C4" s="48" t="str">
        <f t="shared" si="0"/>
        <v>Alameda</v>
      </c>
      <c r="D4" s="51">
        <v>444</v>
      </c>
      <c r="E4" s="51">
        <v>248</v>
      </c>
      <c r="F4" s="51">
        <v>283</v>
      </c>
      <c r="G4" s="51">
        <v>748</v>
      </c>
      <c r="H4" s="50">
        <f t="shared" si="1"/>
        <v>1723</v>
      </c>
    </row>
    <row r="5" spans="1:11">
      <c r="A5" s="48" t="s">
        <v>741</v>
      </c>
      <c r="B5" s="48" t="str">
        <f>A5</f>
        <v>Alameda County - Unincorporated</v>
      </c>
      <c r="C5" s="48" t="str">
        <f t="shared" si="0"/>
        <v>Alameda County - Unincorporated</v>
      </c>
      <c r="D5" s="51">
        <v>430</v>
      </c>
      <c r="E5" s="51">
        <v>227</v>
      </c>
      <c r="F5" s="51">
        <v>295</v>
      </c>
      <c r="G5" s="51">
        <v>817</v>
      </c>
      <c r="H5" s="50">
        <f t="shared" si="1"/>
        <v>1769</v>
      </c>
    </row>
    <row r="6" spans="1:11">
      <c r="A6" s="48" t="s">
        <v>1232</v>
      </c>
      <c r="B6" s="48" t="s">
        <v>1244</v>
      </c>
      <c r="C6" s="48" t="str">
        <f t="shared" si="0"/>
        <v>Albany</v>
      </c>
      <c r="D6" s="51">
        <v>80</v>
      </c>
      <c r="E6" s="51">
        <v>53</v>
      </c>
      <c r="F6" s="51">
        <v>57</v>
      </c>
      <c r="G6" s="51">
        <v>145</v>
      </c>
      <c r="H6" s="50">
        <f t="shared" si="1"/>
        <v>335</v>
      </c>
    </row>
    <row r="7" spans="1:11">
      <c r="A7" s="48" t="s">
        <v>1049</v>
      </c>
      <c r="B7" s="48" t="s">
        <v>1134</v>
      </c>
      <c r="C7" s="48" t="str">
        <f t="shared" si="0"/>
        <v>Alhambra</v>
      </c>
      <c r="D7" s="51">
        <v>380</v>
      </c>
      <c r="E7" s="51">
        <v>224</v>
      </c>
      <c r="F7" s="51">
        <v>246</v>
      </c>
      <c r="G7" s="51">
        <v>642</v>
      </c>
      <c r="H7" s="50">
        <f t="shared" si="1"/>
        <v>1492</v>
      </c>
    </row>
    <row r="8" spans="1:11">
      <c r="A8" s="48" t="s">
        <v>972</v>
      </c>
      <c r="B8" s="48" t="s">
        <v>1004</v>
      </c>
      <c r="C8" s="48" t="str">
        <f t="shared" si="0"/>
        <v>Aliso Viejo</v>
      </c>
      <c r="D8" s="51">
        <v>9</v>
      </c>
      <c r="E8" s="51">
        <v>7</v>
      </c>
      <c r="F8" s="51">
        <v>7</v>
      </c>
      <c r="G8" s="51">
        <v>16</v>
      </c>
      <c r="H8" s="50">
        <f t="shared" si="1"/>
        <v>39</v>
      </c>
    </row>
    <row r="9" spans="1:11">
      <c r="A9" s="48" t="s">
        <v>1342</v>
      </c>
      <c r="B9" s="48" t="str">
        <f>A9</f>
        <v>Alpine County - Unincorporated</v>
      </c>
      <c r="C9" s="48" t="str">
        <f t="shared" si="0"/>
        <v>Alpine County - Unincorporated</v>
      </c>
      <c r="D9" s="51">
        <v>7</v>
      </c>
      <c r="E9" s="51">
        <v>6</v>
      </c>
      <c r="F9" s="51">
        <v>6</v>
      </c>
      <c r="G9" s="51">
        <v>11</v>
      </c>
      <c r="H9" s="46">
        <f t="shared" si="1"/>
        <v>30</v>
      </c>
    </row>
    <row r="10" spans="1:11">
      <c r="A10" s="48" t="s">
        <v>1027</v>
      </c>
      <c r="B10" s="48" t="s">
        <v>1026</v>
      </c>
      <c r="C10" s="48" t="str">
        <f t="shared" si="0"/>
        <v>Alturas</v>
      </c>
      <c r="D10" s="51">
        <v>1</v>
      </c>
      <c r="E10" s="51">
        <v>1</v>
      </c>
      <c r="F10" s="51">
        <v>1</v>
      </c>
      <c r="G10" s="51">
        <v>2</v>
      </c>
      <c r="H10" s="50">
        <f t="shared" si="1"/>
        <v>5</v>
      </c>
    </row>
    <row r="11" spans="1:11">
      <c r="A11" s="48" t="s">
        <v>1226</v>
      </c>
      <c r="B11" s="48" t="s">
        <v>1230</v>
      </c>
      <c r="C11" s="48" t="str">
        <f t="shared" si="0"/>
        <v>Amador City</v>
      </c>
      <c r="D11" s="51">
        <v>1</v>
      </c>
      <c r="E11" s="51">
        <v>1</v>
      </c>
      <c r="F11" s="51">
        <v>0</v>
      </c>
      <c r="G11" s="51">
        <v>0</v>
      </c>
      <c r="H11" s="50">
        <f t="shared" si="1"/>
        <v>2</v>
      </c>
    </row>
    <row r="12" spans="1:11">
      <c r="A12" s="48" t="s">
        <v>725</v>
      </c>
      <c r="B12" s="48" t="str">
        <f>A12</f>
        <v>Amador County - Unincorporated</v>
      </c>
      <c r="C12" s="48" t="str">
        <f t="shared" si="0"/>
        <v>Amador County - Unincorporated</v>
      </c>
      <c r="D12" s="51">
        <v>10</v>
      </c>
      <c r="E12" s="51">
        <v>7</v>
      </c>
      <c r="F12" s="51">
        <v>9</v>
      </c>
      <c r="G12" s="51">
        <v>23</v>
      </c>
      <c r="H12" s="50">
        <f t="shared" si="1"/>
        <v>49</v>
      </c>
    </row>
    <row r="13" spans="1:11">
      <c r="A13" s="48" t="s">
        <v>1009</v>
      </c>
      <c r="B13" s="48" t="s">
        <v>1012</v>
      </c>
      <c r="C13" s="48" t="str">
        <f t="shared" si="0"/>
        <v>American Canyon</v>
      </c>
      <c r="D13" s="51">
        <v>116</v>
      </c>
      <c r="E13" s="51">
        <v>54</v>
      </c>
      <c r="F13" s="51">
        <v>58</v>
      </c>
      <c r="G13" s="51">
        <v>164</v>
      </c>
      <c r="H13" s="50">
        <f t="shared" si="1"/>
        <v>392</v>
      </c>
    </row>
    <row r="14" spans="1:11">
      <c r="A14" s="48" t="s">
        <v>972</v>
      </c>
      <c r="B14" s="48" t="s">
        <v>1003</v>
      </c>
      <c r="C14" s="48" t="str">
        <f t="shared" si="0"/>
        <v>Anaheim</v>
      </c>
      <c r="D14" s="51">
        <v>1256</v>
      </c>
      <c r="E14" s="51">
        <v>907</v>
      </c>
      <c r="F14" s="51">
        <v>1038</v>
      </c>
      <c r="G14" s="51">
        <v>2501</v>
      </c>
      <c r="H14" s="50">
        <f t="shared" si="1"/>
        <v>5702</v>
      </c>
    </row>
    <row r="15" spans="1:11">
      <c r="A15" s="48" t="s">
        <v>829</v>
      </c>
      <c r="B15" s="48" t="s">
        <v>831</v>
      </c>
      <c r="C15" s="48" t="str">
        <f t="shared" si="0"/>
        <v>Anderson</v>
      </c>
      <c r="D15" s="51">
        <v>32</v>
      </c>
      <c r="E15" s="51">
        <v>21</v>
      </c>
      <c r="F15" s="51">
        <v>24</v>
      </c>
      <c r="G15" s="51">
        <v>59</v>
      </c>
      <c r="H15" s="50">
        <f t="shared" si="1"/>
        <v>136</v>
      </c>
    </row>
    <row r="16" spans="1:11">
      <c r="A16" s="48" t="s">
        <v>1219</v>
      </c>
      <c r="B16" s="48" t="s">
        <v>1344</v>
      </c>
      <c r="C16" s="48" t="str">
        <f t="shared" si="0"/>
        <v>Angels Camp</v>
      </c>
      <c r="D16" s="51">
        <v>39</v>
      </c>
      <c r="E16" s="51">
        <v>25</v>
      </c>
      <c r="F16" s="51">
        <v>28</v>
      </c>
      <c r="G16" s="51">
        <v>69</v>
      </c>
      <c r="H16" s="50">
        <f t="shared" si="1"/>
        <v>161</v>
      </c>
    </row>
    <row r="17" spans="1:8">
      <c r="A17" s="48" t="s">
        <v>1199</v>
      </c>
      <c r="B17" s="48" t="s">
        <v>1216</v>
      </c>
      <c r="C17" s="48" t="str">
        <f t="shared" si="0"/>
        <v>Antioch</v>
      </c>
      <c r="D17" s="51">
        <v>349</v>
      </c>
      <c r="E17" s="51">
        <v>205</v>
      </c>
      <c r="F17" s="51">
        <v>214</v>
      </c>
      <c r="G17" s="51">
        <v>680</v>
      </c>
      <c r="H17" s="50">
        <f t="shared" si="1"/>
        <v>1448</v>
      </c>
    </row>
    <row r="18" spans="1:8">
      <c r="A18" s="48" t="s">
        <v>907</v>
      </c>
      <c r="B18" s="48" t="s">
        <v>1332</v>
      </c>
      <c r="C18" s="48" t="str">
        <f t="shared" si="0"/>
        <v>Apple Valley</v>
      </c>
      <c r="D18" s="51">
        <v>764</v>
      </c>
      <c r="E18" s="51">
        <v>541</v>
      </c>
      <c r="F18" s="51">
        <v>622</v>
      </c>
      <c r="G18" s="51">
        <v>1407</v>
      </c>
      <c r="H18" s="50">
        <f t="shared" si="1"/>
        <v>3334</v>
      </c>
    </row>
    <row r="19" spans="1:8">
      <c r="A19" s="48" t="s">
        <v>1049</v>
      </c>
      <c r="B19" s="48" t="s">
        <v>1133</v>
      </c>
      <c r="C19" s="48" t="str">
        <f t="shared" si="0"/>
        <v>Arcadia</v>
      </c>
      <c r="D19" s="51">
        <v>276</v>
      </c>
      <c r="E19" s="51">
        <v>167</v>
      </c>
      <c r="F19" s="51">
        <v>177</v>
      </c>
      <c r="G19" s="51">
        <v>434</v>
      </c>
      <c r="H19" s="50">
        <f t="shared" si="1"/>
        <v>1054</v>
      </c>
    </row>
    <row r="20" spans="1:8">
      <c r="A20" s="48" t="s">
        <v>1169</v>
      </c>
      <c r="B20" s="48" t="s">
        <v>1175</v>
      </c>
      <c r="C20" s="48" t="str">
        <f t="shared" si="0"/>
        <v>Arcata</v>
      </c>
      <c r="D20" s="51">
        <v>85</v>
      </c>
      <c r="E20" s="51">
        <v>56</v>
      </c>
      <c r="F20" s="51">
        <v>62</v>
      </c>
      <c r="G20" s="51">
        <v>160</v>
      </c>
      <c r="H20" s="50">
        <f t="shared" si="1"/>
        <v>363</v>
      </c>
    </row>
    <row r="21" spans="1:8">
      <c r="A21" s="48" t="s">
        <v>872</v>
      </c>
      <c r="B21" s="48" t="s">
        <v>878</v>
      </c>
      <c r="C21" s="48" t="str">
        <f t="shared" si="0"/>
        <v>Arroyo Grande</v>
      </c>
      <c r="D21" s="51">
        <v>60</v>
      </c>
      <c r="E21" s="51">
        <v>38</v>
      </c>
      <c r="F21" s="51">
        <v>43</v>
      </c>
      <c r="G21" s="51">
        <v>101</v>
      </c>
      <c r="H21" s="50">
        <f t="shared" si="1"/>
        <v>242</v>
      </c>
    </row>
    <row r="22" spans="1:8">
      <c r="A22" s="48" t="s">
        <v>1049</v>
      </c>
      <c r="B22" s="48" t="s">
        <v>1132</v>
      </c>
      <c r="C22" s="48" t="str">
        <f t="shared" si="0"/>
        <v>Artesia</v>
      </c>
      <c r="D22" s="51">
        <v>31</v>
      </c>
      <c r="E22" s="51">
        <v>18</v>
      </c>
      <c r="F22" s="51">
        <v>20</v>
      </c>
      <c r="G22" s="51">
        <v>51</v>
      </c>
      <c r="H22" s="50">
        <f t="shared" si="1"/>
        <v>120</v>
      </c>
    </row>
    <row r="23" spans="1:8">
      <c r="A23" s="48" t="s">
        <v>1147</v>
      </c>
      <c r="B23" s="48" t="s">
        <v>1157</v>
      </c>
      <c r="C23" s="48" t="str">
        <f t="shared" si="0"/>
        <v>Arvin</v>
      </c>
      <c r="D23" s="58">
        <v>398</v>
      </c>
      <c r="E23" s="58">
        <v>239</v>
      </c>
      <c r="F23" s="58">
        <v>183</v>
      </c>
      <c r="G23" s="58">
        <v>349</v>
      </c>
      <c r="H23" s="50">
        <f t="shared" si="1"/>
        <v>1169</v>
      </c>
    </row>
    <row r="24" spans="1:8">
      <c r="A24" s="48" t="s">
        <v>872</v>
      </c>
      <c r="B24" s="48" t="s">
        <v>877</v>
      </c>
      <c r="C24" s="48" t="str">
        <f t="shared" si="0"/>
        <v>Atascadero</v>
      </c>
      <c r="D24" s="51">
        <v>98</v>
      </c>
      <c r="E24" s="51">
        <v>62</v>
      </c>
      <c r="F24" s="51">
        <v>69</v>
      </c>
      <c r="G24" s="51">
        <v>164</v>
      </c>
      <c r="H24" s="50">
        <f t="shared" si="1"/>
        <v>393</v>
      </c>
    </row>
    <row r="25" spans="1:8">
      <c r="A25" s="48" t="s">
        <v>857</v>
      </c>
      <c r="B25" s="48" t="s">
        <v>1333</v>
      </c>
      <c r="C25" s="48" t="str">
        <f t="shared" si="0"/>
        <v>Atherton</v>
      </c>
      <c r="D25" s="51">
        <v>35</v>
      </c>
      <c r="E25" s="51">
        <v>26</v>
      </c>
      <c r="F25" s="51">
        <v>29</v>
      </c>
      <c r="G25" s="51">
        <v>3</v>
      </c>
      <c r="H25" s="50">
        <f t="shared" si="1"/>
        <v>93</v>
      </c>
    </row>
    <row r="26" spans="1:8">
      <c r="A26" s="48" t="s">
        <v>1028</v>
      </c>
      <c r="B26" s="48" t="s">
        <v>1033</v>
      </c>
      <c r="C26" s="48" t="str">
        <f t="shared" si="0"/>
        <v>Atwater</v>
      </c>
      <c r="D26" s="57">
        <v>429</v>
      </c>
      <c r="E26" s="57">
        <v>307</v>
      </c>
      <c r="F26" s="57">
        <v>281</v>
      </c>
      <c r="G26" s="57">
        <v>748</v>
      </c>
      <c r="H26" s="50">
        <f t="shared" si="1"/>
        <v>1765</v>
      </c>
    </row>
    <row r="27" spans="1:8">
      <c r="A27" s="48" t="s">
        <v>966</v>
      </c>
      <c r="B27" s="48" t="s">
        <v>970</v>
      </c>
      <c r="C27" s="48" t="str">
        <f t="shared" si="0"/>
        <v>Auburn</v>
      </c>
      <c r="D27" s="51">
        <v>74</v>
      </c>
      <c r="E27" s="51">
        <v>52</v>
      </c>
      <c r="F27" s="51">
        <v>57</v>
      </c>
      <c r="G27" s="51">
        <v>125</v>
      </c>
      <c r="H27" s="50">
        <f t="shared" si="1"/>
        <v>308</v>
      </c>
    </row>
    <row r="28" spans="1:8">
      <c r="A28" s="48" t="s">
        <v>1049</v>
      </c>
      <c r="B28" s="48" t="s">
        <v>1131</v>
      </c>
      <c r="C28" s="48" t="str">
        <f t="shared" si="0"/>
        <v>Avalon</v>
      </c>
      <c r="D28" s="51">
        <v>20</v>
      </c>
      <c r="E28" s="51">
        <v>12</v>
      </c>
      <c r="F28" s="51">
        <v>14</v>
      </c>
      <c r="G28" s="51">
        <v>34</v>
      </c>
      <c r="H28" s="50">
        <f t="shared" si="1"/>
        <v>80</v>
      </c>
    </row>
    <row r="29" spans="1:8">
      <c r="A29" s="48" t="s">
        <v>1142</v>
      </c>
      <c r="B29" s="48" t="s">
        <v>1145</v>
      </c>
      <c r="C29" s="48" t="str">
        <f t="shared" si="0"/>
        <v>Avenal</v>
      </c>
      <c r="D29" s="58">
        <v>145</v>
      </c>
      <c r="E29" s="58">
        <v>108</v>
      </c>
      <c r="F29" s="58">
        <v>115</v>
      </c>
      <c r="G29" s="58">
        <v>271</v>
      </c>
      <c r="H29" s="50">
        <f t="shared" si="1"/>
        <v>639</v>
      </c>
    </row>
    <row r="30" spans="1:8">
      <c r="A30" s="48" t="s">
        <v>1049</v>
      </c>
      <c r="B30" s="48" t="s">
        <v>1130</v>
      </c>
      <c r="C30" s="48" t="str">
        <f t="shared" si="0"/>
        <v>Azusa</v>
      </c>
      <c r="D30" s="51">
        <v>198</v>
      </c>
      <c r="E30" s="51">
        <v>118</v>
      </c>
      <c r="F30" s="51">
        <v>127</v>
      </c>
      <c r="G30" s="51">
        <v>336</v>
      </c>
      <c r="H30" s="50">
        <f t="shared" si="1"/>
        <v>779</v>
      </c>
    </row>
    <row r="31" spans="1:8">
      <c r="A31" s="48" t="s">
        <v>1147</v>
      </c>
      <c r="B31" s="48" t="s">
        <v>1156</v>
      </c>
      <c r="C31" s="48" t="str">
        <f t="shared" si="0"/>
        <v>Bakersfield</v>
      </c>
      <c r="D31" s="58">
        <v>9706</v>
      </c>
      <c r="E31" s="58">
        <v>5800</v>
      </c>
      <c r="F31" s="58">
        <v>6453</v>
      </c>
      <c r="G31" s="58">
        <v>14331</v>
      </c>
      <c r="H31" s="50">
        <f t="shared" si="1"/>
        <v>36290</v>
      </c>
    </row>
    <row r="32" spans="1:8">
      <c r="A32" s="48" t="s">
        <v>1049</v>
      </c>
      <c r="B32" s="48" t="s">
        <v>1129</v>
      </c>
      <c r="C32" s="48" t="str">
        <f t="shared" si="0"/>
        <v>Baldwin Park</v>
      </c>
      <c r="D32" s="51">
        <v>142</v>
      </c>
      <c r="E32" s="51">
        <v>83</v>
      </c>
      <c r="F32" s="51">
        <v>90</v>
      </c>
      <c r="G32" s="51">
        <v>242</v>
      </c>
      <c r="H32" s="50">
        <f t="shared" si="1"/>
        <v>557</v>
      </c>
    </row>
    <row r="33" spans="1:8">
      <c r="A33" s="48" t="s">
        <v>939</v>
      </c>
      <c r="B33" s="48" t="s">
        <v>962</v>
      </c>
      <c r="C33" s="48" t="str">
        <f t="shared" si="0"/>
        <v>Banning</v>
      </c>
      <c r="D33" s="51">
        <v>872</v>
      </c>
      <c r="E33" s="51">
        <v>593</v>
      </c>
      <c r="F33" s="51">
        <v>685</v>
      </c>
      <c r="G33" s="51">
        <v>1642</v>
      </c>
      <c r="H33" s="50">
        <f t="shared" si="1"/>
        <v>3792</v>
      </c>
    </row>
    <row r="34" spans="1:8">
      <c r="A34" s="48" t="s">
        <v>907</v>
      </c>
      <c r="B34" s="48" t="s">
        <v>927</v>
      </c>
      <c r="C34" s="48" t="str">
        <f t="shared" si="0"/>
        <v>Barstow</v>
      </c>
      <c r="D34" s="51">
        <v>188</v>
      </c>
      <c r="E34" s="51">
        <v>138</v>
      </c>
      <c r="F34" s="51">
        <v>154</v>
      </c>
      <c r="G34" s="51">
        <v>363</v>
      </c>
      <c r="H34" s="50">
        <f t="shared" si="1"/>
        <v>843</v>
      </c>
    </row>
    <row r="35" spans="1:8">
      <c r="A35" s="48" t="s">
        <v>939</v>
      </c>
      <c r="B35" s="48" t="s">
        <v>961</v>
      </c>
      <c r="C35" s="48" t="str">
        <f t="shared" si="0"/>
        <v>Beaumont</v>
      </c>
      <c r="D35" s="51">
        <v>1267</v>
      </c>
      <c r="E35" s="51">
        <v>854</v>
      </c>
      <c r="F35" s="51">
        <v>969</v>
      </c>
      <c r="G35" s="51">
        <v>2160</v>
      </c>
      <c r="H35" s="50">
        <f t="shared" si="1"/>
        <v>5250</v>
      </c>
    </row>
    <row r="36" spans="1:8">
      <c r="A36" s="48" t="s">
        <v>1049</v>
      </c>
      <c r="B36" s="48" t="s">
        <v>1128</v>
      </c>
      <c r="C36" s="48" t="str">
        <f t="shared" si="0"/>
        <v>Bell</v>
      </c>
      <c r="D36" s="51">
        <v>11</v>
      </c>
      <c r="E36" s="51">
        <v>7</v>
      </c>
      <c r="F36" s="51">
        <v>8</v>
      </c>
      <c r="G36" s="51">
        <v>21</v>
      </c>
      <c r="H36" s="50">
        <f t="shared" si="1"/>
        <v>47</v>
      </c>
    </row>
    <row r="37" spans="1:8">
      <c r="A37" s="48" t="s">
        <v>1049</v>
      </c>
      <c r="B37" s="48" t="s">
        <v>1127</v>
      </c>
      <c r="C37" s="48" t="str">
        <f t="shared" si="0"/>
        <v>Bell Gardens</v>
      </c>
      <c r="D37" s="51">
        <v>11</v>
      </c>
      <c r="E37" s="51">
        <v>7</v>
      </c>
      <c r="F37" s="51">
        <v>8</v>
      </c>
      <c r="G37" s="51">
        <v>20</v>
      </c>
      <c r="H37" s="50">
        <f t="shared" si="1"/>
        <v>46</v>
      </c>
    </row>
    <row r="38" spans="1:8">
      <c r="A38" s="48" t="s">
        <v>1049</v>
      </c>
      <c r="B38" s="48" t="s">
        <v>1126</v>
      </c>
      <c r="C38" s="48" t="str">
        <f t="shared" si="0"/>
        <v>Bellflower</v>
      </c>
      <c r="D38" s="51">
        <v>1</v>
      </c>
      <c r="E38" s="51">
        <v>1</v>
      </c>
      <c r="F38" s="51">
        <v>0</v>
      </c>
      <c r="G38" s="51">
        <v>0</v>
      </c>
      <c r="H38" s="50">
        <f t="shared" si="1"/>
        <v>2</v>
      </c>
    </row>
    <row r="39" spans="1:8">
      <c r="A39" s="48" t="s">
        <v>857</v>
      </c>
      <c r="B39" s="48" t="s">
        <v>871</v>
      </c>
      <c r="C39" s="48" t="str">
        <f t="shared" si="0"/>
        <v>Belmont</v>
      </c>
      <c r="D39" s="51">
        <v>116</v>
      </c>
      <c r="E39" s="51">
        <v>63</v>
      </c>
      <c r="F39" s="51">
        <v>67</v>
      </c>
      <c r="G39" s="51">
        <v>222</v>
      </c>
      <c r="H39" s="50">
        <f t="shared" si="1"/>
        <v>468</v>
      </c>
    </row>
    <row r="40" spans="1:8">
      <c r="A40" s="48" t="s">
        <v>1039</v>
      </c>
      <c r="B40" s="48" t="s">
        <v>1045</v>
      </c>
      <c r="C40" s="48" t="str">
        <f t="shared" si="0"/>
        <v>Belvedere</v>
      </c>
      <c r="D40" s="51">
        <v>4</v>
      </c>
      <c r="E40" s="51">
        <v>3</v>
      </c>
      <c r="F40" s="51">
        <v>4</v>
      </c>
      <c r="G40" s="51">
        <v>5</v>
      </c>
      <c r="H40" s="50">
        <f t="shared" si="1"/>
        <v>16</v>
      </c>
    </row>
    <row r="41" spans="1:8">
      <c r="A41" s="48" t="s">
        <v>809</v>
      </c>
      <c r="B41" s="48" t="s">
        <v>815</v>
      </c>
      <c r="C41" s="48" t="str">
        <f t="shared" si="0"/>
        <v>Benicia</v>
      </c>
      <c r="D41" s="51">
        <v>94</v>
      </c>
      <c r="E41" s="51">
        <v>54</v>
      </c>
      <c r="F41" s="51">
        <v>56</v>
      </c>
      <c r="G41" s="51">
        <v>123</v>
      </c>
      <c r="H41" s="50">
        <f t="shared" si="1"/>
        <v>327</v>
      </c>
    </row>
    <row r="42" spans="1:8">
      <c r="A42" s="48" t="s">
        <v>1232</v>
      </c>
      <c r="B42" s="48" t="s">
        <v>1243</v>
      </c>
      <c r="C42" s="48" t="str">
        <f t="shared" si="0"/>
        <v>Berkeley</v>
      </c>
      <c r="D42" s="51">
        <v>532</v>
      </c>
      <c r="E42" s="51">
        <v>442</v>
      </c>
      <c r="F42" s="51">
        <v>584</v>
      </c>
      <c r="G42" s="51">
        <v>1401</v>
      </c>
      <c r="H42" s="50">
        <f t="shared" si="1"/>
        <v>2959</v>
      </c>
    </row>
    <row r="43" spans="1:8">
      <c r="A43" s="48" t="s">
        <v>1049</v>
      </c>
      <c r="B43" s="48" t="s">
        <v>1125</v>
      </c>
      <c r="C43" s="48" t="str">
        <f t="shared" si="0"/>
        <v>Beverly Hills</v>
      </c>
      <c r="D43" s="51">
        <v>1</v>
      </c>
      <c r="E43" s="51">
        <v>1</v>
      </c>
      <c r="F43" s="51">
        <v>1</v>
      </c>
      <c r="G43" s="51">
        <v>0</v>
      </c>
      <c r="H43" s="50">
        <f t="shared" si="1"/>
        <v>3</v>
      </c>
    </row>
    <row r="44" spans="1:8">
      <c r="A44" s="48" t="s">
        <v>907</v>
      </c>
      <c r="B44" s="48" t="s">
        <v>926</v>
      </c>
      <c r="C44" s="48" t="str">
        <f t="shared" si="0"/>
        <v>Big Bear Lake</v>
      </c>
      <c r="D44" s="51">
        <v>1</v>
      </c>
      <c r="E44" s="51">
        <v>1</v>
      </c>
      <c r="F44" s="51">
        <v>0</v>
      </c>
      <c r="G44" s="51">
        <v>0</v>
      </c>
      <c r="H44" s="50">
        <f t="shared" si="1"/>
        <v>2</v>
      </c>
    </row>
    <row r="45" spans="1:8">
      <c r="A45" s="48" t="s">
        <v>1220</v>
      </c>
      <c r="B45" s="48" t="s">
        <v>1224</v>
      </c>
      <c r="C45" s="48" t="str">
        <f t="shared" si="0"/>
        <v>Biggs</v>
      </c>
      <c r="D45" s="54">
        <v>48</v>
      </c>
      <c r="E45" s="54">
        <v>30</v>
      </c>
      <c r="F45" s="54">
        <v>24</v>
      </c>
      <c r="G45" s="54">
        <v>82</v>
      </c>
      <c r="H45" s="50">
        <f t="shared" si="1"/>
        <v>184</v>
      </c>
    </row>
    <row r="46" spans="1:8">
      <c r="A46" s="48" t="s">
        <v>1160</v>
      </c>
      <c r="B46" s="48" t="s">
        <v>1159</v>
      </c>
      <c r="C46" s="48" t="str">
        <f t="shared" si="0"/>
        <v>Bishop</v>
      </c>
      <c r="D46" s="51">
        <v>15</v>
      </c>
      <c r="E46" s="51">
        <v>10</v>
      </c>
      <c r="F46" s="51">
        <v>12</v>
      </c>
      <c r="G46" s="51">
        <v>28</v>
      </c>
      <c r="H46" s="50">
        <f t="shared" si="1"/>
        <v>65</v>
      </c>
    </row>
    <row r="47" spans="1:8">
      <c r="A47" s="48" t="s">
        <v>1169</v>
      </c>
      <c r="B47" s="48" t="s">
        <v>1174</v>
      </c>
      <c r="C47" s="48" t="str">
        <f t="shared" si="0"/>
        <v>Blue Lake</v>
      </c>
      <c r="D47" s="51">
        <v>4</v>
      </c>
      <c r="E47" s="51">
        <v>1</v>
      </c>
      <c r="F47" s="51">
        <v>2</v>
      </c>
      <c r="G47" s="51">
        <v>4</v>
      </c>
      <c r="H47" s="50">
        <f t="shared" si="1"/>
        <v>11</v>
      </c>
    </row>
    <row r="48" spans="1:8">
      <c r="A48" s="48" t="s">
        <v>939</v>
      </c>
      <c r="B48" s="48" t="s">
        <v>960</v>
      </c>
      <c r="C48" s="48" t="str">
        <f t="shared" si="0"/>
        <v>Blythe</v>
      </c>
      <c r="D48" s="51">
        <v>91</v>
      </c>
      <c r="E48" s="51">
        <v>64</v>
      </c>
      <c r="F48" s="51">
        <v>75</v>
      </c>
      <c r="G48" s="51">
        <v>172</v>
      </c>
      <c r="H48" s="50">
        <f t="shared" si="1"/>
        <v>402</v>
      </c>
    </row>
    <row r="49" spans="1:8">
      <c r="A49" s="48" t="s">
        <v>1049</v>
      </c>
      <c r="B49" s="48" t="s">
        <v>1124</v>
      </c>
      <c r="C49" s="48" t="str">
        <f t="shared" si="0"/>
        <v>Bradbury</v>
      </c>
      <c r="D49" s="51">
        <v>1</v>
      </c>
      <c r="E49" s="51">
        <v>1</v>
      </c>
      <c r="F49" s="51">
        <v>0</v>
      </c>
      <c r="G49" s="51">
        <v>0</v>
      </c>
      <c r="H49" s="50">
        <f t="shared" si="1"/>
        <v>2</v>
      </c>
    </row>
    <row r="50" spans="1:8">
      <c r="A50" s="48" t="s">
        <v>1162</v>
      </c>
      <c r="B50" s="48" t="s">
        <v>1167</v>
      </c>
      <c r="C50" s="48" t="str">
        <f t="shared" si="0"/>
        <v>Brawley</v>
      </c>
      <c r="D50" s="51">
        <v>760</v>
      </c>
      <c r="E50" s="51">
        <v>470</v>
      </c>
      <c r="F50" s="51">
        <v>466</v>
      </c>
      <c r="G50" s="51">
        <v>1338</v>
      </c>
      <c r="H50" s="50">
        <f t="shared" si="1"/>
        <v>3034</v>
      </c>
    </row>
    <row r="51" spans="1:8">
      <c r="A51" s="48" t="s">
        <v>972</v>
      </c>
      <c r="B51" s="48" t="s">
        <v>1002</v>
      </c>
      <c r="C51" s="48" t="str">
        <f t="shared" si="0"/>
        <v>Brea</v>
      </c>
      <c r="D51" s="51">
        <v>426</v>
      </c>
      <c r="E51" s="51">
        <v>305</v>
      </c>
      <c r="F51" s="51">
        <v>335</v>
      </c>
      <c r="G51" s="51">
        <v>785</v>
      </c>
      <c r="H51" s="50">
        <f t="shared" si="1"/>
        <v>1851</v>
      </c>
    </row>
    <row r="52" spans="1:8">
      <c r="A52" s="48" t="s">
        <v>1199</v>
      </c>
      <c r="B52" s="48" t="s">
        <v>1215</v>
      </c>
      <c r="C52" s="48" t="str">
        <f t="shared" si="0"/>
        <v>Brentwood</v>
      </c>
      <c r="D52" s="51">
        <v>234</v>
      </c>
      <c r="E52" s="51">
        <v>124</v>
      </c>
      <c r="F52" s="51">
        <v>123</v>
      </c>
      <c r="G52" s="51">
        <v>279</v>
      </c>
      <c r="H52" s="50">
        <f t="shared" si="1"/>
        <v>760</v>
      </c>
    </row>
    <row r="53" spans="1:8">
      <c r="A53" s="48" t="s">
        <v>857</v>
      </c>
      <c r="B53" s="48" t="s">
        <v>870</v>
      </c>
      <c r="C53" s="48" t="str">
        <f t="shared" si="0"/>
        <v>Brisbane</v>
      </c>
      <c r="D53" s="51">
        <v>25</v>
      </c>
      <c r="E53" s="51">
        <v>13</v>
      </c>
      <c r="F53" s="51">
        <v>15</v>
      </c>
      <c r="G53" s="51">
        <v>30</v>
      </c>
      <c r="H53" s="50">
        <f t="shared" si="1"/>
        <v>83</v>
      </c>
    </row>
    <row r="54" spans="1:8">
      <c r="A54" s="48" t="s">
        <v>850</v>
      </c>
      <c r="B54" s="48" t="s">
        <v>856</v>
      </c>
      <c r="C54" s="48" t="str">
        <f t="shared" si="0"/>
        <v>Buellton</v>
      </c>
      <c r="D54" s="55">
        <v>66</v>
      </c>
      <c r="E54" s="55">
        <v>44</v>
      </c>
      <c r="F54" s="55">
        <v>41</v>
      </c>
      <c r="G54" s="55">
        <v>124</v>
      </c>
      <c r="H54" s="50">
        <f t="shared" si="1"/>
        <v>275</v>
      </c>
    </row>
    <row r="55" spans="1:8">
      <c r="A55" s="48" t="s">
        <v>972</v>
      </c>
      <c r="B55" s="48" t="s">
        <v>1001</v>
      </c>
      <c r="C55" s="48" t="str">
        <f t="shared" si="0"/>
        <v>Buena Park</v>
      </c>
      <c r="D55" s="51">
        <v>76</v>
      </c>
      <c r="E55" s="51">
        <v>53</v>
      </c>
      <c r="F55" s="51">
        <v>62</v>
      </c>
      <c r="G55" s="51">
        <v>148</v>
      </c>
      <c r="H55" s="50">
        <f t="shared" si="1"/>
        <v>339</v>
      </c>
    </row>
    <row r="56" spans="1:8">
      <c r="A56" s="48" t="s">
        <v>1049</v>
      </c>
      <c r="B56" s="48" t="s">
        <v>1123</v>
      </c>
      <c r="C56" s="48" t="str">
        <f t="shared" si="0"/>
        <v>Burbank</v>
      </c>
      <c r="D56" s="51">
        <v>694</v>
      </c>
      <c r="E56" s="51">
        <v>413</v>
      </c>
      <c r="F56" s="51">
        <v>443</v>
      </c>
      <c r="G56" s="51">
        <v>1134</v>
      </c>
      <c r="H56" s="50">
        <f t="shared" si="1"/>
        <v>2684</v>
      </c>
    </row>
    <row r="57" spans="1:8">
      <c r="A57" s="48" t="s">
        <v>857</v>
      </c>
      <c r="B57" s="48" t="s">
        <v>869</v>
      </c>
      <c r="C57" s="48" t="str">
        <f t="shared" si="0"/>
        <v>Burlingame</v>
      </c>
      <c r="D57" s="51">
        <v>276</v>
      </c>
      <c r="E57" s="51">
        <v>144</v>
      </c>
      <c r="F57" s="51">
        <v>155</v>
      </c>
      <c r="G57" s="51">
        <v>288</v>
      </c>
      <c r="H57" s="50">
        <f t="shared" si="1"/>
        <v>863</v>
      </c>
    </row>
    <row r="58" spans="1:8">
      <c r="A58" s="48" t="s">
        <v>718</v>
      </c>
      <c r="B58" s="48" t="str">
        <f>A58</f>
        <v>Butte County - Unincorporated</v>
      </c>
      <c r="C58" s="48" t="str">
        <f t="shared" si="0"/>
        <v>Butte County - Unincorporated</v>
      </c>
      <c r="D58" s="51">
        <v>682</v>
      </c>
      <c r="E58" s="51">
        <v>545</v>
      </c>
      <c r="F58" s="51">
        <v>480</v>
      </c>
      <c r="G58" s="51">
        <v>1267</v>
      </c>
      <c r="H58" s="50">
        <f t="shared" si="1"/>
        <v>2974</v>
      </c>
    </row>
    <row r="59" spans="1:8">
      <c r="A59" s="48" t="s">
        <v>1049</v>
      </c>
      <c r="B59" s="48" t="s">
        <v>1122</v>
      </c>
      <c r="C59" s="48" t="str">
        <f t="shared" si="0"/>
        <v>Calabasas</v>
      </c>
      <c r="D59" s="51">
        <v>88</v>
      </c>
      <c r="E59" s="51">
        <v>54</v>
      </c>
      <c r="F59" s="51">
        <v>57</v>
      </c>
      <c r="G59" s="51">
        <v>131</v>
      </c>
      <c r="H59" s="50">
        <f t="shared" si="1"/>
        <v>330</v>
      </c>
    </row>
    <row r="60" spans="1:8">
      <c r="A60" s="48" t="s">
        <v>708</v>
      </c>
      <c r="B60" s="48" t="str">
        <f>A60</f>
        <v>Calaveras County - Unincorporated</v>
      </c>
      <c r="C60" s="48" t="str">
        <f t="shared" si="0"/>
        <v>Calaveras County - Unincorporated</v>
      </c>
      <c r="D60" s="51">
        <v>241</v>
      </c>
      <c r="E60" s="51">
        <v>175</v>
      </c>
      <c r="F60" s="51">
        <v>192</v>
      </c>
      <c r="G60" s="51">
        <v>471</v>
      </c>
      <c r="H60" s="50">
        <f t="shared" si="1"/>
        <v>1079</v>
      </c>
    </row>
    <row r="61" spans="1:8">
      <c r="A61" s="48" t="s">
        <v>1162</v>
      </c>
      <c r="B61" s="48" t="s">
        <v>1166</v>
      </c>
      <c r="C61" s="48" t="str">
        <f t="shared" si="0"/>
        <v>Calexico</v>
      </c>
      <c r="D61" s="51">
        <v>817</v>
      </c>
      <c r="E61" s="51">
        <v>489</v>
      </c>
      <c r="F61" s="51">
        <v>490</v>
      </c>
      <c r="G61" s="51">
        <v>1428</v>
      </c>
      <c r="H61" s="50">
        <f t="shared" si="1"/>
        <v>3224</v>
      </c>
    </row>
    <row r="62" spans="1:8">
      <c r="A62" s="48" t="s">
        <v>1147</v>
      </c>
      <c r="B62" s="48" t="s">
        <v>1155</v>
      </c>
      <c r="C62" s="48" t="str">
        <f t="shared" si="0"/>
        <v>California City</v>
      </c>
      <c r="D62" s="58">
        <v>254</v>
      </c>
      <c r="E62" s="58">
        <v>131</v>
      </c>
      <c r="F62" s="58">
        <v>155</v>
      </c>
      <c r="G62" s="58">
        <v>726</v>
      </c>
      <c r="H62" s="50">
        <f t="shared" si="1"/>
        <v>1266</v>
      </c>
    </row>
    <row r="63" spans="1:8">
      <c r="A63" s="48" t="s">
        <v>939</v>
      </c>
      <c r="B63" s="48" t="s">
        <v>959</v>
      </c>
      <c r="C63" s="48" t="str">
        <f t="shared" si="0"/>
        <v>Calimesa</v>
      </c>
      <c r="D63" s="51">
        <v>543</v>
      </c>
      <c r="E63" s="51">
        <v>383</v>
      </c>
      <c r="F63" s="51">
        <v>433</v>
      </c>
      <c r="G63" s="51">
        <v>982</v>
      </c>
      <c r="H63" s="50">
        <f t="shared" si="1"/>
        <v>2341</v>
      </c>
    </row>
    <row r="64" spans="1:8">
      <c r="A64" s="48" t="s">
        <v>1162</v>
      </c>
      <c r="B64" s="48" t="s">
        <v>1165</v>
      </c>
      <c r="C64" s="48" t="str">
        <f t="shared" si="0"/>
        <v>Calipatria</v>
      </c>
      <c r="D64" s="51">
        <v>37</v>
      </c>
      <c r="E64" s="51">
        <v>22</v>
      </c>
      <c r="F64" s="51">
        <v>22</v>
      </c>
      <c r="G64" s="51">
        <v>63</v>
      </c>
      <c r="H64" s="50">
        <f t="shared" si="1"/>
        <v>144</v>
      </c>
    </row>
    <row r="65" spans="1:8">
      <c r="A65" s="48" t="s">
        <v>1009</v>
      </c>
      <c r="B65" s="48" t="s">
        <v>1011</v>
      </c>
      <c r="C65" s="48" t="str">
        <f t="shared" si="0"/>
        <v>Calistoga</v>
      </c>
      <c r="D65" s="51">
        <v>6</v>
      </c>
      <c r="E65" s="51">
        <v>2</v>
      </c>
      <c r="F65" s="51">
        <v>4</v>
      </c>
      <c r="G65" s="51">
        <v>15</v>
      </c>
      <c r="H65" s="50">
        <f t="shared" si="1"/>
        <v>27</v>
      </c>
    </row>
    <row r="66" spans="1:8">
      <c r="A66" s="48" t="s">
        <v>764</v>
      </c>
      <c r="B66" s="48" t="s">
        <v>773</v>
      </c>
      <c r="C66" s="48" t="str">
        <f t="shared" ref="C66:C129" si="2">B66</f>
        <v>Camarillo</v>
      </c>
      <c r="D66" s="51">
        <v>539</v>
      </c>
      <c r="E66" s="51">
        <v>366</v>
      </c>
      <c r="F66" s="51">
        <v>411</v>
      </c>
      <c r="G66" s="51">
        <v>908</v>
      </c>
      <c r="H66" s="50">
        <f t="shared" ref="H66:H129" si="3">SUM(D66:G66)</f>
        <v>2224</v>
      </c>
    </row>
    <row r="67" spans="1:8">
      <c r="A67" s="48" t="s">
        <v>837</v>
      </c>
      <c r="B67" s="48" t="s">
        <v>848</v>
      </c>
      <c r="C67" s="48" t="str">
        <f t="shared" si="2"/>
        <v>Campbell</v>
      </c>
      <c r="D67" s="51">
        <v>253</v>
      </c>
      <c r="E67" s="51">
        <v>138</v>
      </c>
      <c r="F67" s="51">
        <v>151</v>
      </c>
      <c r="G67" s="51">
        <v>391</v>
      </c>
      <c r="H67" s="50">
        <f t="shared" si="3"/>
        <v>933</v>
      </c>
    </row>
    <row r="68" spans="1:8">
      <c r="A68" s="48" t="s">
        <v>939</v>
      </c>
      <c r="B68" s="48" t="s">
        <v>958</v>
      </c>
      <c r="C68" s="48" t="str">
        <f t="shared" si="2"/>
        <v>Canyon Lake</v>
      </c>
      <c r="D68" s="51">
        <v>21</v>
      </c>
      <c r="E68" s="51">
        <v>14</v>
      </c>
      <c r="F68" s="51">
        <v>16</v>
      </c>
      <c r="G68" s="51">
        <v>32</v>
      </c>
      <c r="H68" s="50">
        <f t="shared" si="3"/>
        <v>83</v>
      </c>
    </row>
    <row r="69" spans="1:8">
      <c r="A69" s="48" t="s">
        <v>833</v>
      </c>
      <c r="B69" s="48" t="s">
        <v>835</v>
      </c>
      <c r="C69" s="48" t="str">
        <f t="shared" si="2"/>
        <v>Capitola</v>
      </c>
      <c r="D69" s="54">
        <v>34</v>
      </c>
      <c r="E69" s="54">
        <v>23</v>
      </c>
      <c r="F69" s="54">
        <v>26</v>
      </c>
      <c r="G69" s="54">
        <v>60</v>
      </c>
      <c r="H69" s="50">
        <f t="shared" si="3"/>
        <v>143</v>
      </c>
    </row>
    <row r="70" spans="1:8">
      <c r="A70" s="48" t="s">
        <v>889</v>
      </c>
      <c r="B70" s="48" t="s">
        <v>905</v>
      </c>
      <c r="C70" s="48" t="str">
        <f t="shared" si="2"/>
        <v>Carlsbad</v>
      </c>
      <c r="D70" s="51">
        <v>912</v>
      </c>
      <c r="E70" s="51">
        <v>693</v>
      </c>
      <c r="F70" s="51">
        <v>1062</v>
      </c>
      <c r="G70" s="51">
        <v>2332</v>
      </c>
      <c r="H70" s="50">
        <f t="shared" si="3"/>
        <v>4999</v>
      </c>
    </row>
    <row r="71" spans="1:8">
      <c r="A71" s="48" t="s">
        <v>1014</v>
      </c>
      <c r="B71" s="48" t="s">
        <v>1024</v>
      </c>
      <c r="C71" s="48" t="str">
        <f t="shared" si="2"/>
        <v>Carmel-by-the-Sea</v>
      </c>
      <c r="D71" s="54">
        <v>7</v>
      </c>
      <c r="E71" s="54">
        <v>5</v>
      </c>
      <c r="F71" s="54">
        <v>6</v>
      </c>
      <c r="G71" s="54">
        <v>13</v>
      </c>
      <c r="H71" s="59">
        <f t="shared" si="3"/>
        <v>31</v>
      </c>
    </row>
    <row r="72" spans="1:8">
      <c r="A72" s="48" t="s">
        <v>850</v>
      </c>
      <c r="B72" s="48" t="s">
        <v>855</v>
      </c>
      <c r="C72" s="48" t="str">
        <f t="shared" si="2"/>
        <v>Carpinteria</v>
      </c>
      <c r="D72" s="55">
        <v>39</v>
      </c>
      <c r="E72" s="55">
        <v>26</v>
      </c>
      <c r="F72" s="55">
        <v>34</v>
      </c>
      <c r="G72" s="55">
        <v>64</v>
      </c>
      <c r="H72" s="50">
        <f t="shared" si="3"/>
        <v>163</v>
      </c>
    </row>
    <row r="73" spans="1:8">
      <c r="A73" s="48" t="s">
        <v>1049</v>
      </c>
      <c r="B73" s="48" t="s">
        <v>1121</v>
      </c>
      <c r="C73" s="48" t="str">
        <f t="shared" si="2"/>
        <v>Carson</v>
      </c>
      <c r="D73" s="51">
        <v>447</v>
      </c>
      <c r="E73" s="51">
        <v>263</v>
      </c>
      <c r="F73" s="51">
        <v>280</v>
      </c>
      <c r="G73" s="51">
        <v>708</v>
      </c>
      <c r="H73" s="50">
        <f t="shared" si="3"/>
        <v>1698</v>
      </c>
    </row>
    <row r="74" spans="1:8">
      <c r="A74" s="48" t="s">
        <v>939</v>
      </c>
      <c r="B74" s="48" t="s">
        <v>1329</v>
      </c>
      <c r="C74" s="48" t="str">
        <f t="shared" si="2"/>
        <v>Cathedral</v>
      </c>
      <c r="D74" s="51">
        <v>141</v>
      </c>
      <c r="E74" s="51">
        <v>95</v>
      </c>
      <c r="F74" s="51">
        <v>110</v>
      </c>
      <c r="G74" s="51">
        <v>254</v>
      </c>
      <c r="H74" s="50">
        <f t="shared" si="3"/>
        <v>600</v>
      </c>
    </row>
    <row r="75" spans="1:8">
      <c r="A75" s="48" t="s">
        <v>791</v>
      </c>
      <c r="B75" s="48" t="s">
        <v>799</v>
      </c>
      <c r="C75" s="48" t="str">
        <f t="shared" si="2"/>
        <v>Ceres</v>
      </c>
      <c r="D75" s="52">
        <v>622</v>
      </c>
      <c r="E75" s="52">
        <v>399</v>
      </c>
      <c r="F75" s="52">
        <v>446</v>
      </c>
      <c r="G75" s="52">
        <v>1104</v>
      </c>
      <c r="H75" s="50">
        <f t="shared" si="3"/>
        <v>2571</v>
      </c>
    </row>
    <row r="76" spans="1:8">
      <c r="A76" s="48" t="s">
        <v>1049</v>
      </c>
      <c r="B76" s="48" t="s">
        <v>1120</v>
      </c>
      <c r="C76" s="48" t="str">
        <f t="shared" si="2"/>
        <v>Cerritos</v>
      </c>
      <c r="D76" s="51">
        <v>23</v>
      </c>
      <c r="E76" s="51">
        <v>14</v>
      </c>
      <c r="F76" s="51">
        <v>14</v>
      </c>
      <c r="G76" s="51">
        <v>35</v>
      </c>
      <c r="H76" s="50">
        <f t="shared" si="3"/>
        <v>86</v>
      </c>
    </row>
    <row r="77" spans="1:8">
      <c r="A77" s="48" t="s">
        <v>1220</v>
      </c>
      <c r="B77" s="48" t="s">
        <v>1223</v>
      </c>
      <c r="C77" s="48" t="str">
        <f t="shared" si="2"/>
        <v>Chico</v>
      </c>
      <c r="D77" s="51">
        <v>974</v>
      </c>
      <c r="E77" s="51">
        <v>643</v>
      </c>
      <c r="F77" s="51">
        <v>708</v>
      </c>
      <c r="G77" s="51">
        <v>1638</v>
      </c>
      <c r="H77" s="50">
        <f t="shared" si="3"/>
        <v>3963</v>
      </c>
    </row>
    <row r="78" spans="1:8">
      <c r="A78" s="48" t="s">
        <v>907</v>
      </c>
      <c r="B78" s="48" t="s">
        <v>925</v>
      </c>
      <c r="C78" s="48" t="str">
        <f t="shared" si="2"/>
        <v>Chino</v>
      </c>
      <c r="D78" s="51">
        <v>707</v>
      </c>
      <c r="E78" s="51">
        <v>478</v>
      </c>
      <c r="F78" s="51">
        <v>533</v>
      </c>
      <c r="G78" s="51">
        <v>1176</v>
      </c>
      <c r="H78" s="50">
        <f t="shared" si="3"/>
        <v>2894</v>
      </c>
    </row>
    <row r="79" spans="1:8">
      <c r="A79" s="48" t="s">
        <v>907</v>
      </c>
      <c r="B79" s="48" t="s">
        <v>924</v>
      </c>
      <c r="C79" s="48" t="str">
        <f t="shared" si="2"/>
        <v>Chino Hills</v>
      </c>
      <c r="D79" s="51">
        <v>217</v>
      </c>
      <c r="E79" s="51">
        <v>148</v>
      </c>
      <c r="F79" s="51">
        <v>164</v>
      </c>
      <c r="G79" s="51">
        <v>333</v>
      </c>
      <c r="H79" s="50">
        <f t="shared" si="3"/>
        <v>862</v>
      </c>
    </row>
    <row r="80" spans="1:8">
      <c r="A80" s="48" t="s">
        <v>1046</v>
      </c>
      <c r="B80" s="48" t="s">
        <v>1047</v>
      </c>
      <c r="C80" s="48" t="str">
        <f t="shared" si="2"/>
        <v>Chowchilla</v>
      </c>
      <c r="D80" s="61">
        <v>253</v>
      </c>
      <c r="E80" s="61">
        <v>190</v>
      </c>
      <c r="F80" s="61">
        <v>204</v>
      </c>
      <c r="G80" s="61">
        <v>467</v>
      </c>
      <c r="H80" s="50">
        <f t="shared" si="3"/>
        <v>1114</v>
      </c>
    </row>
    <row r="81" spans="1:8">
      <c r="A81" s="48" t="s">
        <v>889</v>
      </c>
      <c r="B81" s="48" t="s">
        <v>904</v>
      </c>
      <c r="C81" s="48" t="str">
        <f t="shared" si="2"/>
        <v>Chula Vista</v>
      </c>
      <c r="D81" s="51">
        <v>3209</v>
      </c>
      <c r="E81" s="51">
        <v>2439</v>
      </c>
      <c r="F81" s="51">
        <v>2257</v>
      </c>
      <c r="G81" s="51">
        <v>4956</v>
      </c>
      <c r="H81" s="50">
        <f t="shared" si="3"/>
        <v>12861</v>
      </c>
    </row>
    <row r="82" spans="1:8">
      <c r="A82" s="48" t="s">
        <v>932</v>
      </c>
      <c r="B82" s="48" t="s">
        <v>938</v>
      </c>
      <c r="C82" s="48" t="str">
        <f t="shared" si="2"/>
        <v>Citrus Heights</v>
      </c>
      <c r="D82" s="51">
        <v>146</v>
      </c>
      <c r="E82" s="51">
        <v>102</v>
      </c>
      <c r="F82" s="51">
        <v>130</v>
      </c>
      <c r="G82" s="51">
        <v>318</v>
      </c>
      <c r="H82" s="50">
        <f t="shared" si="3"/>
        <v>696</v>
      </c>
    </row>
    <row r="83" spans="1:8">
      <c r="A83" s="48" t="s">
        <v>1049</v>
      </c>
      <c r="B83" s="48" t="s">
        <v>1119</v>
      </c>
      <c r="C83" s="48" t="str">
        <f t="shared" si="2"/>
        <v>Claremont</v>
      </c>
      <c r="D83" s="51">
        <v>98</v>
      </c>
      <c r="E83" s="51">
        <v>59</v>
      </c>
      <c r="F83" s="51">
        <v>64</v>
      </c>
      <c r="G83" s="51">
        <v>152</v>
      </c>
      <c r="H83" s="50">
        <f t="shared" si="3"/>
        <v>373</v>
      </c>
    </row>
    <row r="84" spans="1:8">
      <c r="A84" s="48" t="s">
        <v>1199</v>
      </c>
      <c r="B84" s="48" t="s">
        <v>1214</v>
      </c>
      <c r="C84" s="48" t="str">
        <f t="shared" si="2"/>
        <v>Clayton</v>
      </c>
      <c r="D84" s="51">
        <v>51</v>
      </c>
      <c r="E84" s="51">
        <v>25</v>
      </c>
      <c r="F84" s="51">
        <v>31</v>
      </c>
      <c r="G84" s="51">
        <v>34</v>
      </c>
      <c r="H84" s="50">
        <f t="shared" si="3"/>
        <v>141</v>
      </c>
    </row>
    <row r="85" spans="1:8">
      <c r="A85" s="48" t="s">
        <v>1139</v>
      </c>
      <c r="B85" s="48" t="s">
        <v>1140</v>
      </c>
      <c r="C85" s="48" t="str">
        <f t="shared" si="2"/>
        <v>Clearlake</v>
      </c>
      <c r="D85" s="51">
        <v>108</v>
      </c>
      <c r="E85" s="51">
        <v>67</v>
      </c>
      <c r="F85" s="51">
        <v>87</v>
      </c>
      <c r="G85" s="51">
        <v>205</v>
      </c>
      <c r="H85" s="50">
        <f t="shared" si="3"/>
        <v>467</v>
      </c>
    </row>
    <row r="86" spans="1:8">
      <c r="A86" s="48" t="s">
        <v>800</v>
      </c>
      <c r="B86" s="48" t="s">
        <v>807</v>
      </c>
      <c r="C86" s="48" t="str">
        <f t="shared" si="2"/>
        <v>Cloverdale</v>
      </c>
      <c r="D86" s="51">
        <v>39</v>
      </c>
      <c r="E86" s="51">
        <v>29</v>
      </c>
      <c r="F86" s="51">
        <v>31</v>
      </c>
      <c r="G86" s="51">
        <v>112</v>
      </c>
      <c r="H86" s="50">
        <f t="shared" si="3"/>
        <v>211</v>
      </c>
    </row>
    <row r="87" spans="1:8">
      <c r="A87" s="48" t="s">
        <v>1180</v>
      </c>
      <c r="B87" s="48" t="s">
        <v>1192</v>
      </c>
      <c r="C87" s="48" t="str">
        <f t="shared" si="2"/>
        <v>Clovis</v>
      </c>
      <c r="D87" s="58">
        <v>2321</v>
      </c>
      <c r="E87" s="58">
        <v>1145</v>
      </c>
      <c r="F87" s="58">
        <v>1018</v>
      </c>
      <c r="G87" s="58">
        <v>1844</v>
      </c>
      <c r="H87" s="50">
        <f t="shared" si="3"/>
        <v>6328</v>
      </c>
    </row>
    <row r="88" spans="1:8">
      <c r="A88" s="48" t="s">
        <v>939</v>
      </c>
      <c r="B88" s="48" t="s">
        <v>957</v>
      </c>
      <c r="C88" s="48" t="str">
        <f t="shared" si="2"/>
        <v>Coachella</v>
      </c>
      <c r="D88" s="51">
        <v>1555</v>
      </c>
      <c r="E88" s="51">
        <v>1059</v>
      </c>
      <c r="F88" s="51">
        <v>1212</v>
      </c>
      <c r="G88" s="51">
        <v>2945</v>
      </c>
      <c r="H88" s="50">
        <f t="shared" si="3"/>
        <v>6771</v>
      </c>
    </row>
    <row r="89" spans="1:8">
      <c r="A89" s="48" t="s">
        <v>1180</v>
      </c>
      <c r="B89" s="48" t="s">
        <v>1191</v>
      </c>
      <c r="C89" s="48" t="str">
        <f t="shared" si="2"/>
        <v>Coalinga</v>
      </c>
      <c r="D89" s="58">
        <v>150</v>
      </c>
      <c r="E89" s="58">
        <v>115</v>
      </c>
      <c r="F89" s="58">
        <v>123</v>
      </c>
      <c r="G89" s="58">
        <v>201</v>
      </c>
      <c r="H89" s="50">
        <f t="shared" si="3"/>
        <v>589</v>
      </c>
    </row>
    <row r="90" spans="1:8">
      <c r="A90" s="48" t="s">
        <v>966</v>
      </c>
      <c r="B90" s="48" t="s">
        <v>969</v>
      </c>
      <c r="C90" s="48" t="str">
        <f t="shared" si="2"/>
        <v>Colfax</v>
      </c>
      <c r="D90" s="51">
        <v>10</v>
      </c>
      <c r="E90" s="51">
        <v>7</v>
      </c>
      <c r="F90" s="51">
        <v>10</v>
      </c>
      <c r="G90" s="51">
        <v>24</v>
      </c>
      <c r="H90" s="50">
        <f t="shared" si="3"/>
        <v>51</v>
      </c>
    </row>
    <row r="91" spans="1:8">
      <c r="A91" s="48" t="s">
        <v>857</v>
      </c>
      <c r="B91" s="48" t="s">
        <v>1334</v>
      </c>
      <c r="C91" s="48" t="str">
        <f t="shared" si="2"/>
        <v>Colma</v>
      </c>
      <c r="D91" s="51">
        <v>20</v>
      </c>
      <c r="E91" s="51">
        <v>8</v>
      </c>
      <c r="F91" s="51">
        <v>9</v>
      </c>
      <c r="G91" s="51">
        <v>22</v>
      </c>
      <c r="H91" s="50">
        <f t="shared" si="3"/>
        <v>59</v>
      </c>
    </row>
    <row r="92" spans="1:8">
      <c r="A92" s="48" t="s">
        <v>907</v>
      </c>
      <c r="B92" s="48" t="s">
        <v>923</v>
      </c>
      <c r="C92" s="48" t="str">
        <f t="shared" si="2"/>
        <v>Colton</v>
      </c>
      <c r="D92" s="51">
        <v>443</v>
      </c>
      <c r="E92" s="51">
        <v>302</v>
      </c>
      <c r="F92" s="51">
        <v>347</v>
      </c>
      <c r="G92" s="51">
        <v>831</v>
      </c>
      <c r="H92" s="50">
        <f t="shared" si="3"/>
        <v>1923</v>
      </c>
    </row>
    <row r="93" spans="1:8">
      <c r="A93" s="48" t="s">
        <v>1218</v>
      </c>
      <c r="B93" s="48" t="s">
        <v>1218</v>
      </c>
      <c r="C93" s="48" t="str">
        <f t="shared" si="2"/>
        <v>Colusa</v>
      </c>
      <c r="D93" s="51">
        <v>79</v>
      </c>
      <c r="E93" s="51">
        <v>64</v>
      </c>
      <c r="F93" s="51">
        <v>61</v>
      </c>
      <c r="G93" s="51">
        <v>150</v>
      </c>
      <c r="H93" s="50">
        <f t="shared" si="3"/>
        <v>354</v>
      </c>
    </row>
    <row r="94" spans="1:8">
      <c r="A94" s="48" t="s">
        <v>706</v>
      </c>
      <c r="B94" s="48" t="str">
        <f>A94</f>
        <v>Colusa County - Unincorporated</v>
      </c>
      <c r="C94" s="48" t="str">
        <f t="shared" si="2"/>
        <v>Colusa County - Unincorporated</v>
      </c>
      <c r="D94" s="51">
        <v>107</v>
      </c>
      <c r="E94" s="51">
        <v>91</v>
      </c>
      <c r="F94" s="51">
        <v>91</v>
      </c>
      <c r="G94" s="51">
        <v>210</v>
      </c>
      <c r="H94" s="50">
        <f t="shared" si="3"/>
        <v>499</v>
      </c>
    </row>
    <row r="95" spans="1:8">
      <c r="A95" s="48" t="s">
        <v>1049</v>
      </c>
      <c r="B95" s="48" t="s">
        <v>1118</v>
      </c>
      <c r="C95" s="48" t="str">
        <f t="shared" si="2"/>
        <v>Commerce</v>
      </c>
      <c r="D95" s="51">
        <v>12</v>
      </c>
      <c r="E95" s="51">
        <v>7</v>
      </c>
      <c r="F95" s="51">
        <v>7</v>
      </c>
      <c r="G95" s="51">
        <v>20</v>
      </c>
      <c r="H95" s="50">
        <f t="shared" si="3"/>
        <v>46</v>
      </c>
    </row>
    <row r="96" spans="1:8">
      <c r="A96" s="48" t="s">
        <v>1049</v>
      </c>
      <c r="B96" s="48" t="s">
        <v>1117</v>
      </c>
      <c r="C96" s="48" t="str">
        <f t="shared" si="2"/>
        <v>Compton</v>
      </c>
      <c r="D96" s="51">
        <v>1</v>
      </c>
      <c r="E96" s="51">
        <v>1</v>
      </c>
      <c r="F96" s="51">
        <v>0</v>
      </c>
      <c r="G96" s="51">
        <v>0</v>
      </c>
      <c r="H96" s="50">
        <f t="shared" si="3"/>
        <v>2</v>
      </c>
    </row>
    <row r="97" spans="1:8">
      <c r="A97" s="48" t="s">
        <v>1199</v>
      </c>
      <c r="B97" s="48" t="s">
        <v>1213</v>
      </c>
      <c r="C97" s="48" t="str">
        <f t="shared" si="2"/>
        <v>Concord</v>
      </c>
      <c r="D97" s="51">
        <v>798</v>
      </c>
      <c r="E97" s="51">
        <v>444</v>
      </c>
      <c r="F97" s="51">
        <v>559</v>
      </c>
      <c r="G97" s="51">
        <v>1677</v>
      </c>
      <c r="H97" s="50">
        <f t="shared" si="3"/>
        <v>3478</v>
      </c>
    </row>
    <row r="98" spans="1:8">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c r="A99" s="48" t="s">
        <v>1142</v>
      </c>
      <c r="B99" s="48" t="s">
        <v>1144</v>
      </c>
      <c r="C99" s="48" t="str">
        <f t="shared" si="2"/>
        <v>Corcoran</v>
      </c>
      <c r="D99" s="58">
        <v>215</v>
      </c>
      <c r="E99" s="58">
        <v>161</v>
      </c>
      <c r="F99" s="58">
        <v>169</v>
      </c>
      <c r="G99" s="58">
        <v>401</v>
      </c>
      <c r="H99" s="50">
        <f t="shared" si="3"/>
        <v>946</v>
      </c>
    </row>
    <row r="100" spans="1:8">
      <c r="A100" s="48" t="s">
        <v>784</v>
      </c>
      <c r="B100" s="48" t="s">
        <v>786</v>
      </c>
      <c r="C100" s="48" t="str">
        <f t="shared" si="2"/>
        <v>Corning</v>
      </c>
      <c r="D100" s="51">
        <v>38</v>
      </c>
      <c r="E100" s="51">
        <v>30</v>
      </c>
      <c r="F100" s="51">
        <v>33</v>
      </c>
      <c r="G100" s="51">
        <v>75</v>
      </c>
      <c r="H100" s="50">
        <f t="shared" si="3"/>
        <v>176</v>
      </c>
    </row>
    <row r="101" spans="1:8">
      <c r="A101" s="48" t="s">
        <v>939</v>
      </c>
      <c r="B101" s="48" t="s">
        <v>956</v>
      </c>
      <c r="C101" s="48" t="str">
        <f t="shared" si="2"/>
        <v>Corona</v>
      </c>
      <c r="D101" s="51">
        <v>192</v>
      </c>
      <c r="E101" s="51">
        <v>128</v>
      </c>
      <c r="F101" s="51">
        <v>142</v>
      </c>
      <c r="G101" s="51">
        <v>308</v>
      </c>
      <c r="H101" s="50">
        <f t="shared" si="3"/>
        <v>770</v>
      </c>
    </row>
    <row r="102" spans="1:8">
      <c r="A102" s="48" t="s">
        <v>889</v>
      </c>
      <c r="B102" s="48" t="s">
        <v>903</v>
      </c>
      <c r="C102" s="48" t="str">
        <f t="shared" si="2"/>
        <v>Coronado</v>
      </c>
      <c r="D102" s="51">
        <v>13</v>
      </c>
      <c r="E102" s="51">
        <v>9</v>
      </c>
      <c r="F102" s="51">
        <v>9</v>
      </c>
      <c r="G102" s="51">
        <v>19</v>
      </c>
      <c r="H102" s="50">
        <f t="shared" si="3"/>
        <v>50</v>
      </c>
    </row>
    <row r="103" spans="1:8">
      <c r="A103" s="48" t="s">
        <v>1039</v>
      </c>
      <c r="B103" s="48" t="s">
        <v>1321</v>
      </c>
      <c r="C103" s="48" t="str">
        <f t="shared" si="2"/>
        <v>Corte Madera</v>
      </c>
      <c r="D103" s="51">
        <v>22</v>
      </c>
      <c r="E103" s="51">
        <v>13</v>
      </c>
      <c r="F103" s="51">
        <v>13</v>
      </c>
      <c r="G103" s="51">
        <v>24</v>
      </c>
      <c r="H103" s="50">
        <f t="shared" si="3"/>
        <v>72</v>
      </c>
    </row>
    <row r="104" spans="1:8">
      <c r="A104" s="48" t="s">
        <v>972</v>
      </c>
      <c r="B104" s="48" t="s">
        <v>1000</v>
      </c>
      <c r="C104" s="48" t="str">
        <f t="shared" si="2"/>
        <v>Costa Mesa</v>
      </c>
      <c r="D104" s="51">
        <v>1</v>
      </c>
      <c r="E104" s="51">
        <v>1</v>
      </c>
      <c r="F104" s="51">
        <v>0</v>
      </c>
      <c r="G104" s="51">
        <v>0</v>
      </c>
      <c r="H104" s="50">
        <f t="shared" si="3"/>
        <v>2</v>
      </c>
    </row>
    <row r="105" spans="1:8">
      <c r="A105" s="48" t="s">
        <v>800</v>
      </c>
      <c r="B105" s="48" t="s">
        <v>806</v>
      </c>
      <c r="C105" s="48" t="str">
        <f t="shared" si="2"/>
        <v>Cotati</v>
      </c>
      <c r="D105" s="51">
        <v>35</v>
      </c>
      <c r="E105" s="51">
        <v>18</v>
      </c>
      <c r="F105" s="51">
        <v>18</v>
      </c>
      <c r="G105" s="51">
        <v>66</v>
      </c>
      <c r="H105" s="50">
        <f t="shared" si="3"/>
        <v>137</v>
      </c>
    </row>
    <row r="106" spans="1:8">
      <c r="A106" s="48" t="s">
        <v>1049</v>
      </c>
      <c r="B106" s="48" t="s">
        <v>1116</v>
      </c>
      <c r="C106" s="48" t="str">
        <f t="shared" si="2"/>
        <v>Covina</v>
      </c>
      <c r="D106" s="51">
        <v>60</v>
      </c>
      <c r="E106" s="51">
        <v>35</v>
      </c>
      <c r="F106" s="51">
        <v>38</v>
      </c>
      <c r="G106" s="51">
        <v>97</v>
      </c>
      <c r="H106" s="50">
        <f t="shared" si="3"/>
        <v>230</v>
      </c>
    </row>
    <row r="107" spans="1:8">
      <c r="A107" s="48" t="s">
        <v>1197</v>
      </c>
      <c r="B107" s="48" t="s">
        <v>1196</v>
      </c>
      <c r="C107" s="48" t="str">
        <f t="shared" si="2"/>
        <v>Crescent City</v>
      </c>
      <c r="D107" s="51">
        <v>20</v>
      </c>
      <c r="E107" s="51">
        <v>13</v>
      </c>
      <c r="F107" s="51">
        <v>10</v>
      </c>
      <c r="G107" s="51">
        <v>34</v>
      </c>
      <c r="H107" s="50">
        <f t="shared" si="3"/>
        <v>77</v>
      </c>
    </row>
    <row r="108" spans="1:8">
      <c r="A108" s="48" t="s">
        <v>1049</v>
      </c>
      <c r="B108" s="48" t="s">
        <v>1115</v>
      </c>
      <c r="C108" s="48" t="str">
        <f t="shared" si="2"/>
        <v>Cudahy</v>
      </c>
      <c r="D108" s="51">
        <v>80</v>
      </c>
      <c r="E108" s="51">
        <v>46</v>
      </c>
      <c r="F108" s="51">
        <v>51</v>
      </c>
      <c r="G108" s="51">
        <v>141</v>
      </c>
      <c r="H108" s="50">
        <f t="shared" si="3"/>
        <v>318</v>
      </c>
    </row>
    <row r="109" spans="1:8">
      <c r="A109" s="48" t="s">
        <v>1049</v>
      </c>
      <c r="B109" s="48" t="s">
        <v>1114</v>
      </c>
      <c r="C109" s="48" t="str">
        <f t="shared" si="2"/>
        <v>Culver City</v>
      </c>
      <c r="D109" s="51">
        <v>48</v>
      </c>
      <c r="E109" s="51">
        <v>29</v>
      </c>
      <c r="F109" s="51">
        <v>31</v>
      </c>
      <c r="G109" s="51">
        <v>77</v>
      </c>
      <c r="H109" s="50">
        <f t="shared" si="3"/>
        <v>185</v>
      </c>
    </row>
    <row r="110" spans="1:8">
      <c r="A110" s="48" t="s">
        <v>837</v>
      </c>
      <c r="B110" s="48" t="s">
        <v>847</v>
      </c>
      <c r="C110" s="48" t="str">
        <f t="shared" si="2"/>
        <v>Cupertino</v>
      </c>
      <c r="D110" s="51">
        <v>356</v>
      </c>
      <c r="E110" s="51">
        <v>207</v>
      </c>
      <c r="F110" s="51">
        <v>231</v>
      </c>
      <c r="G110" s="51">
        <v>270</v>
      </c>
      <c r="H110" s="50">
        <f t="shared" si="3"/>
        <v>1064</v>
      </c>
    </row>
    <row r="111" spans="1:8">
      <c r="A111" s="48" t="s">
        <v>972</v>
      </c>
      <c r="B111" s="48" t="s">
        <v>999</v>
      </c>
      <c r="C111" s="48" t="str">
        <f t="shared" si="2"/>
        <v>Cypress</v>
      </c>
      <c r="D111" s="51">
        <v>71</v>
      </c>
      <c r="E111" s="51">
        <v>50</v>
      </c>
      <c r="F111" s="51">
        <v>56</v>
      </c>
      <c r="G111" s="51">
        <v>131</v>
      </c>
      <c r="H111" s="50">
        <f t="shared" si="3"/>
        <v>308</v>
      </c>
    </row>
    <row r="112" spans="1:8">
      <c r="A112" s="48" t="s">
        <v>857</v>
      </c>
      <c r="B112" s="48" t="s">
        <v>868</v>
      </c>
      <c r="C112" s="48" t="str">
        <f t="shared" si="2"/>
        <v>Daly City</v>
      </c>
      <c r="D112" s="51">
        <v>400</v>
      </c>
      <c r="E112" s="51">
        <v>188</v>
      </c>
      <c r="F112" s="51">
        <v>221</v>
      </c>
      <c r="G112" s="51">
        <v>541</v>
      </c>
      <c r="H112" s="50">
        <f t="shared" si="3"/>
        <v>1350</v>
      </c>
    </row>
    <row r="113" spans="1:8">
      <c r="A113" s="48" t="s">
        <v>972</v>
      </c>
      <c r="B113" s="48" t="s">
        <v>998</v>
      </c>
      <c r="C113" s="48" t="str">
        <f t="shared" si="2"/>
        <v>Dana Point</v>
      </c>
      <c r="D113" s="51">
        <v>76</v>
      </c>
      <c r="E113" s="51">
        <v>53</v>
      </c>
      <c r="F113" s="51">
        <v>61</v>
      </c>
      <c r="G113" s="51">
        <v>137</v>
      </c>
      <c r="H113" s="50">
        <f t="shared" si="3"/>
        <v>327</v>
      </c>
    </row>
    <row r="114" spans="1:8">
      <c r="A114" s="48" t="s">
        <v>1199</v>
      </c>
      <c r="B114" s="48" t="s">
        <v>1319</v>
      </c>
      <c r="C114" s="48" t="str">
        <f t="shared" si="2"/>
        <v>Danville</v>
      </c>
      <c r="D114" s="51">
        <v>196</v>
      </c>
      <c r="E114" s="51">
        <v>111</v>
      </c>
      <c r="F114" s="51">
        <v>124</v>
      </c>
      <c r="G114" s="51">
        <v>126</v>
      </c>
      <c r="H114" s="50">
        <f t="shared" si="3"/>
        <v>557</v>
      </c>
    </row>
    <row r="115" spans="1:8">
      <c r="A115" s="48" t="s">
        <v>759</v>
      </c>
      <c r="B115" s="48" t="s">
        <v>762</v>
      </c>
      <c r="C115" s="48" t="str">
        <f t="shared" si="2"/>
        <v>Davis</v>
      </c>
      <c r="D115" s="51">
        <v>248</v>
      </c>
      <c r="E115" s="51">
        <v>174</v>
      </c>
      <c r="F115" s="51">
        <v>198</v>
      </c>
      <c r="G115" s="51">
        <v>446</v>
      </c>
      <c r="H115" s="50">
        <f t="shared" si="3"/>
        <v>1066</v>
      </c>
    </row>
    <row r="116" spans="1:8">
      <c r="A116" s="48" t="s">
        <v>889</v>
      </c>
      <c r="B116" s="48" t="s">
        <v>902</v>
      </c>
      <c r="C116" s="48" t="str">
        <f t="shared" si="2"/>
        <v>Del Mar</v>
      </c>
      <c r="D116" s="51">
        <v>7</v>
      </c>
      <c r="E116" s="51">
        <v>5</v>
      </c>
      <c r="F116" s="51">
        <v>15</v>
      </c>
      <c r="G116" s="51">
        <v>34</v>
      </c>
      <c r="H116" s="50">
        <f t="shared" si="3"/>
        <v>61</v>
      </c>
    </row>
    <row r="117" spans="1:8">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c r="A118" s="48" t="s">
        <v>1014</v>
      </c>
      <c r="B118" s="48" t="s">
        <v>1023</v>
      </c>
      <c r="C118" s="48" t="str">
        <f t="shared" si="2"/>
        <v>Del Rey Oaks</v>
      </c>
      <c r="D118" s="54">
        <v>7</v>
      </c>
      <c r="E118" s="54">
        <v>4</v>
      </c>
      <c r="F118" s="54">
        <v>5</v>
      </c>
      <c r="G118" s="54">
        <v>11</v>
      </c>
      <c r="H118" s="59">
        <f t="shared" si="3"/>
        <v>27</v>
      </c>
    </row>
    <row r="119" spans="1:8">
      <c r="A119" s="48" t="s">
        <v>1147</v>
      </c>
      <c r="B119" s="48" t="s">
        <v>1154</v>
      </c>
      <c r="C119" s="48" t="str">
        <f t="shared" si="2"/>
        <v>Delano</v>
      </c>
      <c r="D119" s="58">
        <v>396</v>
      </c>
      <c r="E119" s="58">
        <v>277</v>
      </c>
      <c r="F119" s="58">
        <v>243</v>
      </c>
      <c r="G119" s="58">
        <v>546</v>
      </c>
      <c r="H119" s="50">
        <f t="shared" si="3"/>
        <v>1462</v>
      </c>
    </row>
    <row r="120" spans="1:8">
      <c r="A120" s="48" t="s">
        <v>939</v>
      </c>
      <c r="B120" s="48" t="s">
        <v>955</v>
      </c>
      <c r="C120" s="48" t="str">
        <f t="shared" si="2"/>
        <v>Desert Hot Springs</v>
      </c>
      <c r="D120" s="51">
        <v>946</v>
      </c>
      <c r="E120" s="51">
        <v>661</v>
      </c>
      <c r="F120" s="51">
        <v>772</v>
      </c>
      <c r="G120" s="51">
        <v>1817</v>
      </c>
      <c r="H120" s="50">
        <f t="shared" si="3"/>
        <v>4196</v>
      </c>
    </row>
    <row r="121" spans="1:8">
      <c r="A121" s="48" t="s">
        <v>1049</v>
      </c>
      <c r="B121" s="48" t="s">
        <v>1113</v>
      </c>
      <c r="C121" s="48" t="str">
        <f t="shared" si="2"/>
        <v>Diamond Bar</v>
      </c>
      <c r="D121" s="51">
        <v>308</v>
      </c>
      <c r="E121" s="51">
        <v>182</v>
      </c>
      <c r="F121" s="51">
        <v>190</v>
      </c>
      <c r="G121" s="51">
        <v>466</v>
      </c>
      <c r="H121" s="50">
        <f t="shared" si="3"/>
        <v>1146</v>
      </c>
    </row>
    <row r="122" spans="1:8">
      <c r="A122" s="48" t="s">
        <v>777</v>
      </c>
      <c r="B122" s="48" t="s">
        <v>783</v>
      </c>
      <c r="C122" s="48" t="str">
        <f t="shared" si="2"/>
        <v>Dinuba</v>
      </c>
      <c r="D122" s="52">
        <v>211</v>
      </c>
      <c r="E122" s="52">
        <v>163</v>
      </c>
      <c r="F122" s="52">
        <v>121</v>
      </c>
      <c r="G122" s="52">
        <v>470</v>
      </c>
      <c r="H122" s="50">
        <f t="shared" si="3"/>
        <v>965</v>
      </c>
    </row>
    <row r="123" spans="1:8">
      <c r="A123" s="48" t="s">
        <v>809</v>
      </c>
      <c r="B123" s="48" t="s">
        <v>814</v>
      </c>
      <c r="C123" s="48" t="str">
        <f t="shared" si="2"/>
        <v>Dixon</v>
      </c>
      <c r="D123" s="51">
        <v>50</v>
      </c>
      <c r="E123" s="51">
        <v>24</v>
      </c>
      <c r="F123" s="51">
        <v>30</v>
      </c>
      <c r="G123" s="51">
        <v>93</v>
      </c>
      <c r="H123" s="50">
        <f t="shared" si="3"/>
        <v>197</v>
      </c>
    </row>
    <row r="124" spans="1:8">
      <c r="A124" s="48" t="s">
        <v>817</v>
      </c>
      <c r="B124" s="48" t="s">
        <v>825</v>
      </c>
      <c r="C124" s="48" t="str">
        <f t="shared" si="2"/>
        <v>Dorris</v>
      </c>
      <c r="D124" s="51">
        <v>3</v>
      </c>
      <c r="E124" s="51">
        <v>2</v>
      </c>
      <c r="F124" s="51">
        <v>2</v>
      </c>
      <c r="G124" s="51">
        <v>5</v>
      </c>
      <c r="H124" s="50">
        <f t="shared" si="3"/>
        <v>12</v>
      </c>
    </row>
    <row r="125" spans="1:8">
      <c r="A125" s="48" t="s">
        <v>1028</v>
      </c>
      <c r="B125" s="48" t="s">
        <v>1032</v>
      </c>
      <c r="C125" s="48" t="str">
        <f t="shared" si="2"/>
        <v>Dos Palos</v>
      </c>
      <c r="D125" s="57">
        <v>71</v>
      </c>
      <c r="E125" s="57">
        <v>27</v>
      </c>
      <c r="F125" s="57">
        <v>47</v>
      </c>
      <c r="G125" s="57">
        <v>124</v>
      </c>
      <c r="H125" s="50">
        <f t="shared" si="3"/>
        <v>269</v>
      </c>
    </row>
    <row r="126" spans="1:8">
      <c r="A126" s="48" t="s">
        <v>1049</v>
      </c>
      <c r="B126" s="48" t="s">
        <v>1112</v>
      </c>
      <c r="C126" s="48" t="str">
        <f t="shared" si="2"/>
        <v>Downey</v>
      </c>
      <c r="D126" s="51">
        <v>210</v>
      </c>
      <c r="E126" s="51">
        <v>123</v>
      </c>
      <c r="F126" s="51">
        <v>135</v>
      </c>
      <c r="G126" s="51">
        <v>346</v>
      </c>
      <c r="H126" s="50">
        <f t="shared" si="3"/>
        <v>814</v>
      </c>
    </row>
    <row r="127" spans="1:8">
      <c r="A127" s="48" t="s">
        <v>1049</v>
      </c>
      <c r="B127" s="48" t="s">
        <v>1111</v>
      </c>
      <c r="C127" s="48" t="str">
        <f t="shared" si="2"/>
        <v>Duarte</v>
      </c>
      <c r="D127" s="51">
        <v>87</v>
      </c>
      <c r="E127" s="51">
        <v>53</v>
      </c>
      <c r="F127" s="51">
        <v>55</v>
      </c>
      <c r="G127" s="51">
        <v>142</v>
      </c>
      <c r="H127" s="50">
        <f t="shared" si="3"/>
        <v>337</v>
      </c>
    </row>
    <row r="128" spans="1:8">
      <c r="A128" s="48" t="s">
        <v>1232</v>
      </c>
      <c r="B128" s="48" t="s">
        <v>1242</v>
      </c>
      <c r="C128" s="48" t="str">
        <f t="shared" si="2"/>
        <v>Dublin</v>
      </c>
      <c r="D128" s="51">
        <v>796</v>
      </c>
      <c r="E128" s="51">
        <v>446</v>
      </c>
      <c r="F128" s="51">
        <v>425</v>
      </c>
      <c r="G128" s="51">
        <v>618</v>
      </c>
      <c r="H128" s="50">
        <f t="shared" si="3"/>
        <v>2285</v>
      </c>
    </row>
    <row r="129" spans="1:8">
      <c r="A129" s="48" t="s">
        <v>817</v>
      </c>
      <c r="B129" s="48" t="s">
        <v>824</v>
      </c>
      <c r="C129" s="48" t="str">
        <f t="shared" si="2"/>
        <v>Dunsmuir</v>
      </c>
      <c r="D129" s="51">
        <v>6</v>
      </c>
      <c r="E129" s="51">
        <v>4</v>
      </c>
      <c r="F129" s="51">
        <v>4</v>
      </c>
      <c r="G129" s="51">
        <v>9</v>
      </c>
      <c r="H129" s="50">
        <f t="shared" si="3"/>
        <v>23</v>
      </c>
    </row>
    <row r="130" spans="1:8">
      <c r="A130" s="48" t="s">
        <v>857</v>
      </c>
      <c r="B130" s="48" t="s">
        <v>867</v>
      </c>
      <c r="C130" s="48" t="str">
        <f t="shared" ref="C130:C193" si="4">B130</f>
        <v>East Palo Alto</v>
      </c>
      <c r="D130" s="51">
        <v>64</v>
      </c>
      <c r="E130" s="51">
        <v>54</v>
      </c>
      <c r="F130" s="51">
        <v>83</v>
      </c>
      <c r="G130" s="51">
        <v>266</v>
      </c>
      <c r="H130" s="50">
        <f t="shared" ref="H130:H193" si="5">SUM(D130:G130)</f>
        <v>467</v>
      </c>
    </row>
    <row r="131" spans="1:8">
      <c r="A131" s="48" t="s">
        <v>939</v>
      </c>
      <c r="B131" s="56" t="s">
        <v>1330</v>
      </c>
      <c r="C131" s="48" t="str">
        <f t="shared" si="4"/>
        <v>Eastvale</v>
      </c>
      <c r="D131" s="51">
        <v>374</v>
      </c>
      <c r="E131" s="51">
        <v>250</v>
      </c>
      <c r="F131" s="51">
        <v>274</v>
      </c>
      <c r="G131" s="51">
        <v>565</v>
      </c>
      <c r="H131" s="50">
        <f t="shared" si="5"/>
        <v>1463</v>
      </c>
    </row>
    <row r="132" spans="1:8">
      <c r="A132" s="48" t="s">
        <v>889</v>
      </c>
      <c r="B132" s="48" t="s">
        <v>901</v>
      </c>
      <c r="C132" s="48" t="str">
        <f t="shared" si="4"/>
        <v>El Cajon</v>
      </c>
      <c r="D132" s="51">
        <v>1448</v>
      </c>
      <c r="E132" s="51">
        <v>1101</v>
      </c>
      <c r="F132" s="51">
        <v>1019</v>
      </c>
      <c r="G132" s="51">
        <v>2237</v>
      </c>
      <c r="H132" s="50">
        <f t="shared" si="5"/>
        <v>5805</v>
      </c>
    </row>
    <row r="133" spans="1:8">
      <c r="A133" s="48" t="s">
        <v>1162</v>
      </c>
      <c r="B133" s="48" t="s">
        <v>1164</v>
      </c>
      <c r="C133" s="48" t="str">
        <f t="shared" si="4"/>
        <v>El Centro</v>
      </c>
      <c r="D133" s="51">
        <v>487</v>
      </c>
      <c r="E133" s="51">
        <v>300</v>
      </c>
      <c r="F133" s="51">
        <v>297</v>
      </c>
      <c r="G133" s="51">
        <v>840</v>
      </c>
      <c r="H133" s="50">
        <f t="shared" si="5"/>
        <v>1924</v>
      </c>
    </row>
    <row r="134" spans="1:8">
      <c r="A134" s="48" t="s">
        <v>1199</v>
      </c>
      <c r="B134" s="48" t="s">
        <v>1212</v>
      </c>
      <c r="C134" s="48" t="str">
        <f t="shared" si="4"/>
        <v>El Cerrito</v>
      </c>
      <c r="D134" s="51">
        <v>100</v>
      </c>
      <c r="E134" s="51">
        <v>63</v>
      </c>
      <c r="F134" s="51">
        <v>69</v>
      </c>
      <c r="G134" s="51">
        <v>166</v>
      </c>
      <c r="H134" s="50">
        <f t="shared" si="5"/>
        <v>398</v>
      </c>
    </row>
    <row r="135" spans="1:8">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c r="A136" s="48" t="s">
        <v>1049</v>
      </c>
      <c r="B136" s="48" t="s">
        <v>1110</v>
      </c>
      <c r="C136" s="48" t="str">
        <f t="shared" si="4"/>
        <v>El Monte</v>
      </c>
      <c r="D136" s="51">
        <v>529</v>
      </c>
      <c r="E136" s="51">
        <v>315</v>
      </c>
      <c r="F136" s="51">
        <v>352</v>
      </c>
      <c r="G136" s="51">
        <v>946</v>
      </c>
      <c r="H136" s="50">
        <f t="shared" si="5"/>
        <v>2142</v>
      </c>
    </row>
    <row r="137" spans="1:8">
      <c r="A137" s="48" t="s">
        <v>1049</v>
      </c>
      <c r="B137" s="48" t="s">
        <v>1109</v>
      </c>
      <c r="C137" s="48" t="str">
        <f t="shared" si="4"/>
        <v>El Segundo</v>
      </c>
      <c r="D137" s="51">
        <v>18</v>
      </c>
      <c r="E137" s="51">
        <v>11</v>
      </c>
      <c r="F137" s="51">
        <v>12</v>
      </c>
      <c r="G137" s="51">
        <v>28</v>
      </c>
      <c r="H137" s="50">
        <f t="shared" si="5"/>
        <v>69</v>
      </c>
    </row>
    <row r="138" spans="1:8">
      <c r="A138" s="48" t="s">
        <v>932</v>
      </c>
      <c r="B138" s="48" t="s">
        <v>937</v>
      </c>
      <c r="C138" s="48" t="str">
        <f t="shared" si="4"/>
        <v>Elk Grove</v>
      </c>
      <c r="D138" s="51">
        <v>2035</v>
      </c>
      <c r="E138" s="51">
        <v>1427</v>
      </c>
      <c r="F138" s="51">
        <v>1377</v>
      </c>
      <c r="G138" s="51">
        <v>2563</v>
      </c>
      <c r="H138" s="50">
        <f t="shared" si="5"/>
        <v>7402</v>
      </c>
    </row>
    <row r="139" spans="1:8">
      <c r="A139" s="48" t="s">
        <v>1232</v>
      </c>
      <c r="B139" s="48" t="s">
        <v>1241</v>
      </c>
      <c r="C139" s="48" t="str">
        <f t="shared" si="4"/>
        <v>Emeryville</v>
      </c>
      <c r="D139" s="51">
        <v>276</v>
      </c>
      <c r="E139" s="51">
        <v>211</v>
      </c>
      <c r="F139" s="51">
        <v>259</v>
      </c>
      <c r="G139" s="51">
        <v>752</v>
      </c>
      <c r="H139" s="50">
        <f t="shared" si="5"/>
        <v>1498</v>
      </c>
    </row>
    <row r="140" spans="1:8">
      <c r="A140" s="48" t="s">
        <v>889</v>
      </c>
      <c r="B140" s="48" t="s">
        <v>900</v>
      </c>
      <c r="C140" s="48" t="str">
        <f t="shared" si="4"/>
        <v>Encinitas</v>
      </c>
      <c r="D140" s="51">
        <v>587</v>
      </c>
      <c r="E140" s="51">
        <v>446</v>
      </c>
      <c r="F140" s="51">
        <v>413</v>
      </c>
      <c r="G140" s="51">
        <v>907</v>
      </c>
      <c r="H140" s="50">
        <f t="shared" si="5"/>
        <v>2353</v>
      </c>
    </row>
    <row r="141" spans="1:8">
      <c r="A141" s="48" t="s">
        <v>881</v>
      </c>
      <c r="B141" s="48" t="s">
        <v>887</v>
      </c>
      <c r="C141" s="48" t="str">
        <f t="shared" si="4"/>
        <v>Escalon</v>
      </c>
      <c r="D141" s="57">
        <v>103</v>
      </c>
      <c r="E141" s="57">
        <v>66</v>
      </c>
      <c r="F141" s="57">
        <v>64</v>
      </c>
      <c r="G141" s="57">
        <v>192</v>
      </c>
      <c r="H141" s="50">
        <f t="shared" si="5"/>
        <v>425</v>
      </c>
    </row>
    <row r="142" spans="1:8">
      <c r="A142" s="48" t="s">
        <v>889</v>
      </c>
      <c r="B142" s="48" t="s">
        <v>899</v>
      </c>
      <c r="C142" s="48" t="str">
        <f t="shared" si="4"/>
        <v>Escondido</v>
      </c>
      <c r="D142" s="51">
        <v>1042</v>
      </c>
      <c r="E142" s="51">
        <v>791</v>
      </c>
      <c r="F142" s="51">
        <v>733</v>
      </c>
      <c r="G142" s="51">
        <v>1609</v>
      </c>
      <c r="H142" s="50">
        <f t="shared" si="5"/>
        <v>4175</v>
      </c>
    </row>
    <row r="143" spans="1:8">
      <c r="A143" s="48" t="s">
        <v>817</v>
      </c>
      <c r="B143" s="48" t="s">
        <v>823</v>
      </c>
      <c r="C143" s="48" t="str">
        <f t="shared" si="4"/>
        <v>Etna</v>
      </c>
      <c r="D143" s="51">
        <v>3</v>
      </c>
      <c r="E143" s="51">
        <v>2</v>
      </c>
      <c r="F143" s="51">
        <v>2</v>
      </c>
      <c r="G143" s="51">
        <v>3</v>
      </c>
      <c r="H143" s="50">
        <f t="shared" si="5"/>
        <v>10</v>
      </c>
    </row>
    <row r="144" spans="1:8">
      <c r="A144" s="48" t="s">
        <v>1169</v>
      </c>
      <c r="B144" s="48" t="s">
        <v>1173</v>
      </c>
      <c r="C144" s="48" t="str">
        <f t="shared" si="4"/>
        <v>Eureka</v>
      </c>
      <c r="D144" s="51">
        <v>145</v>
      </c>
      <c r="E144" s="51">
        <v>96</v>
      </c>
      <c r="F144" s="51">
        <v>104</v>
      </c>
      <c r="G144" s="51">
        <v>264</v>
      </c>
      <c r="H144" s="50">
        <f t="shared" si="5"/>
        <v>609</v>
      </c>
    </row>
    <row r="145" spans="1:8">
      <c r="A145" s="48" t="s">
        <v>777</v>
      </c>
      <c r="B145" s="48" t="s">
        <v>782</v>
      </c>
      <c r="C145" s="48" t="str">
        <f t="shared" si="4"/>
        <v>Exeter</v>
      </c>
      <c r="D145" s="52">
        <v>143</v>
      </c>
      <c r="E145" s="52">
        <v>125</v>
      </c>
      <c r="F145" s="52">
        <v>85</v>
      </c>
      <c r="G145" s="52">
        <v>272</v>
      </c>
      <c r="H145" s="50">
        <f t="shared" si="5"/>
        <v>625</v>
      </c>
    </row>
    <row r="146" spans="1:8">
      <c r="A146" s="48" t="s">
        <v>1039</v>
      </c>
      <c r="B146" s="48" t="s">
        <v>1322</v>
      </c>
      <c r="C146" s="48" t="str">
        <f t="shared" si="4"/>
        <v>Fairfax</v>
      </c>
      <c r="D146" s="51">
        <v>16</v>
      </c>
      <c r="E146" s="51">
        <v>11</v>
      </c>
      <c r="F146" s="51">
        <v>11</v>
      </c>
      <c r="G146" s="51">
        <v>23</v>
      </c>
      <c r="H146" s="50">
        <f t="shared" si="5"/>
        <v>61</v>
      </c>
    </row>
    <row r="147" spans="1:8">
      <c r="A147" s="48" t="s">
        <v>809</v>
      </c>
      <c r="B147" s="48" t="s">
        <v>813</v>
      </c>
      <c r="C147" s="48" t="str">
        <f t="shared" si="4"/>
        <v>Fairfield</v>
      </c>
      <c r="D147" s="51">
        <v>779</v>
      </c>
      <c r="E147" s="51">
        <v>404</v>
      </c>
      <c r="F147" s="51">
        <v>456</v>
      </c>
      <c r="G147" s="51">
        <v>1461</v>
      </c>
      <c r="H147" s="50">
        <f t="shared" si="5"/>
        <v>3100</v>
      </c>
    </row>
    <row r="148" spans="1:8">
      <c r="A148" s="48" t="s">
        <v>777</v>
      </c>
      <c r="B148" s="48" t="s">
        <v>781</v>
      </c>
      <c r="C148" s="48" t="str">
        <f t="shared" si="4"/>
        <v>Farmersville</v>
      </c>
      <c r="D148" s="52">
        <v>74</v>
      </c>
      <c r="E148" s="52">
        <v>65</v>
      </c>
      <c r="F148" s="52">
        <v>68</v>
      </c>
      <c r="G148" s="52">
        <v>259</v>
      </c>
      <c r="H148" s="50">
        <f t="shared" si="5"/>
        <v>466</v>
      </c>
    </row>
    <row r="149" spans="1:8">
      <c r="A149" s="48" t="s">
        <v>1169</v>
      </c>
      <c r="B149" s="48" t="s">
        <v>1172</v>
      </c>
      <c r="C149" s="48" t="str">
        <f t="shared" si="4"/>
        <v>Ferndale</v>
      </c>
      <c r="D149" s="51">
        <v>6</v>
      </c>
      <c r="E149" s="51">
        <v>3</v>
      </c>
      <c r="F149" s="51">
        <v>4</v>
      </c>
      <c r="G149" s="51">
        <v>8</v>
      </c>
      <c r="H149" s="50">
        <f t="shared" si="5"/>
        <v>21</v>
      </c>
    </row>
    <row r="150" spans="1:8">
      <c r="A150" s="48" t="s">
        <v>764</v>
      </c>
      <c r="B150" s="48" t="s">
        <v>772</v>
      </c>
      <c r="C150" s="48" t="str">
        <f t="shared" si="4"/>
        <v>Fillmore</v>
      </c>
      <c r="D150" s="51">
        <v>160</v>
      </c>
      <c r="E150" s="51">
        <v>112</v>
      </c>
      <c r="F150" s="51">
        <v>128</v>
      </c>
      <c r="G150" s="51">
        <v>294</v>
      </c>
      <c r="H150" s="50">
        <f t="shared" si="5"/>
        <v>694</v>
      </c>
    </row>
    <row r="151" spans="1:8">
      <c r="A151" s="48" t="s">
        <v>1180</v>
      </c>
      <c r="B151" s="48" t="s">
        <v>1190</v>
      </c>
      <c r="C151" s="48" t="str">
        <f t="shared" si="4"/>
        <v>Firebaugh</v>
      </c>
      <c r="D151" s="58">
        <v>128</v>
      </c>
      <c r="E151" s="58">
        <v>169</v>
      </c>
      <c r="F151" s="58">
        <v>204</v>
      </c>
      <c r="G151" s="58">
        <v>211</v>
      </c>
      <c r="H151" s="50">
        <f t="shared" si="5"/>
        <v>712</v>
      </c>
    </row>
    <row r="152" spans="1:8">
      <c r="A152" s="48" t="s">
        <v>932</v>
      </c>
      <c r="B152" s="48" t="s">
        <v>936</v>
      </c>
      <c r="C152" s="48" t="str">
        <f t="shared" si="4"/>
        <v>Folsom</v>
      </c>
      <c r="D152" s="51">
        <v>1218</v>
      </c>
      <c r="E152" s="51">
        <v>854</v>
      </c>
      <c r="F152" s="51">
        <v>862</v>
      </c>
      <c r="G152" s="51">
        <v>1699</v>
      </c>
      <c r="H152" s="50">
        <f t="shared" si="5"/>
        <v>4633</v>
      </c>
    </row>
    <row r="153" spans="1:8">
      <c r="A153" s="48" t="s">
        <v>907</v>
      </c>
      <c r="B153" s="48" t="s">
        <v>922</v>
      </c>
      <c r="C153" s="48" t="str">
        <f t="shared" si="4"/>
        <v>Fontana</v>
      </c>
      <c r="D153" s="51">
        <v>1442</v>
      </c>
      <c r="E153" s="51">
        <v>974</v>
      </c>
      <c r="F153" s="51">
        <v>1090</v>
      </c>
      <c r="G153" s="51">
        <v>2471</v>
      </c>
      <c r="H153" s="50">
        <f t="shared" si="5"/>
        <v>5977</v>
      </c>
    </row>
    <row r="154" spans="1:8">
      <c r="A154" s="48" t="s">
        <v>1035</v>
      </c>
      <c r="B154" s="48" t="s">
        <v>1038</v>
      </c>
      <c r="C154" s="48" t="str">
        <f t="shared" si="4"/>
        <v>Fort Bragg</v>
      </c>
      <c r="D154" s="51">
        <v>5</v>
      </c>
      <c r="E154" s="51">
        <v>3</v>
      </c>
      <c r="F154" s="51">
        <v>3</v>
      </c>
      <c r="G154" s="51">
        <v>9</v>
      </c>
      <c r="H154" s="50">
        <f t="shared" si="5"/>
        <v>20</v>
      </c>
    </row>
    <row r="155" spans="1:8">
      <c r="A155" s="48" t="s">
        <v>817</v>
      </c>
      <c r="B155" s="48" t="s">
        <v>822</v>
      </c>
      <c r="C155" s="48" t="str">
        <f t="shared" si="4"/>
        <v>Fort Jones</v>
      </c>
      <c r="D155" s="51">
        <v>2</v>
      </c>
      <c r="E155" s="51">
        <v>1</v>
      </c>
      <c r="F155" s="51">
        <v>2</v>
      </c>
      <c r="G155" s="51">
        <v>4</v>
      </c>
      <c r="H155" s="50">
        <f t="shared" si="5"/>
        <v>9</v>
      </c>
    </row>
    <row r="156" spans="1:8">
      <c r="A156" s="48" t="s">
        <v>1169</v>
      </c>
      <c r="B156" s="48" t="s">
        <v>1171</v>
      </c>
      <c r="C156" s="48" t="str">
        <f t="shared" si="4"/>
        <v>Fortuna</v>
      </c>
      <c r="D156" s="51">
        <v>39</v>
      </c>
      <c r="E156" s="51">
        <v>24</v>
      </c>
      <c r="F156" s="51">
        <v>27</v>
      </c>
      <c r="G156" s="51">
        <v>71</v>
      </c>
      <c r="H156" s="50">
        <f t="shared" si="5"/>
        <v>161</v>
      </c>
    </row>
    <row r="157" spans="1:8">
      <c r="A157" s="48" t="s">
        <v>857</v>
      </c>
      <c r="B157" s="48" t="s">
        <v>866</v>
      </c>
      <c r="C157" s="48" t="str">
        <f t="shared" si="4"/>
        <v>Foster City</v>
      </c>
      <c r="D157" s="51">
        <v>148</v>
      </c>
      <c r="E157" s="51">
        <v>87</v>
      </c>
      <c r="F157" s="51">
        <v>76</v>
      </c>
      <c r="G157" s="51">
        <v>119</v>
      </c>
      <c r="H157" s="50">
        <f t="shared" si="5"/>
        <v>430</v>
      </c>
    </row>
    <row r="158" spans="1:8">
      <c r="A158" s="48" t="s">
        <v>972</v>
      </c>
      <c r="B158" s="48" t="s">
        <v>997</v>
      </c>
      <c r="C158" s="48" t="str">
        <f t="shared" si="4"/>
        <v>Fountain Valley</v>
      </c>
      <c r="D158" s="51">
        <v>83</v>
      </c>
      <c r="E158" s="51">
        <v>59</v>
      </c>
      <c r="F158" s="51">
        <v>65</v>
      </c>
      <c r="G158" s="51">
        <v>151</v>
      </c>
      <c r="H158" s="50">
        <f t="shared" si="5"/>
        <v>358</v>
      </c>
    </row>
    <row r="159" spans="1:8">
      <c r="A159" s="48" t="s">
        <v>1180</v>
      </c>
      <c r="B159" s="48" t="s">
        <v>1189</v>
      </c>
      <c r="C159" s="48" t="str">
        <f t="shared" si="4"/>
        <v>Fowler</v>
      </c>
      <c r="D159" s="58">
        <v>123</v>
      </c>
      <c r="E159" s="58">
        <v>83</v>
      </c>
      <c r="F159" s="58">
        <v>75</v>
      </c>
      <c r="G159" s="58">
        <v>243</v>
      </c>
      <c r="H159" s="50">
        <f t="shared" si="5"/>
        <v>524</v>
      </c>
    </row>
    <row r="160" spans="1:8">
      <c r="A160" s="48" t="s">
        <v>1232</v>
      </c>
      <c r="B160" s="48" t="s">
        <v>1240</v>
      </c>
      <c r="C160" s="48" t="str">
        <f t="shared" si="4"/>
        <v>Fremont</v>
      </c>
      <c r="D160" s="51">
        <v>1714</v>
      </c>
      <c r="E160" s="51">
        <v>926</v>
      </c>
      <c r="F160" s="51">
        <v>978</v>
      </c>
      <c r="G160" s="51">
        <v>1837</v>
      </c>
      <c r="H160" s="50">
        <f t="shared" si="5"/>
        <v>5455</v>
      </c>
    </row>
    <row r="161" spans="1:8">
      <c r="A161" s="48" t="s">
        <v>1180</v>
      </c>
      <c r="B161" s="48" t="s">
        <v>1180</v>
      </c>
      <c r="C161" s="48" t="str">
        <f t="shared" si="4"/>
        <v>Fresno</v>
      </c>
      <c r="D161" s="58">
        <v>5666</v>
      </c>
      <c r="E161" s="58">
        <v>3289</v>
      </c>
      <c r="F161" s="58">
        <v>3571</v>
      </c>
      <c r="G161" s="58">
        <v>11039</v>
      </c>
      <c r="H161" s="50">
        <f t="shared" si="5"/>
        <v>23565</v>
      </c>
    </row>
    <row r="162" spans="1:8">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c r="A163" s="48" t="s">
        <v>972</v>
      </c>
      <c r="B163" s="48" t="s">
        <v>996</v>
      </c>
      <c r="C163" s="48" t="str">
        <f t="shared" si="4"/>
        <v>Fullerton</v>
      </c>
      <c r="D163" s="51">
        <v>411</v>
      </c>
      <c r="E163" s="51">
        <v>299</v>
      </c>
      <c r="F163" s="51">
        <v>337</v>
      </c>
      <c r="G163" s="51">
        <v>794</v>
      </c>
      <c r="H163" s="50">
        <f t="shared" si="5"/>
        <v>1841</v>
      </c>
    </row>
    <row r="164" spans="1:8">
      <c r="A164" s="48" t="s">
        <v>932</v>
      </c>
      <c r="B164" s="48" t="s">
        <v>935</v>
      </c>
      <c r="C164" s="48" t="str">
        <f t="shared" si="4"/>
        <v>Galt</v>
      </c>
      <c r="D164" s="51">
        <v>131</v>
      </c>
      <c r="E164" s="51">
        <v>91</v>
      </c>
      <c r="F164" s="51">
        <v>126</v>
      </c>
      <c r="G164" s="51">
        <v>331</v>
      </c>
      <c r="H164" s="50">
        <f t="shared" si="5"/>
        <v>679</v>
      </c>
    </row>
    <row r="165" spans="1:8">
      <c r="A165" s="48" t="s">
        <v>972</v>
      </c>
      <c r="B165" s="48" t="s">
        <v>995</v>
      </c>
      <c r="C165" s="48" t="str">
        <f t="shared" si="4"/>
        <v>Garden Grove</v>
      </c>
      <c r="D165" s="51">
        <v>164</v>
      </c>
      <c r="E165" s="51">
        <v>120</v>
      </c>
      <c r="F165" s="51">
        <v>135</v>
      </c>
      <c r="G165" s="51">
        <v>328</v>
      </c>
      <c r="H165" s="50">
        <f t="shared" si="5"/>
        <v>747</v>
      </c>
    </row>
    <row r="166" spans="1:8">
      <c r="A166" s="48" t="s">
        <v>1049</v>
      </c>
      <c r="B166" s="48" t="s">
        <v>1108</v>
      </c>
      <c r="C166" s="48" t="str">
        <f t="shared" si="4"/>
        <v>Gardena</v>
      </c>
      <c r="D166" s="51">
        <v>98</v>
      </c>
      <c r="E166" s="51">
        <v>60</v>
      </c>
      <c r="F166" s="51">
        <v>66</v>
      </c>
      <c r="G166" s="51">
        <v>173</v>
      </c>
      <c r="H166" s="50">
        <f t="shared" si="5"/>
        <v>397</v>
      </c>
    </row>
    <row r="167" spans="1:8">
      <c r="A167" s="48" t="s">
        <v>837</v>
      </c>
      <c r="B167" s="48" t="s">
        <v>846</v>
      </c>
      <c r="C167" s="48" t="str">
        <f t="shared" si="4"/>
        <v>Gilroy</v>
      </c>
      <c r="D167" s="51">
        <v>236</v>
      </c>
      <c r="E167" s="51">
        <v>160</v>
      </c>
      <c r="F167" s="51">
        <v>217</v>
      </c>
      <c r="G167" s="51">
        <v>475</v>
      </c>
      <c r="H167" s="50">
        <f t="shared" si="5"/>
        <v>1088</v>
      </c>
    </row>
    <row r="168" spans="1:8">
      <c r="A168" s="48" t="s">
        <v>1049</v>
      </c>
      <c r="B168" s="48" t="s">
        <v>1107</v>
      </c>
      <c r="C168" s="48" t="str">
        <f t="shared" si="4"/>
        <v>Glendale</v>
      </c>
      <c r="D168" s="51">
        <v>508</v>
      </c>
      <c r="E168" s="51">
        <v>310</v>
      </c>
      <c r="F168" s="51">
        <v>337</v>
      </c>
      <c r="G168" s="51">
        <v>862</v>
      </c>
      <c r="H168" s="50">
        <f t="shared" si="5"/>
        <v>2017</v>
      </c>
    </row>
    <row r="169" spans="1:8">
      <c r="A169" s="48" t="s">
        <v>1049</v>
      </c>
      <c r="B169" s="48" t="s">
        <v>1106</v>
      </c>
      <c r="C169" s="48" t="str">
        <f t="shared" si="4"/>
        <v>Glendora</v>
      </c>
      <c r="D169" s="51">
        <v>171</v>
      </c>
      <c r="E169" s="51">
        <v>100</v>
      </c>
      <c r="F169" s="51">
        <v>108</v>
      </c>
      <c r="G169" s="51">
        <v>267</v>
      </c>
      <c r="H169" s="50">
        <f t="shared" si="5"/>
        <v>646</v>
      </c>
    </row>
    <row r="170" spans="1:8">
      <c r="A170" s="48" t="s">
        <v>658</v>
      </c>
      <c r="B170" s="48" t="str">
        <f>A170</f>
        <v>Glenn County - Unincorporated</v>
      </c>
      <c r="C170" s="48" t="str">
        <f t="shared" si="4"/>
        <v>Glenn County - Unincorporated</v>
      </c>
      <c r="D170" s="51">
        <v>25</v>
      </c>
      <c r="E170" s="51">
        <v>19</v>
      </c>
      <c r="F170" s="51">
        <v>25</v>
      </c>
      <c r="G170" s="51">
        <v>48</v>
      </c>
      <c r="H170" s="50">
        <f t="shared" si="5"/>
        <v>117</v>
      </c>
    </row>
    <row r="171" spans="1:8">
      <c r="A171" s="48" t="s">
        <v>850</v>
      </c>
      <c r="B171" s="48" t="s">
        <v>854</v>
      </c>
      <c r="C171" s="48" t="str">
        <f t="shared" si="4"/>
        <v>Goleta</v>
      </c>
      <c r="D171" s="55">
        <v>235</v>
      </c>
      <c r="E171" s="55">
        <v>157</v>
      </c>
      <c r="F171" s="55">
        <v>174</v>
      </c>
      <c r="G171" s="55">
        <v>413</v>
      </c>
      <c r="H171" s="50">
        <f t="shared" si="5"/>
        <v>979</v>
      </c>
    </row>
    <row r="172" spans="1:8">
      <c r="A172" s="48" t="s">
        <v>1014</v>
      </c>
      <c r="B172" s="48" t="s">
        <v>1022</v>
      </c>
      <c r="C172" s="48" t="str">
        <f t="shared" si="4"/>
        <v>Gonzales</v>
      </c>
      <c r="D172" s="54">
        <v>71</v>
      </c>
      <c r="E172" s="54">
        <v>46</v>
      </c>
      <c r="F172" s="54">
        <v>53</v>
      </c>
      <c r="G172" s="54">
        <v>123</v>
      </c>
      <c r="H172" s="59">
        <f t="shared" si="5"/>
        <v>293</v>
      </c>
    </row>
    <row r="173" spans="1:8">
      <c r="A173" s="48" t="s">
        <v>907</v>
      </c>
      <c r="B173" s="48" t="s">
        <v>921</v>
      </c>
      <c r="C173" s="48" t="str">
        <f t="shared" si="4"/>
        <v>Grand Terrace</v>
      </c>
      <c r="D173" s="51">
        <v>28</v>
      </c>
      <c r="E173" s="51">
        <v>19</v>
      </c>
      <c r="F173" s="51">
        <v>22</v>
      </c>
      <c r="G173" s="51">
        <v>49</v>
      </c>
      <c r="H173" s="50">
        <f t="shared" si="5"/>
        <v>118</v>
      </c>
    </row>
    <row r="174" spans="1:8">
      <c r="A174" s="48" t="s">
        <v>1006</v>
      </c>
      <c r="B174" s="48" t="s">
        <v>1008</v>
      </c>
      <c r="C174" s="48" t="str">
        <f t="shared" si="4"/>
        <v>Grass Valley</v>
      </c>
      <c r="D174" s="51">
        <v>122</v>
      </c>
      <c r="E174" s="51">
        <v>88</v>
      </c>
      <c r="F174" s="51">
        <v>100</v>
      </c>
      <c r="G174" s="51">
        <v>220</v>
      </c>
      <c r="H174" s="50">
        <f t="shared" si="5"/>
        <v>530</v>
      </c>
    </row>
    <row r="175" spans="1:8">
      <c r="A175" s="48" t="s">
        <v>1014</v>
      </c>
      <c r="B175" s="48" t="s">
        <v>1021</v>
      </c>
      <c r="C175" s="48" t="str">
        <f t="shared" si="4"/>
        <v>Greenfield</v>
      </c>
      <c r="D175" s="54">
        <v>87</v>
      </c>
      <c r="E175" s="54">
        <v>57</v>
      </c>
      <c r="F175" s="54">
        <v>66</v>
      </c>
      <c r="G175" s="54">
        <v>153</v>
      </c>
      <c r="H175" s="59">
        <f t="shared" si="5"/>
        <v>363</v>
      </c>
    </row>
    <row r="176" spans="1:8">
      <c r="A176" s="48" t="s">
        <v>1220</v>
      </c>
      <c r="B176" s="48" t="s">
        <v>1222</v>
      </c>
      <c r="C176" s="48" t="str">
        <f t="shared" si="4"/>
        <v>Gridley</v>
      </c>
      <c r="D176" s="51">
        <v>231</v>
      </c>
      <c r="E176" s="51">
        <v>118</v>
      </c>
      <c r="F176" s="51">
        <v>99</v>
      </c>
      <c r="G176" s="51">
        <v>321</v>
      </c>
      <c r="H176" s="50">
        <f t="shared" si="5"/>
        <v>769</v>
      </c>
    </row>
    <row r="177" spans="1:8">
      <c r="A177" s="48" t="s">
        <v>872</v>
      </c>
      <c r="B177" s="48" t="s">
        <v>876</v>
      </c>
      <c r="C177" s="48" t="str">
        <f t="shared" si="4"/>
        <v>Grover Beach</v>
      </c>
      <c r="D177" s="51">
        <v>41</v>
      </c>
      <c r="E177" s="51">
        <v>26</v>
      </c>
      <c r="F177" s="51">
        <v>29</v>
      </c>
      <c r="G177" s="51">
        <v>69</v>
      </c>
      <c r="H177" s="50">
        <f t="shared" si="5"/>
        <v>165</v>
      </c>
    </row>
    <row r="178" spans="1:8">
      <c r="A178" s="48" t="s">
        <v>850</v>
      </c>
      <c r="B178" s="48" t="s">
        <v>853</v>
      </c>
      <c r="C178" s="48" t="str">
        <f t="shared" si="4"/>
        <v>Guadalupe</v>
      </c>
      <c r="D178" s="55">
        <v>12</v>
      </c>
      <c r="E178" s="55">
        <v>8</v>
      </c>
      <c r="F178" s="55">
        <v>13</v>
      </c>
      <c r="G178" s="55">
        <v>16</v>
      </c>
      <c r="H178" s="50">
        <f t="shared" si="5"/>
        <v>49</v>
      </c>
    </row>
    <row r="179" spans="1:8">
      <c r="A179" s="48" t="s">
        <v>1028</v>
      </c>
      <c r="B179" s="48" t="s">
        <v>1031</v>
      </c>
      <c r="C179" s="48" t="str">
        <f t="shared" si="4"/>
        <v>Gustine</v>
      </c>
      <c r="D179" s="57">
        <v>61</v>
      </c>
      <c r="E179" s="57">
        <v>56</v>
      </c>
      <c r="F179" s="57">
        <v>51</v>
      </c>
      <c r="G179" s="57">
        <v>136</v>
      </c>
      <c r="H179" s="50">
        <f t="shared" si="5"/>
        <v>304</v>
      </c>
    </row>
    <row r="180" spans="1:8">
      <c r="A180" s="48" t="s">
        <v>857</v>
      </c>
      <c r="B180" s="48" t="s">
        <v>865</v>
      </c>
      <c r="C180" s="48" t="str">
        <f t="shared" si="4"/>
        <v>Half Moon Bay</v>
      </c>
      <c r="D180" s="51">
        <v>52</v>
      </c>
      <c r="E180" s="51">
        <v>31</v>
      </c>
      <c r="F180" s="51">
        <v>36</v>
      </c>
      <c r="G180" s="51">
        <v>121</v>
      </c>
      <c r="H180" s="50">
        <f t="shared" si="5"/>
        <v>240</v>
      </c>
    </row>
    <row r="181" spans="1:8">
      <c r="A181" s="48" t="s">
        <v>1142</v>
      </c>
      <c r="B181" s="48" t="s">
        <v>1143</v>
      </c>
      <c r="C181" s="48" t="str">
        <f t="shared" si="4"/>
        <v>Hanford</v>
      </c>
      <c r="D181" s="62">
        <v>1097</v>
      </c>
      <c r="E181" s="58">
        <v>821</v>
      </c>
      <c r="F181" s="58">
        <v>865</v>
      </c>
      <c r="G181" s="62">
        <v>2049</v>
      </c>
      <c r="H181" s="50">
        <f t="shared" si="5"/>
        <v>4832</v>
      </c>
    </row>
    <row r="182" spans="1:8">
      <c r="A182" s="48" t="s">
        <v>1049</v>
      </c>
      <c r="B182" s="48" t="s">
        <v>1105</v>
      </c>
      <c r="C182" s="48" t="str">
        <f t="shared" si="4"/>
        <v>Hawaiian Gardens</v>
      </c>
      <c r="D182" s="51">
        <v>32</v>
      </c>
      <c r="E182" s="51">
        <v>19</v>
      </c>
      <c r="F182" s="51">
        <v>21</v>
      </c>
      <c r="G182" s="51">
        <v>57</v>
      </c>
      <c r="H182" s="50">
        <f t="shared" si="5"/>
        <v>129</v>
      </c>
    </row>
    <row r="183" spans="1:8">
      <c r="A183" s="48" t="s">
        <v>1049</v>
      </c>
      <c r="B183" s="48" t="s">
        <v>1104</v>
      </c>
      <c r="C183" s="48" t="str">
        <f t="shared" si="4"/>
        <v>Hawthorne</v>
      </c>
      <c r="D183" s="51">
        <v>170</v>
      </c>
      <c r="E183" s="51">
        <v>101</v>
      </c>
      <c r="F183" s="51">
        <v>112</v>
      </c>
      <c r="G183" s="51">
        <v>300</v>
      </c>
      <c r="H183" s="50">
        <f t="shared" si="5"/>
        <v>683</v>
      </c>
    </row>
    <row r="184" spans="1:8">
      <c r="A184" s="48" t="s">
        <v>1232</v>
      </c>
      <c r="B184" s="48" t="s">
        <v>1239</v>
      </c>
      <c r="C184" s="48" t="str">
        <f t="shared" si="4"/>
        <v>Hayward</v>
      </c>
      <c r="D184" s="51">
        <v>851</v>
      </c>
      <c r="E184" s="51">
        <v>480</v>
      </c>
      <c r="F184" s="51">
        <v>608</v>
      </c>
      <c r="G184" s="51">
        <v>1981</v>
      </c>
      <c r="H184" s="50">
        <f t="shared" si="5"/>
        <v>3920</v>
      </c>
    </row>
    <row r="185" spans="1:8">
      <c r="A185" s="48" t="s">
        <v>800</v>
      </c>
      <c r="B185" s="48" t="s">
        <v>805</v>
      </c>
      <c r="C185" s="48" t="str">
        <f t="shared" si="4"/>
        <v>Healdsburg</v>
      </c>
      <c r="D185" s="51">
        <v>31</v>
      </c>
      <c r="E185" s="51">
        <v>24</v>
      </c>
      <c r="F185" s="51">
        <v>26</v>
      </c>
      <c r="G185" s="51">
        <v>76</v>
      </c>
      <c r="H185" s="50">
        <f t="shared" si="5"/>
        <v>157</v>
      </c>
    </row>
    <row r="186" spans="1:8">
      <c r="A186" s="48" t="s">
        <v>939</v>
      </c>
      <c r="B186" s="48" t="s">
        <v>954</v>
      </c>
      <c r="C186" s="48" t="str">
        <f t="shared" si="4"/>
        <v>Hemet</v>
      </c>
      <c r="D186" s="51">
        <v>134</v>
      </c>
      <c r="E186" s="51">
        <v>96</v>
      </c>
      <c r="F186" s="51">
        <v>112</v>
      </c>
      <c r="G186" s="51">
        <v>262</v>
      </c>
      <c r="H186" s="50">
        <f t="shared" si="5"/>
        <v>604</v>
      </c>
    </row>
    <row r="187" spans="1:8">
      <c r="A187" s="48" t="s">
        <v>1199</v>
      </c>
      <c r="B187" s="48" t="s">
        <v>1211</v>
      </c>
      <c r="C187" s="48" t="str">
        <f t="shared" si="4"/>
        <v>Hercules</v>
      </c>
      <c r="D187" s="51">
        <v>220</v>
      </c>
      <c r="E187" s="51">
        <v>118</v>
      </c>
      <c r="F187" s="51">
        <v>100</v>
      </c>
      <c r="G187" s="51">
        <v>244</v>
      </c>
      <c r="H187" s="50">
        <f t="shared" si="5"/>
        <v>682</v>
      </c>
    </row>
    <row r="188" spans="1:8">
      <c r="A188" s="48" t="s">
        <v>1049</v>
      </c>
      <c r="B188" s="48" t="s">
        <v>1103</v>
      </c>
      <c r="C188" s="48" t="str">
        <f t="shared" si="4"/>
        <v>Hermosa Beach</v>
      </c>
      <c r="D188" s="51">
        <v>1</v>
      </c>
      <c r="E188" s="51">
        <v>1</v>
      </c>
      <c r="F188" s="51">
        <v>0</v>
      </c>
      <c r="G188" s="51">
        <v>0</v>
      </c>
      <c r="H188" s="50">
        <f t="shared" si="5"/>
        <v>2</v>
      </c>
    </row>
    <row r="189" spans="1:8">
      <c r="A189" s="48" t="s">
        <v>907</v>
      </c>
      <c r="B189" s="48" t="s">
        <v>920</v>
      </c>
      <c r="C189" s="48" t="str">
        <f t="shared" si="4"/>
        <v>Hesperia</v>
      </c>
      <c r="D189" s="51">
        <v>398</v>
      </c>
      <c r="E189" s="51">
        <v>274</v>
      </c>
      <c r="F189" s="51">
        <v>314</v>
      </c>
      <c r="G189" s="51">
        <v>729</v>
      </c>
      <c r="H189" s="50">
        <f t="shared" si="5"/>
        <v>1715</v>
      </c>
    </row>
    <row r="190" spans="1:8">
      <c r="A190" s="48" t="s">
        <v>1049</v>
      </c>
      <c r="B190" s="48" t="s">
        <v>1102</v>
      </c>
      <c r="C190" s="48" t="str">
        <f t="shared" si="4"/>
        <v>Hidden Hills</v>
      </c>
      <c r="D190" s="51">
        <v>5</v>
      </c>
      <c r="E190" s="51">
        <v>3</v>
      </c>
      <c r="F190" s="51">
        <v>3</v>
      </c>
      <c r="G190" s="51">
        <v>7</v>
      </c>
      <c r="H190" s="50">
        <f t="shared" si="5"/>
        <v>18</v>
      </c>
    </row>
    <row r="191" spans="1:8">
      <c r="A191" s="48" t="s">
        <v>907</v>
      </c>
      <c r="B191" s="48" t="s">
        <v>919</v>
      </c>
      <c r="C191" s="48" t="str">
        <f t="shared" si="4"/>
        <v>Highland</v>
      </c>
      <c r="D191" s="51">
        <v>349</v>
      </c>
      <c r="E191" s="51">
        <v>246</v>
      </c>
      <c r="F191" s="51">
        <v>280</v>
      </c>
      <c r="G191" s="51">
        <v>625</v>
      </c>
      <c r="H191" s="50">
        <f t="shared" si="5"/>
        <v>1500</v>
      </c>
    </row>
    <row r="192" spans="1:8">
      <c r="A192" s="48" t="s">
        <v>857</v>
      </c>
      <c r="B192" s="48" t="s">
        <v>1335</v>
      </c>
      <c r="C192" s="48" t="str">
        <f t="shared" si="4"/>
        <v>Hillsborough</v>
      </c>
      <c r="D192" s="51">
        <v>32</v>
      </c>
      <c r="E192" s="51">
        <v>17</v>
      </c>
      <c r="F192" s="51">
        <v>21</v>
      </c>
      <c r="G192" s="51">
        <v>21</v>
      </c>
      <c r="H192" s="50">
        <f t="shared" si="5"/>
        <v>91</v>
      </c>
    </row>
    <row r="193" spans="1:8">
      <c r="A193" s="48" t="s">
        <v>930</v>
      </c>
      <c r="B193" s="48" t="s">
        <v>931</v>
      </c>
      <c r="C193" s="48" t="str">
        <f t="shared" si="4"/>
        <v>Hollister</v>
      </c>
      <c r="D193" s="58">
        <v>312</v>
      </c>
      <c r="E193" s="58">
        <v>189</v>
      </c>
      <c r="F193" s="58">
        <v>258</v>
      </c>
      <c r="G193" s="58">
        <v>557</v>
      </c>
      <c r="H193" s="50">
        <f t="shared" si="5"/>
        <v>1316</v>
      </c>
    </row>
    <row r="194" spans="1:8">
      <c r="A194" s="48" t="s">
        <v>1162</v>
      </c>
      <c r="B194" s="48" t="s">
        <v>1163</v>
      </c>
      <c r="C194" s="48" t="str">
        <f t="shared" ref="C194:C257" si="6">B194</f>
        <v>Holtville</v>
      </c>
      <c r="D194" s="51">
        <v>54</v>
      </c>
      <c r="E194" s="51">
        <v>31</v>
      </c>
      <c r="F194" s="51">
        <v>32</v>
      </c>
      <c r="G194" s="51">
        <v>92</v>
      </c>
      <c r="H194" s="50">
        <f t="shared" ref="H194:H257" si="7">SUM(D194:G194)</f>
        <v>209</v>
      </c>
    </row>
    <row r="195" spans="1:8">
      <c r="A195" s="48" t="s">
        <v>791</v>
      </c>
      <c r="B195" s="48" t="s">
        <v>798</v>
      </c>
      <c r="C195" s="48" t="str">
        <f t="shared" si="6"/>
        <v>Hughson</v>
      </c>
      <c r="D195" s="52">
        <v>53</v>
      </c>
      <c r="E195" s="52">
        <v>34</v>
      </c>
      <c r="F195" s="52">
        <v>38</v>
      </c>
      <c r="G195" s="52">
        <v>93</v>
      </c>
      <c r="H195" s="50">
        <f t="shared" si="7"/>
        <v>218</v>
      </c>
    </row>
    <row r="196" spans="1:8">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c r="A197" s="48" t="s">
        <v>972</v>
      </c>
      <c r="B197" s="48" t="s">
        <v>994</v>
      </c>
      <c r="C197" s="48" t="str">
        <f t="shared" si="6"/>
        <v>Huntington Beach</v>
      </c>
      <c r="D197" s="51">
        <v>313</v>
      </c>
      <c r="E197" s="51">
        <v>220</v>
      </c>
      <c r="F197" s="51">
        <v>248</v>
      </c>
      <c r="G197" s="51">
        <v>572</v>
      </c>
      <c r="H197" s="50">
        <f t="shared" si="7"/>
        <v>1353</v>
      </c>
    </row>
    <row r="198" spans="1:8">
      <c r="A198" s="48" t="s">
        <v>1049</v>
      </c>
      <c r="B198" s="48" t="s">
        <v>1101</v>
      </c>
      <c r="C198" s="48" t="str">
        <f t="shared" si="6"/>
        <v>Huntington Park</v>
      </c>
      <c r="D198" s="51">
        <v>216</v>
      </c>
      <c r="E198" s="51">
        <v>128</v>
      </c>
      <c r="F198" s="51">
        <v>149</v>
      </c>
      <c r="G198" s="51">
        <v>402</v>
      </c>
      <c r="H198" s="50">
        <f t="shared" si="7"/>
        <v>895</v>
      </c>
    </row>
    <row r="199" spans="1:8">
      <c r="A199" s="48" t="s">
        <v>1180</v>
      </c>
      <c r="B199" s="48" t="s">
        <v>1188</v>
      </c>
      <c r="C199" s="48" t="str">
        <f t="shared" si="6"/>
        <v>Huron</v>
      </c>
      <c r="D199" s="58">
        <v>87</v>
      </c>
      <c r="E199" s="58">
        <v>107</v>
      </c>
      <c r="F199" s="58">
        <v>106</v>
      </c>
      <c r="G199" s="58">
        <v>124</v>
      </c>
      <c r="H199" s="50">
        <f t="shared" si="7"/>
        <v>424</v>
      </c>
    </row>
    <row r="200" spans="1:8">
      <c r="A200" s="48" t="s">
        <v>1162</v>
      </c>
      <c r="B200" s="48" t="s">
        <v>1162</v>
      </c>
      <c r="C200" s="48" t="str">
        <f t="shared" si="6"/>
        <v>Imperial</v>
      </c>
      <c r="D200" s="51">
        <v>349</v>
      </c>
      <c r="E200" s="51">
        <v>205</v>
      </c>
      <c r="F200" s="51">
        <v>202</v>
      </c>
      <c r="G200" s="51">
        <v>553</v>
      </c>
      <c r="H200" s="50">
        <f t="shared" si="7"/>
        <v>1309</v>
      </c>
    </row>
    <row r="201" spans="1:8">
      <c r="A201" s="48" t="s">
        <v>889</v>
      </c>
      <c r="B201" s="48" t="s">
        <v>898</v>
      </c>
      <c r="C201" s="48" t="str">
        <f t="shared" si="6"/>
        <v>Imperial Beach</v>
      </c>
      <c r="D201" s="51">
        <v>63</v>
      </c>
      <c r="E201" s="51">
        <v>48</v>
      </c>
      <c r="F201" s="51">
        <v>45</v>
      </c>
      <c r="G201" s="51">
        <v>98</v>
      </c>
      <c r="H201" s="50">
        <f t="shared" si="7"/>
        <v>254</v>
      </c>
    </row>
    <row r="202" spans="1:8">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c r="A203" s="48" t="s">
        <v>939</v>
      </c>
      <c r="B203" s="48" t="s">
        <v>953</v>
      </c>
      <c r="C203" s="48" t="str">
        <f t="shared" si="6"/>
        <v>Indian Wells</v>
      </c>
      <c r="D203" s="51">
        <v>40</v>
      </c>
      <c r="E203" s="51">
        <v>27</v>
      </c>
      <c r="F203" s="51">
        <v>31</v>
      </c>
      <c r="G203" s="51">
        <v>62</v>
      </c>
      <c r="H203" s="50">
        <f t="shared" si="7"/>
        <v>160</v>
      </c>
    </row>
    <row r="204" spans="1:8">
      <c r="A204" s="48" t="s">
        <v>939</v>
      </c>
      <c r="B204" s="48" t="s">
        <v>952</v>
      </c>
      <c r="C204" s="48" t="str">
        <f t="shared" si="6"/>
        <v>Indio</v>
      </c>
      <c r="D204" s="51">
        <v>714</v>
      </c>
      <c r="E204" s="51">
        <v>487</v>
      </c>
      <c r="F204" s="51">
        <v>553</v>
      </c>
      <c r="G204" s="51">
        <v>1271</v>
      </c>
      <c r="H204" s="50">
        <f t="shared" si="7"/>
        <v>3025</v>
      </c>
    </row>
    <row r="205" spans="1:8">
      <c r="A205" s="48" t="s">
        <v>1049</v>
      </c>
      <c r="B205" s="48" t="s">
        <v>1100</v>
      </c>
      <c r="C205" s="48" t="str">
        <f t="shared" si="6"/>
        <v>Industry</v>
      </c>
      <c r="D205" s="51">
        <v>0</v>
      </c>
      <c r="E205" s="51">
        <v>0</v>
      </c>
      <c r="F205" s="51">
        <v>0</v>
      </c>
      <c r="G205" s="51">
        <v>0</v>
      </c>
      <c r="H205" s="50">
        <f t="shared" si="7"/>
        <v>0</v>
      </c>
    </row>
    <row r="206" spans="1:8">
      <c r="A206" s="48" t="s">
        <v>1049</v>
      </c>
      <c r="B206" s="48" t="s">
        <v>1099</v>
      </c>
      <c r="C206" s="48" t="str">
        <f t="shared" si="6"/>
        <v>Inglewood</v>
      </c>
      <c r="D206" s="51">
        <v>250</v>
      </c>
      <c r="E206" s="51">
        <v>150</v>
      </c>
      <c r="F206" s="51">
        <v>167</v>
      </c>
      <c r="G206" s="51">
        <v>446</v>
      </c>
      <c r="H206" s="50">
        <f t="shared" si="7"/>
        <v>1013</v>
      </c>
    </row>
    <row r="207" spans="1:8">
      <c r="A207" s="48" t="s">
        <v>1158</v>
      </c>
      <c r="B207" s="48" t="str">
        <f>A207</f>
        <v>Inyo County - Unincorporated</v>
      </c>
      <c r="C207" s="48" t="str">
        <f t="shared" si="6"/>
        <v>Inyo County - Unincorporated</v>
      </c>
      <c r="D207" s="51">
        <v>35</v>
      </c>
      <c r="E207" s="51">
        <v>25</v>
      </c>
      <c r="F207" s="51">
        <v>28</v>
      </c>
      <c r="G207" s="51">
        <v>72</v>
      </c>
      <c r="H207" s="50">
        <f t="shared" si="7"/>
        <v>160</v>
      </c>
    </row>
    <row r="208" spans="1:8">
      <c r="A208" s="48" t="s">
        <v>1226</v>
      </c>
      <c r="B208" s="48" t="s">
        <v>1229</v>
      </c>
      <c r="C208" s="48" t="str">
        <f t="shared" si="6"/>
        <v>Ione</v>
      </c>
      <c r="D208" s="51">
        <v>3</v>
      </c>
      <c r="E208" s="51">
        <v>3</v>
      </c>
      <c r="F208" s="51">
        <v>3</v>
      </c>
      <c r="G208" s="51">
        <v>7</v>
      </c>
      <c r="H208" s="50">
        <f t="shared" si="7"/>
        <v>16</v>
      </c>
    </row>
    <row r="209" spans="1:8">
      <c r="A209" s="48" t="s">
        <v>972</v>
      </c>
      <c r="B209" s="48" t="s">
        <v>993</v>
      </c>
      <c r="C209" s="48" t="str">
        <f t="shared" si="6"/>
        <v>Irvine</v>
      </c>
      <c r="D209" s="51">
        <v>2817</v>
      </c>
      <c r="E209" s="51">
        <v>2034</v>
      </c>
      <c r="F209" s="51">
        <v>2239</v>
      </c>
      <c r="G209" s="51">
        <v>5059</v>
      </c>
      <c r="H209" s="50">
        <f t="shared" si="7"/>
        <v>12149</v>
      </c>
    </row>
    <row r="210" spans="1:8">
      <c r="A210" s="48" t="s">
        <v>1049</v>
      </c>
      <c r="B210" s="48" t="s">
        <v>1098</v>
      </c>
      <c r="C210" s="48" t="str">
        <f t="shared" si="6"/>
        <v>Irwindale</v>
      </c>
      <c r="D210" s="51">
        <v>4</v>
      </c>
      <c r="E210" s="51">
        <v>2</v>
      </c>
      <c r="F210" s="51">
        <v>2</v>
      </c>
      <c r="G210" s="51">
        <v>7</v>
      </c>
      <c r="H210" s="50">
        <f t="shared" si="7"/>
        <v>15</v>
      </c>
    </row>
    <row r="211" spans="1:8">
      <c r="A211" s="48" t="s">
        <v>932</v>
      </c>
      <c r="B211" s="48" t="s">
        <v>934</v>
      </c>
      <c r="C211" s="48" t="str">
        <f t="shared" si="6"/>
        <v>Isleton</v>
      </c>
      <c r="D211" s="51">
        <v>4</v>
      </c>
      <c r="E211" s="51">
        <v>3</v>
      </c>
      <c r="F211" s="51">
        <v>4</v>
      </c>
      <c r="G211" s="51">
        <v>12</v>
      </c>
      <c r="H211" s="50">
        <f t="shared" si="7"/>
        <v>23</v>
      </c>
    </row>
    <row r="212" spans="1:8">
      <c r="A212" s="48" t="s">
        <v>1226</v>
      </c>
      <c r="B212" s="48" t="s">
        <v>1228</v>
      </c>
      <c r="C212" s="48" t="str">
        <f t="shared" si="6"/>
        <v>Jackson</v>
      </c>
      <c r="D212" s="51">
        <v>4</v>
      </c>
      <c r="E212" s="51">
        <v>3</v>
      </c>
      <c r="F212" s="51">
        <v>4</v>
      </c>
      <c r="G212" s="51">
        <v>8</v>
      </c>
      <c r="H212" s="50">
        <f t="shared" si="7"/>
        <v>19</v>
      </c>
    </row>
    <row r="213" spans="1:8">
      <c r="A213" s="48" t="s">
        <v>939</v>
      </c>
      <c r="B213" s="48" t="s">
        <v>1352</v>
      </c>
      <c r="C213" s="48" t="str">
        <f t="shared" si="6"/>
        <v>Jurupa Valley</v>
      </c>
      <c r="D213" s="51">
        <v>409</v>
      </c>
      <c r="E213" s="51">
        <v>275</v>
      </c>
      <c r="F213" s="51">
        <v>307</v>
      </c>
      <c r="G213" s="51">
        <v>721</v>
      </c>
      <c r="H213" s="50">
        <f t="shared" si="7"/>
        <v>1712</v>
      </c>
    </row>
    <row r="214" spans="1:8">
      <c r="A214" s="48" t="s">
        <v>1180</v>
      </c>
      <c r="B214" s="48" t="s">
        <v>1187</v>
      </c>
      <c r="C214" s="48" t="str">
        <f t="shared" si="6"/>
        <v>Kerman</v>
      </c>
      <c r="D214" s="58">
        <v>238</v>
      </c>
      <c r="E214" s="58">
        <v>211</v>
      </c>
      <c r="F214" s="58">
        <v>202</v>
      </c>
      <c r="G214" s="58">
        <v>258</v>
      </c>
      <c r="H214" s="50">
        <f t="shared" si="7"/>
        <v>909</v>
      </c>
    </row>
    <row r="215" spans="1:8">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c r="A216" s="48" t="s">
        <v>1014</v>
      </c>
      <c r="B216" s="48" t="s">
        <v>1020</v>
      </c>
      <c r="C216" s="48" t="str">
        <f t="shared" si="6"/>
        <v>King City</v>
      </c>
      <c r="D216" s="54">
        <v>43</v>
      </c>
      <c r="E216" s="54">
        <v>28</v>
      </c>
      <c r="F216" s="54">
        <v>33</v>
      </c>
      <c r="G216" s="54">
        <v>76</v>
      </c>
      <c r="H216" s="59">
        <f t="shared" si="7"/>
        <v>180</v>
      </c>
    </row>
    <row r="217" spans="1:8">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c r="A218" s="48" t="s">
        <v>1180</v>
      </c>
      <c r="B218" s="48" t="s">
        <v>1186</v>
      </c>
      <c r="C218" s="48" t="str">
        <f t="shared" si="6"/>
        <v>Kingsburg</v>
      </c>
      <c r="D218" s="58">
        <v>113</v>
      </c>
      <c r="E218" s="58">
        <v>70</v>
      </c>
      <c r="F218" s="58">
        <v>60</v>
      </c>
      <c r="G218" s="58">
        <v>131</v>
      </c>
      <c r="H218" s="50">
        <f t="shared" si="7"/>
        <v>374</v>
      </c>
    </row>
    <row r="219" spans="1:8">
      <c r="A219" s="48" t="s">
        <v>1049</v>
      </c>
      <c r="B219" s="48" t="s">
        <v>1097</v>
      </c>
      <c r="C219" s="48" t="str">
        <f t="shared" si="6"/>
        <v>La Canada Flintridge</v>
      </c>
      <c r="D219" s="51">
        <v>30</v>
      </c>
      <c r="E219" s="51">
        <v>18</v>
      </c>
      <c r="F219" s="51">
        <v>20</v>
      </c>
      <c r="G219" s="51">
        <v>44</v>
      </c>
      <c r="H219" s="50">
        <f t="shared" si="7"/>
        <v>112</v>
      </c>
    </row>
    <row r="220" spans="1:8">
      <c r="A220" s="48" t="s">
        <v>972</v>
      </c>
      <c r="B220" s="48" t="s">
        <v>992</v>
      </c>
      <c r="C220" s="48" t="str">
        <f t="shared" si="6"/>
        <v>La Habra</v>
      </c>
      <c r="D220" s="51">
        <v>1</v>
      </c>
      <c r="E220" s="51">
        <v>1</v>
      </c>
      <c r="F220" s="51">
        <v>1</v>
      </c>
      <c r="G220" s="51">
        <v>1</v>
      </c>
      <c r="H220" s="50">
        <f t="shared" si="7"/>
        <v>4</v>
      </c>
    </row>
    <row r="221" spans="1:8">
      <c r="A221" s="48" t="s">
        <v>1049</v>
      </c>
      <c r="B221" s="48" t="s">
        <v>1096</v>
      </c>
      <c r="C221" s="48" t="str">
        <f t="shared" si="6"/>
        <v>La Habra Heights</v>
      </c>
      <c r="D221" s="51">
        <v>32</v>
      </c>
      <c r="E221" s="51">
        <v>19</v>
      </c>
      <c r="F221" s="51">
        <v>21</v>
      </c>
      <c r="G221" s="51">
        <v>47</v>
      </c>
      <c r="H221" s="50">
        <f t="shared" si="7"/>
        <v>119</v>
      </c>
    </row>
    <row r="222" spans="1:8">
      <c r="A222" s="48" t="s">
        <v>889</v>
      </c>
      <c r="B222" s="48" t="s">
        <v>897</v>
      </c>
      <c r="C222" s="48" t="str">
        <f t="shared" si="6"/>
        <v>La Mesa</v>
      </c>
      <c r="D222" s="51">
        <v>430</v>
      </c>
      <c r="E222" s="51">
        <v>326</v>
      </c>
      <c r="F222" s="51">
        <v>302</v>
      </c>
      <c r="G222" s="51">
        <v>664</v>
      </c>
      <c r="H222" s="50">
        <f t="shared" si="7"/>
        <v>1722</v>
      </c>
    </row>
    <row r="223" spans="1:8">
      <c r="A223" s="48" t="s">
        <v>1049</v>
      </c>
      <c r="B223" s="48" t="s">
        <v>1095</v>
      </c>
      <c r="C223" s="48" t="str">
        <f t="shared" si="6"/>
        <v>La Mirada</v>
      </c>
      <c r="D223" s="51">
        <v>62</v>
      </c>
      <c r="E223" s="51">
        <v>37</v>
      </c>
      <c r="F223" s="51">
        <v>40</v>
      </c>
      <c r="G223" s="51">
        <v>96</v>
      </c>
      <c r="H223" s="50">
        <f t="shared" si="7"/>
        <v>235</v>
      </c>
    </row>
    <row r="224" spans="1:8">
      <c r="A224" s="48" t="s">
        <v>972</v>
      </c>
      <c r="B224" s="48" t="s">
        <v>991</v>
      </c>
      <c r="C224" s="48" t="str">
        <f t="shared" si="6"/>
        <v>La Palma</v>
      </c>
      <c r="D224" s="51">
        <v>2</v>
      </c>
      <c r="E224" s="51">
        <v>2</v>
      </c>
      <c r="F224" s="51">
        <v>2</v>
      </c>
      <c r="G224" s="51">
        <v>3</v>
      </c>
      <c r="H224" s="50">
        <f t="shared" si="7"/>
        <v>9</v>
      </c>
    </row>
    <row r="225" spans="1:8">
      <c r="A225" s="48" t="s">
        <v>1049</v>
      </c>
      <c r="B225" s="48" t="s">
        <v>1094</v>
      </c>
      <c r="C225" s="48" t="str">
        <f t="shared" si="6"/>
        <v>La Puente</v>
      </c>
      <c r="D225" s="51">
        <v>208</v>
      </c>
      <c r="E225" s="51">
        <v>121</v>
      </c>
      <c r="F225" s="51">
        <v>135</v>
      </c>
      <c r="G225" s="51">
        <v>354</v>
      </c>
      <c r="H225" s="50">
        <f t="shared" si="7"/>
        <v>818</v>
      </c>
    </row>
    <row r="226" spans="1:8">
      <c r="A226" s="48" t="s">
        <v>939</v>
      </c>
      <c r="B226" s="48" t="s">
        <v>951</v>
      </c>
      <c r="C226" s="48" t="str">
        <f t="shared" si="6"/>
        <v>La Quinta</v>
      </c>
      <c r="D226" s="51">
        <v>91</v>
      </c>
      <c r="E226" s="51">
        <v>61</v>
      </c>
      <c r="F226" s="51">
        <v>66</v>
      </c>
      <c r="G226" s="51">
        <v>146</v>
      </c>
      <c r="H226" s="50">
        <f t="shared" si="7"/>
        <v>364</v>
      </c>
    </row>
    <row r="227" spans="1:8">
      <c r="A227" s="48" t="s">
        <v>1049</v>
      </c>
      <c r="B227" s="48" t="s">
        <v>1093</v>
      </c>
      <c r="C227" s="48" t="str">
        <f t="shared" si="6"/>
        <v>La Verne</v>
      </c>
      <c r="D227" s="51">
        <v>147</v>
      </c>
      <c r="E227" s="51">
        <v>88</v>
      </c>
      <c r="F227" s="51">
        <v>94</v>
      </c>
      <c r="G227" s="51">
        <v>233</v>
      </c>
      <c r="H227" s="50">
        <f t="shared" si="7"/>
        <v>562</v>
      </c>
    </row>
    <row r="228" spans="1:8">
      <c r="A228" s="48" t="s">
        <v>1199</v>
      </c>
      <c r="B228" s="48" t="s">
        <v>1210</v>
      </c>
      <c r="C228" s="48" t="str">
        <f t="shared" si="6"/>
        <v>Lafayette</v>
      </c>
      <c r="D228" s="51">
        <v>138</v>
      </c>
      <c r="E228" s="51">
        <v>78</v>
      </c>
      <c r="F228" s="51">
        <v>85</v>
      </c>
      <c r="G228" s="51">
        <v>99</v>
      </c>
      <c r="H228" s="50">
        <f t="shared" si="7"/>
        <v>400</v>
      </c>
    </row>
    <row r="229" spans="1:8">
      <c r="A229" s="48" t="s">
        <v>972</v>
      </c>
      <c r="B229" s="48" t="s">
        <v>990</v>
      </c>
      <c r="C229" s="48" t="str">
        <f t="shared" si="6"/>
        <v>Laguna Beach</v>
      </c>
      <c r="D229" s="51">
        <v>1</v>
      </c>
      <c r="E229" s="51">
        <v>1</v>
      </c>
      <c r="F229" s="51">
        <v>0</v>
      </c>
      <c r="G229" s="51">
        <v>0</v>
      </c>
      <c r="H229" s="50">
        <f t="shared" si="7"/>
        <v>2</v>
      </c>
    </row>
    <row r="230" spans="1:8">
      <c r="A230" s="48" t="s">
        <v>972</v>
      </c>
      <c r="B230" s="48" t="s">
        <v>989</v>
      </c>
      <c r="C230" s="48" t="str">
        <f t="shared" si="6"/>
        <v>Laguna Hills</v>
      </c>
      <c r="D230" s="51">
        <v>1</v>
      </c>
      <c r="E230" s="51">
        <v>1</v>
      </c>
      <c r="F230" s="51">
        <v>0</v>
      </c>
      <c r="G230" s="51">
        <v>0</v>
      </c>
      <c r="H230" s="50">
        <f t="shared" si="7"/>
        <v>2</v>
      </c>
    </row>
    <row r="231" spans="1:8">
      <c r="A231" s="48" t="s">
        <v>972</v>
      </c>
      <c r="B231" s="48" t="s">
        <v>988</v>
      </c>
      <c r="C231" s="48" t="str">
        <f t="shared" si="6"/>
        <v>Laguna Niguel</v>
      </c>
      <c r="D231" s="51">
        <v>43</v>
      </c>
      <c r="E231" s="51">
        <v>30</v>
      </c>
      <c r="F231" s="51">
        <v>34</v>
      </c>
      <c r="G231" s="51">
        <v>75</v>
      </c>
      <c r="H231" s="50">
        <f t="shared" si="7"/>
        <v>182</v>
      </c>
    </row>
    <row r="232" spans="1:8">
      <c r="A232" s="48" t="s">
        <v>972</v>
      </c>
      <c r="B232" s="48" t="s">
        <v>987</v>
      </c>
      <c r="C232" s="48" t="str">
        <f t="shared" si="6"/>
        <v>Laguna Woods</v>
      </c>
      <c r="D232" s="51">
        <v>1</v>
      </c>
      <c r="E232" s="51">
        <v>1</v>
      </c>
      <c r="F232" s="51">
        <v>0</v>
      </c>
      <c r="G232" s="51">
        <v>0</v>
      </c>
      <c r="H232" s="50">
        <f t="shared" si="7"/>
        <v>2</v>
      </c>
    </row>
    <row r="233" spans="1:8">
      <c r="A233" s="48" t="s">
        <v>613</v>
      </c>
      <c r="B233" s="48" t="str">
        <f>A233</f>
        <v>Lake County - Unincorporated</v>
      </c>
      <c r="C233" s="48" t="str">
        <f t="shared" si="6"/>
        <v>Lake County - Unincorporated</v>
      </c>
      <c r="D233" s="51">
        <v>368</v>
      </c>
      <c r="E233" s="51">
        <v>231</v>
      </c>
      <c r="F233" s="51">
        <v>256</v>
      </c>
      <c r="G233" s="51">
        <v>601</v>
      </c>
      <c r="H233" s="50">
        <f t="shared" si="7"/>
        <v>1456</v>
      </c>
    </row>
    <row r="234" spans="1:8">
      <c r="A234" s="48" t="s">
        <v>939</v>
      </c>
      <c r="B234" s="48" t="s">
        <v>950</v>
      </c>
      <c r="C234" s="48" t="str">
        <f t="shared" si="6"/>
        <v>Lake Elsinore</v>
      </c>
      <c r="D234" s="51">
        <v>1196</v>
      </c>
      <c r="E234" s="51">
        <v>801</v>
      </c>
      <c r="F234" s="51">
        <v>897</v>
      </c>
      <c r="G234" s="51">
        <v>2035</v>
      </c>
      <c r="H234" s="50">
        <f t="shared" si="7"/>
        <v>4929</v>
      </c>
    </row>
    <row r="235" spans="1:8">
      <c r="A235" s="48" t="s">
        <v>972</v>
      </c>
      <c r="B235" s="48" t="s">
        <v>986</v>
      </c>
      <c r="C235" s="48" t="str">
        <f t="shared" si="6"/>
        <v>Lake Forest</v>
      </c>
      <c r="D235" s="51">
        <v>647</v>
      </c>
      <c r="E235" s="51">
        <v>450</v>
      </c>
      <c r="F235" s="51">
        <v>497</v>
      </c>
      <c r="G235" s="51">
        <v>1133</v>
      </c>
      <c r="H235" s="50">
        <f t="shared" si="7"/>
        <v>2727</v>
      </c>
    </row>
    <row r="236" spans="1:8">
      <c r="A236" s="48" t="s">
        <v>1139</v>
      </c>
      <c r="B236" s="48" t="s">
        <v>1138</v>
      </c>
      <c r="C236" s="48" t="str">
        <f t="shared" si="6"/>
        <v>Lakeport</v>
      </c>
      <c r="D236" s="51">
        <v>34</v>
      </c>
      <c r="E236" s="51">
        <v>22</v>
      </c>
      <c r="F236" s="51">
        <v>27</v>
      </c>
      <c r="G236" s="51">
        <v>64</v>
      </c>
      <c r="H236" s="50">
        <f t="shared" si="7"/>
        <v>147</v>
      </c>
    </row>
    <row r="237" spans="1:8">
      <c r="A237" s="48" t="s">
        <v>1049</v>
      </c>
      <c r="B237" s="48" t="s">
        <v>1092</v>
      </c>
      <c r="C237" s="48" t="str">
        <f t="shared" si="6"/>
        <v>Lakewood</v>
      </c>
      <c r="D237" s="51">
        <v>107</v>
      </c>
      <c r="E237" s="51">
        <v>63</v>
      </c>
      <c r="F237" s="51">
        <v>67</v>
      </c>
      <c r="G237" s="51">
        <v>166</v>
      </c>
      <c r="H237" s="50">
        <f t="shared" si="7"/>
        <v>403</v>
      </c>
    </row>
    <row r="238" spans="1:8">
      <c r="A238" s="48" t="s">
        <v>1049</v>
      </c>
      <c r="B238" s="48" t="s">
        <v>1091</v>
      </c>
      <c r="C238" s="48" t="str">
        <f t="shared" si="6"/>
        <v>Lancaster</v>
      </c>
      <c r="D238" s="51">
        <v>627</v>
      </c>
      <c r="E238" s="51">
        <v>384</v>
      </c>
      <c r="F238" s="51">
        <v>413</v>
      </c>
      <c r="G238" s="51">
        <v>1086</v>
      </c>
      <c r="H238" s="50">
        <f t="shared" si="7"/>
        <v>2510</v>
      </c>
    </row>
    <row r="239" spans="1:8">
      <c r="A239" s="48" t="s">
        <v>1039</v>
      </c>
      <c r="B239" s="48" t="s">
        <v>1044</v>
      </c>
      <c r="C239" s="48" t="str">
        <f t="shared" si="6"/>
        <v>Larkspur</v>
      </c>
      <c r="D239" s="51">
        <v>40</v>
      </c>
      <c r="E239" s="51">
        <v>20</v>
      </c>
      <c r="F239" s="51">
        <v>21</v>
      </c>
      <c r="G239" s="51">
        <v>51</v>
      </c>
      <c r="H239" s="50">
        <f t="shared" si="7"/>
        <v>132</v>
      </c>
    </row>
    <row r="240" spans="1:8">
      <c r="A240" s="48" t="s">
        <v>610</v>
      </c>
      <c r="B240" s="48" t="str">
        <f>A240</f>
        <v>Lassen County - Unincorporated</v>
      </c>
      <c r="C240" s="48" t="str">
        <f t="shared" si="6"/>
        <v>Lassen County - Unincorporated</v>
      </c>
      <c r="D240" s="51">
        <v>10</v>
      </c>
      <c r="E240" s="51">
        <v>5</v>
      </c>
      <c r="F240" s="51">
        <v>7</v>
      </c>
      <c r="G240" s="51">
        <v>18</v>
      </c>
      <c r="H240" s="50">
        <f t="shared" si="7"/>
        <v>40</v>
      </c>
    </row>
    <row r="241" spans="1:8">
      <c r="A241" s="48" t="s">
        <v>881</v>
      </c>
      <c r="B241" s="48" t="s">
        <v>886</v>
      </c>
      <c r="C241" s="48" t="str">
        <f t="shared" si="6"/>
        <v>Lathrop</v>
      </c>
      <c r="D241" s="57">
        <v>1019</v>
      </c>
      <c r="E241" s="57">
        <v>759</v>
      </c>
      <c r="F241" s="57">
        <v>957</v>
      </c>
      <c r="G241" s="57">
        <v>2421</v>
      </c>
      <c r="H241" s="50">
        <f t="shared" si="7"/>
        <v>5156</v>
      </c>
    </row>
    <row r="242" spans="1:8">
      <c r="A242" s="48" t="s">
        <v>1049</v>
      </c>
      <c r="B242" s="48" t="s">
        <v>1090</v>
      </c>
      <c r="C242" s="48" t="str">
        <f t="shared" si="6"/>
        <v>Lawndale</v>
      </c>
      <c r="D242" s="51">
        <v>96</v>
      </c>
      <c r="E242" s="51">
        <v>57</v>
      </c>
      <c r="F242" s="51">
        <v>62</v>
      </c>
      <c r="G242" s="51">
        <v>166</v>
      </c>
      <c r="H242" s="50">
        <f t="shared" si="7"/>
        <v>381</v>
      </c>
    </row>
    <row r="243" spans="1:8">
      <c r="A243" s="48" t="s">
        <v>889</v>
      </c>
      <c r="B243" s="48" t="s">
        <v>896</v>
      </c>
      <c r="C243" s="48" t="str">
        <f t="shared" si="6"/>
        <v>Lemon Grove</v>
      </c>
      <c r="D243" s="51">
        <v>77</v>
      </c>
      <c r="E243" s="51">
        <v>59</v>
      </c>
      <c r="F243" s="51">
        <v>54</v>
      </c>
      <c r="G243" s="51">
        <v>119</v>
      </c>
      <c r="H243" s="50">
        <f t="shared" si="7"/>
        <v>309</v>
      </c>
    </row>
    <row r="244" spans="1:8">
      <c r="A244" s="48" t="s">
        <v>1142</v>
      </c>
      <c r="B244" s="48" t="s">
        <v>1141</v>
      </c>
      <c r="C244" s="48" t="str">
        <f t="shared" si="6"/>
        <v>Lemoore</v>
      </c>
      <c r="D244" s="58">
        <v>677</v>
      </c>
      <c r="E244" s="58">
        <v>507</v>
      </c>
      <c r="F244" s="58">
        <v>534</v>
      </c>
      <c r="G244" s="62">
        <v>1267</v>
      </c>
      <c r="H244" s="50">
        <f t="shared" si="7"/>
        <v>2985</v>
      </c>
    </row>
    <row r="245" spans="1:8">
      <c r="A245" s="48" t="s">
        <v>966</v>
      </c>
      <c r="B245" s="48" t="s">
        <v>968</v>
      </c>
      <c r="C245" s="48" t="str">
        <f t="shared" si="6"/>
        <v>Lincoln</v>
      </c>
      <c r="D245" s="51">
        <v>953</v>
      </c>
      <c r="E245" s="51">
        <v>668</v>
      </c>
      <c r="F245" s="51">
        <v>705</v>
      </c>
      <c r="G245" s="51">
        <v>1464</v>
      </c>
      <c r="H245" s="50">
        <f t="shared" si="7"/>
        <v>3790</v>
      </c>
    </row>
    <row r="246" spans="1:8">
      <c r="A246" s="48" t="s">
        <v>777</v>
      </c>
      <c r="B246" s="48" t="s">
        <v>780</v>
      </c>
      <c r="C246" s="48" t="str">
        <f t="shared" si="6"/>
        <v>Lindsay</v>
      </c>
      <c r="D246" s="52">
        <v>80</v>
      </c>
      <c r="E246" s="52">
        <v>80</v>
      </c>
      <c r="F246" s="52">
        <v>82</v>
      </c>
      <c r="G246" s="52">
        <v>348</v>
      </c>
      <c r="H246" s="50">
        <f t="shared" si="7"/>
        <v>590</v>
      </c>
    </row>
    <row r="247" spans="1:8">
      <c r="A247" s="48" t="s">
        <v>788</v>
      </c>
      <c r="B247" s="48" t="s">
        <v>789</v>
      </c>
      <c r="C247" s="48" t="str">
        <f t="shared" si="6"/>
        <v>Live Oak</v>
      </c>
      <c r="D247" s="51">
        <v>104</v>
      </c>
      <c r="E247" s="51">
        <v>72</v>
      </c>
      <c r="F247" s="51">
        <v>83</v>
      </c>
      <c r="G247" s="51">
        <v>190</v>
      </c>
      <c r="H247" s="50">
        <f t="shared" si="7"/>
        <v>449</v>
      </c>
    </row>
    <row r="248" spans="1:8">
      <c r="A248" s="48" t="s">
        <v>1232</v>
      </c>
      <c r="B248" s="48" t="s">
        <v>1238</v>
      </c>
      <c r="C248" s="48" t="str">
        <f t="shared" si="6"/>
        <v>Livermore</v>
      </c>
      <c r="D248" s="51">
        <v>839</v>
      </c>
      <c r="E248" s="51">
        <v>474</v>
      </c>
      <c r="F248" s="51">
        <v>496</v>
      </c>
      <c r="G248" s="51">
        <v>920</v>
      </c>
      <c r="H248" s="50">
        <f t="shared" si="7"/>
        <v>2729</v>
      </c>
    </row>
    <row r="249" spans="1:8">
      <c r="A249" s="48" t="s">
        <v>1028</v>
      </c>
      <c r="B249" s="48" t="s">
        <v>1030</v>
      </c>
      <c r="C249" s="48" t="str">
        <f t="shared" si="6"/>
        <v>Livingston</v>
      </c>
      <c r="D249" s="57">
        <v>249</v>
      </c>
      <c r="E249" s="57">
        <v>178</v>
      </c>
      <c r="F249" s="57">
        <v>163</v>
      </c>
      <c r="G249" s="57">
        <v>435</v>
      </c>
      <c r="H249" s="50">
        <f t="shared" si="7"/>
        <v>1025</v>
      </c>
    </row>
    <row r="250" spans="1:8">
      <c r="A250" s="48" t="s">
        <v>881</v>
      </c>
      <c r="B250" s="48" t="s">
        <v>885</v>
      </c>
      <c r="C250" s="48" t="str">
        <f t="shared" si="6"/>
        <v>Lodi</v>
      </c>
      <c r="D250" s="57">
        <v>497</v>
      </c>
      <c r="E250" s="57">
        <v>331</v>
      </c>
      <c r="F250" s="57">
        <v>333</v>
      </c>
      <c r="G250" s="57">
        <v>770</v>
      </c>
      <c r="H250" s="50">
        <f t="shared" si="7"/>
        <v>1931</v>
      </c>
    </row>
    <row r="251" spans="1:8">
      <c r="A251" s="48" t="s">
        <v>907</v>
      </c>
      <c r="B251" s="48" t="s">
        <v>918</v>
      </c>
      <c r="C251" s="48" t="str">
        <f t="shared" si="6"/>
        <v>Loma Linda</v>
      </c>
      <c r="D251" s="51">
        <v>254</v>
      </c>
      <c r="E251" s="51">
        <v>177</v>
      </c>
      <c r="F251" s="51">
        <v>202</v>
      </c>
      <c r="G251" s="51">
        <v>462</v>
      </c>
      <c r="H251" s="50">
        <f t="shared" si="7"/>
        <v>1095</v>
      </c>
    </row>
    <row r="252" spans="1:8">
      <c r="A252" s="48" t="s">
        <v>1049</v>
      </c>
      <c r="B252" s="48" t="s">
        <v>1089</v>
      </c>
      <c r="C252" s="48" t="str">
        <f t="shared" si="6"/>
        <v>Lomita</v>
      </c>
      <c r="D252" s="51">
        <v>12</v>
      </c>
      <c r="E252" s="51">
        <v>7</v>
      </c>
      <c r="F252" s="51">
        <v>8</v>
      </c>
      <c r="G252" s="51">
        <v>20</v>
      </c>
      <c r="H252" s="50">
        <f t="shared" si="7"/>
        <v>47</v>
      </c>
    </row>
    <row r="253" spans="1:8">
      <c r="A253" s="48" t="s">
        <v>850</v>
      </c>
      <c r="B253" s="48" t="s">
        <v>852</v>
      </c>
      <c r="C253" s="48" t="str">
        <f t="shared" si="6"/>
        <v>Lompoc</v>
      </c>
      <c r="D253" s="55">
        <v>126</v>
      </c>
      <c r="E253" s="55">
        <v>84</v>
      </c>
      <c r="F253" s="55">
        <v>95</v>
      </c>
      <c r="G253" s="55">
        <v>221</v>
      </c>
      <c r="H253" s="50">
        <f t="shared" si="7"/>
        <v>526</v>
      </c>
    </row>
    <row r="254" spans="1:8">
      <c r="A254" s="48" t="s">
        <v>1049</v>
      </c>
      <c r="B254" s="48" t="s">
        <v>1088</v>
      </c>
      <c r="C254" s="48" t="str">
        <f t="shared" si="6"/>
        <v>Long Beach</v>
      </c>
      <c r="D254" s="51">
        <v>1773</v>
      </c>
      <c r="E254" s="51">
        <v>1066</v>
      </c>
      <c r="F254" s="51">
        <v>1170</v>
      </c>
      <c r="G254" s="51">
        <v>3039</v>
      </c>
      <c r="H254" s="50">
        <f t="shared" si="7"/>
        <v>7048</v>
      </c>
    </row>
    <row r="255" spans="1:8">
      <c r="A255" s="48" t="s">
        <v>966</v>
      </c>
      <c r="B255" s="48" t="s">
        <v>1328</v>
      </c>
      <c r="C255" s="48" t="str">
        <f t="shared" si="6"/>
        <v>Loomis</v>
      </c>
      <c r="D255" s="51">
        <v>39</v>
      </c>
      <c r="E255" s="51">
        <v>27</v>
      </c>
      <c r="F255" s="51">
        <v>29</v>
      </c>
      <c r="G255" s="51">
        <v>59</v>
      </c>
      <c r="H255" s="50">
        <f t="shared" si="7"/>
        <v>154</v>
      </c>
    </row>
    <row r="256" spans="1:8">
      <c r="A256" s="48" t="s">
        <v>972</v>
      </c>
      <c r="B256" s="48" t="s">
        <v>985</v>
      </c>
      <c r="C256" s="48" t="str">
        <f t="shared" si="6"/>
        <v>Los Alamitos</v>
      </c>
      <c r="D256" s="51">
        <v>14</v>
      </c>
      <c r="E256" s="51">
        <v>10</v>
      </c>
      <c r="F256" s="51">
        <v>11</v>
      </c>
      <c r="G256" s="51">
        <v>26</v>
      </c>
      <c r="H256" s="50">
        <f t="shared" si="7"/>
        <v>61</v>
      </c>
    </row>
    <row r="257" spans="1:8">
      <c r="A257" s="48" t="s">
        <v>837</v>
      </c>
      <c r="B257" s="48" t="s">
        <v>845</v>
      </c>
      <c r="C257" s="48" t="str">
        <f t="shared" si="6"/>
        <v>Los Altos</v>
      </c>
      <c r="D257" s="51">
        <v>169</v>
      </c>
      <c r="E257" s="51">
        <v>99</v>
      </c>
      <c r="F257" s="51">
        <v>112</v>
      </c>
      <c r="G257" s="51">
        <v>97</v>
      </c>
      <c r="H257" s="50">
        <f t="shared" si="7"/>
        <v>477</v>
      </c>
    </row>
    <row r="258" spans="1:8">
      <c r="A258" s="48" t="s">
        <v>837</v>
      </c>
      <c r="B258" s="48" t="s">
        <v>1338</v>
      </c>
      <c r="C258" s="48" t="str">
        <f t="shared" ref="C258:C321" si="8">B258</f>
        <v>Los Altos Hills</v>
      </c>
      <c r="D258" s="51">
        <v>46</v>
      </c>
      <c r="E258" s="51">
        <v>28</v>
      </c>
      <c r="F258" s="51">
        <v>32</v>
      </c>
      <c r="G258" s="51">
        <v>15</v>
      </c>
      <c r="H258" s="50">
        <f t="shared" ref="H258:H321" si="9">SUM(D258:G258)</f>
        <v>121</v>
      </c>
    </row>
    <row r="259" spans="1:8">
      <c r="A259" s="48" t="s">
        <v>1049</v>
      </c>
      <c r="B259" s="48" t="s">
        <v>1049</v>
      </c>
      <c r="C259" s="48" t="str">
        <f t="shared" si="8"/>
        <v>Los Angeles</v>
      </c>
      <c r="D259" s="51">
        <v>20427</v>
      </c>
      <c r="E259" s="51">
        <v>12435</v>
      </c>
      <c r="F259" s="51">
        <v>13728</v>
      </c>
      <c r="G259" s="51">
        <v>35412</v>
      </c>
      <c r="H259" s="50">
        <f>SUM(D259:G259)</f>
        <v>82002</v>
      </c>
    </row>
    <row r="260" spans="1:8">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c r="A261" s="48" t="s">
        <v>1028</v>
      </c>
      <c r="B261" s="48" t="s">
        <v>1029</v>
      </c>
      <c r="C261" s="48" t="str">
        <f t="shared" si="8"/>
        <v>Los Banos</v>
      </c>
      <c r="D261" s="57">
        <v>604</v>
      </c>
      <c r="E261" s="57">
        <v>431</v>
      </c>
      <c r="F261" s="57">
        <v>396</v>
      </c>
      <c r="G261" s="57">
        <v>1049</v>
      </c>
      <c r="H261" s="50">
        <f t="shared" si="9"/>
        <v>2480</v>
      </c>
    </row>
    <row r="262" spans="1:8">
      <c r="A262" s="48" t="s">
        <v>837</v>
      </c>
      <c r="B262" s="48" t="s">
        <v>1339</v>
      </c>
      <c r="C262" s="48" t="str">
        <f t="shared" si="8"/>
        <v>Los Gatos</v>
      </c>
      <c r="D262" s="51">
        <v>201</v>
      </c>
      <c r="E262" s="51">
        <v>112</v>
      </c>
      <c r="F262" s="51">
        <v>132</v>
      </c>
      <c r="G262" s="51">
        <v>174</v>
      </c>
      <c r="H262" s="50">
        <f t="shared" si="9"/>
        <v>619</v>
      </c>
    </row>
    <row r="263" spans="1:8">
      <c r="A263" s="48" t="s">
        <v>827</v>
      </c>
      <c r="B263" s="48" t="s">
        <v>826</v>
      </c>
      <c r="C263" s="48" t="str">
        <f t="shared" si="8"/>
        <v>Loyalton</v>
      </c>
      <c r="D263" s="51">
        <v>1</v>
      </c>
      <c r="E263" s="51">
        <v>1</v>
      </c>
      <c r="F263" s="51">
        <v>1</v>
      </c>
      <c r="G263" s="51">
        <v>1</v>
      </c>
      <c r="H263" s="50">
        <f t="shared" si="9"/>
        <v>4</v>
      </c>
    </row>
    <row r="264" spans="1:8">
      <c r="A264" s="48" t="s">
        <v>1049</v>
      </c>
      <c r="B264" s="48" t="s">
        <v>1087</v>
      </c>
      <c r="C264" s="48" t="str">
        <f t="shared" si="8"/>
        <v>Lynwood</v>
      </c>
      <c r="D264" s="51">
        <v>123</v>
      </c>
      <c r="E264" s="51">
        <v>72</v>
      </c>
      <c r="F264" s="51">
        <v>81</v>
      </c>
      <c r="G264" s="51">
        <v>218</v>
      </c>
      <c r="H264" s="50">
        <f t="shared" si="9"/>
        <v>494</v>
      </c>
    </row>
    <row r="265" spans="1:8">
      <c r="A265" s="48" t="s">
        <v>1046</v>
      </c>
      <c r="B265" s="48" t="s">
        <v>1046</v>
      </c>
      <c r="C265" s="48" t="str">
        <f t="shared" si="8"/>
        <v>Madera</v>
      </c>
      <c r="D265" s="60">
        <v>1352</v>
      </c>
      <c r="E265" s="60">
        <v>1056</v>
      </c>
      <c r="F265" s="60">
        <v>1091</v>
      </c>
      <c r="G265" s="60">
        <v>2600</v>
      </c>
      <c r="H265" s="50">
        <f t="shared" si="9"/>
        <v>6099</v>
      </c>
    </row>
    <row r="266" spans="1:8">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c r="A267" s="48" t="s">
        <v>1049</v>
      </c>
      <c r="B267" s="48" t="s">
        <v>1086</v>
      </c>
      <c r="C267" s="48" t="str">
        <f t="shared" si="8"/>
        <v>Malibu</v>
      </c>
      <c r="D267" s="51">
        <v>1</v>
      </c>
      <c r="E267" s="51">
        <v>1</v>
      </c>
      <c r="F267" s="51">
        <v>0</v>
      </c>
      <c r="G267" s="51">
        <v>0</v>
      </c>
      <c r="H267" s="50">
        <f t="shared" si="9"/>
        <v>2</v>
      </c>
    </row>
    <row r="268" spans="1:8">
      <c r="A268" s="48" t="s">
        <v>1025</v>
      </c>
      <c r="B268" s="48" t="s">
        <v>1326</v>
      </c>
      <c r="C268" s="48" t="str">
        <f t="shared" si="8"/>
        <v>Mammoth Lakes</v>
      </c>
      <c r="D268" s="51">
        <v>17</v>
      </c>
      <c r="E268" s="51">
        <v>12</v>
      </c>
      <c r="F268" s="51">
        <v>14</v>
      </c>
      <c r="G268" s="51">
        <v>31</v>
      </c>
      <c r="H268" s="50">
        <f t="shared" si="9"/>
        <v>74</v>
      </c>
    </row>
    <row r="269" spans="1:8">
      <c r="A269" s="48" t="s">
        <v>1049</v>
      </c>
      <c r="B269" s="48" t="s">
        <v>1085</v>
      </c>
      <c r="C269" s="48" t="str">
        <f t="shared" si="8"/>
        <v>Manhattan Beach</v>
      </c>
      <c r="D269" s="51">
        <v>10</v>
      </c>
      <c r="E269" s="51">
        <v>6</v>
      </c>
      <c r="F269" s="51">
        <v>7</v>
      </c>
      <c r="G269" s="51">
        <v>15</v>
      </c>
      <c r="H269" s="50">
        <f t="shared" si="9"/>
        <v>38</v>
      </c>
    </row>
    <row r="270" spans="1:8">
      <c r="A270" s="48" t="s">
        <v>881</v>
      </c>
      <c r="B270" s="48" t="s">
        <v>884</v>
      </c>
      <c r="C270" s="48" t="str">
        <f t="shared" si="8"/>
        <v>Manteca</v>
      </c>
      <c r="D270" s="57">
        <v>925</v>
      </c>
      <c r="E270" s="57">
        <v>693</v>
      </c>
      <c r="F270" s="57">
        <v>825</v>
      </c>
      <c r="G270" s="57">
        <v>1958</v>
      </c>
      <c r="H270" s="50">
        <f t="shared" si="9"/>
        <v>4401</v>
      </c>
    </row>
    <row r="271" spans="1:8">
      <c r="A271" s="48" t="s">
        <v>1147</v>
      </c>
      <c r="B271" s="48" t="s">
        <v>1153</v>
      </c>
      <c r="C271" s="48" t="str">
        <f t="shared" si="8"/>
        <v>Maricopa</v>
      </c>
      <c r="D271" s="58">
        <v>11</v>
      </c>
      <c r="E271" s="58">
        <v>5</v>
      </c>
      <c r="F271" s="58">
        <v>6</v>
      </c>
      <c r="G271" s="58">
        <v>14</v>
      </c>
      <c r="H271" s="50">
        <f t="shared" si="9"/>
        <v>36</v>
      </c>
    </row>
    <row r="272" spans="1:8">
      <c r="A272" s="48" t="s">
        <v>509</v>
      </c>
      <c r="B272" s="48" t="str">
        <f>A272</f>
        <v>Marin County - Unincorporated</v>
      </c>
      <c r="C272" s="48" t="str">
        <f t="shared" si="8"/>
        <v>Marin County - Unincorporated</v>
      </c>
      <c r="D272" s="51">
        <v>55</v>
      </c>
      <c r="E272" s="51">
        <v>32</v>
      </c>
      <c r="F272" s="51">
        <v>37</v>
      </c>
      <c r="G272" s="51">
        <v>61</v>
      </c>
      <c r="H272" s="50">
        <f t="shared" si="9"/>
        <v>185</v>
      </c>
    </row>
    <row r="273" spans="1:8">
      <c r="A273" s="48" t="s">
        <v>1014</v>
      </c>
      <c r="B273" s="48" t="s">
        <v>1019</v>
      </c>
      <c r="C273" s="48" t="str">
        <f t="shared" si="8"/>
        <v>Marina</v>
      </c>
      <c r="D273" s="54">
        <v>315</v>
      </c>
      <c r="E273" s="54">
        <v>206</v>
      </c>
      <c r="F273" s="54">
        <v>239</v>
      </c>
      <c r="G273" s="54">
        <v>548</v>
      </c>
      <c r="H273" s="59">
        <f t="shared" si="9"/>
        <v>1308</v>
      </c>
    </row>
    <row r="274" spans="1:8">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c r="A275" s="48" t="s">
        <v>1199</v>
      </c>
      <c r="B275" s="48" t="s">
        <v>1209</v>
      </c>
      <c r="C275" s="48" t="str">
        <f t="shared" si="8"/>
        <v>Martinez</v>
      </c>
      <c r="D275" s="51">
        <v>124</v>
      </c>
      <c r="E275" s="51">
        <v>72</v>
      </c>
      <c r="F275" s="51">
        <v>78</v>
      </c>
      <c r="G275" s="51">
        <v>195</v>
      </c>
      <c r="H275" s="50">
        <f t="shared" si="9"/>
        <v>469</v>
      </c>
    </row>
    <row r="276" spans="1:8">
      <c r="A276" s="48" t="s">
        <v>756</v>
      </c>
      <c r="B276" s="48" t="s">
        <v>757</v>
      </c>
      <c r="C276" s="48" t="str">
        <f t="shared" si="8"/>
        <v>Marysville</v>
      </c>
      <c r="D276" s="51">
        <v>12</v>
      </c>
      <c r="E276" s="51">
        <v>8</v>
      </c>
      <c r="F276" s="51">
        <v>13</v>
      </c>
      <c r="G276" s="51">
        <v>39</v>
      </c>
      <c r="H276" s="50">
        <f t="shared" si="9"/>
        <v>72</v>
      </c>
    </row>
    <row r="277" spans="1:8">
      <c r="A277" s="48" t="s">
        <v>1049</v>
      </c>
      <c r="B277" s="48" t="s">
        <v>1084</v>
      </c>
      <c r="C277" s="48" t="str">
        <f t="shared" si="8"/>
        <v>Maywood</v>
      </c>
      <c r="D277" s="51">
        <v>13</v>
      </c>
      <c r="E277" s="51">
        <v>8</v>
      </c>
      <c r="F277" s="51">
        <v>9</v>
      </c>
      <c r="G277" s="51">
        <v>23</v>
      </c>
      <c r="H277" s="50">
        <f t="shared" si="9"/>
        <v>53</v>
      </c>
    </row>
    <row r="278" spans="1:8">
      <c r="A278" s="48" t="s">
        <v>1147</v>
      </c>
      <c r="B278" s="48" t="s">
        <v>1152</v>
      </c>
      <c r="C278" s="48" t="str">
        <f t="shared" si="8"/>
        <v>McFarland</v>
      </c>
      <c r="D278" s="58">
        <v>93</v>
      </c>
      <c r="E278" s="58">
        <v>73</v>
      </c>
      <c r="F278" s="58">
        <v>66</v>
      </c>
      <c r="G278" s="58">
        <v>79</v>
      </c>
      <c r="H278" s="50">
        <f t="shared" si="9"/>
        <v>311</v>
      </c>
    </row>
    <row r="279" spans="1:8">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c r="A280" s="48" t="s">
        <v>1180</v>
      </c>
      <c r="B280" s="48" t="s">
        <v>1185</v>
      </c>
      <c r="C280" s="48" t="str">
        <f t="shared" si="8"/>
        <v>Mendota</v>
      </c>
      <c r="D280" s="58">
        <v>80</v>
      </c>
      <c r="E280" s="58">
        <v>56</v>
      </c>
      <c r="F280" s="58">
        <v>77</v>
      </c>
      <c r="G280" s="58">
        <v>341</v>
      </c>
      <c r="H280" s="50">
        <f t="shared" si="9"/>
        <v>554</v>
      </c>
    </row>
    <row r="281" spans="1:8">
      <c r="A281" s="48" t="s">
        <v>939</v>
      </c>
      <c r="B281" s="48" t="s">
        <v>949</v>
      </c>
      <c r="C281" s="48" t="str">
        <f t="shared" si="8"/>
        <v>Menifee</v>
      </c>
      <c r="D281" s="51">
        <v>1488</v>
      </c>
      <c r="E281" s="51">
        <v>1007</v>
      </c>
      <c r="F281" s="51">
        <v>1140</v>
      </c>
      <c r="G281" s="51">
        <v>2610</v>
      </c>
      <c r="H281" s="50">
        <f t="shared" si="9"/>
        <v>6245</v>
      </c>
    </row>
    <row r="282" spans="1:8">
      <c r="A282" s="48" t="s">
        <v>857</v>
      </c>
      <c r="B282" s="48" t="s">
        <v>864</v>
      </c>
      <c r="C282" s="48" t="str">
        <f t="shared" si="8"/>
        <v>Menlo Park</v>
      </c>
      <c r="D282" s="51">
        <v>233</v>
      </c>
      <c r="E282" s="51">
        <v>129</v>
      </c>
      <c r="F282" s="51">
        <v>143</v>
      </c>
      <c r="G282" s="51">
        <v>150</v>
      </c>
      <c r="H282" s="50">
        <f t="shared" si="9"/>
        <v>655</v>
      </c>
    </row>
    <row r="283" spans="1:8">
      <c r="A283" s="48" t="s">
        <v>1028</v>
      </c>
      <c r="B283" s="48" t="s">
        <v>1028</v>
      </c>
      <c r="C283" s="48" t="str">
        <f t="shared" si="8"/>
        <v>Merced</v>
      </c>
      <c r="D283" s="57">
        <v>1351</v>
      </c>
      <c r="E283" s="57">
        <v>966</v>
      </c>
      <c r="F283" s="57">
        <v>886</v>
      </c>
      <c r="G283" s="57">
        <v>2348</v>
      </c>
      <c r="H283" s="50">
        <f t="shared" si="9"/>
        <v>5551</v>
      </c>
    </row>
    <row r="284" spans="1:8">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c r="A285" s="48" t="s">
        <v>1039</v>
      </c>
      <c r="B285" s="48" t="s">
        <v>1043</v>
      </c>
      <c r="C285" s="48" t="str">
        <f t="shared" si="8"/>
        <v>Mill Valley</v>
      </c>
      <c r="D285" s="51">
        <v>41</v>
      </c>
      <c r="E285" s="51">
        <v>24</v>
      </c>
      <c r="F285" s="51">
        <v>26</v>
      </c>
      <c r="G285" s="51">
        <v>38</v>
      </c>
      <c r="H285" s="50">
        <f t="shared" si="9"/>
        <v>129</v>
      </c>
    </row>
    <row r="286" spans="1:8">
      <c r="A286" s="48" t="s">
        <v>857</v>
      </c>
      <c r="B286" s="48" t="s">
        <v>863</v>
      </c>
      <c r="C286" s="48" t="str">
        <f t="shared" si="8"/>
        <v>Millbrae</v>
      </c>
      <c r="D286" s="51">
        <v>193</v>
      </c>
      <c r="E286" s="51">
        <v>101</v>
      </c>
      <c r="F286" s="51">
        <v>112</v>
      </c>
      <c r="G286" s="51">
        <v>257</v>
      </c>
      <c r="H286" s="50">
        <f t="shared" si="9"/>
        <v>663</v>
      </c>
    </row>
    <row r="287" spans="1:8">
      <c r="A287" s="48" t="s">
        <v>837</v>
      </c>
      <c r="B287" s="48" t="s">
        <v>844</v>
      </c>
      <c r="C287" s="48" t="str">
        <f t="shared" si="8"/>
        <v>Milpitas</v>
      </c>
      <c r="D287" s="51">
        <v>1004</v>
      </c>
      <c r="E287" s="51">
        <v>570</v>
      </c>
      <c r="F287" s="51">
        <v>565</v>
      </c>
      <c r="G287" s="51">
        <v>1151</v>
      </c>
      <c r="H287" s="50">
        <f t="shared" si="9"/>
        <v>3290</v>
      </c>
    </row>
    <row r="288" spans="1:8">
      <c r="A288" s="48" t="s">
        <v>972</v>
      </c>
      <c r="B288" s="48" t="s">
        <v>984</v>
      </c>
      <c r="C288" s="48" t="str">
        <f t="shared" si="8"/>
        <v>Mission Viejo</v>
      </c>
      <c r="D288" s="51">
        <v>42</v>
      </c>
      <c r="E288" s="51">
        <v>29</v>
      </c>
      <c r="F288" s="51">
        <v>33</v>
      </c>
      <c r="G288" s="51">
        <v>73</v>
      </c>
      <c r="H288" s="50">
        <f t="shared" si="9"/>
        <v>177</v>
      </c>
    </row>
    <row r="289" spans="1:8">
      <c r="A289" s="48" t="s">
        <v>791</v>
      </c>
      <c r="B289" s="48" t="s">
        <v>797</v>
      </c>
      <c r="C289" s="48" t="str">
        <f t="shared" si="8"/>
        <v>Modesto</v>
      </c>
      <c r="D289" s="52">
        <v>1546</v>
      </c>
      <c r="E289" s="52">
        <v>991</v>
      </c>
      <c r="F289" s="52">
        <v>1100</v>
      </c>
      <c r="G289" s="52">
        <v>2724</v>
      </c>
      <c r="H289" s="50">
        <f t="shared" si="9"/>
        <v>6361</v>
      </c>
    </row>
    <row r="290" spans="1:8">
      <c r="A290" s="48" t="s">
        <v>483</v>
      </c>
      <c r="B290" s="48" t="str">
        <f>A290</f>
        <v>Modoc County - Unincorporated</v>
      </c>
      <c r="C290" s="48" t="str">
        <f t="shared" si="8"/>
        <v>Modoc County - Unincorporated</v>
      </c>
      <c r="D290" s="51">
        <v>2</v>
      </c>
      <c r="E290" s="51">
        <v>2</v>
      </c>
      <c r="F290" s="51">
        <v>1</v>
      </c>
      <c r="G290" s="51">
        <v>5</v>
      </c>
      <c r="H290" s="50">
        <f t="shared" si="9"/>
        <v>10</v>
      </c>
    </row>
    <row r="291" spans="1:8">
      <c r="A291" s="48" t="s">
        <v>480</v>
      </c>
      <c r="B291" s="48" t="str">
        <f>A291</f>
        <v>Mono County - Unincorporated</v>
      </c>
      <c r="C291" s="48" t="str">
        <f t="shared" si="8"/>
        <v>Mono County - Unincorporated</v>
      </c>
      <c r="D291" s="51">
        <v>11</v>
      </c>
      <c r="E291" s="51">
        <v>7</v>
      </c>
      <c r="F291" s="51">
        <v>9</v>
      </c>
      <c r="G291" s="51">
        <v>19</v>
      </c>
      <c r="H291" s="50">
        <f t="shared" si="9"/>
        <v>46</v>
      </c>
    </row>
    <row r="292" spans="1:8">
      <c r="A292" s="48" t="s">
        <v>1049</v>
      </c>
      <c r="B292" s="48" t="s">
        <v>1083</v>
      </c>
      <c r="C292" s="48" t="str">
        <f t="shared" si="8"/>
        <v>Monrovia</v>
      </c>
      <c r="D292" s="51">
        <v>101</v>
      </c>
      <c r="E292" s="51">
        <v>61</v>
      </c>
      <c r="F292" s="51">
        <v>65</v>
      </c>
      <c r="G292" s="51">
        <v>162</v>
      </c>
      <c r="H292" s="50">
        <f t="shared" si="9"/>
        <v>389</v>
      </c>
    </row>
    <row r="293" spans="1:8">
      <c r="A293" s="48" t="s">
        <v>817</v>
      </c>
      <c r="B293" s="48" t="s">
        <v>821</v>
      </c>
      <c r="C293" s="48" t="str">
        <f t="shared" si="8"/>
        <v>Montague</v>
      </c>
      <c r="D293" s="51">
        <v>5</v>
      </c>
      <c r="E293" s="51">
        <v>3</v>
      </c>
      <c r="F293" s="51">
        <v>3</v>
      </c>
      <c r="G293" s="51">
        <v>8</v>
      </c>
      <c r="H293" s="50">
        <f t="shared" si="9"/>
        <v>19</v>
      </c>
    </row>
    <row r="294" spans="1:8">
      <c r="A294" s="48" t="s">
        <v>907</v>
      </c>
      <c r="B294" s="48" t="s">
        <v>917</v>
      </c>
      <c r="C294" s="48" t="str">
        <f t="shared" si="8"/>
        <v>Montclair</v>
      </c>
      <c r="D294" s="51">
        <v>164</v>
      </c>
      <c r="E294" s="51">
        <v>114</v>
      </c>
      <c r="F294" s="51">
        <v>125</v>
      </c>
      <c r="G294" s="51">
        <v>294</v>
      </c>
      <c r="H294" s="50">
        <f t="shared" si="9"/>
        <v>697</v>
      </c>
    </row>
    <row r="295" spans="1:8">
      <c r="A295" s="48" t="s">
        <v>837</v>
      </c>
      <c r="B295" s="48" t="s">
        <v>843</v>
      </c>
      <c r="C295" s="48" t="str">
        <f t="shared" si="8"/>
        <v>Monte Sereno</v>
      </c>
      <c r="D295" s="51">
        <v>23</v>
      </c>
      <c r="E295" s="51">
        <v>13</v>
      </c>
      <c r="F295" s="51">
        <v>13</v>
      </c>
      <c r="G295" s="51">
        <v>12</v>
      </c>
      <c r="H295" s="50">
        <f t="shared" si="9"/>
        <v>61</v>
      </c>
    </row>
    <row r="296" spans="1:8">
      <c r="A296" s="48" t="s">
        <v>1049</v>
      </c>
      <c r="B296" s="48" t="s">
        <v>1082</v>
      </c>
      <c r="C296" s="48" t="str">
        <f t="shared" si="8"/>
        <v>Montebello</v>
      </c>
      <c r="D296" s="51">
        <v>269</v>
      </c>
      <c r="E296" s="51">
        <v>161</v>
      </c>
      <c r="F296" s="51">
        <v>175</v>
      </c>
      <c r="G296" s="51">
        <v>461</v>
      </c>
      <c r="H296" s="50">
        <f t="shared" si="9"/>
        <v>1066</v>
      </c>
    </row>
    <row r="297" spans="1:8">
      <c r="A297" s="48" t="s">
        <v>1014</v>
      </c>
      <c r="B297" s="48" t="s">
        <v>1014</v>
      </c>
      <c r="C297" s="48" t="str">
        <f t="shared" si="8"/>
        <v>Monterey</v>
      </c>
      <c r="D297" s="54">
        <v>157</v>
      </c>
      <c r="E297" s="54">
        <v>102</v>
      </c>
      <c r="F297" s="54">
        <v>119</v>
      </c>
      <c r="G297" s="54">
        <v>272</v>
      </c>
      <c r="H297" s="59">
        <f t="shared" si="9"/>
        <v>650</v>
      </c>
    </row>
    <row r="298" spans="1:8">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c r="A299" s="48" t="s">
        <v>1049</v>
      </c>
      <c r="B299" s="48" t="s">
        <v>1081</v>
      </c>
      <c r="C299" s="48" t="str">
        <f t="shared" si="8"/>
        <v>Monterey Park</v>
      </c>
      <c r="D299" s="51">
        <v>205</v>
      </c>
      <c r="E299" s="51">
        <v>123</v>
      </c>
      <c r="F299" s="51">
        <v>137</v>
      </c>
      <c r="G299" s="51">
        <v>350</v>
      </c>
      <c r="H299" s="50">
        <f t="shared" si="9"/>
        <v>815</v>
      </c>
    </row>
    <row r="300" spans="1:8">
      <c r="A300" s="48" t="s">
        <v>764</v>
      </c>
      <c r="B300" s="48" t="s">
        <v>771</v>
      </c>
      <c r="C300" s="48" t="str">
        <f t="shared" si="8"/>
        <v>Moorpark</v>
      </c>
      <c r="D300" s="51">
        <v>289</v>
      </c>
      <c r="E300" s="51">
        <v>197</v>
      </c>
      <c r="F300" s="51">
        <v>216</v>
      </c>
      <c r="G300" s="51">
        <v>462</v>
      </c>
      <c r="H300" s="50">
        <f t="shared" si="9"/>
        <v>1164</v>
      </c>
    </row>
    <row r="301" spans="1:8">
      <c r="A301" s="48" t="s">
        <v>1199</v>
      </c>
      <c r="B301" s="48" t="s">
        <v>1208</v>
      </c>
      <c r="C301" s="48" t="str">
        <f t="shared" si="8"/>
        <v>Moraga</v>
      </c>
      <c r="D301" s="51">
        <v>75</v>
      </c>
      <c r="E301" s="51">
        <v>44</v>
      </c>
      <c r="F301" s="51">
        <v>50</v>
      </c>
      <c r="G301" s="51">
        <v>60</v>
      </c>
      <c r="H301" s="50">
        <f t="shared" si="9"/>
        <v>229</v>
      </c>
    </row>
    <row r="302" spans="1:8">
      <c r="A302" s="48" t="s">
        <v>939</v>
      </c>
      <c r="B302" s="48" t="s">
        <v>948</v>
      </c>
      <c r="C302" s="48" t="str">
        <f t="shared" si="8"/>
        <v>Moreno Valley</v>
      </c>
      <c r="D302" s="51">
        <v>1500</v>
      </c>
      <c r="E302" s="51">
        <v>993</v>
      </c>
      <c r="F302" s="51">
        <v>1112</v>
      </c>
      <c r="G302" s="51">
        <v>2564</v>
      </c>
      <c r="H302" s="50">
        <f t="shared" si="9"/>
        <v>6169</v>
      </c>
    </row>
    <row r="303" spans="1:8">
      <c r="A303" s="48" t="s">
        <v>837</v>
      </c>
      <c r="B303" s="48" t="s">
        <v>842</v>
      </c>
      <c r="C303" s="48" t="str">
        <f t="shared" si="8"/>
        <v>Morgan Hill</v>
      </c>
      <c r="D303" s="51">
        <v>273</v>
      </c>
      <c r="E303" s="51">
        <v>154</v>
      </c>
      <c r="F303" s="51">
        <v>185</v>
      </c>
      <c r="G303" s="51">
        <v>316</v>
      </c>
      <c r="H303" s="50">
        <f t="shared" si="9"/>
        <v>928</v>
      </c>
    </row>
    <row r="304" spans="1:8">
      <c r="A304" s="48" t="s">
        <v>872</v>
      </c>
      <c r="B304" s="48" t="s">
        <v>875</v>
      </c>
      <c r="C304" s="48" t="str">
        <f t="shared" si="8"/>
        <v>Morro Bay</v>
      </c>
      <c r="D304" s="51">
        <v>39</v>
      </c>
      <c r="E304" s="51">
        <v>24</v>
      </c>
      <c r="F304" s="51">
        <v>27</v>
      </c>
      <c r="G304" s="51">
        <v>65</v>
      </c>
      <c r="H304" s="50">
        <f t="shared" si="9"/>
        <v>155</v>
      </c>
    </row>
    <row r="305" spans="1:8">
      <c r="A305" s="48" t="s">
        <v>817</v>
      </c>
      <c r="B305" s="48" t="s">
        <v>820</v>
      </c>
      <c r="C305" s="48" t="str">
        <f t="shared" si="8"/>
        <v>Mount Shasta</v>
      </c>
      <c r="D305" s="51">
        <v>11</v>
      </c>
      <c r="E305" s="51">
        <v>7</v>
      </c>
      <c r="F305" s="51">
        <v>8</v>
      </c>
      <c r="G305" s="51">
        <v>19</v>
      </c>
      <c r="H305" s="50">
        <f t="shared" si="9"/>
        <v>45</v>
      </c>
    </row>
    <row r="306" spans="1:8">
      <c r="A306" s="48" t="s">
        <v>837</v>
      </c>
      <c r="B306" s="48" t="s">
        <v>841</v>
      </c>
      <c r="C306" s="48" t="str">
        <f t="shared" si="8"/>
        <v>Mountain View</v>
      </c>
      <c r="D306" s="51">
        <v>814</v>
      </c>
      <c r="E306" s="51">
        <v>492</v>
      </c>
      <c r="F306" s="51">
        <v>527</v>
      </c>
      <c r="G306" s="51">
        <v>1093</v>
      </c>
      <c r="H306" s="50">
        <f t="shared" si="9"/>
        <v>2926</v>
      </c>
    </row>
    <row r="307" spans="1:8">
      <c r="A307" s="48" t="s">
        <v>939</v>
      </c>
      <c r="B307" s="48" t="s">
        <v>947</v>
      </c>
      <c r="C307" s="48" t="str">
        <f t="shared" si="8"/>
        <v>Murrieta</v>
      </c>
      <c r="D307" s="51">
        <v>395</v>
      </c>
      <c r="E307" s="51">
        <v>262</v>
      </c>
      <c r="F307" s="51">
        <v>289</v>
      </c>
      <c r="G307" s="51">
        <v>627</v>
      </c>
      <c r="H307" s="50">
        <f t="shared" si="9"/>
        <v>1573</v>
      </c>
    </row>
    <row r="308" spans="1:8">
      <c r="A308" s="48" t="s">
        <v>1009</v>
      </c>
      <c r="B308" s="48" t="s">
        <v>1009</v>
      </c>
      <c r="C308" s="48" t="str">
        <f t="shared" si="8"/>
        <v>Napa</v>
      </c>
      <c r="D308" s="51">
        <v>185</v>
      </c>
      <c r="E308" s="51">
        <v>106</v>
      </c>
      <c r="F308" s="51">
        <v>141</v>
      </c>
      <c r="G308" s="51">
        <v>403</v>
      </c>
      <c r="H308" s="50">
        <f t="shared" si="9"/>
        <v>835</v>
      </c>
    </row>
    <row r="309" spans="1:8">
      <c r="A309" s="48" t="s">
        <v>463</v>
      </c>
      <c r="B309" s="48" t="str">
        <f>A309</f>
        <v>Napa County - Unincorporated</v>
      </c>
      <c r="C309" s="48" t="str">
        <f t="shared" si="8"/>
        <v>Napa County - Unincorporated</v>
      </c>
      <c r="D309" s="51">
        <v>51</v>
      </c>
      <c r="E309" s="51">
        <v>30</v>
      </c>
      <c r="F309" s="51">
        <v>32</v>
      </c>
      <c r="G309" s="51">
        <v>67</v>
      </c>
      <c r="H309" s="50">
        <f t="shared" si="9"/>
        <v>180</v>
      </c>
    </row>
    <row r="310" spans="1:8">
      <c r="A310" s="48" t="s">
        <v>889</v>
      </c>
      <c r="B310" s="48" t="s">
        <v>895</v>
      </c>
      <c r="C310" s="48" t="str">
        <f t="shared" si="8"/>
        <v>National City</v>
      </c>
      <c r="D310" s="51">
        <v>465</v>
      </c>
      <c r="E310" s="51">
        <v>353</v>
      </c>
      <c r="F310" s="51">
        <v>327</v>
      </c>
      <c r="G310" s="51">
        <v>718</v>
      </c>
      <c r="H310" s="50">
        <f t="shared" si="9"/>
        <v>1863</v>
      </c>
    </row>
    <row r="311" spans="1:8">
      <c r="A311" s="48" t="s">
        <v>907</v>
      </c>
      <c r="B311" s="48" t="s">
        <v>916</v>
      </c>
      <c r="C311" s="48" t="str">
        <f t="shared" si="8"/>
        <v>Needles</v>
      </c>
      <c r="D311" s="51">
        <v>38</v>
      </c>
      <c r="E311" s="51">
        <v>29</v>
      </c>
      <c r="F311" s="51">
        <v>34</v>
      </c>
      <c r="G311" s="51">
        <v>80</v>
      </c>
      <c r="H311" s="50">
        <f t="shared" si="9"/>
        <v>181</v>
      </c>
    </row>
    <row r="312" spans="1:8">
      <c r="A312" s="48" t="s">
        <v>1006</v>
      </c>
      <c r="B312" s="48" t="s">
        <v>1007</v>
      </c>
      <c r="C312" s="48" t="str">
        <f t="shared" si="8"/>
        <v>Nevada City</v>
      </c>
      <c r="D312" s="51">
        <v>19</v>
      </c>
      <c r="E312" s="51">
        <v>14</v>
      </c>
      <c r="F312" s="51">
        <v>16</v>
      </c>
      <c r="G312" s="51">
        <v>36</v>
      </c>
      <c r="H312" s="50">
        <f t="shared" si="9"/>
        <v>85</v>
      </c>
    </row>
    <row r="313" spans="1:8">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c r="A314" s="48" t="s">
        <v>1232</v>
      </c>
      <c r="B314" s="48" t="s">
        <v>1237</v>
      </c>
      <c r="C314" s="48" t="str">
        <f t="shared" si="8"/>
        <v>Newark</v>
      </c>
      <c r="D314" s="51">
        <v>330</v>
      </c>
      <c r="E314" s="51">
        <v>167</v>
      </c>
      <c r="F314" s="51">
        <v>158</v>
      </c>
      <c r="G314" s="51">
        <v>423</v>
      </c>
      <c r="H314" s="50">
        <f t="shared" si="9"/>
        <v>1078</v>
      </c>
    </row>
    <row r="315" spans="1:8">
      <c r="A315" s="48" t="s">
        <v>791</v>
      </c>
      <c r="B315" s="48" t="s">
        <v>796</v>
      </c>
      <c r="C315" s="48" t="str">
        <f t="shared" si="8"/>
        <v>Newman</v>
      </c>
      <c r="D315" s="52">
        <v>186</v>
      </c>
      <c r="E315" s="52">
        <v>119</v>
      </c>
      <c r="F315" s="52">
        <v>136</v>
      </c>
      <c r="G315" s="52">
        <v>337</v>
      </c>
      <c r="H315" s="50">
        <f t="shared" si="9"/>
        <v>778</v>
      </c>
    </row>
    <row r="316" spans="1:8">
      <c r="A316" s="48" t="s">
        <v>972</v>
      </c>
      <c r="B316" s="48" t="s">
        <v>983</v>
      </c>
      <c r="C316" s="48" t="str">
        <f t="shared" si="8"/>
        <v>Newport Beach</v>
      </c>
      <c r="D316" s="51">
        <v>1</v>
      </c>
      <c r="E316" s="51">
        <v>1</v>
      </c>
      <c r="F316" s="51">
        <v>1</v>
      </c>
      <c r="G316" s="51">
        <v>2</v>
      </c>
      <c r="H316" s="50">
        <f t="shared" si="9"/>
        <v>5</v>
      </c>
    </row>
    <row r="317" spans="1:8">
      <c r="A317" s="48" t="s">
        <v>939</v>
      </c>
      <c r="B317" s="48" t="s">
        <v>946</v>
      </c>
      <c r="C317" s="48" t="str">
        <f t="shared" si="8"/>
        <v>Norco</v>
      </c>
      <c r="D317" s="51">
        <v>205</v>
      </c>
      <c r="E317" s="51">
        <v>136</v>
      </c>
      <c r="F317" s="51">
        <v>151</v>
      </c>
      <c r="G317" s="51">
        <v>326</v>
      </c>
      <c r="H317" s="50">
        <f t="shared" si="9"/>
        <v>818</v>
      </c>
    </row>
    <row r="318" spans="1:8">
      <c r="A318" s="48" t="s">
        <v>1049</v>
      </c>
      <c r="B318" s="48" t="s">
        <v>1080</v>
      </c>
      <c r="C318" s="48" t="str">
        <f t="shared" si="8"/>
        <v>Norwalk</v>
      </c>
      <c r="D318" s="51">
        <v>52</v>
      </c>
      <c r="E318" s="51">
        <v>31</v>
      </c>
      <c r="F318" s="51">
        <v>33</v>
      </c>
      <c r="G318" s="51">
        <v>85</v>
      </c>
      <c r="H318" s="50">
        <f t="shared" si="9"/>
        <v>201</v>
      </c>
    </row>
    <row r="319" spans="1:8">
      <c r="A319" s="48" t="s">
        <v>1039</v>
      </c>
      <c r="B319" s="48" t="s">
        <v>1042</v>
      </c>
      <c r="C319" s="48" t="str">
        <f t="shared" si="8"/>
        <v>Novato</v>
      </c>
      <c r="D319" s="51">
        <v>111</v>
      </c>
      <c r="E319" s="51">
        <v>65</v>
      </c>
      <c r="F319" s="51">
        <v>72</v>
      </c>
      <c r="G319" s="51">
        <v>167</v>
      </c>
      <c r="H319" s="50">
        <f t="shared" si="9"/>
        <v>415</v>
      </c>
    </row>
    <row r="320" spans="1:8">
      <c r="A320" s="48" t="s">
        <v>791</v>
      </c>
      <c r="B320" s="48" t="s">
        <v>795</v>
      </c>
      <c r="C320" s="48" t="str">
        <f t="shared" si="8"/>
        <v>Oakdale</v>
      </c>
      <c r="D320" s="52">
        <v>315</v>
      </c>
      <c r="E320" s="52">
        <v>202</v>
      </c>
      <c r="F320" s="52">
        <v>210</v>
      </c>
      <c r="G320" s="52">
        <v>520</v>
      </c>
      <c r="H320" s="50">
        <f t="shared" si="9"/>
        <v>1247</v>
      </c>
    </row>
    <row r="321" spans="1:8">
      <c r="A321" s="48" t="s">
        <v>1232</v>
      </c>
      <c r="B321" s="48" t="s">
        <v>1236</v>
      </c>
      <c r="C321" s="48" t="str">
        <f t="shared" si="8"/>
        <v>Oakland</v>
      </c>
      <c r="D321" s="51">
        <v>2059</v>
      </c>
      <c r="E321" s="51">
        <v>2075</v>
      </c>
      <c r="F321" s="51">
        <v>2815</v>
      </c>
      <c r="G321" s="51">
        <v>7816</v>
      </c>
      <c r="H321" s="50">
        <f t="shared" si="9"/>
        <v>14765</v>
      </c>
    </row>
    <row r="322" spans="1:8">
      <c r="A322" s="48" t="s">
        <v>1199</v>
      </c>
      <c r="B322" s="48" t="s">
        <v>1207</v>
      </c>
      <c r="C322" s="48" t="str">
        <f t="shared" ref="C322:C385" si="10">B322</f>
        <v>Oakley</v>
      </c>
      <c r="D322" s="51">
        <v>317</v>
      </c>
      <c r="E322" s="51">
        <v>174</v>
      </c>
      <c r="F322" s="51">
        <v>175</v>
      </c>
      <c r="G322" s="51">
        <v>502</v>
      </c>
      <c r="H322" s="50">
        <f t="shared" ref="H322:H385" si="11">SUM(D322:G322)</f>
        <v>1168</v>
      </c>
    </row>
    <row r="323" spans="1:8">
      <c r="A323" s="48" t="s">
        <v>889</v>
      </c>
      <c r="B323" s="48" t="s">
        <v>894</v>
      </c>
      <c r="C323" s="48" t="str">
        <f t="shared" si="10"/>
        <v>Oceanside</v>
      </c>
      <c r="D323" s="51">
        <v>1549</v>
      </c>
      <c r="E323" s="51">
        <v>1178</v>
      </c>
      <c r="F323" s="51">
        <v>1090</v>
      </c>
      <c r="G323" s="51">
        <v>2393</v>
      </c>
      <c r="H323" s="50">
        <f t="shared" si="11"/>
        <v>6210</v>
      </c>
    </row>
    <row r="324" spans="1:8">
      <c r="A324" s="48" t="s">
        <v>764</v>
      </c>
      <c r="B324" s="48" t="s">
        <v>770</v>
      </c>
      <c r="C324" s="48" t="str">
        <f t="shared" si="10"/>
        <v>Ojai</v>
      </c>
      <c r="D324" s="51">
        <v>87</v>
      </c>
      <c r="E324" s="51">
        <v>59</v>
      </c>
      <c r="F324" s="51">
        <v>70</v>
      </c>
      <c r="G324" s="51">
        <v>155</v>
      </c>
      <c r="H324" s="50">
        <f t="shared" si="11"/>
        <v>371</v>
      </c>
    </row>
    <row r="325" spans="1:8">
      <c r="A325" s="48" t="s">
        <v>907</v>
      </c>
      <c r="B325" s="48" t="s">
        <v>915</v>
      </c>
      <c r="C325" s="48" t="str">
        <f t="shared" si="10"/>
        <v>Ontario</v>
      </c>
      <c r="D325" s="51">
        <v>2592</v>
      </c>
      <c r="E325" s="51">
        <v>1745</v>
      </c>
      <c r="F325" s="51">
        <v>1977</v>
      </c>
      <c r="G325" s="51">
        <v>4547</v>
      </c>
      <c r="H325" s="50">
        <f t="shared" si="11"/>
        <v>10861</v>
      </c>
    </row>
    <row r="326" spans="1:8">
      <c r="A326" s="48" t="s">
        <v>972</v>
      </c>
      <c r="B326" s="48" t="s">
        <v>972</v>
      </c>
      <c r="C326" s="48" t="str">
        <f t="shared" si="10"/>
        <v>Orange</v>
      </c>
      <c r="D326" s="51">
        <v>83</v>
      </c>
      <c r="E326" s="51">
        <v>59</v>
      </c>
      <c r="F326" s="51">
        <v>66</v>
      </c>
      <c r="G326" s="51">
        <v>155</v>
      </c>
      <c r="H326" s="50">
        <f t="shared" si="11"/>
        <v>363</v>
      </c>
    </row>
    <row r="327" spans="1:8">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c r="A328" s="48" t="s">
        <v>1180</v>
      </c>
      <c r="B328" s="48" t="s">
        <v>1184</v>
      </c>
      <c r="C328" s="48" t="str">
        <f t="shared" si="10"/>
        <v>Orange Cove</v>
      </c>
      <c r="D328" s="58">
        <v>111</v>
      </c>
      <c r="E328" s="58">
        <v>86</v>
      </c>
      <c r="F328" s="58">
        <v>105</v>
      </c>
      <c r="G328" s="58">
        <v>367</v>
      </c>
      <c r="H328" s="50">
        <f t="shared" si="11"/>
        <v>669</v>
      </c>
    </row>
    <row r="329" spans="1:8">
      <c r="A329" s="48" t="s">
        <v>1199</v>
      </c>
      <c r="B329" s="48" t="s">
        <v>1206</v>
      </c>
      <c r="C329" s="48" t="str">
        <f t="shared" si="10"/>
        <v>Orinda</v>
      </c>
      <c r="D329" s="51">
        <v>84</v>
      </c>
      <c r="E329" s="51">
        <v>47</v>
      </c>
      <c r="F329" s="51">
        <v>54</v>
      </c>
      <c r="G329" s="51">
        <v>42</v>
      </c>
      <c r="H329" s="50">
        <f t="shared" si="11"/>
        <v>227</v>
      </c>
    </row>
    <row r="330" spans="1:8">
      <c r="A330" s="48" t="s">
        <v>1177</v>
      </c>
      <c r="B330" s="48" t="s">
        <v>1178</v>
      </c>
      <c r="C330" s="48" t="str">
        <f t="shared" si="10"/>
        <v>Orland</v>
      </c>
      <c r="D330" s="51">
        <v>20</v>
      </c>
      <c r="E330" s="51">
        <v>10</v>
      </c>
      <c r="F330" s="51">
        <v>14</v>
      </c>
      <c r="G330" s="51">
        <v>36</v>
      </c>
      <c r="H330" s="50">
        <f t="shared" si="11"/>
        <v>80</v>
      </c>
    </row>
    <row r="331" spans="1:8">
      <c r="A331" s="48" t="s">
        <v>1220</v>
      </c>
      <c r="B331" s="48" t="s">
        <v>1221</v>
      </c>
      <c r="C331" s="48" t="str">
        <f t="shared" si="10"/>
        <v>Oroville</v>
      </c>
      <c r="D331" s="51">
        <v>419</v>
      </c>
      <c r="E331" s="51">
        <v>284</v>
      </c>
      <c r="F331" s="51">
        <v>306</v>
      </c>
      <c r="G331" s="51">
        <v>784</v>
      </c>
      <c r="H331" s="50">
        <f t="shared" si="11"/>
        <v>1793</v>
      </c>
    </row>
    <row r="332" spans="1:8">
      <c r="A332" s="48" t="s">
        <v>764</v>
      </c>
      <c r="B332" s="48" t="s">
        <v>769</v>
      </c>
      <c r="C332" s="48" t="str">
        <f t="shared" si="10"/>
        <v>Oxnard</v>
      </c>
      <c r="D332" s="51">
        <v>1688</v>
      </c>
      <c r="E332" s="51">
        <v>1160</v>
      </c>
      <c r="F332" s="51">
        <v>1351</v>
      </c>
      <c r="G332" s="51">
        <v>3102</v>
      </c>
      <c r="H332" s="50">
        <f t="shared" si="11"/>
        <v>7301</v>
      </c>
    </row>
    <row r="333" spans="1:8">
      <c r="A333" s="48" t="s">
        <v>1014</v>
      </c>
      <c r="B333" s="48" t="s">
        <v>1018</v>
      </c>
      <c r="C333" s="48" t="str">
        <f t="shared" si="10"/>
        <v>Pacific Grove</v>
      </c>
      <c r="D333" s="54">
        <v>28</v>
      </c>
      <c r="E333" s="54">
        <v>18</v>
      </c>
      <c r="F333" s="54">
        <v>21</v>
      </c>
      <c r="G333" s="54">
        <v>48</v>
      </c>
      <c r="H333" s="59">
        <f t="shared" si="11"/>
        <v>115</v>
      </c>
    </row>
    <row r="334" spans="1:8">
      <c r="A334" s="48" t="s">
        <v>857</v>
      </c>
      <c r="B334" s="48" t="s">
        <v>862</v>
      </c>
      <c r="C334" s="48" t="str">
        <f t="shared" si="10"/>
        <v>Pacifica</v>
      </c>
      <c r="D334" s="51">
        <v>121</v>
      </c>
      <c r="E334" s="51">
        <v>68</v>
      </c>
      <c r="F334" s="51">
        <v>70</v>
      </c>
      <c r="G334" s="51">
        <v>154</v>
      </c>
      <c r="H334" s="50">
        <f t="shared" si="11"/>
        <v>413</v>
      </c>
    </row>
    <row r="335" spans="1:8">
      <c r="A335" s="48" t="s">
        <v>939</v>
      </c>
      <c r="B335" s="48" t="s">
        <v>945</v>
      </c>
      <c r="C335" s="48" t="str">
        <f t="shared" si="10"/>
        <v>Palm Desert</v>
      </c>
      <c r="D335" s="51">
        <v>98</v>
      </c>
      <c r="E335" s="51">
        <v>67</v>
      </c>
      <c r="F335" s="51">
        <v>76</v>
      </c>
      <c r="G335" s="51">
        <v>172</v>
      </c>
      <c r="H335" s="50">
        <f t="shared" si="11"/>
        <v>413</v>
      </c>
    </row>
    <row r="336" spans="1:8">
      <c r="A336" s="48" t="s">
        <v>939</v>
      </c>
      <c r="B336" s="48" t="s">
        <v>944</v>
      </c>
      <c r="C336" s="48" t="str">
        <f t="shared" si="10"/>
        <v>Palm Springs</v>
      </c>
      <c r="D336" s="51">
        <v>63</v>
      </c>
      <c r="E336" s="51">
        <v>43</v>
      </c>
      <c r="F336" s="51">
        <v>50</v>
      </c>
      <c r="G336" s="51">
        <v>116</v>
      </c>
      <c r="H336" s="50">
        <f t="shared" si="11"/>
        <v>272</v>
      </c>
    </row>
    <row r="337" spans="1:8">
      <c r="A337" s="48" t="s">
        <v>1049</v>
      </c>
      <c r="B337" s="48" t="s">
        <v>1079</v>
      </c>
      <c r="C337" s="48" t="str">
        <f t="shared" si="10"/>
        <v>Palmdale</v>
      </c>
      <c r="D337" s="51">
        <v>1395</v>
      </c>
      <c r="E337" s="51">
        <v>827</v>
      </c>
      <c r="F337" s="51">
        <v>898</v>
      </c>
      <c r="G337" s="51">
        <v>2332</v>
      </c>
      <c r="H337" s="50">
        <f t="shared" si="11"/>
        <v>5452</v>
      </c>
    </row>
    <row r="338" spans="1:8">
      <c r="A338" s="48" t="s">
        <v>837</v>
      </c>
      <c r="B338" s="48" t="s">
        <v>840</v>
      </c>
      <c r="C338" s="48" t="str">
        <f t="shared" si="10"/>
        <v>Palo Alto</v>
      </c>
      <c r="D338" s="51">
        <v>691</v>
      </c>
      <c r="E338" s="51">
        <v>432</v>
      </c>
      <c r="F338" s="51">
        <v>278</v>
      </c>
      <c r="G338" s="51">
        <v>587</v>
      </c>
      <c r="H338" s="50">
        <f t="shared" si="11"/>
        <v>1988</v>
      </c>
    </row>
    <row r="339" spans="1:8">
      <c r="A339" s="48" t="s">
        <v>1049</v>
      </c>
      <c r="B339" s="48" t="s">
        <v>1078</v>
      </c>
      <c r="C339" s="48" t="str">
        <f t="shared" si="10"/>
        <v>Palos Verdes Estates</v>
      </c>
      <c r="D339" s="51">
        <v>4</v>
      </c>
      <c r="E339" s="51">
        <v>3</v>
      </c>
      <c r="F339" s="51">
        <v>3</v>
      </c>
      <c r="G339" s="51">
        <v>6</v>
      </c>
      <c r="H339" s="50">
        <f t="shared" si="11"/>
        <v>16</v>
      </c>
    </row>
    <row r="340" spans="1:8">
      <c r="A340" s="48" t="s">
        <v>1220</v>
      </c>
      <c r="B340" s="48" t="s">
        <v>1318</v>
      </c>
      <c r="C340" s="48" t="str">
        <f t="shared" si="10"/>
        <v>Paradise</v>
      </c>
      <c r="D340" s="51">
        <v>141</v>
      </c>
      <c r="E340" s="51">
        <v>100</v>
      </c>
      <c r="F340" s="51">
        <v>93</v>
      </c>
      <c r="G340" s="51">
        <v>303</v>
      </c>
      <c r="H340" s="50">
        <f t="shared" si="11"/>
        <v>637</v>
      </c>
    </row>
    <row r="341" spans="1:8">
      <c r="A341" s="48" t="s">
        <v>1049</v>
      </c>
      <c r="B341" s="48" t="s">
        <v>1077</v>
      </c>
      <c r="C341" s="48" t="str">
        <f t="shared" si="10"/>
        <v>Paramount</v>
      </c>
      <c r="D341" s="51">
        <v>26</v>
      </c>
      <c r="E341" s="51">
        <v>16</v>
      </c>
      <c r="F341" s="51">
        <v>17</v>
      </c>
      <c r="G341" s="51">
        <v>46</v>
      </c>
      <c r="H341" s="50">
        <f t="shared" si="11"/>
        <v>105</v>
      </c>
    </row>
    <row r="342" spans="1:8">
      <c r="A342" s="48" t="s">
        <v>1180</v>
      </c>
      <c r="B342" s="48" t="s">
        <v>1183</v>
      </c>
      <c r="C342" s="48" t="str">
        <f t="shared" si="10"/>
        <v>Parlier</v>
      </c>
      <c r="D342" s="58">
        <v>110</v>
      </c>
      <c r="E342" s="58">
        <v>82</v>
      </c>
      <c r="F342" s="58">
        <v>77</v>
      </c>
      <c r="G342" s="58">
        <v>319</v>
      </c>
      <c r="H342" s="50">
        <f t="shared" si="11"/>
        <v>588</v>
      </c>
    </row>
    <row r="343" spans="1:8">
      <c r="A343" s="48" t="s">
        <v>1049</v>
      </c>
      <c r="B343" s="48" t="s">
        <v>1076</v>
      </c>
      <c r="C343" s="48" t="str">
        <f t="shared" si="10"/>
        <v>Pasadena</v>
      </c>
      <c r="D343" s="51">
        <v>340</v>
      </c>
      <c r="E343" s="51">
        <v>207</v>
      </c>
      <c r="F343" s="51">
        <v>224</v>
      </c>
      <c r="G343" s="51">
        <v>561</v>
      </c>
      <c r="H343" s="50">
        <f t="shared" si="11"/>
        <v>1332</v>
      </c>
    </row>
    <row r="344" spans="1:8">
      <c r="A344" s="48" t="s">
        <v>872</v>
      </c>
      <c r="B344" s="48" t="s">
        <v>874</v>
      </c>
      <c r="C344" s="48" t="str">
        <f t="shared" si="10"/>
        <v>Paso Robles</v>
      </c>
      <c r="D344" s="51">
        <v>123</v>
      </c>
      <c r="E344" s="51">
        <v>77</v>
      </c>
      <c r="F344" s="51">
        <v>87</v>
      </c>
      <c r="G344" s="51">
        <v>206</v>
      </c>
      <c r="H344" s="50">
        <f t="shared" si="11"/>
        <v>493</v>
      </c>
    </row>
    <row r="345" spans="1:8">
      <c r="A345" s="48" t="s">
        <v>791</v>
      </c>
      <c r="B345" s="48" t="s">
        <v>794</v>
      </c>
      <c r="C345" s="48" t="str">
        <f t="shared" si="10"/>
        <v>Patterson</v>
      </c>
      <c r="D345" s="52">
        <v>636</v>
      </c>
      <c r="E345" s="52">
        <v>408</v>
      </c>
      <c r="F345" s="52">
        <v>416</v>
      </c>
      <c r="G345" s="52">
        <v>1031</v>
      </c>
      <c r="H345" s="50">
        <f t="shared" si="11"/>
        <v>2491</v>
      </c>
    </row>
    <row r="346" spans="1:8">
      <c r="A346" s="48" t="s">
        <v>939</v>
      </c>
      <c r="B346" s="48" t="s">
        <v>943</v>
      </c>
      <c r="C346" s="48" t="str">
        <f t="shared" si="10"/>
        <v>Perris</v>
      </c>
      <c r="D346" s="51">
        <v>1026</v>
      </c>
      <c r="E346" s="51">
        <v>681</v>
      </c>
      <c r="F346" s="51">
        <v>759</v>
      </c>
      <c r="G346" s="51">
        <v>1814</v>
      </c>
      <c r="H346" s="50">
        <f t="shared" si="11"/>
        <v>4280</v>
      </c>
    </row>
    <row r="347" spans="1:8">
      <c r="A347" s="48" t="s">
        <v>800</v>
      </c>
      <c r="B347" s="48" t="s">
        <v>804</v>
      </c>
      <c r="C347" s="48" t="str">
        <f t="shared" si="10"/>
        <v>Petaluma</v>
      </c>
      <c r="D347" s="51">
        <v>199</v>
      </c>
      <c r="E347" s="51">
        <v>103</v>
      </c>
      <c r="F347" s="51">
        <v>121</v>
      </c>
      <c r="G347" s="51">
        <v>322</v>
      </c>
      <c r="H347" s="50">
        <f t="shared" si="11"/>
        <v>745</v>
      </c>
    </row>
    <row r="348" spans="1:8">
      <c r="A348" s="48" t="s">
        <v>1049</v>
      </c>
      <c r="B348" s="48" t="s">
        <v>1075</v>
      </c>
      <c r="C348" s="48" t="str">
        <f t="shared" si="10"/>
        <v>Pico Rivera</v>
      </c>
      <c r="D348" s="51">
        <v>217</v>
      </c>
      <c r="E348" s="51">
        <v>131</v>
      </c>
      <c r="F348" s="51">
        <v>140</v>
      </c>
      <c r="G348" s="51">
        <v>362</v>
      </c>
      <c r="H348" s="50">
        <f t="shared" si="11"/>
        <v>850</v>
      </c>
    </row>
    <row r="349" spans="1:8">
      <c r="A349" s="48" t="s">
        <v>1232</v>
      </c>
      <c r="B349" s="48" t="s">
        <v>1235</v>
      </c>
      <c r="C349" s="48" t="str">
        <f t="shared" si="10"/>
        <v>Piedmont</v>
      </c>
      <c r="D349" s="51">
        <v>24</v>
      </c>
      <c r="E349" s="51">
        <v>14</v>
      </c>
      <c r="F349" s="51">
        <v>15</v>
      </c>
      <c r="G349" s="51">
        <v>7</v>
      </c>
      <c r="H349" s="50">
        <f t="shared" si="11"/>
        <v>60</v>
      </c>
    </row>
    <row r="350" spans="1:8">
      <c r="A350" s="48" t="s">
        <v>1199</v>
      </c>
      <c r="B350" s="48" t="s">
        <v>1205</v>
      </c>
      <c r="C350" s="48" t="str">
        <f t="shared" si="10"/>
        <v>Pinole</v>
      </c>
      <c r="D350" s="51">
        <v>80</v>
      </c>
      <c r="E350" s="51">
        <v>48</v>
      </c>
      <c r="F350" s="51">
        <v>43</v>
      </c>
      <c r="G350" s="51">
        <v>126</v>
      </c>
      <c r="H350" s="50">
        <f t="shared" si="11"/>
        <v>297</v>
      </c>
    </row>
    <row r="351" spans="1:8">
      <c r="A351" s="48" t="s">
        <v>872</v>
      </c>
      <c r="B351" s="48" t="s">
        <v>873</v>
      </c>
      <c r="C351" s="48" t="str">
        <f t="shared" si="10"/>
        <v>Pismo Beach</v>
      </c>
      <c r="D351" s="51">
        <v>38</v>
      </c>
      <c r="E351" s="51">
        <v>24</v>
      </c>
      <c r="F351" s="51">
        <v>27</v>
      </c>
      <c r="G351" s="51">
        <v>64</v>
      </c>
      <c r="H351" s="50">
        <f t="shared" si="11"/>
        <v>153</v>
      </c>
    </row>
    <row r="352" spans="1:8">
      <c r="A352" s="48" t="s">
        <v>1199</v>
      </c>
      <c r="B352" s="48" t="s">
        <v>1204</v>
      </c>
      <c r="C352" s="48" t="str">
        <f t="shared" si="10"/>
        <v>Pittsburg</v>
      </c>
      <c r="D352" s="51">
        <v>392</v>
      </c>
      <c r="E352" s="51">
        <v>254</v>
      </c>
      <c r="F352" s="51">
        <v>316</v>
      </c>
      <c r="G352" s="51">
        <v>1063</v>
      </c>
      <c r="H352" s="50">
        <f t="shared" si="11"/>
        <v>2025</v>
      </c>
    </row>
    <row r="353" spans="1:8">
      <c r="A353" s="48" t="s">
        <v>972</v>
      </c>
      <c r="B353" s="48" t="s">
        <v>982</v>
      </c>
      <c r="C353" s="48" t="str">
        <f t="shared" si="10"/>
        <v>Placentia</v>
      </c>
      <c r="D353" s="51">
        <v>112</v>
      </c>
      <c r="E353" s="51">
        <v>81</v>
      </c>
      <c r="F353" s="51">
        <v>90</v>
      </c>
      <c r="G353" s="51">
        <v>209</v>
      </c>
      <c r="H353" s="50">
        <f t="shared" si="11"/>
        <v>492</v>
      </c>
    </row>
    <row r="354" spans="1:8">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c r="A355" s="48" t="s">
        <v>1194</v>
      </c>
      <c r="B355" s="48" t="s">
        <v>1195</v>
      </c>
      <c r="C355" s="48" t="str">
        <f t="shared" si="10"/>
        <v>Placerville</v>
      </c>
      <c r="D355" s="51">
        <v>78</v>
      </c>
      <c r="E355" s="51">
        <v>55</v>
      </c>
      <c r="F355" s="51">
        <v>69</v>
      </c>
      <c r="G355" s="51">
        <v>170</v>
      </c>
      <c r="H355" s="50">
        <f t="shared" si="11"/>
        <v>372</v>
      </c>
    </row>
    <row r="356" spans="1:8">
      <c r="A356" s="48" t="s">
        <v>1199</v>
      </c>
      <c r="B356" s="48" t="s">
        <v>1203</v>
      </c>
      <c r="C356" s="48" t="str">
        <f t="shared" si="10"/>
        <v>Pleasant Hill</v>
      </c>
      <c r="D356" s="51">
        <v>118</v>
      </c>
      <c r="E356" s="51">
        <v>69</v>
      </c>
      <c r="F356" s="51">
        <v>84</v>
      </c>
      <c r="G356" s="51">
        <v>177</v>
      </c>
      <c r="H356" s="50">
        <f t="shared" si="11"/>
        <v>448</v>
      </c>
    </row>
    <row r="357" spans="1:8">
      <c r="A357" s="48" t="s">
        <v>1232</v>
      </c>
      <c r="B357" s="48" t="s">
        <v>1234</v>
      </c>
      <c r="C357" s="48" t="str">
        <f t="shared" si="10"/>
        <v>Pleasanton</v>
      </c>
      <c r="D357" s="51">
        <v>716</v>
      </c>
      <c r="E357" s="51">
        <v>391</v>
      </c>
      <c r="F357" s="51">
        <v>407</v>
      </c>
      <c r="G357" s="51">
        <v>553</v>
      </c>
      <c r="H357" s="50">
        <f t="shared" si="11"/>
        <v>2067</v>
      </c>
    </row>
    <row r="358" spans="1:8">
      <c r="A358" s="48" t="s">
        <v>412</v>
      </c>
      <c r="B358" s="48" t="str">
        <f>A358</f>
        <v>Plumas County - Unincorporated</v>
      </c>
      <c r="C358" s="48" t="str">
        <f t="shared" si="10"/>
        <v>Plumas County - Unincorporated</v>
      </c>
      <c r="D358" s="51">
        <v>12</v>
      </c>
      <c r="E358" s="51">
        <v>8</v>
      </c>
      <c r="F358" s="51">
        <v>12</v>
      </c>
      <c r="G358" s="51">
        <v>25</v>
      </c>
      <c r="H358" s="50">
        <f t="shared" si="11"/>
        <v>57</v>
      </c>
    </row>
    <row r="359" spans="1:8">
      <c r="A359" s="48" t="s">
        <v>1226</v>
      </c>
      <c r="B359" s="48" t="s">
        <v>1227</v>
      </c>
      <c r="C359" s="48" t="str">
        <f t="shared" si="10"/>
        <v>Plymouth</v>
      </c>
      <c r="D359" s="51">
        <v>1</v>
      </c>
      <c r="E359" s="51">
        <v>1</v>
      </c>
      <c r="F359" s="51">
        <v>1</v>
      </c>
      <c r="G359" s="51">
        <v>1</v>
      </c>
      <c r="H359" s="50">
        <f t="shared" si="11"/>
        <v>4</v>
      </c>
    </row>
    <row r="360" spans="1:8">
      <c r="A360" s="48" t="s">
        <v>1035</v>
      </c>
      <c r="B360" s="48" t="s">
        <v>1037</v>
      </c>
      <c r="C360" s="48" t="str">
        <f t="shared" si="10"/>
        <v>Point Arena</v>
      </c>
      <c r="D360" s="51">
        <v>1</v>
      </c>
      <c r="E360" s="51">
        <v>1</v>
      </c>
      <c r="F360" s="51">
        <v>1</v>
      </c>
      <c r="G360" s="51">
        <v>1</v>
      </c>
      <c r="H360" s="50">
        <f t="shared" si="11"/>
        <v>4</v>
      </c>
    </row>
    <row r="361" spans="1:8">
      <c r="A361" s="48" t="s">
        <v>1049</v>
      </c>
      <c r="B361" s="48" t="s">
        <v>1074</v>
      </c>
      <c r="C361" s="48" t="str">
        <f t="shared" si="10"/>
        <v>Pomona</v>
      </c>
      <c r="D361" s="51">
        <v>919</v>
      </c>
      <c r="E361" s="51">
        <v>543</v>
      </c>
      <c r="F361" s="51">
        <v>592</v>
      </c>
      <c r="G361" s="51">
        <v>1572</v>
      </c>
      <c r="H361" s="50">
        <f t="shared" si="11"/>
        <v>3626</v>
      </c>
    </row>
    <row r="362" spans="1:8">
      <c r="A362" s="48" t="s">
        <v>764</v>
      </c>
      <c r="B362" s="48" t="s">
        <v>768</v>
      </c>
      <c r="C362" s="48" t="str">
        <f t="shared" si="10"/>
        <v>Port Hueneme</v>
      </c>
      <c r="D362" s="51">
        <v>1</v>
      </c>
      <c r="E362" s="51">
        <v>1</v>
      </c>
      <c r="F362" s="51">
        <v>0</v>
      </c>
      <c r="G362" s="51">
        <v>0</v>
      </c>
      <c r="H362" s="50">
        <f t="shared" si="11"/>
        <v>2</v>
      </c>
    </row>
    <row r="363" spans="1:8">
      <c r="A363" s="48" t="s">
        <v>777</v>
      </c>
      <c r="B363" s="48" t="s">
        <v>779</v>
      </c>
      <c r="C363" s="48" t="str">
        <f t="shared" si="10"/>
        <v>Porterville</v>
      </c>
      <c r="D363" s="52">
        <v>623</v>
      </c>
      <c r="E363" s="52">
        <v>576</v>
      </c>
      <c r="F363" s="52">
        <v>566</v>
      </c>
      <c r="G363" s="52">
        <v>1431</v>
      </c>
      <c r="H363" s="50">
        <f t="shared" si="11"/>
        <v>3196</v>
      </c>
    </row>
    <row r="364" spans="1:8">
      <c r="A364" s="48" t="s">
        <v>964</v>
      </c>
      <c r="B364" s="48" t="s">
        <v>963</v>
      </c>
      <c r="C364" s="48" t="str">
        <f t="shared" si="10"/>
        <v>Portola</v>
      </c>
      <c r="D364" s="51">
        <v>3</v>
      </c>
      <c r="E364" s="51">
        <v>2</v>
      </c>
      <c r="F364" s="51">
        <v>3</v>
      </c>
      <c r="G364" s="51">
        <v>5</v>
      </c>
      <c r="H364" s="50">
        <f t="shared" si="11"/>
        <v>13</v>
      </c>
    </row>
    <row r="365" spans="1:8">
      <c r="A365" s="48" t="s">
        <v>857</v>
      </c>
      <c r="B365" s="48" t="s">
        <v>1336</v>
      </c>
      <c r="C365" s="48" t="str">
        <f t="shared" si="10"/>
        <v>Portola Valley</v>
      </c>
      <c r="D365" s="51">
        <v>21</v>
      </c>
      <c r="E365" s="51">
        <v>15</v>
      </c>
      <c r="F365" s="51">
        <v>15</v>
      </c>
      <c r="G365" s="51">
        <v>13</v>
      </c>
      <c r="H365" s="50">
        <f t="shared" si="11"/>
        <v>64</v>
      </c>
    </row>
    <row r="366" spans="1:8">
      <c r="A366" s="48" t="s">
        <v>889</v>
      </c>
      <c r="B366" s="48" t="s">
        <v>893</v>
      </c>
      <c r="C366" s="48" t="str">
        <f t="shared" si="10"/>
        <v>Poway</v>
      </c>
      <c r="D366" s="51">
        <v>201</v>
      </c>
      <c r="E366" s="51">
        <v>152</v>
      </c>
      <c r="F366" s="51">
        <v>282</v>
      </c>
      <c r="G366" s="51">
        <v>618</v>
      </c>
      <c r="H366" s="50">
        <f t="shared" si="11"/>
        <v>1253</v>
      </c>
    </row>
    <row r="367" spans="1:8">
      <c r="A367" s="48" t="s">
        <v>932</v>
      </c>
      <c r="B367" s="48" t="s">
        <v>933</v>
      </c>
      <c r="C367" s="48" t="str">
        <f t="shared" si="10"/>
        <v>Rancho Cordova</v>
      </c>
      <c r="D367" s="51">
        <v>1539</v>
      </c>
      <c r="E367" s="51">
        <v>1079</v>
      </c>
      <c r="F367" s="51">
        <v>1303</v>
      </c>
      <c r="G367" s="51">
        <v>3087</v>
      </c>
      <c r="H367" s="50">
        <f t="shared" si="11"/>
        <v>7008</v>
      </c>
    </row>
    <row r="368" spans="1:8">
      <c r="A368" s="48" t="s">
        <v>907</v>
      </c>
      <c r="B368" s="48" t="s">
        <v>914</v>
      </c>
      <c r="C368" s="48" t="str">
        <f t="shared" si="10"/>
        <v>Rancho Cucamonga</v>
      </c>
      <c r="D368" s="51">
        <v>209</v>
      </c>
      <c r="E368" s="51">
        <v>141</v>
      </c>
      <c r="F368" s="51">
        <v>158</v>
      </c>
      <c r="G368" s="51">
        <v>340</v>
      </c>
      <c r="H368" s="50">
        <f t="shared" si="11"/>
        <v>848</v>
      </c>
    </row>
    <row r="369" spans="1:8">
      <c r="A369" s="48" t="s">
        <v>939</v>
      </c>
      <c r="B369" s="48" t="s">
        <v>942</v>
      </c>
      <c r="C369" s="48" t="str">
        <f t="shared" si="10"/>
        <v>Rancho Mirage</v>
      </c>
      <c r="D369" s="51">
        <v>23</v>
      </c>
      <c r="E369" s="51">
        <v>15</v>
      </c>
      <c r="F369" s="51">
        <v>18</v>
      </c>
      <c r="G369" s="51">
        <v>39</v>
      </c>
      <c r="H369" s="50">
        <f t="shared" si="11"/>
        <v>95</v>
      </c>
    </row>
    <row r="370" spans="1:8">
      <c r="A370" s="48" t="s">
        <v>1049</v>
      </c>
      <c r="B370" s="48" t="s">
        <v>1073</v>
      </c>
      <c r="C370" s="48" t="str">
        <f t="shared" si="10"/>
        <v>Rancho Palos Verdes</v>
      </c>
      <c r="D370" s="51">
        <v>8</v>
      </c>
      <c r="E370" s="51">
        <v>5</v>
      </c>
      <c r="F370" s="51">
        <v>5</v>
      </c>
      <c r="G370" s="51">
        <v>13</v>
      </c>
      <c r="H370" s="50">
        <f t="shared" si="11"/>
        <v>31</v>
      </c>
    </row>
    <row r="371" spans="1:8">
      <c r="A371" s="48" t="s">
        <v>972</v>
      </c>
      <c r="B371" s="48" t="s">
        <v>981</v>
      </c>
      <c r="C371" s="48" t="str">
        <f t="shared" si="10"/>
        <v>Rancho Santa Margarita</v>
      </c>
      <c r="D371" s="51">
        <v>1</v>
      </c>
      <c r="E371" s="51">
        <v>1</v>
      </c>
      <c r="F371" s="51">
        <v>0</v>
      </c>
      <c r="G371" s="51">
        <v>0</v>
      </c>
      <c r="H371" s="50">
        <f t="shared" si="11"/>
        <v>2</v>
      </c>
    </row>
    <row r="372" spans="1:8">
      <c r="A372" s="48" t="s">
        <v>784</v>
      </c>
      <c r="B372" s="48" t="s">
        <v>785</v>
      </c>
      <c r="C372" s="48" t="str">
        <f t="shared" si="10"/>
        <v>Red Bluff</v>
      </c>
      <c r="D372" s="51">
        <v>73</v>
      </c>
      <c r="E372" s="51">
        <v>52</v>
      </c>
      <c r="F372" s="51">
        <v>61</v>
      </c>
      <c r="G372" s="51">
        <v>137</v>
      </c>
      <c r="H372" s="50">
        <f t="shared" si="11"/>
        <v>323</v>
      </c>
    </row>
    <row r="373" spans="1:8">
      <c r="A373" s="48" t="s">
        <v>829</v>
      </c>
      <c r="B373" s="48" t="s">
        <v>830</v>
      </c>
      <c r="C373" s="48" t="str">
        <f t="shared" si="10"/>
        <v>Redding</v>
      </c>
      <c r="D373" s="51">
        <v>287</v>
      </c>
      <c r="E373" s="51">
        <v>181</v>
      </c>
      <c r="F373" s="51">
        <v>205</v>
      </c>
      <c r="G373" s="51">
        <v>502</v>
      </c>
      <c r="H373" s="50">
        <f t="shared" si="11"/>
        <v>1175</v>
      </c>
    </row>
    <row r="374" spans="1:8">
      <c r="A374" s="48" t="s">
        <v>907</v>
      </c>
      <c r="B374" s="48" t="s">
        <v>913</v>
      </c>
      <c r="C374" s="48" t="str">
        <f t="shared" si="10"/>
        <v>Redlands</v>
      </c>
      <c r="D374" s="51">
        <v>579</v>
      </c>
      <c r="E374" s="51">
        <v>396</v>
      </c>
      <c r="F374" s="51">
        <v>453</v>
      </c>
      <c r="G374" s="51">
        <v>1001</v>
      </c>
      <c r="H374" s="50">
        <f t="shared" si="11"/>
        <v>2429</v>
      </c>
    </row>
    <row r="375" spans="1:8">
      <c r="A375" s="48" t="s">
        <v>1049</v>
      </c>
      <c r="B375" s="48" t="s">
        <v>1072</v>
      </c>
      <c r="C375" s="48" t="str">
        <f t="shared" si="10"/>
        <v>Redondo Beach</v>
      </c>
      <c r="D375" s="51">
        <v>372</v>
      </c>
      <c r="E375" s="51">
        <v>223</v>
      </c>
      <c r="F375" s="51">
        <v>238</v>
      </c>
      <c r="G375" s="51">
        <v>564</v>
      </c>
      <c r="H375" s="50">
        <f t="shared" si="11"/>
        <v>1397</v>
      </c>
    </row>
    <row r="376" spans="1:8">
      <c r="A376" s="48" t="s">
        <v>857</v>
      </c>
      <c r="B376" s="48" t="s">
        <v>861</v>
      </c>
      <c r="C376" s="48" t="str">
        <f t="shared" si="10"/>
        <v>Redwood City</v>
      </c>
      <c r="D376" s="51">
        <v>706</v>
      </c>
      <c r="E376" s="51">
        <v>429</v>
      </c>
      <c r="F376" s="51">
        <v>502</v>
      </c>
      <c r="G376" s="51">
        <v>1152</v>
      </c>
      <c r="H376" s="50">
        <f t="shared" si="11"/>
        <v>2789</v>
      </c>
    </row>
    <row r="377" spans="1:8">
      <c r="A377" s="48" t="s">
        <v>1180</v>
      </c>
      <c r="B377" s="48" t="s">
        <v>1182</v>
      </c>
      <c r="C377" s="48" t="str">
        <f t="shared" si="10"/>
        <v>Reedley</v>
      </c>
      <c r="D377" s="58">
        <v>393</v>
      </c>
      <c r="E377" s="58">
        <v>204</v>
      </c>
      <c r="F377" s="58">
        <v>161</v>
      </c>
      <c r="G377" s="58">
        <v>553</v>
      </c>
      <c r="H377" s="50">
        <f t="shared" si="11"/>
        <v>1311</v>
      </c>
    </row>
    <row r="378" spans="1:8">
      <c r="A378" s="48" t="s">
        <v>907</v>
      </c>
      <c r="B378" s="48" t="s">
        <v>912</v>
      </c>
      <c r="C378" s="48" t="str">
        <f t="shared" si="10"/>
        <v>Rialto</v>
      </c>
      <c r="D378" s="51">
        <v>636</v>
      </c>
      <c r="E378" s="51">
        <v>432</v>
      </c>
      <c r="F378" s="51">
        <v>496</v>
      </c>
      <c r="G378" s="51">
        <v>1151</v>
      </c>
      <c r="H378" s="50">
        <f t="shared" si="11"/>
        <v>2715</v>
      </c>
    </row>
    <row r="379" spans="1:8">
      <c r="A379" s="48" t="s">
        <v>1199</v>
      </c>
      <c r="B379" s="48" t="s">
        <v>1202</v>
      </c>
      <c r="C379" s="48" t="str">
        <f t="shared" si="10"/>
        <v>Richmond</v>
      </c>
      <c r="D379" s="51">
        <v>438</v>
      </c>
      <c r="E379" s="51">
        <v>305</v>
      </c>
      <c r="F379" s="51">
        <v>410</v>
      </c>
      <c r="G379" s="51">
        <v>1282</v>
      </c>
      <c r="H379" s="50">
        <f t="shared" si="11"/>
        <v>2435</v>
      </c>
    </row>
    <row r="380" spans="1:8">
      <c r="A380" s="48" t="s">
        <v>1147</v>
      </c>
      <c r="B380" s="48" t="s">
        <v>1151</v>
      </c>
      <c r="C380" s="48" t="str">
        <f t="shared" si="10"/>
        <v>Ridgecrest</v>
      </c>
      <c r="D380" s="58">
        <v>159</v>
      </c>
      <c r="E380" s="58">
        <v>131</v>
      </c>
      <c r="F380" s="58">
        <v>207</v>
      </c>
      <c r="G380" s="58">
        <v>848</v>
      </c>
      <c r="H380" s="50">
        <f t="shared" si="11"/>
        <v>1345</v>
      </c>
    </row>
    <row r="381" spans="1:8">
      <c r="A381" s="48" t="s">
        <v>1169</v>
      </c>
      <c r="B381" s="48" t="s">
        <v>1170</v>
      </c>
      <c r="C381" s="48" t="str">
        <f t="shared" si="10"/>
        <v>Rio Dell</v>
      </c>
      <c r="D381" s="51">
        <v>8</v>
      </c>
      <c r="E381" s="51">
        <v>4</v>
      </c>
      <c r="F381" s="51">
        <v>4</v>
      </c>
      <c r="G381" s="51">
        <v>15</v>
      </c>
      <c r="H381" s="50">
        <f t="shared" si="11"/>
        <v>31</v>
      </c>
    </row>
    <row r="382" spans="1:8">
      <c r="A382" s="48" t="s">
        <v>809</v>
      </c>
      <c r="B382" s="48" t="s">
        <v>812</v>
      </c>
      <c r="C382" s="48" t="str">
        <f t="shared" si="10"/>
        <v>Rio Vista</v>
      </c>
      <c r="D382" s="51">
        <v>45</v>
      </c>
      <c r="E382" s="51">
        <v>36</v>
      </c>
      <c r="F382" s="51">
        <v>48</v>
      </c>
      <c r="G382" s="51">
        <v>170</v>
      </c>
      <c r="H382" s="50">
        <f t="shared" si="11"/>
        <v>299</v>
      </c>
    </row>
    <row r="383" spans="1:8">
      <c r="A383" s="48" t="s">
        <v>881</v>
      </c>
      <c r="B383" s="48" t="s">
        <v>883</v>
      </c>
      <c r="C383" s="48" t="str">
        <f t="shared" si="10"/>
        <v>Ripon</v>
      </c>
      <c r="D383" s="57">
        <v>308</v>
      </c>
      <c r="E383" s="57">
        <v>215</v>
      </c>
      <c r="F383" s="57">
        <v>231</v>
      </c>
      <c r="G383" s="57">
        <v>726</v>
      </c>
      <c r="H383" s="50">
        <f t="shared" si="11"/>
        <v>1480</v>
      </c>
    </row>
    <row r="384" spans="1:8">
      <c r="A384" s="48" t="s">
        <v>791</v>
      </c>
      <c r="B384" s="48" t="s">
        <v>793</v>
      </c>
      <c r="C384" s="48" t="str">
        <f t="shared" si="10"/>
        <v>Riverbank</v>
      </c>
      <c r="D384" s="52">
        <v>321</v>
      </c>
      <c r="E384" s="52">
        <v>206</v>
      </c>
      <c r="F384" s="52">
        <v>217</v>
      </c>
      <c r="G384" s="52">
        <v>536</v>
      </c>
      <c r="H384" s="50">
        <f t="shared" si="11"/>
        <v>1280</v>
      </c>
    </row>
    <row r="385" spans="1:8">
      <c r="A385" s="48" t="s">
        <v>939</v>
      </c>
      <c r="B385" s="48" t="s">
        <v>939</v>
      </c>
      <c r="C385" s="48" t="str">
        <f t="shared" si="10"/>
        <v>Riverside</v>
      </c>
      <c r="D385" s="51">
        <v>2002</v>
      </c>
      <c r="E385" s="51">
        <v>1336</v>
      </c>
      <c r="F385" s="51">
        <v>1503</v>
      </c>
      <c r="G385" s="51">
        <v>3442</v>
      </c>
      <c r="H385" s="50">
        <f t="shared" si="11"/>
        <v>8283</v>
      </c>
    </row>
    <row r="386" spans="1:8">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c r="A387" s="48" t="s">
        <v>966</v>
      </c>
      <c r="B387" s="48" t="s">
        <v>967</v>
      </c>
      <c r="C387" s="48" t="str">
        <f t="shared" si="12"/>
        <v>Rocklin</v>
      </c>
      <c r="D387" s="51">
        <v>1040</v>
      </c>
      <c r="E387" s="51">
        <v>729</v>
      </c>
      <c r="F387" s="51">
        <v>709</v>
      </c>
      <c r="G387" s="51">
        <v>1335</v>
      </c>
      <c r="H387" s="50">
        <f t="shared" si="13"/>
        <v>3813</v>
      </c>
    </row>
    <row r="388" spans="1:8">
      <c r="A388" s="48" t="s">
        <v>800</v>
      </c>
      <c r="B388" s="48" t="s">
        <v>803</v>
      </c>
      <c r="C388" s="48" t="str">
        <f t="shared" si="12"/>
        <v>Rohnert Park</v>
      </c>
      <c r="D388" s="51">
        <v>181</v>
      </c>
      <c r="E388" s="51">
        <v>107</v>
      </c>
      <c r="F388" s="51">
        <v>127</v>
      </c>
      <c r="G388" s="51">
        <v>484</v>
      </c>
      <c r="H388" s="50">
        <f t="shared" si="13"/>
        <v>899</v>
      </c>
    </row>
    <row r="389" spans="1:8">
      <c r="A389" s="48" t="s">
        <v>1049</v>
      </c>
      <c r="B389" s="48" t="s">
        <v>1071</v>
      </c>
      <c r="C389" s="48" t="str">
        <f t="shared" si="12"/>
        <v>Rolling Hills</v>
      </c>
      <c r="D389" s="51">
        <v>2</v>
      </c>
      <c r="E389" s="51">
        <v>1</v>
      </c>
      <c r="F389" s="51">
        <v>1</v>
      </c>
      <c r="G389" s="51">
        <v>2</v>
      </c>
      <c r="H389" s="50">
        <f t="shared" si="13"/>
        <v>6</v>
      </c>
    </row>
    <row r="390" spans="1:8">
      <c r="A390" s="48" t="s">
        <v>1049</v>
      </c>
      <c r="B390" s="48" t="s">
        <v>1070</v>
      </c>
      <c r="C390" s="48" t="str">
        <f t="shared" si="12"/>
        <v>Rolling Hills Estates</v>
      </c>
      <c r="D390" s="51">
        <v>1</v>
      </c>
      <c r="E390" s="51">
        <v>1</v>
      </c>
      <c r="F390" s="51">
        <v>1</v>
      </c>
      <c r="G390" s="51">
        <v>2</v>
      </c>
      <c r="H390" s="50">
        <f t="shared" si="13"/>
        <v>5</v>
      </c>
    </row>
    <row r="391" spans="1:8">
      <c r="A391" s="48" t="s">
        <v>1049</v>
      </c>
      <c r="B391" s="48" t="s">
        <v>1069</v>
      </c>
      <c r="C391" s="48" t="str">
        <f t="shared" si="12"/>
        <v>Rosemead</v>
      </c>
      <c r="D391" s="51">
        <v>153</v>
      </c>
      <c r="E391" s="51">
        <v>88</v>
      </c>
      <c r="F391" s="51">
        <v>99</v>
      </c>
      <c r="G391" s="51">
        <v>262</v>
      </c>
      <c r="H391" s="50">
        <f t="shared" si="13"/>
        <v>602</v>
      </c>
    </row>
    <row r="392" spans="1:8">
      <c r="A392" s="48" t="s">
        <v>966</v>
      </c>
      <c r="B392" s="48" t="s">
        <v>965</v>
      </c>
      <c r="C392" s="48" t="str">
        <f t="shared" si="12"/>
        <v>Roseville</v>
      </c>
      <c r="D392" s="51">
        <v>2268</v>
      </c>
      <c r="E392" s="51">
        <v>1590</v>
      </c>
      <c r="F392" s="51">
        <v>1577</v>
      </c>
      <c r="G392" s="51">
        <v>3043</v>
      </c>
      <c r="H392" s="50">
        <f t="shared" si="13"/>
        <v>8478</v>
      </c>
    </row>
    <row r="393" spans="1:8">
      <c r="A393" s="48" t="s">
        <v>1039</v>
      </c>
      <c r="B393" s="48" t="s">
        <v>1323</v>
      </c>
      <c r="C393" s="48" t="str">
        <f t="shared" si="12"/>
        <v>Ross</v>
      </c>
      <c r="D393" s="51">
        <v>6</v>
      </c>
      <c r="E393" s="51">
        <v>4</v>
      </c>
      <c r="F393" s="51">
        <v>4</v>
      </c>
      <c r="G393" s="51">
        <v>4</v>
      </c>
      <c r="H393" s="50">
        <f t="shared" si="13"/>
        <v>18</v>
      </c>
    </row>
    <row r="394" spans="1:8">
      <c r="A394" s="48" t="s">
        <v>932</v>
      </c>
      <c r="B394" s="48" t="s">
        <v>932</v>
      </c>
      <c r="C394" s="48" t="str">
        <f t="shared" si="12"/>
        <v>Sacramento</v>
      </c>
      <c r="D394" s="51">
        <v>4944</v>
      </c>
      <c r="E394" s="51">
        <v>3467</v>
      </c>
      <c r="F394" s="51">
        <v>4482</v>
      </c>
      <c r="G394" s="51">
        <v>11208</v>
      </c>
      <c r="H394" s="50">
        <f t="shared" si="13"/>
        <v>24101</v>
      </c>
    </row>
    <row r="395" spans="1:8">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c r="A396" s="48" t="s">
        <v>1014</v>
      </c>
      <c r="B396" s="48" t="s">
        <v>1017</v>
      </c>
      <c r="C396" s="48" t="str">
        <f t="shared" si="12"/>
        <v>Salinas</v>
      </c>
      <c r="D396" s="54">
        <v>537</v>
      </c>
      <c r="E396" s="54">
        <v>351</v>
      </c>
      <c r="F396" s="54">
        <v>407</v>
      </c>
      <c r="G396" s="54">
        <v>934</v>
      </c>
      <c r="H396" s="59">
        <f t="shared" si="13"/>
        <v>2229</v>
      </c>
    </row>
    <row r="397" spans="1:8">
      <c r="A397" s="48" t="s">
        <v>1039</v>
      </c>
      <c r="B397" s="48" t="s">
        <v>1324</v>
      </c>
      <c r="C397" s="48" t="str">
        <f t="shared" si="12"/>
        <v>San Anselmo</v>
      </c>
      <c r="D397" s="51">
        <v>33</v>
      </c>
      <c r="E397" s="51">
        <v>17</v>
      </c>
      <c r="F397" s="51">
        <v>19</v>
      </c>
      <c r="G397" s="51">
        <v>37</v>
      </c>
      <c r="H397" s="50">
        <f t="shared" si="13"/>
        <v>106</v>
      </c>
    </row>
    <row r="398" spans="1:8">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c r="A399" s="48" t="s">
        <v>907</v>
      </c>
      <c r="B399" s="48" t="s">
        <v>907</v>
      </c>
      <c r="C399" s="48" t="str">
        <f t="shared" si="12"/>
        <v>San Bernardino</v>
      </c>
      <c r="D399" s="51">
        <v>980</v>
      </c>
      <c r="E399" s="51">
        <v>696</v>
      </c>
      <c r="F399" s="51">
        <v>808</v>
      </c>
      <c r="G399" s="51">
        <v>1900</v>
      </c>
      <c r="H399" s="50">
        <f t="shared" si="13"/>
        <v>4384</v>
      </c>
    </row>
    <row r="400" spans="1:8">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c r="A401" s="48" t="s">
        <v>857</v>
      </c>
      <c r="B401" s="48" t="s">
        <v>860</v>
      </c>
      <c r="C401" s="48" t="str">
        <f t="shared" si="12"/>
        <v>San Bruno</v>
      </c>
      <c r="D401" s="51">
        <v>358</v>
      </c>
      <c r="E401" s="51">
        <v>161</v>
      </c>
      <c r="F401" s="51">
        <v>205</v>
      </c>
      <c r="G401" s="51">
        <v>431</v>
      </c>
      <c r="H401" s="50">
        <f t="shared" si="13"/>
        <v>1155</v>
      </c>
    </row>
    <row r="402" spans="1:8">
      <c r="A402" s="48" t="s">
        <v>764</v>
      </c>
      <c r="B402" s="48" t="s">
        <v>767</v>
      </c>
      <c r="C402" s="48" t="str">
        <f t="shared" si="12"/>
        <v>San Buenaventura</v>
      </c>
      <c r="D402" s="51">
        <v>861</v>
      </c>
      <c r="E402" s="51">
        <v>591</v>
      </c>
      <c r="F402" s="51">
        <v>673</v>
      </c>
      <c r="G402" s="51">
        <v>1529</v>
      </c>
      <c r="H402" s="50">
        <f t="shared" si="13"/>
        <v>3654</v>
      </c>
    </row>
    <row r="403" spans="1:8">
      <c r="A403" s="48" t="s">
        <v>857</v>
      </c>
      <c r="B403" s="48" t="s">
        <v>859</v>
      </c>
      <c r="C403" s="48" t="str">
        <f t="shared" si="12"/>
        <v>San Carlos</v>
      </c>
      <c r="D403" s="51">
        <v>195</v>
      </c>
      <c r="E403" s="51">
        <v>107</v>
      </c>
      <c r="F403" s="51">
        <v>111</v>
      </c>
      <c r="G403" s="51">
        <v>183</v>
      </c>
      <c r="H403" s="50">
        <f t="shared" si="13"/>
        <v>596</v>
      </c>
    </row>
    <row r="404" spans="1:8">
      <c r="A404" s="48" t="s">
        <v>972</v>
      </c>
      <c r="B404" s="48" t="s">
        <v>980</v>
      </c>
      <c r="C404" s="48" t="str">
        <f t="shared" si="12"/>
        <v>San Clemente</v>
      </c>
      <c r="D404" s="51">
        <v>134</v>
      </c>
      <c r="E404" s="51">
        <v>95</v>
      </c>
      <c r="F404" s="51">
        <v>108</v>
      </c>
      <c r="G404" s="51">
        <v>244</v>
      </c>
      <c r="H404" s="50">
        <f t="shared" si="13"/>
        <v>581</v>
      </c>
    </row>
    <row r="405" spans="1:8">
      <c r="A405" s="48" t="s">
        <v>889</v>
      </c>
      <c r="B405" s="48" t="s">
        <v>889</v>
      </c>
      <c r="C405" s="48" t="str">
        <f t="shared" si="12"/>
        <v>San Diego</v>
      </c>
      <c r="D405" s="51">
        <v>21977</v>
      </c>
      <c r="E405" s="51">
        <v>16703</v>
      </c>
      <c r="F405" s="51">
        <v>15462</v>
      </c>
      <c r="G405" s="51">
        <v>33954</v>
      </c>
      <c r="H405" s="50">
        <f t="shared" si="13"/>
        <v>88096</v>
      </c>
    </row>
    <row r="406" spans="1:8">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c r="A407" s="48" t="s">
        <v>1049</v>
      </c>
      <c r="B407" s="48" t="s">
        <v>1068</v>
      </c>
      <c r="C407" s="48" t="str">
        <f t="shared" si="12"/>
        <v>San Dimas</v>
      </c>
      <c r="D407" s="51">
        <v>121</v>
      </c>
      <c r="E407" s="51">
        <v>72</v>
      </c>
      <c r="F407" s="51">
        <v>77</v>
      </c>
      <c r="G407" s="51">
        <v>193</v>
      </c>
      <c r="H407" s="50">
        <f t="shared" si="13"/>
        <v>463</v>
      </c>
    </row>
    <row r="408" spans="1:8">
      <c r="A408" s="48" t="s">
        <v>1049</v>
      </c>
      <c r="B408" s="48" t="s">
        <v>1067</v>
      </c>
      <c r="C408" s="48" t="str">
        <f t="shared" si="12"/>
        <v>San Fernando</v>
      </c>
      <c r="D408" s="51">
        <v>55</v>
      </c>
      <c r="E408" s="51">
        <v>32</v>
      </c>
      <c r="F408" s="51">
        <v>35</v>
      </c>
      <c r="G408" s="51">
        <v>95</v>
      </c>
      <c r="H408" s="50">
        <f t="shared" si="13"/>
        <v>217</v>
      </c>
    </row>
    <row r="409" spans="1:8">
      <c r="A409" s="45" t="s">
        <v>753</v>
      </c>
      <c r="B409" s="49" t="s">
        <v>753</v>
      </c>
      <c r="C409" s="48" t="str">
        <f t="shared" si="12"/>
        <v>San Francisco</v>
      </c>
      <c r="D409" s="47">
        <v>6234</v>
      </c>
      <c r="E409" s="47">
        <v>4639</v>
      </c>
      <c r="F409" s="47">
        <v>5460</v>
      </c>
      <c r="G409" s="47">
        <v>12536</v>
      </c>
      <c r="H409" s="46">
        <f t="shared" si="13"/>
        <v>28869</v>
      </c>
    </row>
    <row r="410" spans="1:8">
      <c r="A410" s="48" t="s">
        <v>1049</v>
      </c>
      <c r="B410" s="48" t="s">
        <v>1066</v>
      </c>
      <c r="C410" s="48" t="str">
        <f t="shared" si="12"/>
        <v>San Gabriel</v>
      </c>
      <c r="D410" s="51">
        <v>236</v>
      </c>
      <c r="E410" s="51">
        <v>142</v>
      </c>
      <c r="F410" s="51">
        <v>154</v>
      </c>
      <c r="G410" s="51">
        <v>398</v>
      </c>
      <c r="H410" s="50">
        <f t="shared" si="13"/>
        <v>930</v>
      </c>
    </row>
    <row r="411" spans="1:8">
      <c r="A411" s="48" t="s">
        <v>939</v>
      </c>
      <c r="B411" s="48" t="s">
        <v>941</v>
      </c>
      <c r="C411" s="48" t="str">
        <f t="shared" si="12"/>
        <v>San Jacinto</v>
      </c>
      <c r="D411" s="51">
        <v>562</v>
      </c>
      <c r="E411" s="51">
        <v>394</v>
      </c>
      <c r="F411" s="51">
        <v>441</v>
      </c>
      <c r="G411" s="51">
        <v>1036</v>
      </c>
      <c r="H411" s="50">
        <f t="shared" si="13"/>
        <v>2433</v>
      </c>
    </row>
    <row r="412" spans="1:8">
      <c r="A412" s="48" t="s">
        <v>1180</v>
      </c>
      <c r="B412" s="48" t="s">
        <v>881</v>
      </c>
      <c r="C412" s="48" t="str">
        <f t="shared" si="12"/>
        <v>San Joaquin</v>
      </c>
      <c r="D412" s="58">
        <v>103</v>
      </c>
      <c r="E412" s="58">
        <v>36</v>
      </c>
      <c r="F412" s="58">
        <v>35</v>
      </c>
      <c r="G412" s="58">
        <v>204</v>
      </c>
      <c r="H412" s="50">
        <f t="shared" si="13"/>
        <v>378</v>
      </c>
    </row>
    <row r="413" spans="1:8">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c r="A414" s="48" t="s">
        <v>837</v>
      </c>
      <c r="B414" s="48" t="s">
        <v>839</v>
      </c>
      <c r="C414" s="48" t="str">
        <f t="shared" si="12"/>
        <v>San Jose</v>
      </c>
      <c r="D414" s="51">
        <v>9233</v>
      </c>
      <c r="E414" s="51">
        <v>5428</v>
      </c>
      <c r="F414" s="51">
        <v>6188</v>
      </c>
      <c r="G414" s="51">
        <v>14231</v>
      </c>
      <c r="H414" s="50">
        <f t="shared" si="13"/>
        <v>35080</v>
      </c>
    </row>
    <row r="415" spans="1:8">
      <c r="A415" s="48" t="s">
        <v>930</v>
      </c>
      <c r="B415" s="48" t="s">
        <v>929</v>
      </c>
      <c r="C415" s="48" t="str">
        <f t="shared" si="12"/>
        <v>San Juan Bautista</v>
      </c>
      <c r="D415" s="58">
        <v>10</v>
      </c>
      <c r="E415" s="58">
        <v>6</v>
      </c>
      <c r="F415" s="58">
        <v>8</v>
      </c>
      <c r="G415" s="58">
        <v>17</v>
      </c>
      <c r="H415" s="50">
        <f t="shared" si="13"/>
        <v>41</v>
      </c>
    </row>
    <row r="416" spans="1:8">
      <c r="A416" s="48" t="s">
        <v>972</v>
      </c>
      <c r="B416" s="48" t="s">
        <v>979</v>
      </c>
      <c r="C416" s="48" t="str">
        <f t="shared" si="12"/>
        <v>San Juan Capistrano</v>
      </c>
      <c r="D416" s="51">
        <v>147</v>
      </c>
      <c r="E416" s="51">
        <v>104</v>
      </c>
      <c r="F416" s="51">
        <v>120</v>
      </c>
      <c r="G416" s="51">
        <v>267</v>
      </c>
      <c r="H416" s="50">
        <f t="shared" si="13"/>
        <v>638</v>
      </c>
    </row>
    <row r="417" spans="1:8">
      <c r="A417" s="48" t="s">
        <v>1232</v>
      </c>
      <c r="B417" s="48" t="s">
        <v>1233</v>
      </c>
      <c r="C417" s="48" t="str">
        <f t="shared" si="12"/>
        <v>San Leandro</v>
      </c>
      <c r="D417" s="51">
        <v>504</v>
      </c>
      <c r="E417" s="51">
        <v>270</v>
      </c>
      <c r="F417" s="51">
        <v>352</v>
      </c>
      <c r="G417" s="51">
        <v>1161</v>
      </c>
      <c r="H417" s="50">
        <f t="shared" si="13"/>
        <v>2287</v>
      </c>
    </row>
    <row r="418" spans="1:8">
      <c r="A418" s="48" t="s">
        <v>872</v>
      </c>
      <c r="B418" s="48" t="s">
        <v>872</v>
      </c>
      <c r="C418" s="48" t="str">
        <f t="shared" si="12"/>
        <v>San Luis Obispo</v>
      </c>
      <c r="D418" s="51">
        <v>285</v>
      </c>
      <c r="E418" s="51">
        <v>179</v>
      </c>
      <c r="F418" s="51">
        <v>201</v>
      </c>
      <c r="G418" s="51">
        <v>478</v>
      </c>
      <c r="H418" s="50">
        <f t="shared" si="13"/>
        <v>1143</v>
      </c>
    </row>
    <row r="419" spans="1:8">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c r="A420" s="48" t="s">
        <v>889</v>
      </c>
      <c r="B420" s="48" t="s">
        <v>892</v>
      </c>
      <c r="C420" s="48" t="str">
        <f t="shared" si="12"/>
        <v>San Marcos</v>
      </c>
      <c r="D420" s="51">
        <v>1043</v>
      </c>
      <c r="E420" s="51">
        <v>793</v>
      </c>
      <c r="F420" s="51">
        <v>734</v>
      </c>
      <c r="G420" s="51">
        <v>1613</v>
      </c>
      <c r="H420" s="50">
        <f t="shared" si="13"/>
        <v>4183</v>
      </c>
    </row>
    <row r="421" spans="1:8">
      <c r="A421" s="48" t="s">
        <v>1049</v>
      </c>
      <c r="B421" s="48" t="s">
        <v>1065</v>
      </c>
      <c r="C421" s="48" t="str">
        <f t="shared" si="12"/>
        <v>San Marino</v>
      </c>
      <c r="D421" s="51">
        <v>1</v>
      </c>
      <c r="E421" s="51">
        <v>1</v>
      </c>
      <c r="F421" s="51">
        <v>0</v>
      </c>
      <c r="G421" s="51">
        <v>0</v>
      </c>
      <c r="H421" s="50">
        <f t="shared" si="13"/>
        <v>2</v>
      </c>
    </row>
    <row r="422" spans="1:8">
      <c r="A422" s="48" t="s">
        <v>857</v>
      </c>
      <c r="B422" s="48" t="s">
        <v>857</v>
      </c>
      <c r="C422" s="48" t="str">
        <f t="shared" si="12"/>
        <v>San Mateo</v>
      </c>
      <c r="D422" s="51">
        <v>859</v>
      </c>
      <c r="E422" s="51">
        <v>469</v>
      </c>
      <c r="F422" s="51">
        <v>530</v>
      </c>
      <c r="G422" s="51">
        <v>1242</v>
      </c>
      <c r="H422" s="50">
        <f t="shared" si="13"/>
        <v>3100</v>
      </c>
    </row>
    <row r="423" spans="1:8">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c r="A424" s="48" t="s">
        <v>1199</v>
      </c>
      <c r="B424" s="48" t="s">
        <v>1201</v>
      </c>
      <c r="C424" s="48" t="str">
        <f t="shared" si="12"/>
        <v>San Pablo</v>
      </c>
      <c r="D424" s="51">
        <v>56</v>
      </c>
      <c r="E424" s="51">
        <v>53</v>
      </c>
      <c r="F424" s="51">
        <v>75</v>
      </c>
      <c r="G424" s="51">
        <v>265</v>
      </c>
      <c r="H424" s="50">
        <f t="shared" si="13"/>
        <v>449</v>
      </c>
    </row>
    <row r="425" spans="1:8">
      <c r="A425" s="48" t="s">
        <v>1039</v>
      </c>
      <c r="B425" s="48" t="s">
        <v>1041</v>
      </c>
      <c r="C425" s="48" t="str">
        <f t="shared" si="12"/>
        <v>San Rafael</v>
      </c>
      <c r="D425" s="51">
        <v>240</v>
      </c>
      <c r="E425" s="51">
        <v>148</v>
      </c>
      <c r="F425" s="51">
        <v>181</v>
      </c>
      <c r="G425" s="51">
        <v>438</v>
      </c>
      <c r="H425" s="50">
        <f t="shared" si="13"/>
        <v>1007</v>
      </c>
    </row>
    <row r="426" spans="1:8">
      <c r="A426" s="48" t="s">
        <v>1199</v>
      </c>
      <c r="B426" s="48" t="s">
        <v>1200</v>
      </c>
      <c r="C426" s="48" t="str">
        <f t="shared" si="12"/>
        <v>San Ramon</v>
      </c>
      <c r="D426" s="51">
        <v>516</v>
      </c>
      <c r="E426" s="51">
        <v>279</v>
      </c>
      <c r="F426" s="51">
        <v>282</v>
      </c>
      <c r="G426" s="51">
        <v>340</v>
      </c>
      <c r="H426" s="50">
        <f t="shared" si="13"/>
        <v>1417</v>
      </c>
    </row>
    <row r="427" spans="1:8">
      <c r="A427" s="48" t="s">
        <v>1014</v>
      </c>
      <c r="B427" s="48" t="s">
        <v>1016</v>
      </c>
      <c r="C427" s="48" t="str">
        <f t="shared" si="12"/>
        <v>Sand City</v>
      </c>
      <c r="D427" s="54">
        <v>13</v>
      </c>
      <c r="E427" s="54">
        <v>9</v>
      </c>
      <c r="F427" s="54">
        <v>10</v>
      </c>
      <c r="G427" s="54">
        <v>23</v>
      </c>
      <c r="H427" s="59">
        <f t="shared" si="13"/>
        <v>55</v>
      </c>
    </row>
    <row r="428" spans="1:8">
      <c r="A428" s="48" t="s">
        <v>1180</v>
      </c>
      <c r="B428" s="48" t="s">
        <v>1181</v>
      </c>
      <c r="C428" s="48" t="str">
        <f t="shared" si="12"/>
        <v>Sanger</v>
      </c>
      <c r="D428" s="58">
        <v>312</v>
      </c>
      <c r="E428" s="58">
        <v>175</v>
      </c>
      <c r="F428" s="58">
        <v>163</v>
      </c>
      <c r="G428" s="58">
        <v>568</v>
      </c>
      <c r="H428" s="50">
        <f t="shared" si="13"/>
        <v>1218</v>
      </c>
    </row>
    <row r="429" spans="1:8">
      <c r="A429" s="48" t="s">
        <v>972</v>
      </c>
      <c r="B429" s="48" t="s">
        <v>978</v>
      </c>
      <c r="C429" s="48" t="str">
        <f t="shared" si="12"/>
        <v>Santa Ana</v>
      </c>
      <c r="D429" s="51">
        <v>45</v>
      </c>
      <c r="E429" s="51">
        <v>32</v>
      </c>
      <c r="F429" s="51">
        <v>37</v>
      </c>
      <c r="G429" s="51">
        <v>90</v>
      </c>
      <c r="H429" s="50">
        <f t="shared" si="13"/>
        <v>204</v>
      </c>
    </row>
    <row r="430" spans="1:8">
      <c r="A430" s="48" t="s">
        <v>850</v>
      </c>
      <c r="B430" s="48" t="s">
        <v>850</v>
      </c>
      <c r="C430" s="48" t="str">
        <f t="shared" si="12"/>
        <v>Santa Barbara</v>
      </c>
      <c r="D430" s="55">
        <v>962</v>
      </c>
      <c r="E430" s="55">
        <v>701</v>
      </c>
      <c r="F430" s="55">
        <v>820</v>
      </c>
      <c r="G430" s="55">
        <v>1617</v>
      </c>
      <c r="H430" s="50">
        <f t="shared" si="13"/>
        <v>4100</v>
      </c>
    </row>
    <row r="431" spans="1:8">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c r="A432" s="48" t="s">
        <v>837</v>
      </c>
      <c r="B432" s="48" t="s">
        <v>837</v>
      </c>
      <c r="C432" s="48" t="str">
        <f t="shared" si="12"/>
        <v>Santa Clara</v>
      </c>
      <c r="D432" s="51">
        <v>1050</v>
      </c>
      <c r="E432" s="51">
        <v>695</v>
      </c>
      <c r="F432" s="51">
        <v>755</v>
      </c>
      <c r="G432" s="51">
        <v>1593</v>
      </c>
      <c r="H432" s="50">
        <f t="shared" si="13"/>
        <v>4093</v>
      </c>
    </row>
    <row r="433" spans="1:8">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c r="A434" s="48" t="s">
        <v>1049</v>
      </c>
      <c r="B434" s="48" t="s">
        <v>1064</v>
      </c>
      <c r="C434" s="48" t="str">
        <f t="shared" si="12"/>
        <v>Santa Clarita</v>
      </c>
      <c r="D434" s="51">
        <v>2645</v>
      </c>
      <c r="E434" s="51">
        <v>1678</v>
      </c>
      <c r="F434" s="51">
        <v>1532</v>
      </c>
      <c r="G434" s="51">
        <v>5127</v>
      </c>
      <c r="H434" s="50">
        <f t="shared" si="13"/>
        <v>10982</v>
      </c>
    </row>
    <row r="435" spans="1:8">
      <c r="A435" s="48" t="s">
        <v>833</v>
      </c>
      <c r="B435" s="48" t="s">
        <v>833</v>
      </c>
      <c r="C435" s="48" t="str">
        <f t="shared" si="12"/>
        <v>Santa Cruz</v>
      </c>
      <c r="D435" s="54">
        <v>180</v>
      </c>
      <c r="E435" s="54">
        <v>118</v>
      </c>
      <c r="F435" s="54">
        <v>136</v>
      </c>
      <c r="G435" s="54">
        <v>313</v>
      </c>
      <c r="H435" s="50">
        <f t="shared" si="13"/>
        <v>747</v>
      </c>
    </row>
    <row r="436" spans="1:8">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c r="A437" s="48" t="s">
        <v>1049</v>
      </c>
      <c r="B437" s="48" t="s">
        <v>1063</v>
      </c>
      <c r="C437" s="48" t="str">
        <f t="shared" si="12"/>
        <v>Santa Fe Springs</v>
      </c>
      <c r="D437" s="51">
        <v>82</v>
      </c>
      <c r="E437" s="51">
        <v>50</v>
      </c>
      <c r="F437" s="51">
        <v>53</v>
      </c>
      <c r="G437" s="51">
        <v>139</v>
      </c>
      <c r="H437" s="50">
        <f t="shared" si="13"/>
        <v>324</v>
      </c>
    </row>
    <row r="438" spans="1:8">
      <c r="A438" s="48" t="s">
        <v>850</v>
      </c>
      <c r="B438" s="48" t="s">
        <v>851</v>
      </c>
      <c r="C438" s="48" t="str">
        <f t="shared" si="12"/>
        <v>Santa Maria</v>
      </c>
      <c r="D438" s="55">
        <v>985</v>
      </c>
      <c r="E438" s="55">
        <v>656</v>
      </c>
      <c r="F438" s="55">
        <v>730</v>
      </c>
      <c r="G438" s="55">
        <v>1731</v>
      </c>
      <c r="H438" s="50">
        <f t="shared" si="13"/>
        <v>4102</v>
      </c>
    </row>
    <row r="439" spans="1:8">
      <c r="A439" s="48" t="s">
        <v>1049</v>
      </c>
      <c r="B439" s="48" t="s">
        <v>1062</v>
      </c>
      <c r="C439" s="48" t="str">
        <f t="shared" si="12"/>
        <v>Santa Monica</v>
      </c>
      <c r="D439" s="51">
        <v>428</v>
      </c>
      <c r="E439" s="51">
        <v>263</v>
      </c>
      <c r="F439" s="51">
        <v>283</v>
      </c>
      <c r="G439" s="51">
        <v>700</v>
      </c>
      <c r="H439" s="50">
        <f t="shared" si="13"/>
        <v>1674</v>
      </c>
    </row>
    <row r="440" spans="1:8">
      <c r="A440" s="48" t="s">
        <v>764</v>
      </c>
      <c r="B440" s="48" t="s">
        <v>766</v>
      </c>
      <c r="C440" s="48" t="str">
        <f t="shared" si="12"/>
        <v>Santa Paula</v>
      </c>
      <c r="D440" s="51">
        <v>288</v>
      </c>
      <c r="E440" s="51">
        <v>201</v>
      </c>
      <c r="F440" s="51">
        <v>241</v>
      </c>
      <c r="G440" s="51">
        <v>555</v>
      </c>
      <c r="H440" s="50">
        <f t="shared" si="13"/>
        <v>1285</v>
      </c>
    </row>
    <row r="441" spans="1:8">
      <c r="A441" s="48" t="s">
        <v>800</v>
      </c>
      <c r="B441" s="48" t="s">
        <v>802</v>
      </c>
      <c r="C441" s="48" t="str">
        <f t="shared" si="12"/>
        <v>Santa Rosa</v>
      </c>
      <c r="D441" s="51">
        <f>947+94</f>
        <v>1041</v>
      </c>
      <c r="E441" s="51">
        <f>581+90</f>
        <v>671</v>
      </c>
      <c r="F441" s="51">
        <v>759</v>
      </c>
      <c r="G441" s="51">
        <f>2375+237</f>
        <v>2612</v>
      </c>
      <c r="H441" s="50">
        <f t="shared" si="13"/>
        <v>5083</v>
      </c>
    </row>
    <row r="442" spans="1:8">
      <c r="A442" s="48" t="s">
        <v>889</v>
      </c>
      <c r="B442" s="48" t="s">
        <v>891</v>
      </c>
      <c r="C442" s="48" t="str">
        <f t="shared" si="12"/>
        <v>Santee</v>
      </c>
      <c r="D442" s="51">
        <v>914</v>
      </c>
      <c r="E442" s="51">
        <v>694</v>
      </c>
      <c r="F442" s="51">
        <v>642</v>
      </c>
      <c r="G442" s="51">
        <v>1410</v>
      </c>
      <c r="H442" s="50">
        <f t="shared" si="13"/>
        <v>3660</v>
      </c>
    </row>
    <row r="443" spans="1:8">
      <c r="A443" s="48" t="s">
        <v>837</v>
      </c>
      <c r="B443" s="48" t="s">
        <v>838</v>
      </c>
      <c r="C443" s="48" t="str">
        <f t="shared" si="12"/>
        <v>Saratoga</v>
      </c>
      <c r="D443" s="51">
        <v>147</v>
      </c>
      <c r="E443" s="51">
        <v>95</v>
      </c>
      <c r="F443" s="51">
        <v>104</v>
      </c>
      <c r="G443" s="51">
        <v>93</v>
      </c>
      <c r="H443" s="50">
        <f t="shared" si="13"/>
        <v>439</v>
      </c>
    </row>
    <row r="444" spans="1:8">
      <c r="A444" s="48" t="s">
        <v>1039</v>
      </c>
      <c r="B444" s="48" t="s">
        <v>1040</v>
      </c>
      <c r="C444" s="48" t="str">
        <f t="shared" si="12"/>
        <v>Sausalito</v>
      </c>
      <c r="D444" s="51">
        <v>26</v>
      </c>
      <c r="E444" s="51">
        <v>14</v>
      </c>
      <c r="F444" s="51">
        <v>16</v>
      </c>
      <c r="G444" s="51">
        <v>23</v>
      </c>
      <c r="H444" s="50">
        <f t="shared" si="13"/>
        <v>79</v>
      </c>
    </row>
    <row r="445" spans="1:8">
      <c r="A445" s="48" t="s">
        <v>833</v>
      </c>
      <c r="B445" s="48" t="s">
        <v>834</v>
      </c>
      <c r="C445" s="48" t="str">
        <f t="shared" si="12"/>
        <v>Scotts Valley</v>
      </c>
      <c r="D445" s="54">
        <v>34</v>
      </c>
      <c r="E445" s="54">
        <v>22</v>
      </c>
      <c r="F445" s="54">
        <v>26</v>
      </c>
      <c r="G445" s="54">
        <v>58</v>
      </c>
      <c r="H445" s="50">
        <f t="shared" si="13"/>
        <v>140</v>
      </c>
    </row>
    <row r="446" spans="1:8">
      <c r="A446" s="48" t="s">
        <v>972</v>
      </c>
      <c r="B446" s="48" t="s">
        <v>977</v>
      </c>
      <c r="C446" s="48" t="str">
        <f t="shared" si="12"/>
        <v>Seal Beach</v>
      </c>
      <c r="D446" s="51">
        <v>1</v>
      </c>
      <c r="E446" s="51">
        <v>1</v>
      </c>
      <c r="F446" s="51">
        <v>0</v>
      </c>
      <c r="G446" s="51">
        <v>0</v>
      </c>
      <c r="H446" s="50">
        <f t="shared" si="13"/>
        <v>2</v>
      </c>
    </row>
    <row r="447" spans="1:8">
      <c r="A447" s="48" t="s">
        <v>1014</v>
      </c>
      <c r="B447" s="48" t="s">
        <v>1015</v>
      </c>
      <c r="C447" s="48" t="str">
        <f t="shared" si="12"/>
        <v>Seaside</v>
      </c>
      <c r="D447" s="54">
        <v>95</v>
      </c>
      <c r="E447" s="54">
        <v>62</v>
      </c>
      <c r="F447" s="54">
        <v>72</v>
      </c>
      <c r="G447" s="54">
        <v>164</v>
      </c>
      <c r="H447" s="59">
        <f t="shared" si="13"/>
        <v>393</v>
      </c>
    </row>
    <row r="448" spans="1:8">
      <c r="A448" s="48" t="s">
        <v>800</v>
      </c>
      <c r="B448" s="48" t="s">
        <v>801</v>
      </c>
      <c r="C448" s="48" t="str">
        <f t="shared" si="12"/>
        <v>Sebastopol</v>
      </c>
      <c r="D448" s="51">
        <v>22</v>
      </c>
      <c r="E448" s="51">
        <v>17</v>
      </c>
      <c r="F448" s="51">
        <v>19</v>
      </c>
      <c r="G448" s="51">
        <v>62</v>
      </c>
      <c r="H448" s="50">
        <f t="shared" si="13"/>
        <v>120</v>
      </c>
    </row>
    <row r="449" spans="1:8">
      <c r="A449" s="48" t="s">
        <v>1180</v>
      </c>
      <c r="B449" s="48" t="s">
        <v>1179</v>
      </c>
      <c r="C449" s="48" t="str">
        <f t="shared" si="12"/>
        <v>Selma</v>
      </c>
      <c r="D449" s="58">
        <v>140</v>
      </c>
      <c r="E449" s="58">
        <v>115</v>
      </c>
      <c r="F449" s="58">
        <v>69</v>
      </c>
      <c r="G449" s="58">
        <v>281</v>
      </c>
      <c r="H449" s="50">
        <f t="shared" si="13"/>
        <v>605</v>
      </c>
    </row>
    <row r="450" spans="1:8">
      <c r="A450" s="48" t="s">
        <v>1147</v>
      </c>
      <c r="B450" s="48" t="s">
        <v>1150</v>
      </c>
      <c r="C450" s="48" t="str">
        <f t="shared" ref="C450:C513" si="14">B450</f>
        <v>Shafter</v>
      </c>
      <c r="D450" s="58">
        <v>417</v>
      </c>
      <c r="E450" s="58">
        <v>426</v>
      </c>
      <c r="F450" s="58">
        <v>397</v>
      </c>
      <c r="G450" s="58">
        <v>796</v>
      </c>
      <c r="H450" s="50">
        <f t="shared" ref="H450:H513" si="15">SUM(D450:G450)</f>
        <v>2036</v>
      </c>
    </row>
    <row r="451" spans="1:8">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c r="A452" s="48" t="s">
        <v>829</v>
      </c>
      <c r="B452" s="48" t="s">
        <v>828</v>
      </c>
      <c r="C452" s="48" t="str">
        <f t="shared" si="14"/>
        <v>Shasta Lake</v>
      </c>
      <c r="D452" s="51">
        <v>32</v>
      </c>
      <c r="E452" s="51">
        <v>21</v>
      </c>
      <c r="F452" s="51">
        <v>23</v>
      </c>
      <c r="G452" s="51">
        <v>58</v>
      </c>
      <c r="H452" s="50">
        <f t="shared" si="15"/>
        <v>134</v>
      </c>
    </row>
    <row r="453" spans="1:8">
      <c r="A453" s="48" t="s">
        <v>234</v>
      </c>
      <c r="B453" s="48" t="str">
        <f>A453</f>
        <v>Sierra County - Unincorporated</v>
      </c>
      <c r="C453" s="48" t="str">
        <f t="shared" si="14"/>
        <v>Sierra County - Unincorporated</v>
      </c>
      <c r="D453" s="51">
        <v>1</v>
      </c>
      <c r="E453" s="51">
        <v>1</v>
      </c>
      <c r="F453" s="51">
        <v>0</v>
      </c>
      <c r="G453" s="51">
        <v>0</v>
      </c>
      <c r="H453" s="50">
        <f t="shared" si="15"/>
        <v>2</v>
      </c>
    </row>
    <row r="454" spans="1:8">
      <c r="A454" s="48" t="s">
        <v>1049</v>
      </c>
      <c r="B454" s="48" t="s">
        <v>1061</v>
      </c>
      <c r="C454" s="48" t="str">
        <f t="shared" si="14"/>
        <v>Sierra Madre</v>
      </c>
      <c r="D454" s="51">
        <v>14</v>
      </c>
      <c r="E454" s="51">
        <v>9</v>
      </c>
      <c r="F454" s="51">
        <v>9</v>
      </c>
      <c r="G454" s="51">
        <v>23</v>
      </c>
      <c r="H454" s="50">
        <f t="shared" si="15"/>
        <v>55</v>
      </c>
    </row>
    <row r="455" spans="1:8">
      <c r="A455" s="48" t="s">
        <v>1049</v>
      </c>
      <c r="B455" s="48" t="s">
        <v>1060</v>
      </c>
      <c r="C455" s="48" t="str">
        <f t="shared" si="14"/>
        <v>Signal Hill</v>
      </c>
      <c r="D455" s="51">
        <v>44</v>
      </c>
      <c r="E455" s="51">
        <v>27</v>
      </c>
      <c r="F455" s="51">
        <v>28</v>
      </c>
      <c r="G455" s="51">
        <v>70</v>
      </c>
      <c r="H455" s="50">
        <f t="shared" si="15"/>
        <v>169</v>
      </c>
    </row>
    <row r="456" spans="1:8">
      <c r="A456" s="48" t="s">
        <v>764</v>
      </c>
      <c r="B456" s="48" t="s">
        <v>765</v>
      </c>
      <c r="C456" s="48" t="str">
        <f t="shared" si="14"/>
        <v>Simi Valley</v>
      </c>
      <c r="D456" s="51">
        <v>310</v>
      </c>
      <c r="E456" s="51">
        <v>208</v>
      </c>
      <c r="F456" s="51">
        <v>229</v>
      </c>
      <c r="G456" s="51">
        <v>509</v>
      </c>
      <c r="H456" s="50">
        <f t="shared" si="15"/>
        <v>1256</v>
      </c>
    </row>
    <row r="457" spans="1:8">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c r="A458" s="48" t="s">
        <v>889</v>
      </c>
      <c r="B458" s="48" t="s">
        <v>890</v>
      </c>
      <c r="C458" s="48" t="str">
        <f t="shared" si="14"/>
        <v>Solana Beach</v>
      </c>
      <c r="D458" s="51">
        <v>85</v>
      </c>
      <c r="E458" s="51">
        <v>65</v>
      </c>
      <c r="F458" s="51">
        <v>59</v>
      </c>
      <c r="G458" s="51">
        <v>131</v>
      </c>
      <c r="H458" s="50">
        <f t="shared" si="15"/>
        <v>340</v>
      </c>
    </row>
    <row r="459" spans="1:8">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c r="A460" s="48" t="s">
        <v>1014</v>
      </c>
      <c r="B460" s="48" t="s">
        <v>1013</v>
      </c>
      <c r="C460" s="48" t="str">
        <f t="shared" si="14"/>
        <v>Soledad</v>
      </c>
      <c r="D460" s="54">
        <v>46</v>
      </c>
      <c r="E460" s="54">
        <v>30</v>
      </c>
      <c r="F460" s="54">
        <v>35</v>
      </c>
      <c r="G460" s="54">
        <v>80</v>
      </c>
      <c r="H460" s="59">
        <f t="shared" si="15"/>
        <v>191</v>
      </c>
    </row>
    <row r="461" spans="1:8">
      <c r="A461" s="56" t="s">
        <v>850</v>
      </c>
      <c r="B461" s="48" t="s">
        <v>849</v>
      </c>
      <c r="C461" s="48" t="str">
        <f t="shared" si="14"/>
        <v>Solvang</v>
      </c>
      <c r="D461" s="55">
        <v>42</v>
      </c>
      <c r="E461" s="55">
        <v>28</v>
      </c>
      <c r="F461" s="55">
        <v>30</v>
      </c>
      <c r="G461" s="55">
        <v>75</v>
      </c>
      <c r="H461" s="50">
        <f t="shared" si="15"/>
        <v>175</v>
      </c>
    </row>
    <row r="462" spans="1:8">
      <c r="A462" s="48" t="s">
        <v>800</v>
      </c>
      <c r="B462" s="48" t="s">
        <v>800</v>
      </c>
      <c r="C462" s="48" t="str">
        <f t="shared" si="14"/>
        <v>Sonoma</v>
      </c>
      <c r="D462" s="51">
        <v>24</v>
      </c>
      <c r="E462" s="51">
        <v>23</v>
      </c>
      <c r="F462" s="51">
        <v>27</v>
      </c>
      <c r="G462" s="51">
        <v>63</v>
      </c>
      <c r="H462" s="50">
        <f t="shared" si="15"/>
        <v>137</v>
      </c>
    </row>
    <row r="463" spans="1:8">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c r="A464" s="48" t="s">
        <v>775</v>
      </c>
      <c r="B464" s="48" t="s">
        <v>774</v>
      </c>
      <c r="C464" s="48" t="str">
        <f t="shared" si="14"/>
        <v>Sonora</v>
      </c>
      <c r="D464" s="51">
        <v>23</v>
      </c>
      <c r="E464" s="51">
        <v>16</v>
      </c>
      <c r="F464" s="51">
        <v>19</v>
      </c>
      <c r="G464" s="51">
        <v>42</v>
      </c>
      <c r="H464" s="50">
        <f t="shared" si="15"/>
        <v>100</v>
      </c>
    </row>
    <row r="465" spans="1:8">
      <c r="A465" s="48" t="s">
        <v>1049</v>
      </c>
      <c r="B465" s="48" t="s">
        <v>1059</v>
      </c>
      <c r="C465" s="48" t="str">
        <f t="shared" si="14"/>
        <v>South El Monte</v>
      </c>
      <c r="D465" s="51">
        <v>43</v>
      </c>
      <c r="E465" s="51">
        <v>25</v>
      </c>
      <c r="F465" s="51">
        <v>28</v>
      </c>
      <c r="G465" s="51">
        <v>76</v>
      </c>
      <c r="H465" s="50">
        <f t="shared" si="15"/>
        <v>172</v>
      </c>
    </row>
    <row r="466" spans="1:8">
      <c r="A466" s="48" t="s">
        <v>1049</v>
      </c>
      <c r="B466" s="48" t="s">
        <v>1058</v>
      </c>
      <c r="C466" s="48" t="str">
        <f t="shared" si="14"/>
        <v>South Gate</v>
      </c>
      <c r="D466" s="51">
        <v>314</v>
      </c>
      <c r="E466" s="51">
        <v>185</v>
      </c>
      <c r="F466" s="51">
        <v>205</v>
      </c>
      <c r="G466" s="51">
        <v>558</v>
      </c>
      <c r="H466" s="50">
        <f t="shared" si="15"/>
        <v>1262</v>
      </c>
    </row>
    <row r="467" spans="1:8">
      <c r="A467" s="48" t="s">
        <v>1194</v>
      </c>
      <c r="B467" s="48" t="s">
        <v>1193</v>
      </c>
      <c r="C467" s="48" t="str">
        <f t="shared" si="14"/>
        <v>South Lake Tahoe</v>
      </c>
      <c r="D467" s="51">
        <v>54</v>
      </c>
      <c r="E467" s="51">
        <v>38</v>
      </c>
      <c r="F467" s="51">
        <v>63</v>
      </c>
      <c r="G467" s="51">
        <v>181</v>
      </c>
      <c r="H467" s="50">
        <f t="shared" si="15"/>
        <v>336</v>
      </c>
    </row>
    <row r="468" spans="1:8">
      <c r="A468" s="48" t="s">
        <v>1049</v>
      </c>
      <c r="B468" s="48" t="s">
        <v>1057</v>
      </c>
      <c r="C468" s="48" t="str">
        <f t="shared" si="14"/>
        <v>South Pasadena</v>
      </c>
      <c r="D468" s="51">
        <v>17</v>
      </c>
      <c r="E468" s="51">
        <v>10</v>
      </c>
      <c r="F468" s="51">
        <v>11</v>
      </c>
      <c r="G468" s="51">
        <v>25</v>
      </c>
      <c r="H468" s="50">
        <f t="shared" si="15"/>
        <v>63</v>
      </c>
    </row>
    <row r="469" spans="1:8">
      <c r="A469" s="48" t="s">
        <v>857</v>
      </c>
      <c r="B469" s="48" t="s">
        <v>858</v>
      </c>
      <c r="C469" s="48" t="str">
        <f t="shared" si="14"/>
        <v>South San Francisco</v>
      </c>
      <c r="D469" s="51">
        <v>565</v>
      </c>
      <c r="E469" s="51">
        <v>281</v>
      </c>
      <c r="F469" s="51">
        <v>313</v>
      </c>
      <c r="G469" s="51">
        <v>705</v>
      </c>
      <c r="H469" s="50">
        <f t="shared" si="15"/>
        <v>1864</v>
      </c>
    </row>
    <row r="470" spans="1:8">
      <c r="A470" s="48" t="s">
        <v>1009</v>
      </c>
      <c r="B470" s="48" t="s">
        <v>1010</v>
      </c>
      <c r="C470" s="48" t="str">
        <f t="shared" si="14"/>
        <v>St. Helena</v>
      </c>
      <c r="D470" s="51">
        <v>8</v>
      </c>
      <c r="E470" s="51">
        <v>5</v>
      </c>
      <c r="F470" s="51">
        <v>5</v>
      </c>
      <c r="G470" s="51">
        <v>13</v>
      </c>
      <c r="H470" s="50">
        <f t="shared" si="15"/>
        <v>31</v>
      </c>
    </row>
    <row r="471" spans="1:8">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c r="A472" s="48" t="s">
        <v>972</v>
      </c>
      <c r="B472" s="48" t="s">
        <v>976</v>
      </c>
      <c r="C472" s="48" t="str">
        <f t="shared" si="14"/>
        <v>Stanton</v>
      </c>
      <c r="D472" s="51">
        <v>68</v>
      </c>
      <c r="E472" s="51">
        <v>49</v>
      </c>
      <c r="F472" s="51">
        <v>56</v>
      </c>
      <c r="G472" s="51">
        <v>140</v>
      </c>
      <c r="H472" s="50">
        <f t="shared" si="15"/>
        <v>313</v>
      </c>
    </row>
    <row r="473" spans="1:8">
      <c r="A473" s="48" t="s">
        <v>881</v>
      </c>
      <c r="B473" s="48" t="s">
        <v>882</v>
      </c>
      <c r="C473" s="48" t="str">
        <f t="shared" si="14"/>
        <v>Stockton</v>
      </c>
      <c r="D473" s="57">
        <v>3157</v>
      </c>
      <c r="E473" s="57">
        <v>2004</v>
      </c>
      <c r="F473" s="57">
        <v>2103</v>
      </c>
      <c r="G473" s="57">
        <v>4560</v>
      </c>
      <c r="H473" s="50">
        <f t="shared" si="15"/>
        <v>11824</v>
      </c>
    </row>
    <row r="474" spans="1:8">
      <c r="A474" s="48" t="s">
        <v>809</v>
      </c>
      <c r="B474" s="48" t="s">
        <v>811</v>
      </c>
      <c r="C474" s="48" t="str">
        <f t="shared" si="14"/>
        <v>Suisun City</v>
      </c>
      <c r="D474" s="51">
        <v>147</v>
      </c>
      <c r="E474" s="51">
        <v>57</v>
      </c>
      <c r="F474" s="51">
        <v>60</v>
      </c>
      <c r="G474" s="51">
        <v>241</v>
      </c>
      <c r="H474" s="50">
        <f t="shared" si="15"/>
        <v>505</v>
      </c>
    </row>
    <row r="475" spans="1:8">
      <c r="A475" s="48" t="s">
        <v>837</v>
      </c>
      <c r="B475" s="48" t="s">
        <v>836</v>
      </c>
      <c r="C475" s="48" t="str">
        <f t="shared" si="14"/>
        <v>Sunnyvale</v>
      </c>
      <c r="D475" s="51">
        <v>1640</v>
      </c>
      <c r="E475" s="51">
        <v>906</v>
      </c>
      <c r="F475" s="51">
        <v>932</v>
      </c>
      <c r="G475" s="51">
        <v>1974</v>
      </c>
      <c r="H475" s="50">
        <f t="shared" si="15"/>
        <v>5452</v>
      </c>
    </row>
    <row r="476" spans="1:8">
      <c r="A476" s="48" t="s">
        <v>1137</v>
      </c>
      <c r="B476" s="48" t="s">
        <v>1136</v>
      </c>
      <c r="C476" s="48" t="str">
        <f t="shared" si="14"/>
        <v>Susanville</v>
      </c>
      <c r="D476" s="51">
        <v>8</v>
      </c>
      <c r="E476" s="51">
        <v>4</v>
      </c>
      <c r="F476" s="51">
        <v>6</v>
      </c>
      <c r="G476" s="51">
        <v>12</v>
      </c>
      <c r="H476" s="50">
        <f t="shared" si="15"/>
        <v>30</v>
      </c>
    </row>
    <row r="477" spans="1:8">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c r="A478" s="48" t="s">
        <v>1226</v>
      </c>
      <c r="B478" s="48" t="s">
        <v>1225</v>
      </c>
      <c r="C478" s="48" t="str">
        <f t="shared" si="14"/>
        <v>Sutter Creek</v>
      </c>
      <c r="D478" s="51">
        <v>2</v>
      </c>
      <c r="E478" s="51">
        <v>2</v>
      </c>
      <c r="F478" s="51">
        <v>2</v>
      </c>
      <c r="G478" s="51">
        <v>4</v>
      </c>
      <c r="H478" s="50">
        <f t="shared" si="15"/>
        <v>10</v>
      </c>
    </row>
    <row r="479" spans="1:8">
      <c r="A479" s="48" t="s">
        <v>1147</v>
      </c>
      <c r="B479" s="48" t="s">
        <v>1149</v>
      </c>
      <c r="C479" s="48" t="str">
        <f t="shared" si="14"/>
        <v>Taft</v>
      </c>
      <c r="D479" s="58">
        <v>52</v>
      </c>
      <c r="E479" s="58">
        <v>26</v>
      </c>
      <c r="F479" s="58">
        <v>30</v>
      </c>
      <c r="G479" s="58">
        <v>146</v>
      </c>
      <c r="H479" s="50">
        <f t="shared" si="15"/>
        <v>254</v>
      </c>
    </row>
    <row r="480" spans="1:8">
      <c r="A480" s="48" t="s">
        <v>1147</v>
      </c>
      <c r="B480" s="48" t="s">
        <v>1148</v>
      </c>
      <c r="C480" s="48" t="str">
        <f t="shared" si="14"/>
        <v>Tehachapi</v>
      </c>
      <c r="D480" s="58">
        <v>127</v>
      </c>
      <c r="E480" s="58">
        <v>64</v>
      </c>
      <c r="F480" s="58">
        <v>88</v>
      </c>
      <c r="G480" s="58">
        <v>216</v>
      </c>
      <c r="H480" s="50">
        <f t="shared" si="15"/>
        <v>495</v>
      </c>
    </row>
    <row r="481" spans="1:8">
      <c r="A481" s="48" t="s">
        <v>784</v>
      </c>
      <c r="B481" s="48" t="s">
        <v>784</v>
      </c>
      <c r="C481" s="48" t="str">
        <f t="shared" si="14"/>
        <v>Tehama</v>
      </c>
      <c r="D481" s="51">
        <v>2</v>
      </c>
      <c r="E481" s="51">
        <v>2</v>
      </c>
      <c r="F481" s="51">
        <v>2</v>
      </c>
      <c r="G481" s="51">
        <v>4</v>
      </c>
      <c r="H481" s="50">
        <f t="shared" si="15"/>
        <v>10</v>
      </c>
    </row>
    <row r="482" spans="1:8">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c r="A483" s="48" t="s">
        <v>939</v>
      </c>
      <c r="B483" s="48" t="s">
        <v>940</v>
      </c>
      <c r="C483" s="48" t="str">
        <f t="shared" si="14"/>
        <v>Temecula</v>
      </c>
      <c r="D483" s="51">
        <v>375</v>
      </c>
      <c r="E483" s="51">
        <v>251</v>
      </c>
      <c r="F483" s="51">
        <v>271</v>
      </c>
      <c r="G483" s="51">
        <v>596</v>
      </c>
      <c r="H483" s="50">
        <f t="shared" si="15"/>
        <v>1493</v>
      </c>
    </row>
    <row r="484" spans="1:8">
      <c r="A484" s="48" t="s">
        <v>1049</v>
      </c>
      <c r="B484" s="48" t="s">
        <v>1056</v>
      </c>
      <c r="C484" s="48" t="str">
        <f t="shared" si="14"/>
        <v>Temple City</v>
      </c>
      <c r="D484" s="51">
        <v>159</v>
      </c>
      <c r="E484" s="51">
        <v>93</v>
      </c>
      <c r="F484" s="51">
        <v>99</v>
      </c>
      <c r="G484" s="51">
        <v>252</v>
      </c>
      <c r="H484" s="50">
        <f t="shared" si="15"/>
        <v>603</v>
      </c>
    </row>
    <row r="485" spans="1:8">
      <c r="A485" s="48" t="s">
        <v>764</v>
      </c>
      <c r="B485" s="48" t="s">
        <v>763</v>
      </c>
      <c r="C485" s="48" t="str">
        <f t="shared" si="14"/>
        <v>Thousand Oaks</v>
      </c>
      <c r="D485" s="51">
        <v>47</v>
      </c>
      <c r="E485" s="51">
        <v>32</v>
      </c>
      <c r="F485" s="51">
        <v>36</v>
      </c>
      <c r="G485" s="51">
        <v>77</v>
      </c>
      <c r="H485" s="50">
        <f t="shared" si="15"/>
        <v>192</v>
      </c>
    </row>
    <row r="486" spans="1:8">
      <c r="A486" s="48" t="s">
        <v>1039</v>
      </c>
      <c r="B486" s="48" t="s">
        <v>1325</v>
      </c>
      <c r="C486" s="48" t="str">
        <f t="shared" si="14"/>
        <v>Tiburon</v>
      </c>
      <c r="D486" s="51">
        <v>24</v>
      </c>
      <c r="E486" s="51">
        <v>16</v>
      </c>
      <c r="F486" s="51">
        <v>19</v>
      </c>
      <c r="G486" s="51">
        <v>19</v>
      </c>
      <c r="H486" s="50">
        <f t="shared" si="15"/>
        <v>78</v>
      </c>
    </row>
    <row r="487" spans="1:8">
      <c r="A487" s="48" t="s">
        <v>1049</v>
      </c>
      <c r="B487" s="48" t="s">
        <v>1055</v>
      </c>
      <c r="C487" s="48" t="str">
        <f t="shared" si="14"/>
        <v>Torrance</v>
      </c>
      <c r="D487" s="51">
        <v>380</v>
      </c>
      <c r="E487" s="51">
        <v>227</v>
      </c>
      <c r="F487" s="51">
        <v>243</v>
      </c>
      <c r="G487" s="51">
        <v>600</v>
      </c>
      <c r="H487" s="50">
        <f t="shared" si="15"/>
        <v>1450</v>
      </c>
    </row>
    <row r="488" spans="1:8">
      <c r="A488" s="48" t="s">
        <v>881</v>
      </c>
      <c r="B488" s="48" t="s">
        <v>880</v>
      </c>
      <c r="C488" s="48" t="str">
        <f t="shared" si="14"/>
        <v>Tracy</v>
      </c>
      <c r="D488" s="57">
        <v>980</v>
      </c>
      <c r="E488" s="57">
        <v>705</v>
      </c>
      <c r="F488" s="57">
        <v>828</v>
      </c>
      <c r="G488" s="57">
        <v>2463</v>
      </c>
      <c r="H488" s="50">
        <f t="shared" si="15"/>
        <v>4976</v>
      </c>
    </row>
    <row r="489" spans="1:8">
      <c r="A489" s="48" t="s">
        <v>1169</v>
      </c>
      <c r="B489" s="48" t="s">
        <v>1168</v>
      </c>
      <c r="C489" s="48" t="str">
        <f t="shared" si="14"/>
        <v>Trinidad</v>
      </c>
      <c r="D489" s="51">
        <v>1</v>
      </c>
      <c r="E489" s="51">
        <v>1</v>
      </c>
      <c r="F489" s="51">
        <v>1</v>
      </c>
      <c r="G489" s="51">
        <v>2</v>
      </c>
      <c r="H489" s="50">
        <f t="shared" si="15"/>
        <v>5</v>
      </c>
    </row>
    <row r="490" spans="1:8">
      <c r="A490" s="48" t="s">
        <v>1361</v>
      </c>
      <c r="B490" s="48" t="str">
        <f>A490</f>
        <v>Trinity County - Unincorporated</v>
      </c>
      <c r="C490" s="48" t="str">
        <f>B490</f>
        <v>Trinity County - Unincorporated</v>
      </c>
      <c r="D490" s="51">
        <v>2</v>
      </c>
      <c r="E490" s="51">
        <v>2</v>
      </c>
      <c r="F490" s="51">
        <v>2</v>
      </c>
      <c r="G490" s="51">
        <v>4</v>
      </c>
      <c r="H490" s="46">
        <f t="shared" si="15"/>
        <v>10</v>
      </c>
    </row>
    <row r="491" spans="1:8">
      <c r="A491" s="48" t="s">
        <v>1006</v>
      </c>
      <c r="B491" s="48" t="s">
        <v>1005</v>
      </c>
      <c r="C491" s="48" t="str">
        <f t="shared" si="14"/>
        <v>Truckee</v>
      </c>
      <c r="D491" s="51">
        <v>108</v>
      </c>
      <c r="E491" s="51">
        <v>75</v>
      </c>
      <c r="F491" s="51">
        <v>78</v>
      </c>
      <c r="G491" s="51">
        <v>199</v>
      </c>
      <c r="H491" s="50">
        <f t="shared" si="15"/>
        <v>460</v>
      </c>
    </row>
    <row r="492" spans="1:8">
      <c r="A492" s="48" t="s">
        <v>777</v>
      </c>
      <c r="B492" s="48" t="s">
        <v>777</v>
      </c>
      <c r="C492" s="48" t="str">
        <f t="shared" si="14"/>
        <v>Tulare</v>
      </c>
      <c r="D492" s="52">
        <v>920</v>
      </c>
      <c r="E492" s="52">
        <v>609</v>
      </c>
      <c r="F492" s="52">
        <v>613</v>
      </c>
      <c r="G492" s="52">
        <v>1452</v>
      </c>
      <c r="H492" s="50">
        <f t="shared" si="15"/>
        <v>3594</v>
      </c>
    </row>
    <row r="493" spans="1:8">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c r="A494" s="48" t="s">
        <v>817</v>
      </c>
      <c r="B494" s="48" t="s">
        <v>819</v>
      </c>
      <c r="C494" s="48" t="str">
        <f t="shared" si="14"/>
        <v>Tulelake</v>
      </c>
      <c r="D494" s="51">
        <v>3</v>
      </c>
      <c r="E494" s="51">
        <v>2</v>
      </c>
      <c r="F494" s="51">
        <v>2</v>
      </c>
      <c r="G494" s="51">
        <v>6</v>
      </c>
      <c r="H494" s="50">
        <f t="shared" si="15"/>
        <v>13</v>
      </c>
    </row>
    <row r="495" spans="1:8">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c r="A496" s="48" t="s">
        <v>791</v>
      </c>
      <c r="B496" s="48" t="s">
        <v>792</v>
      </c>
      <c r="C496" s="48" t="str">
        <f t="shared" si="14"/>
        <v>Turlock</v>
      </c>
      <c r="D496" s="52">
        <v>877</v>
      </c>
      <c r="E496" s="52">
        <v>562</v>
      </c>
      <c r="F496" s="52">
        <v>627</v>
      </c>
      <c r="G496" s="52">
        <v>1552</v>
      </c>
      <c r="H496" s="50">
        <f t="shared" si="15"/>
        <v>3618</v>
      </c>
    </row>
    <row r="497" spans="1:8">
      <c r="A497" s="48" t="s">
        <v>972</v>
      </c>
      <c r="B497" s="48" t="s">
        <v>975</v>
      </c>
      <c r="C497" s="48" t="str">
        <f t="shared" si="14"/>
        <v>Tustin</v>
      </c>
      <c r="D497" s="51">
        <v>283</v>
      </c>
      <c r="E497" s="51">
        <v>195</v>
      </c>
      <c r="F497" s="51">
        <v>224</v>
      </c>
      <c r="G497" s="51">
        <v>525</v>
      </c>
      <c r="H497" s="50">
        <f t="shared" si="15"/>
        <v>1227</v>
      </c>
    </row>
    <row r="498" spans="1:8">
      <c r="A498" s="48" t="s">
        <v>907</v>
      </c>
      <c r="B498" s="48" t="s">
        <v>911</v>
      </c>
      <c r="C498" s="48" t="str">
        <f t="shared" si="14"/>
        <v>Twentynine Palms</v>
      </c>
      <c r="D498" s="51">
        <v>103</v>
      </c>
      <c r="E498" s="51">
        <v>72</v>
      </c>
      <c r="F498" s="51">
        <v>84</v>
      </c>
      <c r="G498" s="51">
        <v>195</v>
      </c>
      <c r="H498" s="50">
        <f t="shared" si="15"/>
        <v>454</v>
      </c>
    </row>
    <row r="499" spans="1:8">
      <c r="A499" s="48" t="s">
        <v>1035</v>
      </c>
      <c r="B499" s="48" t="s">
        <v>1036</v>
      </c>
      <c r="C499" s="48" t="str">
        <f t="shared" si="14"/>
        <v>Ukiah</v>
      </c>
      <c r="D499" s="51">
        <v>11</v>
      </c>
      <c r="E499" s="51">
        <v>7</v>
      </c>
      <c r="F499" s="51">
        <v>7</v>
      </c>
      <c r="G499" s="51">
        <v>20</v>
      </c>
      <c r="H499" s="50">
        <f t="shared" si="15"/>
        <v>45</v>
      </c>
    </row>
    <row r="500" spans="1:8">
      <c r="A500" s="48" t="s">
        <v>1232</v>
      </c>
      <c r="B500" s="48" t="s">
        <v>1231</v>
      </c>
      <c r="C500" s="48" t="str">
        <f t="shared" si="14"/>
        <v>Union City</v>
      </c>
      <c r="D500" s="51">
        <v>317</v>
      </c>
      <c r="E500" s="51">
        <v>180</v>
      </c>
      <c r="F500" s="51">
        <v>192</v>
      </c>
      <c r="G500" s="51">
        <v>417</v>
      </c>
      <c r="H500" s="50">
        <f t="shared" si="15"/>
        <v>1106</v>
      </c>
    </row>
    <row r="501" spans="1:8">
      <c r="A501" s="48" t="s">
        <v>907</v>
      </c>
      <c r="B501" s="48" t="s">
        <v>910</v>
      </c>
      <c r="C501" s="48" t="str">
        <f t="shared" si="14"/>
        <v>Upland</v>
      </c>
      <c r="D501" s="51">
        <v>382</v>
      </c>
      <c r="E501" s="51">
        <v>260</v>
      </c>
      <c r="F501" s="51">
        <v>294</v>
      </c>
      <c r="G501" s="51">
        <v>653</v>
      </c>
      <c r="H501" s="50">
        <f t="shared" si="15"/>
        <v>1589</v>
      </c>
    </row>
    <row r="502" spans="1:8">
      <c r="A502" s="48" t="s">
        <v>809</v>
      </c>
      <c r="B502" s="48" t="s">
        <v>810</v>
      </c>
      <c r="C502" s="48" t="str">
        <f t="shared" si="14"/>
        <v>Vacaville</v>
      </c>
      <c r="D502" s="51">
        <v>287</v>
      </c>
      <c r="E502" s="51">
        <v>134</v>
      </c>
      <c r="F502" s="51">
        <v>173</v>
      </c>
      <c r="G502" s="51">
        <v>490</v>
      </c>
      <c r="H502" s="50">
        <f t="shared" si="15"/>
        <v>1084</v>
      </c>
    </row>
    <row r="503" spans="1:8">
      <c r="A503" s="48" t="s">
        <v>809</v>
      </c>
      <c r="B503" s="48" t="s">
        <v>808</v>
      </c>
      <c r="C503" s="48" t="str">
        <f t="shared" si="14"/>
        <v>Vallejo</v>
      </c>
      <c r="D503" s="51">
        <v>283</v>
      </c>
      <c r="E503" s="51">
        <v>178</v>
      </c>
      <c r="F503" s="51">
        <v>211</v>
      </c>
      <c r="G503" s="51">
        <v>690</v>
      </c>
      <c r="H503" s="50">
        <f t="shared" si="15"/>
        <v>1362</v>
      </c>
    </row>
    <row r="504" spans="1:8">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c r="A505" s="48" t="s">
        <v>1049</v>
      </c>
      <c r="B505" s="48" t="s">
        <v>1054</v>
      </c>
      <c r="C505" s="48" t="str">
        <f t="shared" si="14"/>
        <v>Vernon</v>
      </c>
      <c r="D505" s="51">
        <v>1</v>
      </c>
      <c r="E505" s="51">
        <v>1</v>
      </c>
      <c r="F505" s="51">
        <v>0</v>
      </c>
      <c r="G505" s="51">
        <v>0</v>
      </c>
      <c r="H505" s="50">
        <f t="shared" si="15"/>
        <v>2</v>
      </c>
    </row>
    <row r="506" spans="1:8">
      <c r="A506" s="48" t="s">
        <v>907</v>
      </c>
      <c r="B506" s="48" t="s">
        <v>909</v>
      </c>
      <c r="C506" s="48" t="str">
        <f t="shared" si="14"/>
        <v>Victorville</v>
      </c>
      <c r="D506" s="51">
        <v>1698</v>
      </c>
      <c r="E506" s="51">
        <v>1207</v>
      </c>
      <c r="F506" s="51">
        <v>1342</v>
      </c>
      <c r="G506" s="51">
        <v>3124</v>
      </c>
      <c r="H506" s="50">
        <f t="shared" si="15"/>
        <v>7371</v>
      </c>
    </row>
    <row r="507" spans="1:8">
      <c r="A507" s="48" t="s">
        <v>972</v>
      </c>
      <c r="B507" s="48" t="s">
        <v>974</v>
      </c>
      <c r="C507" s="48" t="str">
        <f t="shared" si="14"/>
        <v>Villa Park</v>
      </c>
      <c r="D507" s="51">
        <v>3</v>
      </c>
      <c r="E507" s="51">
        <v>2</v>
      </c>
      <c r="F507" s="51">
        <v>3</v>
      </c>
      <c r="G507" s="51">
        <v>6</v>
      </c>
      <c r="H507" s="50">
        <f t="shared" si="15"/>
        <v>14</v>
      </c>
    </row>
    <row r="508" spans="1:8">
      <c r="A508" s="48" t="s">
        <v>777</v>
      </c>
      <c r="B508" s="48" t="s">
        <v>778</v>
      </c>
      <c r="C508" s="48" t="str">
        <f t="shared" si="14"/>
        <v>Visalia</v>
      </c>
      <c r="D508" s="52">
        <v>2616</v>
      </c>
      <c r="E508" s="52">
        <v>1931</v>
      </c>
      <c r="F508" s="52">
        <v>1802</v>
      </c>
      <c r="G508" s="52">
        <v>3672</v>
      </c>
      <c r="H508" s="50">
        <f t="shared" si="15"/>
        <v>10021</v>
      </c>
    </row>
    <row r="509" spans="1:8">
      <c r="A509" s="48" t="s">
        <v>889</v>
      </c>
      <c r="B509" s="48" t="s">
        <v>888</v>
      </c>
      <c r="C509" s="48" t="str">
        <f t="shared" si="14"/>
        <v>Vista</v>
      </c>
      <c r="D509" s="51">
        <v>343</v>
      </c>
      <c r="E509" s="51">
        <v>260</v>
      </c>
      <c r="F509" s="51">
        <v>241</v>
      </c>
      <c r="G509" s="51">
        <v>530</v>
      </c>
      <c r="H509" s="50">
        <f t="shared" si="15"/>
        <v>1374</v>
      </c>
    </row>
    <row r="510" spans="1:8">
      <c r="A510" s="48" t="s">
        <v>1049</v>
      </c>
      <c r="B510" s="48" t="s">
        <v>1053</v>
      </c>
      <c r="C510" s="48" t="str">
        <f t="shared" si="14"/>
        <v>Walnut</v>
      </c>
      <c r="D510" s="51">
        <v>246</v>
      </c>
      <c r="E510" s="51">
        <v>144</v>
      </c>
      <c r="F510" s="51">
        <v>155</v>
      </c>
      <c r="G510" s="51">
        <v>363</v>
      </c>
      <c r="H510" s="50">
        <f t="shared" si="15"/>
        <v>908</v>
      </c>
    </row>
    <row r="511" spans="1:8">
      <c r="A511" s="48" t="s">
        <v>1199</v>
      </c>
      <c r="B511" s="48" t="s">
        <v>1198</v>
      </c>
      <c r="C511" s="48" t="str">
        <f t="shared" si="14"/>
        <v>Walnut Creek</v>
      </c>
      <c r="D511" s="51">
        <v>604</v>
      </c>
      <c r="E511" s="51">
        <v>355</v>
      </c>
      <c r="F511" s="51">
        <v>381</v>
      </c>
      <c r="G511" s="51">
        <v>895</v>
      </c>
      <c r="H511" s="50">
        <f t="shared" si="15"/>
        <v>2235</v>
      </c>
    </row>
    <row r="512" spans="1:8">
      <c r="A512" s="48" t="s">
        <v>1147</v>
      </c>
      <c r="B512" s="48" t="s">
        <v>1146</v>
      </c>
      <c r="C512" s="48" t="str">
        <f t="shared" si="14"/>
        <v>Wasco</v>
      </c>
      <c r="D512" s="58">
        <v>350</v>
      </c>
      <c r="E512" s="58">
        <v>275</v>
      </c>
      <c r="F512" s="58">
        <v>280</v>
      </c>
      <c r="G512" s="58">
        <v>521</v>
      </c>
      <c r="H512" s="50">
        <f t="shared" si="15"/>
        <v>1426</v>
      </c>
    </row>
    <row r="513" spans="1:8">
      <c r="A513" s="48" t="s">
        <v>791</v>
      </c>
      <c r="B513" s="48" t="s">
        <v>790</v>
      </c>
      <c r="C513" s="48" t="str">
        <f t="shared" si="14"/>
        <v>Waterford</v>
      </c>
      <c r="D513" s="52">
        <v>131</v>
      </c>
      <c r="E513" s="52">
        <v>84</v>
      </c>
      <c r="F513" s="52">
        <v>89</v>
      </c>
      <c r="G513" s="52">
        <v>221</v>
      </c>
      <c r="H513" s="50">
        <f t="shared" si="15"/>
        <v>525</v>
      </c>
    </row>
    <row r="514" spans="1:8">
      <c r="A514" s="48" t="s">
        <v>833</v>
      </c>
      <c r="B514" s="48" t="s">
        <v>832</v>
      </c>
      <c r="C514" s="48" t="str">
        <f t="shared" ref="C514:C540" si="16">B514</f>
        <v>Watsonville</v>
      </c>
      <c r="D514" s="54">
        <v>169</v>
      </c>
      <c r="E514" s="54">
        <v>110</v>
      </c>
      <c r="F514" s="54">
        <v>128</v>
      </c>
      <c r="G514" s="54">
        <v>293</v>
      </c>
      <c r="H514" s="50">
        <f t="shared" ref="H514:H540" si="17">SUM(D514:G514)</f>
        <v>700</v>
      </c>
    </row>
    <row r="515" spans="1:8">
      <c r="A515" s="48" t="s">
        <v>817</v>
      </c>
      <c r="B515" s="48" t="s">
        <v>818</v>
      </c>
      <c r="C515" s="48" t="str">
        <f t="shared" si="16"/>
        <v>Weed</v>
      </c>
      <c r="D515" s="51">
        <v>10</v>
      </c>
      <c r="E515" s="51">
        <v>6</v>
      </c>
      <c r="F515" s="51">
        <v>6</v>
      </c>
      <c r="G515" s="51">
        <v>16</v>
      </c>
      <c r="H515" s="50">
        <f t="shared" si="17"/>
        <v>38</v>
      </c>
    </row>
    <row r="516" spans="1:8">
      <c r="A516" s="48" t="s">
        <v>1049</v>
      </c>
      <c r="B516" s="48" t="s">
        <v>1052</v>
      </c>
      <c r="C516" s="48" t="str">
        <f t="shared" si="16"/>
        <v>West Covina</v>
      </c>
      <c r="D516" s="51">
        <v>217</v>
      </c>
      <c r="E516" s="51">
        <v>129</v>
      </c>
      <c r="F516" s="51">
        <v>138</v>
      </c>
      <c r="G516" s="51">
        <v>347</v>
      </c>
      <c r="H516" s="50">
        <f t="shared" si="17"/>
        <v>831</v>
      </c>
    </row>
    <row r="517" spans="1:8">
      <c r="A517" s="48" t="s">
        <v>1049</v>
      </c>
      <c r="B517" s="48" t="s">
        <v>1051</v>
      </c>
      <c r="C517" s="48" t="str">
        <f>B517</f>
        <v>West Hollywood</v>
      </c>
      <c r="D517" s="51">
        <v>19</v>
      </c>
      <c r="E517" s="51">
        <v>12</v>
      </c>
      <c r="F517" s="51">
        <v>13</v>
      </c>
      <c r="G517" s="51">
        <v>33</v>
      </c>
      <c r="H517" s="50">
        <f t="shared" si="17"/>
        <v>77</v>
      </c>
    </row>
    <row r="518" spans="1:8">
      <c r="A518" s="48" t="s">
        <v>759</v>
      </c>
      <c r="B518" s="48" t="s">
        <v>761</v>
      </c>
      <c r="C518" s="48" t="str">
        <f t="shared" si="16"/>
        <v>West Sacramento</v>
      </c>
      <c r="D518" s="51">
        <v>1316</v>
      </c>
      <c r="E518" s="51">
        <v>923</v>
      </c>
      <c r="F518" s="51">
        <v>1111</v>
      </c>
      <c r="G518" s="51">
        <v>2627</v>
      </c>
      <c r="H518" s="50">
        <f t="shared" si="17"/>
        <v>5977</v>
      </c>
    </row>
    <row r="519" spans="1:8">
      <c r="A519" s="48" t="s">
        <v>1049</v>
      </c>
      <c r="B519" s="48" t="s">
        <v>1050</v>
      </c>
      <c r="C519" s="48" t="str">
        <f t="shared" si="16"/>
        <v>Westlake Village</v>
      </c>
      <c r="D519" s="51">
        <v>12</v>
      </c>
      <c r="E519" s="51">
        <v>7</v>
      </c>
      <c r="F519" s="51">
        <v>8</v>
      </c>
      <c r="G519" s="51">
        <v>18</v>
      </c>
      <c r="H519" s="50">
        <f t="shared" si="17"/>
        <v>45</v>
      </c>
    </row>
    <row r="520" spans="1:8">
      <c r="A520" s="48" t="s">
        <v>972</v>
      </c>
      <c r="B520" s="48" t="s">
        <v>973</v>
      </c>
      <c r="C520" s="48" t="str">
        <f t="shared" si="16"/>
        <v>Westminster</v>
      </c>
      <c r="D520" s="51">
        <v>1</v>
      </c>
      <c r="E520" s="51">
        <v>1</v>
      </c>
      <c r="F520" s="51">
        <v>0</v>
      </c>
      <c r="G520" s="51">
        <v>0</v>
      </c>
      <c r="H520" s="50">
        <f t="shared" si="17"/>
        <v>2</v>
      </c>
    </row>
    <row r="521" spans="1:8">
      <c r="A521" s="48" t="s">
        <v>1162</v>
      </c>
      <c r="B521" s="48" t="s">
        <v>1161</v>
      </c>
      <c r="C521" s="48" t="str">
        <f t="shared" si="16"/>
        <v>Westmorland</v>
      </c>
      <c r="D521" s="51">
        <v>57</v>
      </c>
      <c r="E521" s="51">
        <v>35</v>
      </c>
      <c r="F521" s="51">
        <v>36</v>
      </c>
      <c r="G521" s="51">
        <v>105</v>
      </c>
      <c r="H521" s="50">
        <f t="shared" si="17"/>
        <v>233</v>
      </c>
    </row>
    <row r="522" spans="1:8">
      <c r="A522" s="48" t="s">
        <v>756</v>
      </c>
      <c r="B522" s="48" t="s">
        <v>755</v>
      </c>
      <c r="C522" s="48" t="str">
        <f t="shared" si="16"/>
        <v>Wheatland</v>
      </c>
      <c r="D522" s="51">
        <v>109</v>
      </c>
      <c r="E522" s="51">
        <v>76</v>
      </c>
      <c r="F522" s="51">
        <v>90</v>
      </c>
      <c r="G522" s="51">
        <v>208</v>
      </c>
      <c r="H522" s="50">
        <f t="shared" si="17"/>
        <v>483</v>
      </c>
    </row>
    <row r="523" spans="1:8">
      <c r="A523" s="48" t="s">
        <v>1049</v>
      </c>
      <c r="B523" s="48" t="s">
        <v>1048</v>
      </c>
      <c r="C523" s="48" t="str">
        <f t="shared" si="16"/>
        <v>Whittier</v>
      </c>
      <c r="D523" s="51">
        <v>228</v>
      </c>
      <c r="E523" s="51">
        <v>135</v>
      </c>
      <c r="F523" s="51">
        <v>146</v>
      </c>
      <c r="G523" s="51">
        <v>369</v>
      </c>
      <c r="H523" s="50">
        <f t="shared" si="17"/>
        <v>878</v>
      </c>
    </row>
    <row r="524" spans="1:8">
      <c r="A524" s="48" t="s">
        <v>939</v>
      </c>
      <c r="B524" s="48" t="s">
        <v>1331</v>
      </c>
      <c r="C524" s="48" t="str">
        <f>B524</f>
        <v>Wildomar</v>
      </c>
      <c r="D524" s="51">
        <v>621</v>
      </c>
      <c r="E524" s="51">
        <v>415</v>
      </c>
      <c r="F524" s="51">
        <v>461</v>
      </c>
      <c r="G524" s="51">
        <v>1038</v>
      </c>
      <c r="H524" s="50">
        <f t="shared" si="17"/>
        <v>2535</v>
      </c>
    </row>
    <row r="525" spans="1:8">
      <c r="A525" s="48" t="s">
        <v>1218</v>
      </c>
      <c r="B525" s="48" t="s">
        <v>1217</v>
      </c>
      <c r="C525" s="48" t="str">
        <f t="shared" si="16"/>
        <v>Williams</v>
      </c>
      <c r="D525" s="51">
        <v>69</v>
      </c>
      <c r="E525" s="51">
        <v>50</v>
      </c>
      <c r="F525" s="51">
        <v>58</v>
      </c>
      <c r="G525" s="51">
        <v>130</v>
      </c>
      <c r="H525" s="50">
        <f t="shared" si="17"/>
        <v>307</v>
      </c>
    </row>
    <row r="526" spans="1:8">
      <c r="A526" s="48" t="s">
        <v>1035</v>
      </c>
      <c r="B526" s="48" t="s">
        <v>1034</v>
      </c>
      <c r="C526" s="48" t="str">
        <f t="shared" si="16"/>
        <v>Willits</v>
      </c>
      <c r="D526" s="51">
        <v>3</v>
      </c>
      <c r="E526" s="51">
        <v>2</v>
      </c>
      <c r="F526" s="51">
        <v>2</v>
      </c>
      <c r="G526" s="51">
        <v>6</v>
      </c>
      <c r="H526" s="50">
        <f t="shared" si="17"/>
        <v>13</v>
      </c>
    </row>
    <row r="527" spans="1:8">
      <c r="A527" s="48" t="s">
        <v>1177</v>
      </c>
      <c r="B527" s="48" t="s">
        <v>1176</v>
      </c>
      <c r="C527" s="48" t="str">
        <f t="shared" si="16"/>
        <v>Willows</v>
      </c>
      <c r="D527" s="51">
        <v>15</v>
      </c>
      <c r="E527" s="51">
        <v>11</v>
      </c>
      <c r="F527" s="51">
        <v>11</v>
      </c>
      <c r="G527" s="51">
        <v>26</v>
      </c>
      <c r="H527" s="50">
        <f t="shared" si="17"/>
        <v>63</v>
      </c>
    </row>
    <row r="528" spans="1:8">
      <c r="A528" s="48" t="s">
        <v>800</v>
      </c>
      <c r="B528" s="48" t="s">
        <v>1340</v>
      </c>
      <c r="C528" s="48" t="str">
        <f t="shared" si="16"/>
        <v>Windsor</v>
      </c>
      <c r="D528" s="51">
        <v>120</v>
      </c>
      <c r="E528" s="51">
        <v>65</v>
      </c>
      <c r="F528" s="51">
        <v>67</v>
      </c>
      <c r="G528" s="51">
        <v>188</v>
      </c>
      <c r="H528" s="50">
        <f t="shared" si="17"/>
        <v>440</v>
      </c>
    </row>
    <row r="529" spans="1:8">
      <c r="A529" s="48" t="s">
        <v>759</v>
      </c>
      <c r="B529" s="48" t="s">
        <v>760</v>
      </c>
      <c r="C529" s="48" t="str">
        <f t="shared" si="16"/>
        <v>Winters</v>
      </c>
      <c r="D529" s="51">
        <v>76</v>
      </c>
      <c r="E529" s="51">
        <v>54</v>
      </c>
      <c r="F529" s="51">
        <v>59</v>
      </c>
      <c r="G529" s="51">
        <v>130</v>
      </c>
      <c r="H529" s="50">
        <f t="shared" si="17"/>
        <v>319</v>
      </c>
    </row>
    <row r="530" spans="1:8">
      <c r="A530" s="48" t="s">
        <v>777</v>
      </c>
      <c r="B530" s="48" t="s">
        <v>776</v>
      </c>
      <c r="C530" s="48" t="str">
        <f t="shared" si="16"/>
        <v>Woodlake</v>
      </c>
      <c r="D530" s="53">
        <v>71</v>
      </c>
      <c r="E530" s="53">
        <v>41</v>
      </c>
      <c r="F530" s="53">
        <v>69</v>
      </c>
      <c r="G530" s="53">
        <v>191</v>
      </c>
      <c r="H530" s="50">
        <f t="shared" si="17"/>
        <v>372</v>
      </c>
    </row>
    <row r="531" spans="1:8">
      <c r="A531" s="48" t="s">
        <v>759</v>
      </c>
      <c r="B531" s="48" t="s">
        <v>758</v>
      </c>
      <c r="C531" s="48" t="str">
        <f t="shared" si="16"/>
        <v>Woodland</v>
      </c>
      <c r="D531" s="51">
        <v>390</v>
      </c>
      <c r="E531" s="51">
        <v>274</v>
      </c>
      <c r="F531" s="51">
        <v>349</v>
      </c>
      <c r="G531" s="51">
        <v>864</v>
      </c>
      <c r="H531" s="50">
        <f t="shared" si="17"/>
        <v>1877</v>
      </c>
    </row>
    <row r="532" spans="1:8">
      <c r="A532" s="48" t="s">
        <v>857</v>
      </c>
      <c r="B532" s="48" t="s">
        <v>1337</v>
      </c>
      <c r="C532" s="48" t="str">
        <f t="shared" si="16"/>
        <v>Woodside</v>
      </c>
      <c r="D532" s="51">
        <v>23</v>
      </c>
      <c r="E532" s="51">
        <v>13</v>
      </c>
      <c r="F532" s="51">
        <v>15</v>
      </c>
      <c r="G532" s="51">
        <v>11</v>
      </c>
      <c r="H532" s="50">
        <f t="shared" si="17"/>
        <v>62</v>
      </c>
    </row>
    <row r="533" spans="1:8">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c r="A534" s="48" t="s">
        <v>972</v>
      </c>
      <c r="B534" s="48" t="s">
        <v>971</v>
      </c>
      <c r="C534" s="48" t="str">
        <f t="shared" si="16"/>
        <v>Yorba Linda</v>
      </c>
      <c r="D534" s="51">
        <v>160</v>
      </c>
      <c r="E534" s="51">
        <v>113</v>
      </c>
      <c r="F534" s="51">
        <v>126</v>
      </c>
      <c r="G534" s="51">
        <v>270</v>
      </c>
      <c r="H534" s="50">
        <f t="shared" si="17"/>
        <v>669</v>
      </c>
    </row>
    <row r="535" spans="1:8">
      <c r="A535" s="48" t="s">
        <v>1009</v>
      </c>
      <c r="B535" s="48" t="s">
        <v>1327</v>
      </c>
      <c r="C535" s="48" t="str">
        <f t="shared" si="16"/>
        <v>Yountville</v>
      </c>
      <c r="D535" s="51">
        <v>4</v>
      </c>
      <c r="E535" s="51">
        <v>2</v>
      </c>
      <c r="F535" s="51">
        <v>3</v>
      </c>
      <c r="G535" s="51">
        <v>8</v>
      </c>
      <c r="H535" s="50">
        <f t="shared" si="17"/>
        <v>17</v>
      </c>
    </row>
    <row r="536" spans="1:8">
      <c r="A536" s="48" t="s">
        <v>817</v>
      </c>
      <c r="B536" s="48" t="s">
        <v>816</v>
      </c>
      <c r="C536" s="48" t="str">
        <f t="shared" si="16"/>
        <v>Yreka</v>
      </c>
      <c r="D536" s="51">
        <v>25</v>
      </c>
      <c r="E536" s="51">
        <v>17</v>
      </c>
      <c r="F536" s="51">
        <v>18</v>
      </c>
      <c r="G536" s="51">
        <v>43</v>
      </c>
      <c r="H536" s="50">
        <f t="shared" si="17"/>
        <v>103</v>
      </c>
    </row>
    <row r="537" spans="1:8">
      <c r="A537" s="48" t="s">
        <v>788</v>
      </c>
      <c r="B537" s="48" t="s">
        <v>787</v>
      </c>
      <c r="C537" s="48" t="str">
        <f t="shared" si="16"/>
        <v>Yuba City</v>
      </c>
      <c r="D537" s="51">
        <v>624</v>
      </c>
      <c r="E537" s="51">
        <v>437</v>
      </c>
      <c r="F537" s="51">
        <v>498</v>
      </c>
      <c r="G537" s="51">
        <v>1120</v>
      </c>
      <c r="H537" s="50">
        <f t="shared" si="17"/>
        <v>2679</v>
      </c>
    </row>
    <row r="538" spans="1:8">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c r="A539" s="48" t="s">
        <v>907</v>
      </c>
      <c r="B539" s="48" t="s">
        <v>908</v>
      </c>
      <c r="C539" s="48" t="str">
        <f t="shared" si="16"/>
        <v>Yucaipa</v>
      </c>
      <c r="D539" s="51">
        <v>376</v>
      </c>
      <c r="E539" s="51">
        <v>261</v>
      </c>
      <c r="F539" s="51">
        <v>299</v>
      </c>
      <c r="G539" s="51">
        <v>669</v>
      </c>
      <c r="H539" s="50">
        <f t="shared" si="17"/>
        <v>1605</v>
      </c>
    </row>
    <row r="540" spans="1:8">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1">
    <pageSetUpPr fitToPage="1"/>
  </sheetPr>
  <dimension ref="A1:Y672"/>
  <sheetViews>
    <sheetView showZeros="0" zoomScale="90" zoomScaleNormal="90" zoomScaleSheetLayoutView="70" workbookViewId="0">
      <pane ySplit="12" topLeftCell="A99" activePane="bottomLeft" state="frozen"/>
      <selection pane="bottomLeft" activeCell="J93" sqref="J93"/>
    </sheetView>
  </sheetViews>
  <sheetFormatPr defaultColWidth="0" defaultRowHeight="14.25"/>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c r="A1" s="422" t="s">
        <v>8</v>
      </c>
      <c r="B1" s="422"/>
      <c r="C1" s="422"/>
      <c r="D1" s="422"/>
      <c r="E1" s="422"/>
      <c r="F1" s="422"/>
      <c r="G1" s="422"/>
      <c r="H1" s="422"/>
      <c r="I1" s="422"/>
      <c r="J1" s="422"/>
      <c r="K1" s="422"/>
      <c r="L1" s="422"/>
      <c r="M1" s="422"/>
      <c r="N1" s="422"/>
      <c r="O1" s="422"/>
      <c r="P1" s="422"/>
      <c r="Q1" s="422"/>
      <c r="R1" s="74"/>
      <c r="S1" s="74"/>
      <c r="T1" s="74"/>
      <c r="U1" s="74"/>
      <c r="V1" s="74"/>
      <c r="W1" s="74"/>
      <c r="X1" s="74"/>
      <c r="Y1" s="74"/>
    </row>
    <row r="2" spans="1:25" s="261" customFormat="1" ht="20.25" customHeight="1">
      <c r="A2" s="423" t="s">
        <v>9</v>
      </c>
      <c r="B2" s="423"/>
      <c r="C2" s="423"/>
      <c r="D2" s="423"/>
      <c r="E2" s="423"/>
      <c r="F2" s="423"/>
      <c r="G2" s="423"/>
      <c r="H2" s="423"/>
      <c r="I2" s="423"/>
      <c r="J2" s="423"/>
      <c r="K2" s="423"/>
      <c r="L2" s="423"/>
      <c r="M2" s="423"/>
      <c r="N2" s="423"/>
      <c r="O2" s="423"/>
      <c r="P2" s="423"/>
      <c r="Q2" s="423"/>
      <c r="R2" s="75"/>
      <c r="S2" s="75"/>
      <c r="T2" s="75"/>
      <c r="U2" s="75"/>
      <c r="V2" s="75"/>
      <c r="W2" s="75"/>
      <c r="X2" s="75"/>
      <c r="Y2" s="75"/>
    </row>
    <row r="3" spans="1:25" s="261" customFormat="1" ht="15.75" customHeight="1">
      <c r="A3" s="418" t="s">
        <v>1378</v>
      </c>
      <c r="B3" s="418"/>
      <c r="C3" s="418"/>
      <c r="D3" s="418"/>
      <c r="E3" s="418"/>
      <c r="F3" s="418"/>
      <c r="G3" s="418"/>
      <c r="H3" s="418"/>
      <c r="I3" s="418"/>
      <c r="J3" s="418"/>
      <c r="K3" s="418"/>
      <c r="L3" s="418"/>
      <c r="M3" s="418"/>
      <c r="N3" s="418"/>
      <c r="O3" s="418"/>
      <c r="P3" s="418"/>
      <c r="Q3" s="418"/>
      <c r="R3" s="76"/>
      <c r="S3" s="76"/>
      <c r="T3" s="76"/>
      <c r="U3" s="76"/>
      <c r="V3" s="76"/>
      <c r="W3" s="76"/>
      <c r="X3" s="76"/>
      <c r="Y3" s="76"/>
    </row>
    <row r="4" spans="1:25" s="79" customFormat="1" ht="25.5" customHeight="1">
      <c r="A4" s="331" t="s">
        <v>10</v>
      </c>
      <c r="B4" s="244" t="str">
        <f>'Start Here'!B4:D4</f>
        <v>Pinole</v>
      </c>
      <c r="C4" s="332"/>
      <c r="D4" s="78"/>
      <c r="E4" s="78"/>
      <c r="I4" s="78"/>
      <c r="J4" s="78"/>
      <c r="K4" s="411" t="s">
        <v>1376</v>
      </c>
      <c r="L4" s="412"/>
      <c r="M4" s="412"/>
      <c r="N4" s="413"/>
    </row>
    <row r="5" spans="1:25" s="79" customFormat="1" ht="25.5" customHeight="1">
      <c r="A5" s="331" t="s">
        <v>36</v>
      </c>
      <c r="B5" s="243">
        <f>'Start Here'!B5</f>
        <v>2018</v>
      </c>
      <c r="C5" s="333" t="str">
        <f>'Table A2'!C5</f>
        <v>(Jan. 1 - Dec. 31)</v>
      </c>
      <c r="D5" s="80"/>
      <c r="E5" s="80"/>
      <c r="I5" s="78"/>
      <c r="J5" s="78"/>
      <c r="K5" s="414" t="s">
        <v>108</v>
      </c>
      <c r="L5" s="415"/>
      <c r="M5" s="415"/>
      <c r="N5" s="416"/>
    </row>
    <row r="6" spans="1:25" s="79" customFormat="1" ht="20.25" customHeight="1">
      <c r="A6" s="77"/>
      <c r="B6" s="295"/>
      <c r="C6" s="80"/>
      <c r="D6" s="80"/>
      <c r="E6" s="80"/>
      <c r="I6" s="94"/>
      <c r="J6" s="94"/>
      <c r="K6" s="94"/>
      <c r="L6" s="94"/>
      <c r="M6" s="94"/>
      <c r="N6" s="94"/>
    </row>
    <row r="8" spans="1:25" s="247" customFormat="1" ht="15.75">
      <c r="A8" s="452" t="s">
        <v>21</v>
      </c>
      <c r="B8" s="452"/>
      <c r="C8" s="452"/>
      <c r="D8" s="452"/>
      <c r="E8" s="452"/>
      <c r="F8" s="452"/>
      <c r="G8" s="452"/>
      <c r="H8" s="452"/>
      <c r="I8" s="452"/>
      <c r="J8" s="452"/>
      <c r="K8" s="452"/>
      <c r="L8" s="452"/>
      <c r="M8" s="452"/>
      <c r="N8" s="452"/>
      <c r="O8" s="452"/>
      <c r="P8" s="452"/>
      <c r="Q8" s="452"/>
      <c r="R8" s="453"/>
    </row>
    <row r="9" spans="1:25" s="247" customFormat="1" ht="15.75">
      <c r="A9" s="449" t="s">
        <v>49</v>
      </c>
      <c r="B9" s="450"/>
      <c r="C9" s="450"/>
      <c r="D9" s="450"/>
      <c r="E9" s="450"/>
      <c r="F9" s="450"/>
      <c r="G9" s="450"/>
      <c r="H9" s="450"/>
      <c r="I9" s="450"/>
      <c r="J9" s="450"/>
      <c r="K9" s="450"/>
      <c r="L9" s="450"/>
      <c r="M9" s="450"/>
      <c r="N9" s="450"/>
      <c r="O9" s="450"/>
      <c r="P9" s="450"/>
      <c r="Q9" s="450"/>
      <c r="R9" s="451"/>
    </row>
    <row r="10" spans="1:25" s="296" customFormat="1" ht="39.75" customHeight="1">
      <c r="A10" s="395" t="s">
        <v>43</v>
      </c>
      <c r="B10" s="446"/>
      <c r="C10" s="446"/>
      <c r="D10" s="446"/>
      <c r="E10" s="205" t="s">
        <v>53</v>
      </c>
      <c r="F10" s="395" t="s">
        <v>50</v>
      </c>
      <c r="G10" s="446"/>
      <c r="H10" s="446"/>
      <c r="I10" s="446"/>
      <c r="J10" s="205" t="s">
        <v>118</v>
      </c>
      <c r="K10" s="395" t="s">
        <v>119</v>
      </c>
      <c r="L10" s="447"/>
      <c r="M10" s="447"/>
      <c r="N10" s="447"/>
      <c r="O10" s="447"/>
      <c r="P10" s="447"/>
      <c r="Q10" s="447"/>
      <c r="R10" s="447"/>
    </row>
    <row r="11" spans="1:25" s="97" customFormat="1">
      <c r="A11" s="443">
        <v>1</v>
      </c>
      <c r="B11" s="448"/>
      <c r="C11" s="448"/>
      <c r="D11" s="445"/>
      <c r="E11" s="211">
        <v>2</v>
      </c>
      <c r="F11" s="443">
        <v>3</v>
      </c>
      <c r="G11" s="444"/>
      <c r="H11" s="444"/>
      <c r="I11" s="445"/>
      <c r="J11" s="92">
        <v>4</v>
      </c>
      <c r="K11" s="210">
        <v>5</v>
      </c>
      <c r="L11" s="210">
        <v>6</v>
      </c>
      <c r="M11" s="210">
        <v>7</v>
      </c>
      <c r="N11" s="426">
        <v>8</v>
      </c>
      <c r="O11" s="426"/>
      <c r="P11" s="210">
        <v>9</v>
      </c>
      <c r="Q11" s="210">
        <v>10</v>
      </c>
      <c r="R11" s="210">
        <v>11</v>
      </c>
    </row>
    <row r="12" spans="1:25" s="97" customFormat="1" ht="53.25" customHeight="1">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c r="A13" s="441" t="s">
        <v>138</v>
      </c>
      <c r="B13" s="442"/>
      <c r="C13" s="442"/>
      <c r="D13" s="442"/>
      <c r="E13" s="442"/>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c r="A14" s="165"/>
      <c r="B14" s="165"/>
      <c r="C14" s="165"/>
      <c r="D14" s="165"/>
      <c r="E14" s="165"/>
      <c r="F14" s="165"/>
      <c r="G14" s="165"/>
      <c r="H14" s="165"/>
      <c r="I14" s="165"/>
      <c r="J14" s="165"/>
      <c r="K14" s="166"/>
      <c r="L14" s="165"/>
      <c r="M14" s="165"/>
      <c r="N14" s="165"/>
      <c r="O14" s="165"/>
      <c r="P14" s="165"/>
      <c r="Q14" s="165"/>
      <c r="R14" s="165"/>
    </row>
    <row r="15" spans="1:25" s="17" customFormat="1" ht="12.75">
      <c r="A15" s="165"/>
      <c r="B15" s="165"/>
      <c r="C15" s="165"/>
      <c r="D15" s="165"/>
      <c r="E15" s="165"/>
      <c r="F15" s="165"/>
      <c r="G15" s="165"/>
      <c r="H15" s="165"/>
      <c r="I15" s="165"/>
      <c r="J15" s="165"/>
      <c r="K15" s="166"/>
      <c r="L15" s="165"/>
      <c r="M15" s="165"/>
      <c r="N15" s="165"/>
      <c r="O15" s="165"/>
      <c r="P15" s="165"/>
      <c r="Q15" s="165"/>
      <c r="R15" s="165"/>
    </row>
    <row r="16" spans="1:25" s="17" customFormat="1" ht="12.75">
      <c r="A16" s="165"/>
      <c r="B16" s="165"/>
      <c r="C16" s="165"/>
      <c r="D16" s="165"/>
      <c r="E16" s="165"/>
      <c r="F16" s="165"/>
      <c r="G16" s="165"/>
      <c r="H16" s="165"/>
      <c r="I16" s="165"/>
      <c r="J16" s="165"/>
      <c r="K16" s="166"/>
      <c r="L16" s="165"/>
      <c r="M16" s="165"/>
      <c r="N16" s="165"/>
      <c r="O16" s="165"/>
      <c r="P16" s="165"/>
      <c r="Q16" s="165"/>
      <c r="R16" s="165"/>
    </row>
    <row r="17" spans="1:20" s="17" customFormat="1">
      <c r="A17" s="266"/>
      <c r="B17" s="165"/>
      <c r="C17" s="165"/>
      <c r="D17" s="165"/>
      <c r="E17" s="165"/>
      <c r="F17" s="165"/>
      <c r="G17" s="165"/>
      <c r="H17" s="165"/>
      <c r="I17" s="165"/>
      <c r="J17" s="165"/>
      <c r="K17" s="166"/>
      <c r="L17" s="165"/>
      <c r="M17" s="165"/>
      <c r="N17" s="165"/>
      <c r="O17" s="165"/>
      <c r="P17" s="165"/>
      <c r="Q17" s="165"/>
      <c r="R17" s="165"/>
    </row>
    <row r="18" spans="1:20" s="17" customFormat="1" ht="12.75">
      <c r="A18" s="165"/>
      <c r="B18" s="165"/>
      <c r="C18" s="165"/>
      <c r="D18" s="165"/>
      <c r="E18" s="165"/>
      <c r="F18" s="165"/>
      <c r="G18" s="165"/>
      <c r="H18" s="165"/>
      <c r="I18" s="165"/>
      <c r="J18" s="165"/>
      <c r="K18" s="166"/>
      <c r="L18" s="165"/>
      <c r="M18" s="165"/>
      <c r="N18" s="165"/>
      <c r="O18" s="165"/>
      <c r="P18" s="165"/>
      <c r="Q18" s="165"/>
      <c r="R18" s="165"/>
    </row>
    <row r="19" spans="1:20" s="17" customFormat="1" ht="12.75">
      <c r="A19" s="165"/>
      <c r="B19" s="165"/>
      <c r="C19" s="165"/>
      <c r="D19" s="165"/>
      <c r="E19" s="165"/>
      <c r="F19" s="165"/>
      <c r="G19" s="165"/>
      <c r="H19" s="165"/>
      <c r="I19" s="165"/>
      <c r="J19" s="165"/>
      <c r="K19" s="166"/>
      <c r="L19" s="165"/>
      <c r="M19" s="165"/>
      <c r="N19" s="165"/>
      <c r="O19" s="165"/>
      <c r="P19" s="165"/>
      <c r="Q19" s="165"/>
      <c r="R19" s="165"/>
    </row>
    <row r="20" spans="1:20" s="17" customFormat="1" ht="12.75">
      <c r="A20" s="165"/>
      <c r="B20" s="165"/>
      <c r="C20" s="165"/>
      <c r="D20" s="165"/>
      <c r="E20" s="165"/>
      <c r="F20" s="165"/>
      <c r="G20" s="165"/>
      <c r="H20" s="165"/>
      <c r="I20" s="165"/>
      <c r="J20" s="165"/>
      <c r="K20" s="166"/>
      <c r="L20" s="165"/>
      <c r="M20" s="165"/>
      <c r="N20" s="165"/>
      <c r="O20" s="165"/>
      <c r="P20" s="165"/>
      <c r="Q20" s="165"/>
      <c r="R20" s="165"/>
    </row>
    <row r="21" spans="1:20" s="17" customFormat="1" ht="12.75">
      <c r="A21" s="165"/>
      <c r="B21" s="165"/>
      <c r="C21" s="165"/>
      <c r="D21" s="165"/>
      <c r="E21" s="165"/>
      <c r="F21" s="165"/>
      <c r="G21" s="165"/>
      <c r="H21" s="165"/>
      <c r="I21" s="165"/>
      <c r="J21" s="165"/>
      <c r="K21" s="166"/>
      <c r="L21" s="165"/>
      <c r="M21" s="165"/>
      <c r="N21" s="165"/>
      <c r="O21" s="165"/>
      <c r="P21" s="165"/>
      <c r="Q21" s="165"/>
      <c r="R21" s="165"/>
      <c r="S21" s="231"/>
    </row>
    <row r="22" spans="1:20" s="267" customFormat="1">
      <c r="A22" s="270"/>
      <c r="B22" s="270"/>
      <c r="C22" s="270"/>
      <c r="D22" s="270"/>
      <c r="E22" s="270"/>
      <c r="F22" s="270"/>
      <c r="G22" s="270"/>
      <c r="H22" s="270"/>
      <c r="I22" s="270"/>
      <c r="J22" s="165"/>
      <c r="K22" s="302"/>
      <c r="L22" s="270"/>
      <c r="M22" s="270"/>
      <c r="N22" s="270"/>
      <c r="O22" s="270"/>
      <c r="P22" s="270"/>
      <c r="Q22" s="270"/>
      <c r="R22" s="270"/>
    </row>
    <row r="23" spans="1:20" s="305" customFormat="1" ht="12.75">
      <c r="A23" s="303"/>
      <c r="B23" s="303"/>
      <c r="C23" s="303"/>
      <c r="D23" s="303"/>
      <c r="E23" s="303"/>
      <c r="F23" s="303"/>
      <c r="G23" s="303"/>
      <c r="H23" s="303"/>
      <c r="I23" s="303"/>
      <c r="J23" s="165"/>
      <c r="K23" s="304"/>
      <c r="L23" s="303"/>
      <c r="M23" s="303"/>
      <c r="N23" s="303"/>
      <c r="O23" s="303"/>
      <c r="P23" s="303"/>
      <c r="Q23" s="303"/>
      <c r="R23" s="303"/>
    </row>
    <row r="24" spans="1:20" s="267" customFormat="1">
      <c r="A24" s="270"/>
      <c r="B24" s="270"/>
      <c r="C24" s="270"/>
      <c r="D24" s="270"/>
      <c r="E24" s="270"/>
      <c r="F24" s="270"/>
      <c r="G24" s="270"/>
      <c r="H24" s="270"/>
      <c r="I24" s="270"/>
      <c r="J24" s="165"/>
      <c r="K24" s="302"/>
      <c r="L24" s="270"/>
      <c r="M24" s="270"/>
      <c r="N24" s="270"/>
      <c r="O24" s="270"/>
      <c r="P24" s="270"/>
      <c r="Q24" s="270"/>
      <c r="R24" s="270"/>
    </row>
    <row r="25" spans="1:20" s="267" customFormat="1">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c r="A62" s="270"/>
      <c r="B62" s="270"/>
      <c r="C62" s="270"/>
      <c r="D62" s="270"/>
      <c r="E62" s="270"/>
      <c r="F62" s="270"/>
      <c r="G62" s="270"/>
      <c r="H62" s="270"/>
      <c r="I62" s="270"/>
      <c r="J62" s="270"/>
      <c r="K62" s="302"/>
      <c r="L62" s="270"/>
      <c r="M62" s="270"/>
      <c r="N62" s="270"/>
      <c r="O62" s="270"/>
      <c r="P62" s="270"/>
      <c r="Q62" s="270"/>
      <c r="R62" s="270"/>
    </row>
    <row r="63" spans="1:20" s="267" customFormat="1">
      <c r="A63" s="270"/>
      <c r="B63" s="270"/>
      <c r="C63" s="270"/>
      <c r="D63" s="270"/>
      <c r="E63" s="270"/>
      <c r="F63" s="270"/>
      <c r="G63" s="270"/>
      <c r="H63" s="270"/>
      <c r="I63" s="270"/>
      <c r="J63" s="270"/>
      <c r="K63" s="302"/>
      <c r="L63" s="270"/>
      <c r="M63" s="270"/>
      <c r="N63" s="270"/>
      <c r="O63" s="270"/>
      <c r="P63" s="270"/>
      <c r="Q63" s="270"/>
      <c r="R63" s="270"/>
    </row>
    <row r="64" spans="1:20" s="267" customFormat="1">
      <c r="A64" s="270"/>
      <c r="B64" s="270"/>
      <c r="C64" s="270"/>
      <c r="D64" s="270"/>
      <c r="E64" s="270"/>
      <c r="F64" s="270"/>
      <c r="G64" s="270"/>
      <c r="H64" s="270"/>
      <c r="I64" s="270"/>
      <c r="J64" s="270"/>
      <c r="K64" s="302"/>
      <c r="L64" s="270"/>
      <c r="M64" s="270"/>
      <c r="N64" s="270"/>
      <c r="O64" s="270"/>
      <c r="P64" s="270"/>
      <c r="Q64" s="270"/>
      <c r="R64" s="270"/>
    </row>
    <row r="65" spans="1:18" s="267" customFormat="1">
      <c r="A65" s="270"/>
      <c r="B65" s="270"/>
      <c r="C65" s="270"/>
      <c r="D65" s="270"/>
      <c r="E65" s="270"/>
      <c r="F65" s="270"/>
      <c r="G65" s="270"/>
      <c r="H65" s="270"/>
      <c r="I65" s="270"/>
      <c r="J65" s="270"/>
      <c r="K65" s="302"/>
      <c r="L65" s="270"/>
      <c r="M65" s="270"/>
      <c r="N65" s="270"/>
      <c r="O65" s="270"/>
      <c r="P65" s="270"/>
      <c r="Q65" s="270"/>
      <c r="R65" s="270"/>
    </row>
    <row r="66" spans="1:18" s="267" customFormat="1">
      <c r="A66" s="270"/>
      <c r="B66" s="270"/>
      <c r="C66" s="270"/>
      <c r="D66" s="270"/>
      <c r="E66" s="270"/>
      <c r="F66" s="270"/>
      <c r="G66" s="270"/>
      <c r="H66" s="270"/>
      <c r="I66" s="270"/>
      <c r="J66" s="270"/>
      <c r="K66" s="302"/>
      <c r="L66" s="270"/>
      <c r="M66" s="270"/>
      <c r="N66" s="270"/>
      <c r="O66" s="270"/>
      <c r="P66" s="270"/>
      <c r="Q66" s="270"/>
      <c r="R66" s="270"/>
    </row>
    <row r="67" spans="1:18" s="267" customFormat="1">
      <c r="A67" s="270"/>
      <c r="B67" s="270"/>
      <c r="C67" s="270"/>
      <c r="D67" s="270"/>
      <c r="E67" s="270"/>
      <c r="F67" s="270"/>
      <c r="G67" s="270"/>
      <c r="H67" s="270"/>
      <c r="I67" s="270"/>
      <c r="J67" s="270"/>
      <c r="K67" s="302"/>
      <c r="L67" s="270"/>
      <c r="M67" s="270"/>
      <c r="N67" s="270"/>
      <c r="O67" s="270"/>
      <c r="P67" s="270"/>
      <c r="Q67" s="270"/>
      <c r="R67" s="270"/>
    </row>
    <row r="68" spans="1:18" s="267" customFormat="1">
      <c r="A68" s="270"/>
      <c r="B68" s="270"/>
      <c r="C68" s="270"/>
      <c r="D68" s="270"/>
      <c r="E68" s="270"/>
      <c r="F68" s="270"/>
      <c r="G68" s="270"/>
      <c r="H68" s="270"/>
      <c r="I68" s="270"/>
      <c r="J68" s="270"/>
      <c r="K68" s="302"/>
      <c r="L68" s="270"/>
      <c r="M68" s="270"/>
      <c r="N68" s="270"/>
      <c r="O68" s="270"/>
      <c r="P68" s="270"/>
      <c r="Q68" s="270"/>
      <c r="R68" s="270"/>
    </row>
    <row r="69" spans="1:18" s="267" customFormat="1">
      <c r="A69" s="270"/>
      <c r="B69" s="270"/>
      <c r="C69" s="270"/>
      <c r="D69" s="270"/>
      <c r="E69" s="270"/>
      <c r="F69" s="270"/>
      <c r="G69" s="270"/>
      <c r="H69" s="270"/>
      <c r="I69" s="270"/>
      <c r="J69" s="270"/>
      <c r="K69" s="302"/>
      <c r="L69" s="270"/>
      <c r="M69" s="270"/>
      <c r="N69" s="270"/>
      <c r="O69" s="270"/>
      <c r="P69" s="270"/>
      <c r="Q69" s="270"/>
      <c r="R69" s="270"/>
    </row>
    <row r="70" spans="1:18" s="267" customFormat="1">
      <c r="A70" s="270"/>
      <c r="B70" s="270"/>
      <c r="C70" s="270"/>
      <c r="D70" s="270"/>
      <c r="E70" s="270"/>
      <c r="F70" s="270"/>
      <c r="G70" s="270"/>
      <c r="H70" s="270"/>
      <c r="I70" s="270"/>
      <c r="J70" s="270"/>
      <c r="K70" s="302"/>
      <c r="L70" s="270"/>
      <c r="M70" s="270"/>
      <c r="N70" s="270"/>
      <c r="O70" s="270"/>
      <c r="P70" s="270"/>
      <c r="Q70" s="270"/>
      <c r="R70" s="270"/>
    </row>
    <row r="71" spans="1:18" s="267" customFormat="1">
      <c r="A71" s="270"/>
      <c r="B71" s="270"/>
      <c r="C71" s="270"/>
      <c r="D71" s="270"/>
      <c r="E71" s="270"/>
      <c r="F71" s="270"/>
      <c r="G71" s="270"/>
      <c r="H71" s="270"/>
      <c r="I71" s="270"/>
      <c r="J71" s="270"/>
      <c r="K71" s="302"/>
      <c r="L71" s="270"/>
      <c r="M71" s="270"/>
      <c r="N71" s="270"/>
      <c r="O71" s="270"/>
      <c r="P71" s="270"/>
      <c r="Q71" s="270"/>
      <c r="R71" s="270"/>
    </row>
    <row r="72" spans="1:18" s="267" customFormat="1">
      <c r="A72" s="270"/>
      <c r="B72" s="270"/>
      <c r="C72" s="270"/>
      <c r="D72" s="270"/>
      <c r="E72" s="270"/>
      <c r="F72" s="270"/>
      <c r="G72" s="270"/>
      <c r="H72" s="270"/>
      <c r="I72" s="270"/>
      <c r="J72" s="270"/>
      <c r="K72" s="302"/>
      <c r="L72" s="270"/>
      <c r="M72" s="270"/>
      <c r="N72" s="270"/>
      <c r="O72" s="270"/>
      <c r="P72" s="270"/>
      <c r="Q72" s="270"/>
      <c r="R72" s="270"/>
    </row>
    <row r="73" spans="1:18" s="267" customFormat="1">
      <c r="A73" s="270"/>
      <c r="B73" s="270"/>
      <c r="C73" s="270"/>
      <c r="D73" s="270"/>
      <c r="E73" s="270"/>
      <c r="F73" s="270"/>
      <c r="G73" s="270"/>
      <c r="H73" s="270"/>
      <c r="I73" s="270"/>
      <c r="J73" s="270"/>
      <c r="K73" s="302"/>
      <c r="L73" s="270"/>
      <c r="M73" s="270"/>
      <c r="N73" s="270"/>
      <c r="O73" s="270"/>
      <c r="P73" s="270"/>
      <c r="Q73" s="270"/>
      <c r="R73" s="270"/>
    </row>
    <row r="74" spans="1:18" s="267" customFormat="1">
      <c r="A74" s="270"/>
      <c r="B74" s="270"/>
      <c r="C74" s="270"/>
      <c r="D74" s="270"/>
      <c r="E74" s="270"/>
      <c r="F74" s="270"/>
      <c r="G74" s="270"/>
      <c r="H74" s="270"/>
      <c r="I74" s="270"/>
      <c r="J74" s="270"/>
      <c r="K74" s="302"/>
      <c r="L74" s="270"/>
      <c r="M74" s="270"/>
      <c r="N74" s="270"/>
      <c r="O74" s="270"/>
      <c r="P74" s="270"/>
      <c r="Q74" s="270"/>
      <c r="R74" s="270"/>
    </row>
    <row r="75" spans="1:18" s="267" customFormat="1">
      <c r="A75" s="270"/>
      <c r="B75" s="270"/>
      <c r="C75" s="270"/>
      <c r="D75" s="270"/>
      <c r="E75" s="270"/>
      <c r="F75" s="270"/>
      <c r="G75" s="270"/>
      <c r="H75" s="270"/>
      <c r="I75" s="270"/>
      <c r="J75" s="270"/>
      <c r="K75" s="302"/>
      <c r="L75" s="270"/>
      <c r="M75" s="270"/>
      <c r="N75" s="270"/>
      <c r="O75" s="270"/>
      <c r="P75" s="270"/>
      <c r="Q75" s="270"/>
      <c r="R75" s="270"/>
    </row>
    <row r="76" spans="1:18" s="267" customFormat="1">
      <c r="A76" s="270"/>
      <c r="B76" s="270"/>
      <c r="C76" s="270"/>
      <c r="D76" s="270"/>
      <c r="E76" s="270"/>
      <c r="F76" s="270"/>
      <c r="G76" s="270"/>
      <c r="H76" s="270"/>
      <c r="I76" s="270"/>
      <c r="J76" s="270"/>
      <c r="K76" s="302"/>
      <c r="L76" s="270"/>
      <c r="M76" s="270"/>
      <c r="N76" s="270"/>
      <c r="O76" s="270"/>
      <c r="P76" s="270"/>
      <c r="Q76" s="270"/>
      <c r="R76" s="270"/>
    </row>
    <row r="77" spans="1:18" s="267" customFormat="1">
      <c r="A77" s="270"/>
      <c r="B77" s="270"/>
      <c r="C77" s="270"/>
      <c r="D77" s="270"/>
      <c r="E77" s="270"/>
      <c r="F77" s="270"/>
      <c r="G77" s="270"/>
      <c r="H77" s="270"/>
      <c r="I77" s="270"/>
      <c r="J77" s="270"/>
      <c r="K77" s="302"/>
      <c r="L77" s="270"/>
      <c r="M77" s="270"/>
      <c r="N77" s="270"/>
      <c r="O77" s="270"/>
      <c r="P77" s="270"/>
      <c r="Q77" s="270"/>
      <c r="R77" s="270"/>
    </row>
    <row r="78" spans="1:18" s="267" customFormat="1">
      <c r="A78" s="270"/>
      <c r="B78" s="270"/>
      <c r="C78" s="270"/>
      <c r="D78" s="270"/>
      <c r="E78" s="270"/>
      <c r="F78" s="270"/>
      <c r="G78" s="270"/>
      <c r="H78" s="270"/>
      <c r="I78" s="270"/>
      <c r="J78" s="270"/>
      <c r="K78" s="302"/>
      <c r="L78" s="270"/>
      <c r="M78" s="270"/>
      <c r="N78" s="270"/>
      <c r="O78" s="270"/>
      <c r="P78" s="270"/>
      <c r="Q78" s="270"/>
      <c r="R78" s="270"/>
    </row>
    <row r="79" spans="1:18" s="267" customFormat="1">
      <c r="A79" s="270"/>
      <c r="B79" s="270"/>
      <c r="C79" s="270"/>
      <c r="D79" s="270"/>
      <c r="E79" s="270"/>
      <c r="F79" s="270"/>
      <c r="G79" s="270"/>
      <c r="H79" s="270"/>
      <c r="I79" s="270"/>
      <c r="J79" s="270"/>
      <c r="K79" s="302"/>
      <c r="L79" s="270"/>
      <c r="M79" s="270"/>
      <c r="N79" s="270"/>
      <c r="O79" s="270"/>
      <c r="P79" s="270"/>
      <c r="Q79" s="270"/>
      <c r="R79" s="270"/>
    </row>
    <row r="80" spans="1:18" s="267" customFormat="1">
      <c r="A80" s="270"/>
      <c r="B80" s="270"/>
      <c r="C80" s="270"/>
      <c r="D80" s="270"/>
      <c r="E80" s="270"/>
      <c r="F80" s="270"/>
      <c r="G80" s="270"/>
      <c r="H80" s="270"/>
      <c r="I80" s="270"/>
      <c r="J80" s="270"/>
      <c r="K80" s="302"/>
      <c r="L80" s="270"/>
      <c r="M80" s="270"/>
      <c r="N80" s="270"/>
      <c r="O80" s="270"/>
      <c r="P80" s="270"/>
      <c r="Q80" s="270"/>
      <c r="R80" s="270"/>
    </row>
    <row r="81" spans="1:18" s="267" customFormat="1">
      <c r="A81" s="270"/>
      <c r="B81" s="270"/>
      <c r="C81" s="270"/>
      <c r="D81" s="270"/>
      <c r="E81" s="270"/>
      <c r="F81" s="270"/>
      <c r="G81" s="270"/>
      <c r="H81" s="270"/>
      <c r="I81" s="270"/>
      <c r="J81" s="270"/>
      <c r="K81" s="302"/>
      <c r="L81" s="270"/>
      <c r="M81" s="270"/>
      <c r="N81" s="270"/>
      <c r="O81" s="270"/>
      <c r="P81" s="270"/>
      <c r="Q81" s="270"/>
      <c r="R81" s="270"/>
    </row>
    <row r="82" spans="1:18" s="267" customFormat="1">
      <c r="A82" s="270"/>
      <c r="B82" s="270"/>
      <c r="C82" s="270"/>
      <c r="D82" s="270"/>
      <c r="E82" s="270"/>
      <c r="F82" s="270"/>
      <c r="G82" s="270"/>
      <c r="H82" s="270"/>
      <c r="I82" s="270"/>
      <c r="J82" s="270"/>
      <c r="K82" s="302"/>
      <c r="L82" s="270"/>
      <c r="M82" s="270"/>
      <c r="N82" s="270"/>
      <c r="O82" s="270"/>
      <c r="P82" s="270"/>
      <c r="Q82" s="270"/>
      <c r="R82" s="270"/>
    </row>
    <row r="83" spans="1:18" s="267" customFormat="1">
      <c r="A83" s="270"/>
      <c r="B83" s="270"/>
      <c r="C83" s="270"/>
      <c r="D83" s="270"/>
      <c r="E83" s="270"/>
      <c r="F83" s="270"/>
      <c r="G83" s="270"/>
      <c r="H83" s="270"/>
      <c r="I83" s="270"/>
      <c r="J83" s="270"/>
      <c r="K83" s="302"/>
      <c r="L83" s="270"/>
      <c r="M83" s="270"/>
      <c r="N83" s="270"/>
      <c r="O83" s="270"/>
      <c r="P83" s="270"/>
      <c r="Q83" s="270"/>
      <c r="R83" s="270"/>
    </row>
    <row r="84" spans="1:18" s="267" customFormat="1">
      <c r="A84" s="270"/>
      <c r="B84" s="270"/>
      <c r="C84" s="270"/>
      <c r="D84" s="270"/>
      <c r="E84" s="270"/>
      <c r="F84" s="270"/>
      <c r="G84" s="270"/>
      <c r="H84" s="270"/>
      <c r="I84" s="270"/>
      <c r="J84" s="270"/>
      <c r="K84" s="302"/>
      <c r="L84" s="270"/>
      <c r="M84" s="270"/>
      <c r="N84" s="270"/>
      <c r="O84" s="270"/>
      <c r="P84" s="270"/>
      <c r="Q84" s="270"/>
      <c r="R84" s="270"/>
    </row>
    <row r="85" spans="1:18" s="267" customFormat="1">
      <c r="A85" s="270"/>
      <c r="B85" s="270"/>
      <c r="C85" s="270"/>
      <c r="D85" s="270"/>
      <c r="E85" s="270"/>
      <c r="F85" s="270"/>
      <c r="G85" s="270"/>
      <c r="H85" s="270"/>
      <c r="I85" s="270"/>
      <c r="J85" s="270"/>
      <c r="K85" s="302"/>
      <c r="L85" s="270"/>
      <c r="M85" s="270"/>
      <c r="N85" s="270"/>
      <c r="O85" s="270"/>
      <c r="P85" s="270"/>
      <c r="Q85" s="270"/>
      <c r="R85" s="270"/>
    </row>
    <row r="86" spans="1:18" s="267" customFormat="1">
      <c r="A86" s="270"/>
      <c r="B86" s="270"/>
      <c r="C86" s="270"/>
      <c r="D86" s="270"/>
      <c r="E86" s="270"/>
      <c r="F86" s="270"/>
      <c r="G86" s="270"/>
      <c r="H86" s="270"/>
      <c r="I86" s="270"/>
      <c r="J86" s="270"/>
      <c r="K86" s="302"/>
      <c r="L86" s="270"/>
      <c r="M86" s="270"/>
      <c r="N86" s="270"/>
      <c r="O86" s="270"/>
      <c r="P86" s="270"/>
      <c r="Q86" s="270"/>
      <c r="R86" s="270"/>
    </row>
    <row r="87" spans="1:18" s="267" customFormat="1">
      <c r="A87" s="270"/>
      <c r="B87" s="270"/>
      <c r="C87" s="270"/>
      <c r="D87" s="270"/>
      <c r="E87" s="270"/>
      <c r="F87" s="270"/>
      <c r="G87" s="270"/>
      <c r="H87" s="270"/>
      <c r="I87" s="270"/>
      <c r="J87" s="270"/>
      <c r="K87" s="302"/>
      <c r="L87" s="270"/>
      <c r="M87" s="270"/>
      <c r="N87" s="270"/>
      <c r="O87" s="270"/>
      <c r="P87" s="270"/>
      <c r="Q87" s="270"/>
      <c r="R87" s="270"/>
    </row>
    <row r="88" spans="1:18" s="267" customFormat="1">
      <c r="A88" s="270"/>
      <c r="B88" s="270"/>
      <c r="C88" s="270"/>
      <c r="D88" s="270"/>
      <c r="E88" s="270"/>
      <c r="F88" s="270"/>
      <c r="G88" s="270"/>
      <c r="H88" s="270"/>
      <c r="I88" s="270"/>
      <c r="J88" s="270"/>
      <c r="K88" s="302"/>
      <c r="L88" s="270"/>
      <c r="M88" s="270"/>
      <c r="N88" s="270"/>
      <c r="O88" s="270"/>
      <c r="P88" s="270"/>
      <c r="Q88" s="270"/>
      <c r="R88" s="270"/>
    </row>
    <row r="89" spans="1:18" s="267" customFormat="1">
      <c r="A89" s="270"/>
      <c r="B89" s="270"/>
      <c r="C89" s="270"/>
      <c r="D89" s="270"/>
      <c r="E89" s="270"/>
      <c r="F89" s="270"/>
      <c r="G89" s="270"/>
      <c r="H89" s="270"/>
      <c r="I89" s="270"/>
      <c r="J89" s="270"/>
      <c r="K89" s="302"/>
      <c r="L89" s="270"/>
      <c r="M89" s="270"/>
      <c r="N89" s="270"/>
      <c r="O89" s="270"/>
      <c r="P89" s="270"/>
      <c r="Q89" s="270"/>
      <c r="R89" s="270"/>
    </row>
    <row r="90" spans="1:18" s="267" customFormat="1">
      <c r="A90" s="270"/>
      <c r="B90" s="270"/>
      <c r="C90" s="270"/>
      <c r="D90" s="270"/>
      <c r="E90" s="270"/>
      <c r="F90" s="270"/>
      <c r="G90" s="270"/>
      <c r="H90" s="270"/>
      <c r="I90" s="270"/>
      <c r="J90" s="270"/>
      <c r="K90" s="302"/>
      <c r="L90" s="270"/>
      <c r="M90" s="270"/>
      <c r="N90" s="270"/>
      <c r="O90" s="270"/>
      <c r="P90" s="270"/>
      <c r="Q90" s="270"/>
      <c r="R90" s="270"/>
    </row>
    <row r="91" spans="1:18" s="267" customFormat="1">
      <c r="A91" s="270"/>
      <c r="B91" s="270"/>
      <c r="C91" s="270"/>
      <c r="D91" s="270"/>
      <c r="E91" s="270"/>
      <c r="F91" s="270"/>
      <c r="G91" s="270"/>
      <c r="H91" s="270"/>
      <c r="I91" s="270"/>
      <c r="J91" s="270"/>
      <c r="K91" s="302"/>
      <c r="L91" s="270"/>
      <c r="M91" s="270"/>
      <c r="N91" s="270"/>
      <c r="O91" s="270"/>
      <c r="P91" s="270"/>
      <c r="Q91" s="270"/>
      <c r="R91" s="270"/>
    </row>
    <row r="92" spans="1:18" s="267" customFormat="1">
      <c r="A92" s="270"/>
      <c r="B92" s="270"/>
      <c r="C92" s="270"/>
      <c r="D92" s="270"/>
      <c r="E92" s="270"/>
      <c r="F92" s="270"/>
      <c r="G92" s="270"/>
      <c r="H92" s="270"/>
      <c r="I92" s="270"/>
      <c r="J92" s="270"/>
      <c r="K92" s="302"/>
      <c r="L92" s="270"/>
      <c r="M92" s="270"/>
      <c r="N92" s="270"/>
      <c r="O92" s="270"/>
      <c r="P92" s="270"/>
      <c r="Q92" s="270"/>
      <c r="R92" s="270"/>
    </row>
    <row r="93" spans="1:18" s="267" customFormat="1">
      <c r="A93" s="270"/>
      <c r="B93" s="270"/>
      <c r="C93" s="270"/>
      <c r="D93" s="270"/>
      <c r="E93" s="270"/>
      <c r="F93" s="270"/>
      <c r="G93" s="270"/>
      <c r="H93" s="270"/>
      <c r="I93" s="270"/>
      <c r="J93" s="270"/>
      <c r="K93" s="302"/>
      <c r="L93" s="270"/>
      <c r="M93" s="270"/>
      <c r="N93" s="270"/>
      <c r="O93" s="270"/>
      <c r="P93" s="270"/>
      <c r="Q93" s="270"/>
      <c r="R93" s="270"/>
    </row>
    <row r="94" spans="1:18" s="267" customFormat="1">
      <c r="A94" s="270"/>
      <c r="B94" s="270"/>
      <c r="C94" s="270"/>
      <c r="D94" s="270"/>
      <c r="E94" s="270"/>
      <c r="F94" s="270"/>
      <c r="G94" s="270"/>
      <c r="H94" s="270"/>
      <c r="I94" s="270"/>
      <c r="J94" s="270"/>
      <c r="K94" s="302"/>
      <c r="L94" s="270"/>
      <c r="M94" s="270"/>
      <c r="N94" s="270"/>
      <c r="O94" s="270"/>
      <c r="P94" s="270"/>
      <c r="Q94" s="270"/>
      <c r="R94" s="270"/>
    </row>
    <row r="95" spans="1:18" s="267" customFormat="1">
      <c r="A95" s="270"/>
      <c r="B95" s="270"/>
      <c r="C95" s="270"/>
      <c r="D95" s="270"/>
      <c r="E95" s="270"/>
      <c r="F95" s="270"/>
      <c r="G95" s="270"/>
      <c r="H95" s="270"/>
      <c r="I95" s="270"/>
      <c r="J95" s="270"/>
      <c r="K95" s="302"/>
      <c r="L95" s="270"/>
      <c r="M95" s="270"/>
      <c r="N95" s="270"/>
      <c r="O95" s="270"/>
      <c r="P95" s="270"/>
      <c r="Q95" s="270"/>
      <c r="R95" s="270"/>
    </row>
    <row r="96" spans="1:18" s="267" customFormat="1">
      <c r="A96" s="270"/>
      <c r="B96" s="270"/>
      <c r="C96" s="270"/>
      <c r="D96" s="270"/>
      <c r="E96" s="270"/>
      <c r="F96" s="270"/>
      <c r="G96" s="270"/>
      <c r="H96" s="270"/>
      <c r="I96" s="270"/>
      <c r="J96" s="270"/>
      <c r="K96" s="302"/>
      <c r="L96" s="270"/>
      <c r="M96" s="270"/>
      <c r="N96" s="270"/>
      <c r="O96" s="270"/>
      <c r="P96" s="270"/>
      <c r="Q96" s="270"/>
      <c r="R96" s="270"/>
    </row>
    <row r="97" spans="1:18" s="267" customFormat="1">
      <c r="A97" s="270"/>
      <c r="B97" s="270"/>
      <c r="C97" s="270"/>
      <c r="D97" s="270"/>
      <c r="E97" s="270"/>
      <c r="F97" s="270"/>
      <c r="G97" s="270"/>
      <c r="H97" s="270"/>
      <c r="I97" s="270"/>
      <c r="J97" s="270"/>
      <c r="K97" s="302"/>
      <c r="L97" s="270"/>
      <c r="M97" s="270"/>
      <c r="N97" s="270"/>
      <c r="O97" s="270"/>
      <c r="P97" s="270"/>
      <c r="Q97" s="270"/>
      <c r="R97" s="270"/>
    </row>
    <row r="98" spans="1:18" s="267" customFormat="1">
      <c r="A98" s="270"/>
      <c r="B98" s="270"/>
      <c r="C98" s="270"/>
      <c r="D98" s="270"/>
      <c r="E98" s="270"/>
      <c r="F98" s="270"/>
      <c r="G98" s="270"/>
      <c r="H98" s="270"/>
      <c r="I98" s="270"/>
      <c r="J98" s="270"/>
      <c r="K98" s="302"/>
      <c r="L98" s="270"/>
      <c r="M98" s="270"/>
      <c r="N98" s="270"/>
      <c r="O98" s="270"/>
      <c r="P98" s="270"/>
      <c r="Q98" s="270"/>
      <c r="R98" s="270"/>
    </row>
    <row r="99" spans="1:18" s="267" customFormat="1">
      <c r="A99" s="270"/>
      <c r="B99" s="270"/>
      <c r="C99" s="270"/>
      <c r="D99" s="270"/>
      <c r="E99" s="270"/>
      <c r="F99" s="270"/>
      <c r="G99" s="270"/>
      <c r="H99" s="270"/>
      <c r="I99" s="270"/>
      <c r="J99" s="270"/>
      <c r="K99" s="302"/>
      <c r="L99" s="270"/>
      <c r="M99" s="270"/>
      <c r="N99" s="270"/>
      <c r="O99" s="270"/>
      <c r="P99" s="270"/>
      <c r="Q99" s="270"/>
      <c r="R99" s="270"/>
    </row>
    <row r="100" spans="1:18" s="267" customFormat="1">
      <c r="A100" s="270"/>
      <c r="B100" s="270"/>
      <c r="C100" s="270"/>
      <c r="D100" s="270"/>
      <c r="E100" s="270"/>
      <c r="F100" s="270"/>
      <c r="G100" s="270"/>
      <c r="H100" s="270"/>
      <c r="I100" s="270"/>
      <c r="J100" s="270"/>
      <c r="K100" s="302"/>
      <c r="L100" s="270"/>
      <c r="M100" s="270"/>
      <c r="N100" s="270"/>
      <c r="O100" s="270"/>
      <c r="P100" s="270"/>
      <c r="Q100" s="270"/>
      <c r="R100" s="270"/>
    </row>
    <row r="101" spans="1:18" s="267" customFormat="1">
      <c r="A101" s="270"/>
      <c r="B101" s="270"/>
      <c r="C101" s="270"/>
      <c r="D101" s="270"/>
      <c r="E101" s="270"/>
      <c r="F101" s="270"/>
      <c r="G101" s="270"/>
      <c r="H101" s="270"/>
      <c r="I101" s="270"/>
      <c r="J101" s="270"/>
      <c r="K101" s="302"/>
      <c r="L101" s="270"/>
      <c r="M101" s="270"/>
      <c r="N101" s="270"/>
      <c r="O101" s="270"/>
      <c r="P101" s="270"/>
      <c r="Q101" s="270"/>
      <c r="R101" s="270"/>
    </row>
    <row r="102" spans="1:18" s="267" customFormat="1">
      <c r="A102" s="270"/>
      <c r="B102" s="270"/>
      <c r="C102" s="270"/>
      <c r="D102" s="270"/>
      <c r="E102" s="270"/>
      <c r="F102" s="270"/>
      <c r="G102" s="270"/>
      <c r="H102" s="270"/>
      <c r="I102" s="270"/>
      <c r="J102" s="270"/>
      <c r="K102" s="302"/>
      <c r="L102" s="270"/>
      <c r="M102" s="270"/>
      <c r="N102" s="270"/>
      <c r="O102" s="270"/>
      <c r="P102" s="270"/>
      <c r="Q102" s="270"/>
      <c r="R102" s="270"/>
    </row>
    <row r="103" spans="1:18" s="267" customFormat="1">
      <c r="A103" s="270"/>
      <c r="B103" s="270"/>
      <c r="C103" s="270"/>
      <c r="D103" s="270"/>
      <c r="E103" s="270"/>
      <c r="F103" s="270"/>
      <c r="G103" s="270"/>
      <c r="H103" s="270"/>
      <c r="I103" s="270"/>
      <c r="J103" s="270"/>
      <c r="K103" s="302"/>
      <c r="L103" s="270"/>
      <c r="M103" s="270"/>
      <c r="N103" s="270"/>
      <c r="O103" s="270"/>
      <c r="P103" s="270"/>
      <c r="Q103" s="270"/>
      <c r="R103" s="270"/>
    </row>
    <row r="104" spans="1:18" s="267" customFormat="1">
      <c r="A104" s="270"/>
      <c r="B104" s="270"/>
      <c r="C104" s="270"/>
      <c r="D104" s="270"/>
      <c r="E104" s="270"/>
      <c r="F104" s="270"/>
      <c r="G104" s="270"/>
      <c r="H104" s="270"/>
      <c r="I104" s="270"/>
      <c r="J104" s="270"/>
      <c r="K104" s="302"/>
      <c r="L104" s="270"/>
      <c r="M104" s="270"/>
      <c r="N104" s="270"/>
      <c r="O104" s="270"/>
      <c r="P104" s="270"/>
      <c r="Q104" s="270"/>
      <c r="R104" s="270"/>
    </row>
    <row r="105" spans="1:18" s="267" customFormat="1">
      <c r="A105" s="270"/>
      <c r="B105" s="270"/>
      <c r="C105" s="270"/>
      <c r="D105" s="270"/>
      <c r="E105" s="270"/>
      <c r="F105" s="270"/>
      <c r="G105" s="270"/>
      <c r="H105" s="270"/>
      <c r="I105" s="270"/>
      <c r="J105" s="270"/>
      <c r="K105" s="302"/>
      <c r="L105" s="270"/>
      <c r="M105" s="270"/>
      <c r="N105" s="270"/>
      <c r="O105" s="270"/>
      <c r="P105" s="270"/>
      <c r="Q105" s="270"/>
      <c r="R105" s="270"/>
    </row>
    <row r="106" spans="1:18" s="267" customFormat="1">
      <c r="A106" s="270"/>
      <c r="B106" s="270"/>
      <c r="C106" s="270"/>
      <c r="D106" s="270"/>
      <c r="E106" s="270"/>
      <c r="F106" s="270"/>
      <c r="G106" s="270"/>
      <c r="H106" s="270"/>
      <c r="I106" s="270"/>
      <c r="J106" s="270"/>
      <c r="K106" s="302"/>
      <c r="L106" s="270"/>
      <c r="M106" s="270"/>
      <c r="N106" s="270"/>
      <c r="O106" s="270"/>
      <c r="P106" s="270"/>
      <c r="Q106" s="270"/>
      <c r="R106" s="270"/>
    </row>
    <row r="107" spans="1:18" s="267" customFormat="1">
      <c r="A107" s="270"/>
      <c r="B107" s="270"/>
      <c r="C107" s="270"/>
      <c r="D107" s="270"/>
      <c r="E107" s="270"/>
      <c r="F107" s="270"/>
      <c r="G107" s="270"/>
      <c r="H107" s="270"/>
      <c r="I107" s="270"/>
      <c r="J107" s="270"/>
      <c r="K107" s="302"/>
      <c r="L107" s="270"/>
      <c r="M107" s="270"/>
      <c r="N107" s="270"/>
      <c r="O107" s="270"/>
      <c r="P107" s="270"/>
      <c r="Q107" s="270"/>
      <c r="R107" s="270"/>
    </row>
    <row r="108" spans="1:18" s="267" customFormat="1">
      <c r="A108" s="270"/>
      <c r="B108" s="270"/>
      <c r="C108" s="270"/>
      <c r="D108" s="270"/>
      <c r="E108" s="270"/>
      <c r="F108" s="270"/>
      <c r="G108" s="270"/>
      <c r="H108" s="270"/>
      <c r="I108" s="270"/>
      <c r="J108" s="270"/>
      <c r="K108" s="302"/>
      <c r="L108" s="270"/>
      <c r="M108" s="270"/>
      <c r="N108" s="270"/>
      <c r="O108" s="270"/>
      <c r="P108" s="270"/>
      <c r="Q108" s="270"/>
      <c r="R108" s="270"/>
    </row>
    <row r="109" spans="1:18" s="267" customFormat="1">
      <c r="A109" s="270"/>
      <c r="B109" s="270"/>
      <c r="C109" s="270"/>
      <c r="D109" s="270"/>
      <c r="E109" s="270"/>
      <c r="F109" s="270"/>
      <c r="G109" s="270"/>
      <c r="H109" s="270"/>
      <c r="I109" s="270"/>
      <c r="J109" s="270"/>
      <c r="K109" s="302"/>
      <c r="L109" s="270"/>
      <c r="M109" s="270"/>
      <c r="N109" s="270"/>
      <c r="O109" s="270"/>
      <c r="P109" s="270"/>
      <c r="Q109" s="270"/>
      <c r="R109" s="270"/>
    </row>
    <row r="110" spans="1:18" s="267" customFormat="1">
      <c r="A110" s="270"/>
      <c r="B110" s="270"/>
      <c r="C110" s="270"/>
      <c r="D110" s="270"/>
      <c r="E110" s="270"/>
      <c r="F110" s="270"/>
      <c r="G110" s="270"/>
      <c r="H110" s="270"/>
      <c r="I110" s="270"/>
      <c r="J110" s="270"/>
      <c r="K110" s="302"/>
      <c r="L110" s="270"/>
      <c r="M110" s="270"/>
      <c r="N110" s="270"/>
      <c r="O110" s="270"/>
      <c r="P110" s="270"/>
      <c r="Q110" s="270"/>
      <c r="R110" s="270"/>
    </row>
    <row r="111" spans="1:18" s="267" customFormat="1">
      <c r="A111" s="270"/>
      <c r="B111" s="270"/>
      <c r="C111" s="270"/>
      <c r="D111" s="270"/>
      <c r="E111" s="270"/>
      <c r="F111" s="270"/>
      <c r="G111" s="270"/>
      <c r="H111" s="270"/>
      <c r="I111" s="270"/>
      <c r="J111" s="270"/>
      <c r="K111" s="302"/>
      <c r="L111" s="270"/>
      <c r="M111" s="270"/>
      <c r="N111" s="270"/>
      <c r="O111" s="270"/>
      <c r="P111" s="270"/>
      <c r="Q111" s="270"/>
      <c r="R111" s="270"/>
    </row>
    <row r="112" spans="1:18" s="267" customFormat="1">
      <c r="A112" s="270"/>
      <c r="B112" s="270"/>
      <c r="C112" s="270"/>
      <c r="D112" s="270"/>
      <c r="E112" s="270"/>
      <c r="F112" s="270"/>
      <c r="G112" s="270"/>
      <c r="H112" s="270"/>
      <c r="I112" s="270"/>
      <c r="J112" s="270"/>
      <c r="K112" s="302"/>
      <c r="L112" s="270"/>
      <c r="M112" s="270"/>
      <c r="N112" s="270"/>
      <c r="O112" s="270"/>
      <c r="P112" s="270"/>
      <c r="Q112" s="270"/>
      <c r="R112" s="270"/>
    </row>
    <row r="113" spans="1:18" s="267" customFormat="1">
      <c r="A113" s="270"/>
      <c r="B113" s="270"/>
      <c r="C113" s="270"/>
      <c r="D113" s="270"/>
      <c r="E113" s="270"/>
      <c r="F113" s="270"/>
      <c r="G113" s="270"/>
      <c r="H113" s="270"/>
      <c r="I113" s="270"/>
      <c r="J113" s="270"/>
      <c r="K113" s="302"/>
      <c r="L113" s="270"/>
      <c r="M113" s="270"/>
      <c r="N113" s="270"/>
      <c r="O113" s="270"/>
      <c r="P113" s="270"/>
      <c r="Q113" s="270"/>
      <c r="R113" s="270"/>
    </row>
    <row r="114" spans="1:18" s="267" customFormat="1">
      <c r="A114" s="270"/>
      <c r="B114" s="270"/>
      <c r="C114" s="270"/>
      <c r="D114" s="270"/>
      <c r="E114" s="270"/>
      <c r="F114" s="270"/>
      <c r="G114" s="270"/>
      <c r="H114" s="270"/>
      <c r="I114" s="270"/>
      <c r="J114" s="270"/>
      <c r="K114" s="302"/>
      <c r="L114" s="270"/>
      <c r="M114" s="270"/>
      <c r="N114" s="270"/>
      <c r="O114" s="270"/>
      <c r="P114" s="270"/>
      <c r="Q114" s="270"/>
      <c r="R114" s="270"/>
    </row>
    <row r="115" spans="1:18" s="267" customFormat="1">
      <c r="A115" s="270"/>
      <c r="B115" s="270"/>
      <c r="C115" s="270"/>
      <c r="D115" s="270"/>
      <c r="E115" s="270"/>
      <c r="F115" s="270"/>
      <c r="G115" s="270"/>
      <c r="H115" s="270"/>
      <c r="I115" s="270"/>
      <c r="J115" s="270"/>
      <c r="K115" s="302"/>
      <c r="L115" s="270"/>
      <c r="M115" s="270"/>
      <c r="N115" s="270"/>
      <c r="O115" s="270"/>
      <c r="P115" s="270"/>
      <c r="Q115" s="270"/>
      <c r="R115" s="270"/>
    </row>
    <row r="116" spans="1:18" s="267" customFormat="1">
      <c r="A116" s="270"/>
      <c r="B116" s="270"/>
      <c r="C116" s="270"/>
      <c r="D116" s="270"/>
      <c r="E116" s="270"/>
      <c r="F116" s="270"/>
      <c r="G116" s="270"/>
      <c r="H116" s="270"/>
      <c r="I116" s="270"/>
      <c r="J116" s="270"/>
      <c r="K116" s="302"/>
      <c r="L116" s="270"/>
      <c r="M116" s="270"/>
      <c r="N116" s="270"/>
      <c r="O116" s="270"/>
      <c r="P116" s="270"/>
      <c r="Q116" s="270"/>
      <c r="R116" s="270"/>
    </row>
    <row r="117" spans="1:18" s="267" customFormat="1">
      <c r="A117" s="270"/>
      <c r="B117" s="270"/>
      <c r="C117" s="270"/>
      <c r="D117" s="270"/>
      <c r="E117" s="270"/>
      <c r="F117" s="270"/>
      <c r="G117" s="270"/>
      <c r="H117" s="270"/>
      <c r="I117" s="270"/>
      <c r="J117" s="270"/>
      <c r="K117" s="302"/>
      <c r="L117" s="270"/>
      <c r="M117" s="270"/>
      <c r="N117" s="270"/>
      <c r="O117" s="270"/>
      <c r="P117" s="270"/>
      <c r="Q117" s="270"/>
      <c r="R117" s="270"/>
    </row>
    <row r="118" spans="1:18" s="267" customFormat="1">
      <c r="A118" s="270"/>
      <c r="B118" s="270"/>
      <c r="C118" s="270"/>
      <c r="D118" s="270"/>
      <c r="E118" s="270"/>
      <c r="F118" s="270"/>
      <c r="G118" s="270"/>
      <c r="H118" s="270"/>
      <c r="I118" s="270"/>
      <c r="J118" s="270"/>
      <c r="K118" s="302"/>
      <c r="L118" s="270"/>
      <c r="M118" s="270"/>
      <c r="N118" s="270"/>
      <c r="O118" s="270"/>
      <c r="P118" s="270"/>
      <c r="Q118" s="270"/>
      <c r="R118" s="270"/>
    </row>
    <row r="119" spans="1:18" s="267" customFormat="1">
      <c r="A119" s="270"/>
      <c r="B119" s="270"/>
      <c r="C119" s="270"/>
      <c r="D119" s="270"/>
      <c r="E119" s="270"/>
      <c r="F119" s="270"/>
      <c r="G119" s="270"/>
      <c r="H119" s="270"/>
      <c r="I119" s="270"/>
      <c r="J119" s="270"/>
      <c r="K119" s="302"/>
      <c r="L119" s="270"/>
      <c r="M119" s="270"/>
      <c r="N119" s="270"/>
      <c r="O119" s="270"/>
      <c r="P119" s="270"/>
      <c r="Q119" s="270"/>
      <c r="R119" s="270"/>
    </row>
    <row r="120" spans="1:18" s="267" customFormat="1">
      <c r="A120" s="270"/>
      <c r="B120" s="270"/>
      <c r="C120" s="270"/>
      <c r="D120" s="270"/>
      <c r="E120" s="270"/>
      <c r="F120" s="270"/>
      <c r="G120" s="270"/>
      <c r="H120" s="270"/>
      <c r="I120" s="270"/>
      <c r="J120" s="270"/>
      <c r="K120" s="302"/>
      <c r="L120" s="270"/>
      <c r="M120" s="270"/>
      <c r="N120" s="270"/>
      <c r="O120" s="270"/>
      <c r="P120" s="270"/>
      <c r="Q120" s="270"/>
      <c r="R120" s="270"/>
    </row>
    <row r="121" spans="1:18" s="267" customFormat="1">
      <c r="A121" s="270"/>
      <c r="B121" s="270"/>
      <c r="C121" s="270"/>
      <c r="D121" s="270"/>
      <c r="E121" s="270"/>
      <c r="F121" s="270"/>
      <c r="G121" s="270"/>
      <c r="H121" s="270"/>
      <c r="I121" s="270"/>
      <c r="J121" s="270"/>
      <c r="K121" s="302"/>
      <c r="L121" s="270"/>
      <c r="M121" s="270"/>
      <c r="N121" s="270"/>
      <c r="O121" s="270"/>
      <c r="P121" s="270"/>
      <c r="Q121" s="270"/>
      <c r="R121" s="270"/>
    </row>
    <row r="122" spans="1:18" s="267" customFormat="1">
      <c r="A122" s="270"/>
      <c r="B122" s="270"/>
      <c r="C122" s="270"/>
      <c r="D122" s="270"/>
      <c r="E122" s="270"/>
      <c r="F122" s="270"/>
      <c r="G122" s="270"/>
      <c r="H122" s="270"/>
      <c r="I122" s="270"/>
      <c r="J122" s="270"/>
      <c r="K122" s="302"/>
      <c r="L122" s="270"/>
      <c r="M122" s="270"/>
      <c r="N122" s="270"/>
      <c r="O122" s="270"/>
      <c r="P122" s="270"/>
      <c r="Q122" s="270"/>
      <c r="R122" s="270"/>
    </row>
    <row r="123" spans="1:18" s="267" customFormat="1">
      <c r="A123" s="270"/>
      <c r="B123" s="270"/>
      <c r="C123" s="270"/>
      <c r="D123" s="270"/>
      <c r="E123" s="270"/>
      <c r="F123" s="270"/>
      <c r="G123" s="270"/>
      <c r="H123" s="270"/>
      <c r="I123" s="270"/>
      <c r="J123" s="270"/>
      <c r="K123" s="302"/>
      <c r="L123" s="270"/>
      <c r="M123" s="270"/>
      <c r="N123" s="270"/>
      <c r="O123" s="270"/>
      <c r="P123" s="270"/>
      <c r="Q123" s="270"/>
      <c r="R123" s="270"/>
    </row>
    <row r="124" spans="1:18" s="267" customFormat="1">
      <c r="A124" s="270"/>
      <c r="B124" s="270"/>
      <c r="C124" s="270"/>
      <c r="D124" s="270"/>
      <c r="E124" s="270"/>
      <c r="F124" s="270"/>
      <c r="G124" s="270"/>
      <c r="H124" s="270"/>
      <c r="I124" s="270"/>
      <c r="J124" s="270"/>
      <c r="K124" s="302"/>
      <c r="L124" s="270"/>
      <c r="M124" s="270"/>
      <c r="N124" s="270"/>
      <c r="O124" s="270"/>
      <c r="P124" s="270"/>
      <c r="Q124" s="270"/>
      <c r="R124" s="270"/>
    </row>
    <row r="125" spans="1:18" s="267" customFormat="1">
      <c r="A125" s="270"/>
      <c r="B125" s="270"/>
      <c r="C125" s="270"/>
      <c r="D125" s="270"/>
      <c r="E125" s="270"/>
      <c r="F125" s="270"/>
      <c r="G125" s="270"/>
      <c r="H125" s="270"/>
      <c r="I125" s="270"/>
      <c r="J125" s="270"/>
      <c r="K125" s="302"/>
      <c r="L125" s="270"/>
      <c r="M125" s="270"/>
      <c r="N125" s="270"/>
      <c r="O125" s="270"/>
      <c r="P125" s="270"/>
      <c r="Q125" s="270"/>
      <c r="R125" s="270"/>
    </row>
    <row r="126" spans="1:18" s="267" customFormat="1">
      <c r="A126" s="270"/>
      <c r="B126" s="270"/>
      <c r="C126" s="270"/>
      <c r="D126" s="270"/>
      <c r="E126" s="270"/>
      <c r="F126" s="270"/>
      <c r="G126" s="270"/>
      <c r="H126" s="270"/>
      <c r="I126" s="270"/>
      <c r="J126" s="270"/>
      <c r="K126" s="302"/>
      <c r="L126" s="270"/>
      <c r="M126" s="270"/>
      <c r="N126" s="270"/>
      <c r="O126" s="270"/>
      <c r="P126" s="270"/>
      <c r="Q126" s="270"/>
      <c r="R126" s="270"/>
    </row>
    <row r="127" spans="1:18" s="267" customFormat="1">
      <c r="A127" s="270"/>
      <c r="B127" s="270"/>
      <c r="C127" s="270"/>
      <c r="D127" s="270"/>
      <c r="E127" s="270"/>
      <c r="F127" s="270"/>
      <c r="G127" s="270"/>
      <c r="H127" s="270"/>
      <c r="I127" s="270"/>
      <c r="J127" s="270"/>
      <c r="K127" s="302"/>
      <c r="L127" s="270"/>
      <c r="M127" s="270"/>
      <c r="N127" s="270"/>
      <c r="O127" s="270"/>
      <c r="P127" s="270"/>
      <c r="Q127" s="270"/>
      <c r="R127" s="270"/>
    </row>
    <row r="128" spans="1:18" s="267" customFormat="1">
      <c r="A128" s="270"/>
      <c r="B128" s="270"/>
      <c r="C128" s="270"/>
      <c r="D128" s="270"/>
      <c r="E128" s="270"/>
      <c r="F128" s="270"/>
      <c r="G128" s="270"/>
      <c r="H128" s="270"/>
      <c r="I128" s="270"/>
      <c r="J128" s="270"/>
      <c r="K128" s="302"/>
      <c r="L128" s="270"/>
      <c r="M128" s="270"/>
      <c r="N128" s="270"/>
      <c r="O128" s="270"/>
      <c r="P128" s="270"/>
      <c r="Q128" s="270"/>
      <c r="R128" s="270"/>
    </row>
    <row r="129" spans="1:18" s="267" customFormat="1">
      <c r="A129" s="270"/>
      <c r="B129" s="270"/>
      <c r="C129" s="270"/>
      <c r="D129" s="270"/>
      <c r="E129" s="270"/>
      <c r="F129" s="270"/>
      <c r="G129" s="270"/>
      <c r="H129" s="270"/>
      <c r="I129" s="270"/>
      <c r="J129" s="270"/>
      <c r="K129" s="302"/>
      <c r="L129" s="270"/>
      <c r="M129" s="270"/>
      <c r="N129" s="270"/>
      <c r="O129" s="270"/>
      <c r="P129" s="270"/>
      <c r="Q129" s="270"/>
      <c r="R129" s="270"/>
    </row>
    <row r="130" spans="1:18" s="267" customFormat="1">
      <c r="A130" s="270"/>
      <c r="B130" s="270"/>
      <c r="C130" s="270"/>
      <c r="D130" s="270"/>
      <c r="E130" s="270"/>
      <c r="F130" s="270"/>
      <c r="G130" s="270"/>
      <c r="H130" s="270"/>
      <c r="I130" s="270"/>
      <c r="J130" s="270"/>
      <c r="K130" s="302"/>
      <c r="L130" s="270"/>
      <c r="M130" s="270"/>
      <c r="N130" s="270"/>
      <c r="O130" s="270"/>
      <c r="P130" s="270"/>
      <c r="Q130" s="270"/>
      <c r="R130" s="270"/>
    </row>
    <row r="131" spans="1:18" s="267" customFormat="1">
      <c r="A131" s="270"/>
      <c r="B131" s="270"/>
      <c r="C131" s="270"/>
      <c r="D131" s="270"/>
      <c r="E131" s="270"/>
      <c r="F131" s="270"/>
      <c r="G131" s="270"/>
      <c r="H131" s="270"/>
      <c r="I131" s="270"/>
      <c r="J131" s="270"/>
      <c r="K131" s="302"/>
      <c r="L131" s="270"/>
      <c r="M131" s="270"/>
      <c r="N131" s="270"/>
      <c r="O131" s="270"/>
      <c r="P131" s="270"/>
      <c r="Q131" s="270"/>
      <c r="R131" s="270"/>
    </row>
    <row r="132" spans="1:18" s="267" customFormat="1">
      <c r="A132" s="270"/>
      <c r="B132" s="270"/>
      <c r="C132" s="270"/>
      <c r="D132" s="270"/>
      <c r="E132" s="270"/>
      <c r="F132" s="270"/>
      <c r="G132" s="270"/>
      <c r="H132" s="270"/>
      <c r="I132" s="270"/>
      <c r="J132" s="270"/>
      <c r="K132" s="302"/>
      <c r="L132" s="270"/>
      <c r="M132" s="270"/>
      <c r="N132" s="270"/>
      <c r="O132" s="270"/>
      <c r="P132" s="270"/>
      <c r="Q132" s="270"/>
      <c r="R132" s="270"/>
    </row>
    <row r="133" spans="1:18" s="267" customFormat="1">
      <c r="A133" s="270"/>
      <c r="B133" s="270"/>
      <c r="C133" s="270"/>
      <c r="D133" s="270"/>
      <c r="E133" s="270"/>
      <c r="F133" s="270"/>
      <c r="G133" s="270"/>
      <c r="H133" s="270"/>
      <c r="I133" s="270"/>
      <c r="J133" s="270"/>
      <c r="K133" s="302"/>
      <c r="L133" s="270"/>
      <c r="M133" s="270"/>
      <c r="N133" s="270"/>
      <c r="O133" s="270"/>
      <c r="P133" s="270"/>
      <c r="Q133" s="270"/>
      <c r="R133" s="270"/>
    </row>
    <row r="134" spans="1:18" s="267" customFormat="1">
      <c r="A134" s="270"/>
      <c r="B134" s="270"/>
      <c r="C134" s="270"/>
      <c r="D134" s="270"/>
      <c r="E134" s="270"/>
      <c r="F134" s="270"/>
      <c r="G134" s="270"/>
      <c r="H134" s="270"/>
      <c r="I134" s="270"/>
      <c r="J134" s="270"/>
      <c r="K134" s="302"/>
      <c r="L134" s="270"/>
      <c r="M134" s="270"/>
      <c r="N134" s="270"/>
      <c r="O134" s="270"/>
      <c r="P134" s="270"/>
      <c r="Q134" s="270"/>
      <c r="R134" s="270"/>
    </row>
    <row r="135" spans="1:18" s="267" customFormat="1">
      <c r="A135" s="270"/>
      <c r="B135" s="270"/>
      <c r="C135" s="270"/>
      <c r="D135" s="270"/>
      <c r="E135" s="270"/>
      <c r="F135" s="270"/>
      <c r="G135" s="270"/>
      <c r="H135" s="270"/>
      <c r="I135" s="270"/>
      <c r="J135" s="270"/>
      <c r="K135" s="302"/>
      <c r="L135" s="270"/>
      <c r="M135" s="270"/>
      <c r="N135" s="270"/>
      <c r="O135" s="270"/>
      <c r="P135" s="270"/>
      <c r="Q135" s="270"/>
      <c r="R135" s="270"/>
    </row>
    <row r="136" spans="1:18" s="267" customFormat="1">
      <c r="A136" s="270"/>
      <c r="B136" s="270"/>
      <c r="C136" s="270"/>
      <c r="D136" s="270"/>
      <c r="E136" s="270"/>
      <c r="F136" s="270"/>
      <c r="G136" s="270"/>
      <c r="H136" s="270"/>
      <c r="I136" s="270"/>
      <c r="J136" s="270"/>
      <c r="K136" s="302"/>
      <c r="L136" s="270"/>
      <c r="M136" s="270"/>
      <c r="N136" s="270"/>
      <c r="O136" s="270"/>
      <c r="P136" s="270"/>
      <c r="Q136" s="270"/>
      <c r="R136" s="270"/>
    </row>
    <row r="137" spans="1:18" s="267" customFormat="1">
      <c r="A137" s="270"/>
      <c r="B137" s="270"/>
      <c r="C137" s="270"/>
      <c r="D137" s="270"/>
      <c r="E137" s="270"/>
      <c r="F137" s="270"/>
      <c r="G137" s="270"/>
      <c r="H137" s="270"/>
      <c r="I137" s="270"/>
      <c r="J137" s="270"/>
      <c r="K137" s="302"/>
      <c r="L137" s="270"/>
      <c r="M137" s="270"/>
      <c r="N137" s="270"/>
      <c r="O137" s="270"/>
      <c r="P137" s="270"/>
      <c r="Q137" s="270"/>
      <c r="R137" s="270"/>
    </row>
    <row r="138" spans="1:18" s="267" customFormat="1">
      <c r="A138" s="270"/>
      <c r="B138" s="270"/>
      <c r="C138" s="270"/>
      <c r="D138" s="270"/>
      <c r="E138" s="270"/>
      <c r="F138" s="270"/>
      <c r="G138" s="270"/>
      <c r="H138" s="270"/>
      <c r="I138" s="270"/>
      <c r="J138" s="270"/>
      <c r="K138" s="302"/>
      <c r="L138" s="270"/>
      <c r="M138" s="270"/>
      <c r="N138" s="270"/>
      <c r="O138" s="270"/>
      <c r="P138" s="270"/>
      <c r="Q138" s="270"/>
      <c r="R138" s="270"/>
    </row>
    <row r="139" spans="1:18" s="267" customFormat="1">
      <c r="A139" s="270"/>
      <c r="B139" s="270"/>
      <c r="C139" s="270"/>
      <c r="D139" s="270"/>
      <c r="E139" s="270"/>
      <c r="F139" s="270"/>
      <c r="G139" s="270"/>
      <c r="H139" s="270"/>
      <c r="I139" s="270"/>
      <c r="J139" s="270"/>
      <c r="K139" s="302"/>
      <c r="L139" s="270"/>
      <c r="M139" s="270"/>
      <c r="N139" s="270"/>
      <c r="O139" s="270"/>
      <c r="P139" s="270"/>
      <c r="Q139" s="270"/>
      <c r="R139" s="270"/>
    </row>
    <row r="140" spans="1:18" s="267" customFormat="1">
      <c r="A140" s="270"/>
      <c r="B140" s="270"/>
      <c r="C140" s="270"/>
      <c r="D140" s="270"/>
      <c r="E140" s="270"/>
      <c r="F140" s="270"/>
      <c r="G140" s="270"/>
      <c r="H140" s="270"/>
      <c r="I140" s="270"/>
      <c r="J140" s="270"/>
      <c r="K140" s="302"/>
      <c r="L140" s="270"/>
      <c r="M140" s="270"/>
      <c r="N140" s="270"/>
      <c r="O140" s="270"/>
      <c r="P140" s="270"/>
      <c r="Q140" s="270"/>
      <c r="R140" s="270"/>
    </row>
    <row r="141" spans="1:18" s="267" customFormat="1">
      <c r="A141" s="270"/>
      <c r="B141" s="270"/>
      <c r="C141" s="270"/>
      <c r="D141" s="270"/>
      <c r="E141" s="270"/>
      <c r="F141" s="270"/>
      <c r="G141" s="270"/>
      <c r="H141" s="270"/>
      <c r="I141" s="270"/>
      <c r="J141" s="270"/>
      <c r="K141" s="302"/>
      <c r="L141" s="270"/>
      <c r="M141" s="270"/>
      <c r="N141" s="270"/>
      <c r="O141" s="270"/>
      <c r="P141" s="270"/>
      <c r="Q141" s="270"/>
      <c r="R141" s="270"/>
    </row>
    <row r="142" spans="1:18" s="267" customFormat="1">
      <c r="A142" s="270"/>
      <c r="B142" s="270"/>
      <c r="C142" s="270"/>
      <c r="D142" s="270"/>
      <c r="E142" s="270"/>
      <c r="F142" s="270"/>
      <c r="G142" s="270"/>
      <c r="H142" s="270"/>
      <c r="I142" s="270"/>
      <c r="J142" s="270"/>
      <c r="K142" s="302"/>
      <c r="L142" s="270"/>
      <c r="M142" s="270"/>
      <c r="N142" s="270"/>
      <c r="O142" s="270"/>
      <c r="P142" s="270"/>
      <c r="Q142" s="270"/>
      <c r="R142" s="270"/>
    </row>
    <row r="143" spans="1:18" s="267" customFormat="1">
      <c r="A143" s="270"/>
      <c r="B143" s="270"/>
      <c r="C143" s="270"/>
      <c r="D143" s="270"/>
      <c r="E143" s="270"/>
      <c r="F143" s="270"/>
      <c r="G143" s="270"/>
      <c r="H143" s="270"/>
      <c r="I143" s="270"/>
      <c r="J143" s="270"/>
      <c r="K143" s="302"/>
      <c r="L143" s="270"/>
      <c r="M143" s="270"/>
      <c r="N143" s="270"/>
      <c r="O143" s="270"/>
      <c r="P143" s="270"/>
      <c r="Q143" s="270"/>
      <c r="R143" s="270"/>
    </row>
    <row r="144" spans="1:18" s="267" customFormat="1">
      <c r="A144" s="270"/>
      <c r="B144" s="270"/>
      <c r="C144" s="270"/>
      <c r="D144" s="270"/>
      <c r="E144" s="270"/>
      <c r="F144" s="270"/>
      <c r="G144" s="270"/>
      <c r="H144" s="270"/>
      <c r="I144" s="270"/>
      <c r="J144" s="270"/>
      <c r="K144" s="302"/>
      <c r="L144" s="270"/>
      <c r="M144" s="270"/>
      <c r="N144" s="270"/>
      <c r="O144" s="270"/>
      <c r="P144" s="270"/>
      <c r="Q144" s="270"/>
      <c r="R144" s="270"/>
    </row>
    <row r="145" spans="1:18" s="267" customFormat="1">
      <c r="A145" s="270"/>
      <c r="B145" s="270"/>
      <c r="C145" s="270"/>
      <c r="D145" s="270"/>
      <c r="E145" s="270"/>
      <c r="F145" s="270"/>
      <c r="G145" s="270"/>
      <c r="H145" s="270"/>
      <c r="I145" s="270"/>
      <c r="J145" s="270"/>
      <c r="K145" s="302"/>
      <c r="L145" s="270"/>
      <c r="M145" s="270"/>
      <c r="N145" s="270"/>
      <c r="O145" s="270"/>
      <c r="P145" s="270"/>
      <c r="Q145" s="270"/>
      <c r="R145" s="270"/>
    </row>
    <row r="146" spans="1:18" s="267" customFormat="1">
      <c r="A146" s="270"/>
      <c r="B146" s="270"/>
      <c r="C146" s="270"/>
      <c r="D146" s="270"/>
      <c r="E146" s="270"/>
      <c r="F146" s="270"/>
      <c r="G146" s="270"/>
      <c r="H146" s="270"/>
      <c r="I146" s="270"/>
      <c r="J146" s="270"/>
      <c r="K146" s="302"/>
      <c r="L146" s="270"/>
      <c r="M146" s="270"/>
      <c r="N146" s="270"/>
      <c r="O146" s="270"/>
      <c r="P146" s="270"/>
      <c r="Q146" s="270"/>
      <c r="R146" s="270"/>
    </row>
    <row r="147" spans="1:18" s="267" customFormat="1">
      <c r="A147" s="270"/>
      <c r="B147" s="270"/>
      <c r="C147" s="270"/>
      <c r="D147" s="270"/>
      <c r="E147" s="270"/>
      <c r="F147" s="270"/>
      <c r="G147" s="270"/>
      <c r="H147" s="270"/>
      <c r="I147" s="270"/>
      <c r="J147" s="270"/>
      <c r="K147" s="302"/>
      <c r="L147" s="270"/>
      <c r="M147" s="270"/>
      <c r="N147" s="270"/>
      <c r="O147" s="270"/>
      <c r="P147" s="270"/>
      <c r="Q147" s="270"/>
      <c r="R147" s="270"/>
    </row>
    <row r="148" spans="1:18" s="267" customFormat="1">
      <c r="A148" s="270"/>
      <c r="B148" s="270"/>
      <c r="C148" s="270"/>
      <c r="D148" s="270"/>
      <c r="E148" s="270"/>
      <c r="F148" s="270"/>
      <c r="G148" s="270"/>
      <c r="H148" s="270"/>
      <c r="I148" s="270"/>
      <c r="J148" s="270"/>
      <c r="K148" s="302"/>
      <c r="L148" s="270"/>
      <c r="M148" s="270"/>
      <c r="N148" s="270"/>
      <c r="O148" s="270"/>
      <c r="P148" s="270"/>
      <c r="Q148" s="270"/>
      <c r="R148" s="270"/>
    </row>
    <row r="149" spans="1:18" s="267" customFormat="1">
      <c r="A149" s="270"/>
      <c r="B149" s="270"/>
      <c r="C149" s="270"/>
      <c r="D149" s="270"/>
      <c r="E149" s="270"/>
      <c r="F149" s="270"/>
      <c r="G149" s="270"/>
      <c r="H149" s="270"/>
      <c r="I149" s="270"/>
      <c r="J149" s="270"/>
      <c r="K149" s="302"/>
      <c r="L149" s="270"/>
      <c r="M149" s="270"/>
      <c r="N149" s="270"/>
      <c r="O149" s="270"/>
      <c r="P149" s="270"/>
      <c r="Q149" s="270"/>
      <c r="R149" s="270"/>
    </row>
    <row r="150" spans="1:18" s="267" customFormat="1">
      <c r="A150" s="270"/>
      <c r="B150" s="270"/>
      <c r="C150" s="270"/>
      <c r="D150" s="270"/>
      <c r="E150" s="270"/>
      <c r="F150" s="270"/>
      <c r="G150" s="270"/>
      <c r="H150" s="270"/>
      <c r="I150" s="270"/>
      <c r="J150" s="270"/>
      <c r="K150" s="302"/>
      <c r="L150" s="270"/>
      <c r="M150" s="270"/>
      <c r="N150" s="270"/>
      <c r="O150" s="270"/>
      <c r="P150" s="270"/>
      <c r="Q150" s="270"/>
      <c r="R150" s="270"/>
    </row>
    <row r="151" spans="1:18" s="267" customFormat="1">
      <c r="A151" s="270"/>
      <c r="B151" s="270"/>
      <c r="C151" s="270"/>
      <c r="D151" s="270"/>
      <c r="E151" s="270"/>
      <c r="F151" s="270"/>
      <c r="G151" s="270"/>
      <c r="H151" s="270"/>
      <c r="I151" s="270"/>
      <c r="J151" s="270"/>
      <c r="K151" s="302"/>
      <c r="L151" s="270"/>
      <c r="M151" s="270"/>
      <c r="N151" s="270"/>
      <c r="O151" s="270"/>
      <c r="P151" s="270"/>
      <c r="Q151" s="270"/>
      <c r="R151" s="270"/>
    </row>
    <row r="152" spans="1:18" s="267" customFormat="1">
      <c r="A152" s="270"/>
      <c r="B152" s="270"/>
      <c r="C152" s="270"/>
      <c r="D152" s="270"/>
      <c r="E152" s="270"/>
      <c r="F152" s="270"/>
      <c r="G152" s="270"/>
      <c r="H152" s="270"/>
      <c r="I152" s="270"/>
      <c r="J152" s="270"/>
      <c r="K152" s="302"/>
      <c r="L152" s="270"/>
      <c r="M152" s="270"/>
      <c r="N152" s="270"/>
      <c r="O152" s="270"/>
      <c r="P152" s="270"/>
      <c r="Q152" s="270"/>
      <c r="R152" s="270"/>
    </row>
    <row r="153" spans="1:18" s="267" customFormat="1">
      <c r="A153" s="270"/>
      <c r="B153" s="270"/>
      <c r="C153" s="270"/>
      <c r="D153" s="270"/>
      <c r="E153" s="270"/>
      <c r="F153" s="270"/>
      <c r="G153" s="270"/>
      <c r="H153" s="270"/>
      <c r="I153" s="270"/>
      <c r="J153" s="270"/>
      <c r="K153" s="302"/>
      <c r="L153" s="270"/>
      <c r="M153" s="270"/>
      <c r="N153" s="270"/>
      <c r="O153" s="270"/>
      <c r="P153" s="270"/>
      <c r="Q153" s="270"/>
      <c r="R153" s="270"/>
    </row>
    <row r="154" spans="1:18" s="267" customFormat="1">
      <c r="A154" s="270"/>
      <c r="B154" s="270"/>
      <c r="C154" s="270"/>
      <c r="D154" s="270"/>
      <c r="E154" s="270"/>
      <c r="F154" s="270"/>
      <c r="G154" s="270"/>
      <c r="H154" s="270"/>
      <c r="I154" s="270"/>
      <c r="J154" s="270"/>
      <c r="K154" s="302"/>
      <c r="L154" s="270"/>
      <c r="M154" s="270"/>
      <c r="N154" s="270"/>
      <c r="O154" s="270"/>
      <c r="P154" s="270"/>
      <c r="Q154" s="270"/>
      <c r="R154" s="270"/>
    </row>
    <row r="155" spans="1:18" s="267" customFormat="1">
      <c r="A155" s="270"/>
      <c r="B155" s="270"/>
      <c r="C155" s="270"/>
      <c r="D155" s="270"/>
      <c r="E155" s="270"/>
      <c r="F155" s="270"/>
      <c r="G155" s="270"/>
      <c r="H155" s="270"/>
      <c r="I155" s="270"/>
      <c r="J155" s="270"/>
      <c r="K155" s="302"/>
      <c r="L155" s="270"/>
      <c r="M155" s="270"/>
      <c r="N155" s="270"/>
      <c r="O155" s="270"/>
      <c r="P155" s="270"/>
      <c r="Q155" s="270"/>
      <c r="R155" s="270"/>
    </row>
    <row r="156" spans="1:18" s="267" customFormat="1">
      <c r="A156" s="270"/>
      <c r="B156" s="270"/>
      <c r="C156" s="270"/>
      <c r="D156" s="270"/>
      <c r="E156" s="270"/>
      <c r="F156" s="270"/>
      <c r="G156" s="270"/>
      <c r="H156" s="270"/>
      <c r="I156" s="270"/>
      <c r="J156" s="270"/>
      <c r="K156" s="302"/>
      <c r="L156" s="270"/>
      <c r="M156" s="270"/>
      <c r="N156" s="270"/>
      <c r="O156" s="270"/>
      <c r="P156" s="270"/>
      <c r="Q156" s="270"/>
      <c r="R156" s="270"/>
    </row>
    <row r="157" spans="1:18" s="267" customFormat="1">
      <c r="A157" s="270"/>
      <c r="B157" s="270"/>
      <c r="C157" s="270"/>
      <c r="D157" s="270"/>
      <c r="E157" s="270"/>
      <c r="F157" s="270"/>
      <c r="G157" s="270"/>
      <c r="H157" s="270"/>
      <c r="I157" s="270"/>
      <c r="J157" s="270"/>
      <c r="K157" s="302"/>
      <c r="L157" s="270"/>
      <c r="M157" s="270"/>
      <c r="N157" s="270"/>
      <c r="O157" s="270"/>
      <c r="P157" s="270"/>
      <c r="Q157" s="270"/>
      <c r="R157" s="270"/>
    </row>
    <row r="158" spans="1:18" s="267" customFormat="1">
      <c r="A158" s="270"/>
      <c r="B158" s="270"/>
      <c r="C158" s="270"/>
      <c r="D158" s="270"/>
      <c r="E158" s="270"/>
      <c r="F158" s="270"/>
      <c r="G158" s="270"/>
      <c r="H158" s="270"/>
      <c r="I158" s="270"/>
      <c r="J158" s="270"/>
      <c r="K158" s="302"/>
      <c r="L158" s="270"/>
      <c r="M158" s="270"/>
      <c r="N158" s="270"/>
      <c r="O158" s="270"/>
      <c r="P158" s="270"/>
      <c r="Q158" s="270"/>
      <c r="R158" s="270"/>
    </row>
    <row r="159" spans="1:18" s="267" customFormat="1">
      <c r="A159" s="270"/>
      <c r="B159" s="270"/>
      <c r="C159" s="270"/>
      <c r="D159" s="270"/>
      <c r="E159" s="270"/>
      <c r="F159" s="270"/>
      <c r="G159" s="270"/>
      <c r="H159" s="270"/>
      <c r="I159" s="270"/>
      <c r="J159" s="270"/>
      <c r="K159" s="302"/>
      <c r="L159" s="270"/>
      <c r="M159" s="270"/>
      <c r="N159" s="270"/>
      <c r="O159" s="270"/>
      <c r="P159" s="270"/>
      <c r="Q159" s="270"/>
      <c r="R159" s="270"/>
    </row>
    <row r="160" spans="1:18" s="267" customFormat="1">
      <c r="A160" s="270"/>
      <c r="B160" s="270"/>
      <c r="C160" s="270"/>
      <c r="D160" s="270"/>
      <c r="E160" s="270"/>
      <c r="F160" s="270"/>
      <c r="G160" s="270"/>
      <c r="H160" s="270"/>
      <c r="I160" s="270"/>
      <c r="J160" s="270"/>
      <c r="K160" s="302"/>
      <c r="L160" s="270"/>
      <c r="M160" s="270"/>
      <c r="N160" s="270"/>
      <c r="O160" s="270"/>
      <c r="P160" s="270"/>
      <c r="Q160" s="270"/>
      <c r="R160" s="270"/>
    </row>
    <row r="161" spans="1:18" s="267" customFormat="1">
      <c r="A161" s="270"/>
      <c r="B161" s="270"/>
      <c r="C161" s="270"/>
      <c r="D161" s="270"/>
      <c r="E161" s="270"/>
      <c r="F161" s="270"/>
      <c r="G161" s="270"/>
      <c r="H161" s="270"/>
      <c r="I161" s="270"/>
      <c r="J161" s="270"/>
      <c r="K161" s="302"/>
      <c r="L161" s="270"/>
      <c r="M161" s="270"/>
      <c r="N161" s="270"/>
      <c r="O161" s="270"/>
      <c r="P161" s="270"/>
      <c r="Q161" s="270"/>
      <c r="R161" s="270"/>
    </row>
    <row r="162" spans="1:18" s="267" customFormat="1">
      <c r="A162" s="270"/>
      <c r="B162" s="270"/>
      <c r="C162" s="270"/>
      <c r="D162" s="270"/>
      <c r="E162" s="270"/>
      <c r="F162" s="270"/>
      <c r="G162" s="270"/>
      <c r="H162" s="270"/>
      <c r="I162" s="270"/>
      <c r="J162" s="270"/>
      <c r="K162" s="302"/>
      <c r="L162" s="270"/>
      <c r="M162" s="270"/>
      <c r="N162" s="270"/>
      <c r="O162" s="270"/>
      <c r="P162" s="270"/>
      <c r="Q162" s="270"/>
      <c r="R162" s="270"/>
    </row>
    <row r="163" spans="1:18" s="267" customFormat="1">
      <c r="A163" s="270"/>
      <c r="B163" s="270"/>
      <c r="C163" s="270"/>
      <c r="D163" s="270"/>
      <c r="E163" s="270"/>
      <c r="F163" s="270"/>
      <c r="G163" s="270"/>
      <c r="H163" s="270"/>
      <c r="I163" s="270"/>
      <c r="J163" s="270"/>
      <c r="K163" s="302"/>
      <c r="L163" s="270"/>
      <c r="M163" s="270"/>
      <c r="N163" s="270"/>
      <c r="O163" s="270"/>
      <c r="P163" s="270"/>
      <c r="Q163" s="270"/>
      <c r="R163" s="270"/>
    </row>
    <row r="164" spans="1:18" s="267" customFormat="1">
      <c r="A164" s="270"/>
      <c r="B164" s="270"/>
      <c r="C164" s="270"/>
      <c r="D164" s="270"/>
      <c r="E164" s="270"/>
      <c r="F164" s="270"/>
      <c r="G164" s="270"/>
      <c r="H164" s="270"/>
      <c r="I164" s="270"/>
      <c r="J164" s="270"/>
      <c r="K164" s="302"/>
      <c r="L164" s="270"/>
      <c r="M164" s="270"/>
      <c r="N164" s="270"/>
      <c r="O164" s="270"/>
      <c r="P164" s="270"/>
      <c r="Q164" s="270"/>
      <c r="R164" s="270"/>
    </row>
    <row r="165" spans="1:18" s="267" customFormat="1">
      <c r="A165" s="270"/>
      <c r="B165" s="270"/>
      <c r="C165" s="270"/>
      <c r="D165" s="270"/>
      <c r="E165" s="270"/>
      <c r="F165" s="270"/>
      <c r="G165" s="270"/>
      <c r="H165" s="270"/>
      <c r="I165" s="270"/>
      <c r="J165" s="270"/>
      <c r="K165" s="302"/>
      <c r="L165" s="270"/>
      <c r="M165" s="270"/>
      <c r="N165" s="270"/>
      <c r="O165" s="270"/>
      <c r="P165" s="270"/>
      <c r="Q165" s="270"/>
      <c r="R165" s="270"/>
    </row>
    <row r="166" spans="1:18" s="267" customFormat="1">
      <c r="A166" s="270"/>
      <c r="B166" s="270"/>
      <c r="C166" s="270"/>
      <c r="D166" s="270"/>
      <c r="E166" s="270"/>
      <c r="F166" s="270"/>
      <c r="G166" s="270"/>
      <c r="H166" s="270"/>
      <c r="I166" s="270"/>
      <c r="J166" s="270"/>
      <c r="K166" s="302"/>
      <c r="L166" s="270"/>
      <c r="M166" s="270"/>
      <c r="N166" s="270"/>
      <c r="O166" s="270"/>
      <c r="P166" s="270"/>
      <c r="Q166" s="270"/>
      <c r="R166" s="270"/>
    </row>
    <row r="167" spans="1:18" s="267" customFormat="1">
      <c r="A167" s="270"/>
      <c r="B167" s="270"/>
      <c r="C167" s="270"/>
      <c r="D167" s="270"/>
      <c r="E167" s="270"/>
      <c r="F167" s="270"/>
      <c r="G167" s="270"/>
      <c r="H167" s="270"/>
      <c r="I167" s="270"/>
      <c r="J167" s="270"/>
      <c r="K167" s="302"/>
      <c r="L167" s="270"/>
      <c r="M167" s="270"/>
      <c r="N167" s="270"/>
      <c r="O167" s="270"/>
      <c r="P167" s="270"/>
      <c r="Q167" s="270"/>
      <c r="R167" s="270"/>
    </row>
    <row r="168" spans="1:18" s="267" customFormat="1">
      <c r="A168" s="270"/>
      <c r="B168" s="270"/>
      <c r="C168" s="270"/>
      <c r="D168" s="270"/>
      <c r="E168" s="270"/>
      <c r="F168" s="270"/>
      <c r="G168" s="270"/>
      <c r="H168" s="270"/>
      <c r="I168" s="270"/>
      <c r="J168" s="270"/>
      <c r="K168" s="302"/>
      <c r="L168" s="270"/>
      <c r="M168" s="270"/>
      <c r="N168" s="270"/>
      <c r="O168" s="270"/>
      <c r="P168" s="270"/>
      <c r="Q168" s="270"/>
      <c r="R168" s="270"/>
    </row>
    <row r="169" spans="1:18" s="267" customFormat="1">
      <c r="A169" s="270"/>
      <c r="B169" s="270"/>
      <c r="C169" s="270"/>
      <c r="D169" s="270"/>
      <c r="E169" s="270"/>
      <c r="F169" s="270"/>
      <c r="G169" s="270"/>
      <c r="H169" s="270"/>
      <c r="I169" s="270"/>
      <c r="J169" s="270"/>
      <c r="K169" s="302"/>
      <c r="L169" s="270"/>
      <c r="M169" s="270"/>
      <c r="N169" s="270"/>
      <c r="O169" s="270"/>
      <c r="P169" s="270"/>
      <c r="Q169" s="270"/>
      <c r="R169" s="270"/>
    </row>
    <row r="170" spans="1:18" s="267" customFormat="1">
      <c r="A170" s="270"/>
      <c r="B170" s="270"/>
      <c r="C170" s="270"/>
      <c r="D170" s="270"/>
      <c r="E170" s="270"/>
      <c r="F170" s="270"/>
      <c r="G170" s="270"/>
      <c r="H170" s="270"/>
      <c r="I170" s="270"/>
      <c r="J170" s="270"/>
      <c r="K170" s="302"/>
      <c r="L170" s="270"/>
      <c r="M170" s="270"/>
      <c r="N170" s="270"/>
      <c r="O170" s="270"/>
      <c r="P170" s="270"/>
      <c r="Q170" s="270"/>
      <c r="R170" s="270"/>
    </row>
    <row r="171" spans="1:18" s="267" customFormat="1">
      <c r="A171" s="270"/>
      <c r="B171" s="270"/>
      <c r="C171" s="270"/>
      <c r="D171" s="270"/>
      <c r="E171" s="270"/>
      <c r="F171" s="270"/>
      <c r="G171" s="270"/>
      <c r="H171" s="270"/>
      <c r="I171" s="270"/>
      <c r="J171" s="270"/>
      <c r="K171" s="302"/>
      <c r="L171" s="270"/>
      <c r="M171" s="270"/>
      <c r="N171" s="270"/>
      <c r="O171" s="270"/>
      <c r="P171" s="270"/>
      <c r="Q171" s="270"/>
      <c r="R171" s="270"/>
    </row>
    <row r="172" spans="1:18" s="267" customFormat="1">
      <c r="A172" s="270"/>
      <c r="B172" s="270"/>
      <c r="C172" s="270"/>
      <c r="D172" s="270"/>
      <c r="E172" s="270"/>
      <c r="F172" s="270"/>
      <c r="G172" s="270"/>
      <c r="H172" s="270"/>
      <c r="I172" s="270"/>
      <c r="J172" s="270"/>
      <c r="K172" s="302"/>
      <c r="L172" s="270"/>
      <c r="M172" s="270"/>
      <c r="N172" s="270"/>
      <c r="O172" s="270"/>
      <c r="P172" s="270"/>
      <c r="Q172" s="270"/>
      <c r="R172" s="270"/>
    </row>
    <row r="173" spans="1:18" s="267" customFormat="1">
      <c r="A173" s="270"/>
      <c r="B173" s="270"/>
      <c r="C173" s="270"/>
      <c r="D173" s="270"/>
      <c r="E173" s="270"/>
      <c r="F173" s="270"/>
      <c r="G173" s="270"/>
      <c r="H173" s="270"/>
      <c r="I173" s="270"/>
      <c r="J173" s="270"/>
      <c r="K173" s="302"/>
      <c r="L173" s="270"/>
      <c r="M173" s="270"/>
      <c r="N173" s="270"/>
      <c r="O173" s="270"/>
      <c r="P173" s="270"/>
      <c r="Q173" s="270"/>
      <c r="R173" s="270"/>
    </row>
    <row r="174" spans="1:18" s="267" customFormat="1">
      <c r="A174" s="270"/>
      <c r="B174" s="270"/>
      <c r="C174" s="270"/>
      <c r="D174" s="270"/>
      <c r="E174" s="270"/>
      <c r="F174" s="270"/>
      <c r="G174" s="270"/>
      <c r="H174" s="270"/>
      <c r="I174" s="270"/>
      <c r="J174" s="270"/>
      <c r="K174" s="302"/>
      <c r="L174" s="270"/>
      <c r="M174" s="270"/>
      <c r="N174" s="270"/>
      <c r="O174" s="270"/>
      <c r="P174" s="270"/>
      <c r="Q174" s="270"/>
      <c r="R174" s="270"/>
    </row>
    <row r="175" spans="1:18" s="267" customFormat="1">
      <c r="A175" s="270"/>
      <c r="B175" s="270"/>
      <c r="C175" s="270"/>
      <c r="D175" s="270"/>
      <c r="E175" s="270"/>
      <c r="F175" s="270"/>
      <c r="G175" s="270"/>
      <c r="H175" s="270"/>
      <c r="I175" s="270"/>
      <c r="J175" s="270"/>
      <c r="K175" s="302"/>
      <c r="L175" s="270"/>
      <c r="M175" s="270"/>
      <c r="N175" s="270"/>
      <c r="O175" s="270"/>
      <c r="P175" s="270"/>
      <c r="Q175" s="270"/>
      <c r="R175" s="270"/>
    </row>
    <row r="176" spans="1:18" s="267" customFormat="1">
      <c r="A176" s="270"/>
      <c r="B176" s="270"/>
      <c r="C176" s="270"/>
      <c r="D176" s="270"/>
      <c r="E176" s="270"/>
      <c r="F176" s="270"/>
      <c r="G176" s="270"/>
      <c r="H176" s="270"/>
      <c r="I176" s="270"/>
      <c r="J176" s="270"/>
      <c r="K176" s="302"/>
      <c r="L176" s="270"/>
      <c r="M176" s="270"/>
      <c r="N176" s="270"/>
      <c r="O176" s="270"/>
      <c r="P176" s="270"/>
      <c r="Q176" s="270"/>
      <c r="R176" s="270"/>
    </row>
    <row r="177" spans="1:18" s="267" customFormat="1">
      <c r="A177" s="270"/>
      <c r="B177" s="270"/>
      <c r="C177" s="270"/>
      <c r="D177" s="270"/>
      <c r="E177" s="270"/>
      <c r="F177" s="270"/>
      <c r="G177" s="270"/>
      <c r="H177" s="270"/>
      <c r="I177" s="270"/>
      <c r="J177" s="270"/>
      <c r="K177" s="302"/>
      <c r="L177" s="270"/>
      <c r="M177" s="270"/>
      <c r="N177" s="270"/>
      <c r="O177" s="270"/>
      <c r="P177" s="270"/>
      <c r="Q177" s="270"/>
      <c r="R177" s="270"/>
    </row>
    <row r="178" spans="1:18" s="267" customFormat="1">
      <c r="A178" s="270"/>
      <c r="B178" s="270"/>
      <c r="C178" s="270"/>
      <c r="D178" s="270"/>
      <c r="E178" s="270"/>
      <c r="F178" s="270"/>
      <c r="G178" s="270"/>
      <c r="H178" s="270"/>
      <c r="I178" s="270"/>
      <c r="J178" s="270"/>
      <c r="K178" s="302"/>
      <c r="L178" s="270"/>
      <c r="M178" s="270"/>
      <c r="N178" s="270"/>
      <c r="O178" s="270"/>
      <c r="P178" s="270"/>
      <c r="Q178" s="270"/>
      <c r="R178" s="270"/>
    </row>
    <row r="179" spans="1:18" s="267" customFormat="1">
      <c r="A179" s="270"/>
      <c r="B179" s="270"/>
      <c r="C179" s="270"/>
      <c r="D179" s="270"/>
      <c r="E179" s="270"/>
      <c r="F179" s="270"/>
      <c r="G179" s="270"/>
      <c r="H179" s="270"/>
      <c r="I179" s="270"/>
      <c r="J179" s="270"/>
      <c r="K179" s="302"/>
      <c r="L179" s="270"/>
      <c r="M179" s="270"/>
      <c r="N179" s="270"/>
      <c r="O179" s="270"/>
      <c r="P179" s="270"/>
      <c r="Q179" s="270"/>
      <c r="R179" s="270"/>
    </row>
    <row r="180" spans="1:18" s="267" customFormat="1">
      <c r="A180" s="270"/>
      <c r="B180" s="270"/>
      <c r="C180" s="270"/>
      <c r="D180" s="270"/>
      <c r="E180" s="270"/>
      <c r="F180" s="270"/>
      <c r="G180" s="270"/>
      <c r="H180" s="270"/>
      <c r="I180" s="270"/>
      <c r="J180" s="270"/>
      <c r="K180" s="302"/>
      <c r="L180" s="270"/>
      <c r="M180" s="270"/>
      <c r="N180" s="270"/>
      <c r="O180" s="270"/>
      <c r="P180" s="270"/>
      <c r="Q180" s="270"/>
      <c r="R180" s="270"/>
    </row>
    <row r="181" spans="1:18" s="267" customFormat="1">
      <c r="A181" s="270"/>
      <c r="B181" s="270"/>
      <c r="C181" s="270"/>
      <c r="D181" s="270"/>
      <c r="E181" s="270"/>
      <c r="F181" s="270"/>
      <c r="G181" s="270"/>
      <c r="H181" s="270"/>
      <c r="I181" s="270"/>
      <c r="J181" s="270"/>
      <c r="K181" s="302"/>
      <c r="L181" s="270"/>
      <c r="M181" s="270"/>
      <c r="N181" s="270"/>
      <c r="O181" s="270"/>
      <c r="P181" s="270"/>
      <c r="Q181" s="270"/>
      <c r="R181" s="270"/>
    </row>
    <row r="182" spans="1:18" s="267" customFormat="1">
      <c r="A182" s="270"/>
      <c r="B182" s="270"/>
      <c r="C182" s="270"/>
      <c r="D182" s="270"/>
      <c r="E182" s="270"/>
      <c r="F182" s="270"/>
      <c r="G182" s="270"/>
      <c r="H182" s="270"/>
      <c r="I182" s="270"/>
      <c r="J182" s="270"/>
      <c r="K182" s="302"/>
      <c r="L182" s="270"/>
      <c r="M182" s="270"/>
      <c r="N182" s="270"/>
      <c r="O182" s="270"/>
      <c r="P182" s="270"/>
      <c r="Q182" s="270"/>
      <c r="R182" s="270"/>
    </row>
    <row r="183" spans="1:18" s="267" customFormat="1">
      <c r="A183" s="270"/>
      <c r="B183" s="270"/>
      <c r="C183" s="270"/>
      <c r="D183" s="270"/>
      <c r="E183" s="270"/>
      <c r="F183" s="270"/>
      <c r="G183" s="270"/>
      <c r="H183" s="270"/>
      <c r="I183" s="270"/>
      <c r="J183" s="270"/>
      <c r="K183" s="302"/>
      <c r="L183" s="270"/>
      <c r="M183" s="270"/>
      <c r="N183" s="270"/>
      <c r="O183" s="270"/>
      <c r="P183" s="270"/>
      <c r="Q183" s="270"/>
      <c r="R183" s="270"/>
    </row>
    <row r="184" spans="1:18" s="267" customFormat="1">
      <c r="A184" s="270"/>
      <c r="B184" s="270"/>
      <c r="C184" s="270"/>
      <c r="D184" s="270"/>
      <c r="E184" s="270"/>
      <c r="F184" s="270"/>
      <c r="G184" s="270"/>
      <c r="H184" s="270"/>
      <c r="I184" s="270"/>
      <c r="J184" s="270"/>
      <c r="K184" s="302"/>
      <c r="L184" s="270"/>
      <c r="M184" s="270"/>
      <c r="N184" s="270"/>
      <c r="O184" s="270"/>
      <c r="P184" s="270"/>
      <c r="Q184" s="270"/>
      <c r="R184" s="270"/>
    </row>
    <row r="185" spans="1:18" s="267" customFormat="1">
      <c r="A185" s="270"/>
      <c r="B185" s="270"/>
      <c r="C185" s="270"/>
      <c r="D185" s="270"/>
      <c r="E185" s="270"/>
      <c r="F185" s="270"/>
      <c r="G185" s="270"/>
      <c r="H185" s="270"/>
      <c r="I185" s="270"/>
      <c r="J185" s="270"/>
      <c r="K185" s="302"/>
      <c r="L185" s="270"/>
      <c r="M185" s="270"/>
      <c r="N185" s="270"/>
      <c r="O185" s="270"/>
      <c r="P185" s="270"/>
      <c r="Q185" s="270"/>
      <c r="R185" s="270"/>
    </row>
    <row r="186" spans="1:18" s="267" customFormat="1">
      <c r="A186" s="270"/>
      <c r="B186" s="270"/>
      <c r="C186" s="270"/>
      <c r="D186" s="270"/>
      <c r="E186" s="270"/>
      <c r="F186" s="270"/>
      <c r="G186" s="270"/>
      <c r="H186" s="270"/>
      <c r="I186" s="270"/>
      <c r="J186" s="270"/>
      <c r="K186" s="302"/>
      <c r="L186" s="270"/>
      <c r="M186" s="270"/>
      <c r="N186" s="270"/>
      <c r="O186" s="270"/>
      <c r="P186" s="270"/>
      <c r="Q186" s="270"/>
      <c r="R186" s="270"/>
    </row>
    <row r="187" spans="1:18" s="267" customFormat="1">
      <c r="A187" s="270"/>
      <c r="B187" s="270"/>
      <c r="C187" s="270"/>
      <c r="D187" s="270"/>
      <c r="E187" s="270"/>
      <c r="F187" s="270"/>
      <c r="G187" s="270"/>
      <c r="H187" s="270"/>
      <c r="I187" s="270"/>
      <c r="J187" s="270"/>
      <c r="K187" s="302"/>
      <c r="L187" s="270"/>
      <c r="M187" s="270"/>
      <c r="N187" s="270"/>
      <c r="O187" s="270"/>
      <c r="P187" s="270"/>
      <c r="Q187" s="270"/>
      <c r="R187" s="270"/>
    </row>
    <row r="188" spans="1:18" s="267" customFormat="1">
      <c r="A188" s="270"/>
      <c r="B188" s="270"/>
      <c r="C188" s="270"/>
      <c r="D188" s="270"/>
      <c r="E188" s="270"/>
      <c r="F188" s="270"/>
      <c r="G188" s="270"/>
      <c r="H188" s="270"/>
      <c r="I188" s="270"/>
      <c r="J188" s="270"/>
      <c r="K188" s="302"/>
      <c r="L188" s="270"/>
      <c r="M188" s="270"/>
      <c r="N188" s="270"/>
      <c r="O188" s="270"/>
      <c r="P188" s="270"/>
      <c r="Q188" s="270"/>
      <c r="R188" s="270"/>
    </row>
    <row r="189" spans="1:18" s="267" customFormat="1">
      <c r="A189" s="270"/>
      <c r="B189" s="270"/>
      <c r="C189" s="270"/>
      <c r="D189" s="270"/>
      <c r="E189" s="270"/>
      <c r="F189" s="270"/>
      <c r="G189" s="270"/>
      <c r="H189" s="270"/>
      <c r="I189" s="270"/>
      <c r="J189" s="270"/>
      <c r="K189" s="302"/>
      <c r="L189" s="270"/>
      <c r="M189" s="270"/>
      <c r="N189" s="270"/>
      <c r="O189" s="270"/>
      <c r="P189" s="270"/>
      <c r="Q189" s="270"/>
      <c r="R189" s="270"/>
    </row>
    <row r="190" spans="1:18" s="267" customFormat="1">
      <c r="A190" s="270"/>
      <c r="B190" s="270"/>
      <c r="C190" s="270"/>
      <c r="D190" s="270"/>
      <c r="E190" s="270"/>
      <c r="F190" s="270"/>
      <c r="G190" s="270"/>
      <c r="H190" s="270"/>
      <c r="I190" s="270"/>
      <c r="J190" s="270"/>
      <c r="K190" s="302"/>
      <c r="L190" s="270"/>
      <c r="M190" s="270"/>
      <c r="N190" s="270"/>
      <c r="O190" s="270"/>
      <c r="P190" s="270"/>
      <c r="Q190" s="270"/>
      <c r="R190" s="270"/>
    </row>
    <row r="191" spans="1:18" s="267" customFormat="1">
      <c r="A191" s="270"/>
      <c r="B191" s="270"/>
      <c r="C191" s="270"/>
      <c r="D191" s="270"/>
      <c r="E191" s="270"/>
      <c r="F191" s="270"/>
      <c r="G191" s="270"/>
      <c r="H191" s="270"/>
      <c r="I191" s="270"/>
      <c r="J191" s="270"/>
      <c r="K191" s="302"/>
      <c r="L191" s="270"/>
      <c r="M191" s="270"/>
      <c r="N191" s="270"/>
      <c r="O191" s="270"/>
      <c r="P191" s="270"/>
      <c r="Q191" s="270"/>
      <c r="R191" s="270"/>
    </row>
    <row r="192" spans="1:18" s="267" customFormat="1">
      <c r="A192" s="270"/>
      <c r="B192" s="270"/>
      <c r="C192" s="270"/>
      <c r="D192" s="270"/>
      <c r="E192" s="270"/>
      <c r="F192" s="270"/>
      <c r="G192" s="270"/>
      <c r="H192" s="270"/>
      <c r="I192" s="270"/>
      <c r="J192" s="270"/>
      <c r="K192" s="302"/>
      <c r="L192" s="270"/>
      <c r="M192" s="270"/>
      <c r="N192" s="270"/>
      <c r="O192" s="270"/>
      <c r="P192" s="270"/>
      <c r="Q192" s="270"/>
      <c r="R192" s="270"/>
    </row>
    <row r="193" spans="1:18" s="267" customFormat="1">
      <c r="A193" s="270"/>
      <c r="B193" s="270"/>
      <c r="C193" s="270"/>
      <c r="D193" s="270"/>
      <c r="E193" s="270"/>
      <c r="F193" s="270"/>
      <c r="G193" s="270"/>
      <c r="H193" s="270"/>
      <c r="I193" s="270"/>
      <c r="J193" s="270"/>
      <c r="K193" s="302"/>
      <c r="L193" s="270"/>
      <c r="M193" s="270"/>
      <c r="N193" s="270"/>
      <c r="O193" s="270"/>
      <c r="P193" s="270"/>
      <c r="Q193" s="270"/>
      <c r="R193" s="270"/>
    </row>
    <row r="194" spans="1:18" s="267" customFormat="1">
      <c r="A194" s="270"/>
      <c r="B194" s="270"/>
      <c r="C194" s="270"/>
      <c r="D194" s="270"/>
      <c r="E194" s="270"/>
      <c r="F194" s="270"/>
      <c r="G194" s="270"/>
      <c r="H194" s="270"/>
      <c r="I194" s="270"/>
      <c r="J194" s="270"/>
      <c r="K194" s="302"/>
      <c r="L194" s="270"/>
      <c r="M194" s="270"/>
      <c r="N194" s="270"/>
      <c r="O194" s="270"/>
      <c r="P194" s="270"/>
      <c r="Q194" s="270"/>
      <c r="R194" s="270"/>
    </row>
    <row r="195" spans="1:18" s="267" customFormat="1">
      <c r="A195" s="270"/>
      <c r="B195" s="270"/>
      <c r="C195" s="270"/>
      <c r="D195" s="270"/>
      <c r="E195" s="270"/>
      <c r="F195" s="270"/>
      <c r="G195" s="270"/>
      <c r="H195" s="270"/>
      <c r="I195" s="270"/>
      <c r="J195" s="270"/>
      <c r="K195" s="302"/>
      <c r="L195" s="270"/>
      <c r="M195" s="270"/>
      <c r="N195" s="270"/>
      <c r="O195" s="270"/>
      <c r="P195" s="270"/>
      <c r="Q195" s="270"/>
      <c r="R195" s="270"/>
    </row>
    <row r="196" spans="1:18" s="267" customFormat="1">
      <c r="A196" s="270"/>
      <c r="B196" s="270"/>
      <c r="C196" s="270"/>
      <c r="D196" s="270"/>
      <c r="E196" s="270"/>
      <c r="F196" s="270"/>
      <c r="G196" s="270"/>
      <c r="H196" s="270"/>
      <c r="I196" s="270"/>
      <c r="J196" s="270"/>
      <c r="K196" s="302"/>
      <c r="L196" s="270"/>
      <c r="M196" s="270"/>
      <c r="N196" s="270"/>
      <c r="O196" s="270"/>
      <c r="P196" s="270"/>
      <c r="Q196" s="270"/>
      <c r="R196" s="270"/>
    </row>
    <row r="197" spans="1:18" s="267" customFormat="1">
      <c r="A197" s="270"/>
      <c r="B197" s="270"/>
      <c r="C197" s="270"/>
      <c r="D197" s="270"/>
      <c r="E197" s="270"/>
      <c r="F197" s="270"/>
      <c r="G197" s="270"/>
      <c r="H197" s="270"/>
      <c r="I197" s="270"/>
      <c r="J197" s="270"/>
      <c r="K197" s="302"/>
      <c r="L197" s="270"/>
      <c r="M197" s="270"/>
      <c r="N197" s="270"/>
      <c r="O197" s="270"/>
      <c r="P197" s="270"/>
      <c r="Q197" s="270"/>
      <c r="R197" s="270"/>
    </row>
    <row r="198" spans="1:18" s="267" customFormat="1">
      <c r="A198" s="270"/>
      <c r="B198" s="270"/>
      <c r="C198" s="270"/>
      <c r="D198" s="270"/>
      <c r="E198" s="270"/>
      <c r="F198" s="270"/>
      <c r="G198" s="270"/>
      <c r="H198" s="270"/>
      <c r="I198" s="270"/>
      <c r="J198" s="270"/>
      <c r="K198" s="302"/>
      <c r="L198" s="270"/>
      <c r="M198" s="270"/>
      <c r="N198" s="270"/>
      <c r="O198" s="270"/>
      <c r="P198" s="270"/>
      <c r="Q198" s="270"/>
      <c r="R198" s="270"/>
    </row>
    <row r="199" spans="1:18" s="267" customFormat="1">
      <c r="A199" s="270"/>
      <c r="B199" s="270"/>
      <c r="C199" s="270"/>
      <c r="D199" s="270"/>
      <c r="E199" s="270"/>
      <c r="F199" s="270"/>
      <c r="G199" s="270"/>
      <c r="H199" s="270"/>
      <c r="I199" s="270"/>
      <c r="J199" s="270"/>
      <c r="K199" s="302"/>
      <c r="L199" s="270"/>
      <c r="M199" s="270"/>
      <c r="N199" s="270"/>
      <c r="O199" s="270"/>
      <c r="P199" s="270"/>
      <c r="Q199" s="270"/>
      <c r="R199" s="270"/>
    </row>
    <row r="200" spans="1:18" s="267" customFormat="1">
      <c r="A200" s="270"/>
      <c r="B200" s="270"/>
      <c r="C200" s="270"/>
      <c r="D200" s="270"/>
      <c r="E200" s="270"/>
      <c r="F200" s="270"/>
      <c r="G200" s="270"/>
      <c r="H200" s="270"/>
      <c r="I200" s="270"/>
      <c r="J200" s="270"/>
      <c r="K200" s="302"/>
      <c r="L200" s="270"/>
      <c r="M200" s="270"/>
      <c r="N200" s="270"/>
      <c r="O200" s="270"/>
      <c r="P200" s="270"/>
      <c r="Q200" s="270"/>
      <c r="R200" s="270"/>
    </row>
    <row r="201" spans="1:18" s="267" customFormat="1">
      <c r="A201" s="270"/>
      <c r="B201" s="270"/>
      <c r="C201" s="270"/>
      <c r="D201" s="270"/>
      <c r="E201" s="270"/>
      <c r="F201" s="270"/>
      <c r="G201" s="270"/>
      <c r="H201" s="270"/>
      <c r="I201" s="270"/>
      <c r="J201" s="270"/>
      <c r="K201" s="302"/>
      <c r="L201" s="270"/>
      <c r="M201" s="270"/>
      <c r="N201" s="270"/>
      <c r="O201" s="270"/>
      <c r="P201" s="270"/>
      <c r="Q201" s="270"/>
      <c r="R201" s="270"/>
    </row>
    <row r="202" spans="1:18" s="267" customFormat="1">
      <c r="A202" s="270"/>
      <c r="B202" s="270"/>
      <c r="C202" s="270"/>
      <c r="D202" s="270"/>
      <c r="E202" s="270"/>
      <c r="F202" s="270"/>
      <c r="G202" s="270"/>
      <c r="H202" s="270"/>
      <c r="I202" s="270"/>
      <c r="J202" s="270"/>
      <c r="K202" s="302"/>
      <c r="L202" s="270"/>
      <c r="M202" s="270"/>
      <c r="N202" s="270"/>
      <c r="O202" s="270"/>
      <c r="P202" s="270"/>
      <c r="Q202" s="270"/>
      <c r="R202" s="270"/>
    </row>
    <row r="203" spans="1:18" s="267" customFormat="1">
      <c r="A203" s="270"/>
      <c r="B203" s="270"/>
      <c r="C203" s="270"/>
      <c r="D203" s="270"/>
      <c r="E203" s="270"/>
      <c r="F203" s="270"/>
      <c r="G203" s="270"/>
      <c r="H203" s="270"/>
      <c r="I203" s="270"/>
      <c r="J203" s="270"/>
      <c r="K203" s="302"/>
      <c r="L203" s="270"/>
      <c r="M203" s="270"/>
      <c r="N203" s="270"/>
      <c r="O203" s="270"/>
      <c r="P203" s="270"/>
      <c r="Q203" s="270"/>
      <c r="R203" s="270"/>
    </row>
    <row r="204" spans="1:18" s="267" customFormat="1">
      <c r="A204" s="270"/>
      <c r="B204" s="270"/>
      <c r="C204" s="270"/>
      <c r="D204" s="270"/>
      <c r="E204" s="270"/>
      <c r="F204" s="270"/>
      <c r="G204" s="270"/>
      <c r="H204" s="270"/>
      <c r="I204" s="270"/>
      <c r="J204" s="270"/>
      <c r="K204" s="302"/>
      <c r="L204" s="270"/>
      <c r="M204" s="270"/>
      <c r="N204" s="270"/>
      <c r="O204" s="270"/>
      <c r="P204" s="270"/>
      <c r="Q204" s="270"/>
      <c r="R204" s="270"/>
    </row>
    <row r="205" spans="1:18" s="267" customFormat="1">
      <c r="A205" s="270"/>
      <c r="B205" s="270"/>
      <c r="C205" s="270"/>
      <c r="D205" s="270"/>
      <c r="E205" s="270"/>
      <c r="F205" s="270"/>
      <c r="G205" s="270"/>
      <c r="H205" s="270"/>
      <c r="I205" s="270"/>
      <c r="J205" s="270"/>
      <c r="K205" s="302"/>
      <c r="L205" s="270"/>
      <c r="M205" s="270"/>
      <c r="N205" s="270"/>
      <c r="O205" s="270"/>
      <c r="P205" s="270"/>
      <c r="Q205" s="270"/>
      <c r="R205" s="270"/>
    </row>
    <row r="206" spans="1:18" s="267" customFormat="1">
      <c r="A206" s="270"/>
      <c r="B206" s="270"/>
      <c r="C206" s="270"/>
      <c r="D206" s="270"/>
      <c r="E206" s="270"/>
      <c r="F206" s="270"/>
      <c r="G206" s="270"/>
      <c r="H206" s="270"/>
      <c r="I206" s="270"/>
      <c r="J206" s="270"/>
      <c r="K206" s="302"/>
      <c r="L206" s="270"/>
      <c r="M206" s="270"/>
      <c r="N206" s="270"/>
      <c r="O206" s="270"/>
      <c r="P206" s="270"/>
      <c r="Q206" s="270"/>
      <c r="R206" s="270"/>
    </row>
    <row r="207" spans="1:18" s="267" customFormat="1">
      <c r="A207" s="270"/>
      <c r="B207" s="270"/>
      <c r="C207" s="270"/>
      <c r="D207" s="270"/>
      <c r="E207" s="270"/>
      <c r="F207" s="270"/>
      <c r="G207" s="270"/>
      <c r="H207" s="270"/>
      <c r="I207" s="270"/>
      <c r="J207" s="270"/>
      <c r="K207" s="302"/>
      <c r="L207" s="270"/>
      <c r="M207" s="270"/>
      <c r="N207" s="270"/>
      <c r="O207" s="270"/>
      <c r="P207" s="270"/>
      <c r="Q207" s="270"/>
      <c r="R207" s="270"/>
    </row>
    <row r="208" spans="1:18" s="267" customFormat="1">
      <c r="A208" s="270"/>
      <c r="B208" s="270"/>
      <c r="C208" s="270"/>
      <c r="D208" s="270"/>
      <c r="E208" s="270"/>
      <c r="F208" s="270"/>
      <c r="G208" s="270"/>
      <c r="H208" s="270"/>
      <c r="I208" s="270"/>
      <c r="J208" s="270"/>
      <c r="K208" s="302"/>
      <c r="L208" s="270"/>
      <c r="M208" s="270"/>
      <c r="N208" s="270"/>
      <c r="O208" s="270"/>
      <c r="P208" s="270"/>
      <c r="Q208" s="270"/>
      <c r="R208" s="270"/>
    </row>
    <row r="209" spans="1:18" s="267" customFormat="1">
      <c r="A209" s="270"/>
      <c r="B209" s="270"/>
      <c r="C209" s="270"/>
      <c r="D209" s="270"/>
      <c r="E209" s="270"/>
      <c r="F209" s="270"/>
      <c r="G209" s="270"/>
      <c r="H209" s="270"/>
      <c r="I209" s="270"/>
      <c r="J209" s="270"/>
      <c r="K209" s="302"/>
      <c r="L209" s="270"/>
      <c r="M209" s="270"/>
      <c r="N209" s="270"/>
      <c r="O209" s="270"/>
      <c r="P209" s="270"/>
      <c r="Q209" s="270"/>
      <c r="R209" s="270"/>
    </row>
    <row r="210" spans="1:18" s="267" customFormat="1">
      <c r="A210" s="270"/>
      <c r="B210" s="270"/>
      <c r="C210" s="270"/>
      <c r="D210" s="270"/>
      <c r="E210" s="270"/>
      <c r="F210" s="270"/>
      <c r="G210" s="270"/>
      <c r="H210" s="270"/>
      <c r="I210" s="270"/>
      <c r="J210" s="270"/>
      <c r="K210" s="302"/>
      <c r="L210" s="270"/>
      <c r="M210" s="270"/>
      <c r="N210" s="270"/>
      <c r="O210" s="270"/>
      <c r="P210" s="270"/>
      <c r="Q210" s="270"/>
      <c r="R210" s="270"/>
    </row>
    <row r="211" spans="1:18" s="267" customFormat="1">
      <c r="A211" s="270"/>
      <c r="B211" s="270"/>
      <c r="C211" s="270"/>
      <c r="D211" s="270"/>
      <c r="E211" s="270"/>
      <c r="F211" s="270"/>
      <c r="G211" s="270"/>
      <c r="H211" s="270"/>
      <c r="I211" s="270"/>
      <c r="J211" s="270"/>
      <c r="K211" s="302"/>
      <c r="L211" s="270"/>
      <c r="M211" s="270"/>
      <c r="N211" s="270"/>
      <c r="O211" s="270"/>
      <c r="P211" s="270"/>
      <c r="Q211" s="270"/>
      <c r="R211" s="270"/>
    </row>
    <row r="212" spans="1:18" s="267" customFormat="1">
      <c r="A212" s="270"/>
      <c r="B212" s="270"/>
      <c r="C212" s="270"/>
      <c r="D212" s="270"/>
      <c r="E212" s="270"/>
      <c r="F212" s="270"/>
      <c r="G212" s="270"/>
      <c r="H212" s="270"/>
      <c r="I212" s="270"/>
      <c r="J212" s="270"/>
      <c r="K212" s="302"/>
      <c r="L212" s="270"/>
      <c r="M212" s="270"/>
      <c r="N212" s="270"/>
      <c r="O212" s="270"/>
      <c r="P212" s="270"/>
      <c r="Q212" s="270"/>
      <c r="R212" s="270"/>
    </row>
    <row r="213" spans="1:18" s="267" customFormat="1">
      <c r="A213" s="270"/>
      <c r="B213" s="270"/>
      <c r="C213" s="270"/>
      <c r="D213" s="270"/>
      <c r="E213" s="270"/>
      <c r="F213" s="270"/>
      <c r="G213" s="270"/>
      <c r="H213" s="270"/>
      <c r="I213" s="270"/>
      <c r="J213" s="270"/>
      <c r="K213" s="302"/>
      <c r="L213" s="270"/>
      <c r="M213" s="270"/>
      <c r="N213" s="270"/>
      <c r="O213" s="270"/>
      <c r="P213" s="270"/>
      <c r="Q213" s="270"/>
      <c r="R213" s="270"/>
    </row>
    <row r="214" spans="1:18" s="267" customFormat="1">
      <c r="A214" s="270"/>
      <c r="B214" s="270"/>
      <c r="C214" s="270"/>
      <c r="D214" s="270"/>
      <c r="E214" s="270"/>
      <c r="F214" s="270"/>
      <c r="G214" s="270"/>
      <c r="H214" s="270"/>
      <c r="I214" s="270"/>
      <c r="J214" s="270"/>
      <c r="K214" s="302"/>
      <c r="L214" s="270"/>
      <c r="M214" s="270"/>
      <c r="N214" s="270"/>
      <c r="O214" s="270"/>
      <c r="P214" s="270"/>
      <c r="Q214" s="270"/>
      <c r="R214" s="270"/>
    </row>
    <row r="215" spans="1:18" s="267" customFormat="1">
      <c r="A215" s="270"/>
      <c r="B215" s="270"/>
      <c r="C215" s="270"/>
      <c r="D215" s="270"/>
      <c r="E215" s="270"/>
      <c r="F215" s="270"/>
      <c r="G215" s="270"/>
      <c r="H215" s="270"/>
      <c r="I215" s="270"/>
      <c r="J215" s="270"/>
      <c r="K215" s="302"/>
      <c r="L215" s="270"/>
      <c r="M215" s="270"/>
      <c r="N215" s="270"/>
      <c r="O215" s="270"/>
      <c r="P215" s="270"/>
      <c r="Q215" s="270"/>
      <c r="R215" s="270"/>
    </row>
    <row r="216" spans="1:18" s="267" customFormat="1">
      <c r="A216" s="270"/>
      <c r="B216" s="270"/>
      <c r="C216" s="270"/>
      <c r="D216" s="270"/>
      <c r="E216" s="270"/>
      <c r="F216" s="270"/>
      <c r="G216" s="270"/>
      <c r="H216" s="270"/>
      <c r="I216" s="270"/>
      <c r="J216" s="270"/>
      <c r="K216" s="302"/>
      <c r="L216" s="270"/>
      <c r="M216" s="270"/>
      <c r="N216" s="270"/>
      <c r="O216" s="270"/>
      <c r="P216" s="270"/>
      <c r="Q216" s="270"/>
      <c r="R216" s="270"/>
    </row>
    <row r="217" spans="1:18" s="267" customFormat="1">
      <c r="A217" s="270"/>
      <c r="B217" s="270"/>
      <c r="C217" s="270"/>
      <c r="D217" s="270"/>
      <c r="E217" s="270"/>
      <c r="F217" s="270"/>
      <c r="G217" s="270"/>
      <c r="H217" s="270"/>
      <c r="I217" s="270"/>
      <c r="J217" s="270"/>
      <c r="K217" s="302"/>
      <c r="L217" s="270"/>
      <c r="M217" s="270"/>
      <c r="N217" s="270"/>
      <c r="O217" s="270"/>
      <c r="P217" s="270"/>
      <c r="Q217" s="270"/>
      <c r="R217" s="270"/>
    </row>
    <row r="218" spans="1:18" s="267" customFormat="1">
      <c r="A218" s="270"/>
      <c r="B218" s="270"/>
      <c r="C218" s="270"/>
      <c r="D218" s="270"/>
      <c r="E218" s="270"/>
      <c r="F218" s="270"/>
      <c r="G218" s="270"/>
      <c r="H218" s="270"/>
      <c r="I218" s="270"/>
      <c r="J218" s="270"/>
      <c r="K218" s="302"/>
      <c r="L218" s="270"/>
      <c r="M218" s="270"/>
      <c r="N218" s="270"/>
      <c r="O218" s="270"/>
      <c r="P218" s="270"/>
      <c r="Q218" s="270"/>
      <c r="R218" s="270"/>
    </row>
    <row r="219" spans="1:18" s="267" customFormat="1">
      <c r="A219" s="270"/>
      <c r="B219" s="270"/>
      <c r="C219" s="270"/>
      <c r="D219" s="270"/>
      <c r="E219" s="270"/>
      <c r="F219" s="270"/>
      <c r="G219" s="270"/>
      <c r="H219" s="270"/>
      <c r="I219" s="270"/>
      <c r="J219" s="270"/>
      <c r="K219" s="302"/>
      <c r="L219" s="270"/>
      <c r="M219" s="270"/>
      <c r="N219" s="270"/>
      <c r="O219" s="270"/>
      <c r="P219" s="270"/>
      <c r="Q219" s="270"/>
      <c r="R219" s="270"/>
    </row>
    <row r="220" spans="1:18" s="267" customFormat="1">
      <c r="A220" s="270"/>
      <c r="B220" s="270"/>
      <c r="C220" s="270"/>
      <c r="D220" s="270"/>
      <c r="E220" s="270"/>
      <c r="F220" s="270"/>
      <c r="G220" s="270"/>
      <c r="H220" s="270"/>
      <c r="I220" s="270"/>
      <c r="J220" s="270"/>
      <c r="K220" s="302"/>
      <c r="L220" s="270"/>
      <c r="M220" s="270"/>
      <c r="N220" s="270"/>
      <c r="O220" s="270"/>
      <c r="P220" s="270"/>
      <c r="Q220" s="270"/>
      <c r="R220" s="270"/>
    </row>
    <row r="221" spans="1:18" s="267" customFormat="1">
      <c r="A221" s="270"/>
      <c r="B221" s="270"/>
      <c r="C221" s="270"/>
      <c r="D221" s="270"/>
      <c r="E221" s="270"/>
      <c r="F221" s="270"/>
      <c r="G221" s="270"/>
      <c r="H221" s="270"/>
      <c r="I221" s="270"/>
      <c r="J221" s="270"/>
      <c r="K221" s="302"/>
      <c r="L221" s="270"/>
      <c r="M221" s="270"/>
      <c r="N221" s="270"/>
      <c r="O221" s="270"/>
      <c r="P221" s="270"/>
      <c r="Q221" s="270"/>
      <c r="R221" s="270"/>
    </row>
    <row r="222" spans="1:18" s="267" customFormat="1">
      <c r="A222" s="270"/>
      <c r="B222" s="270"/>
      <c r="C222" s="270"/>
      <c r="D222" s="270"/>
      <c r="E222" s="270"/>
      <c r="F222" s="270"/>
      <c r="G222" s="270"/>
      <c r="H222" s="270"/>
      <c r="I222" s="270"/>
      <c r="J222" s="270"/>
      <c r="K222" s="302"/>
      <c r="L222" s="270"/>
      <c r="M222" s="270"/>
      <c r="N222" s="270"/>
      <c r="O222" s="270"/>
      <c r="P222" s="270"/>
      <c r="Q222" s="270"/>
      <c r="R222" s="270"/>
    </row>
    <row r="223" spans="1:18" s="267" customFormat="1">
      <c r="A223" s="270"/>
      <c r="B223" s="270"/>
      <c r="C223" s="270"/>
      <c r="D223" s="270"/>
      <c r="E223" s="270"/>
      <c r="F223" s="270"/>
      <c r="G223" s="270"/>
      <c r="H223" s="270"/>
      <c r="I223" s="270"/>
      <c r="J223" s="270"/>
      <c r="K223" s="302"/>
      <c r="L223" s="270"/>
      <c r="M223" s="270"/>
      <c r="N223" s="270"/>
      <c r="O223" s="270"/>
      <c r="P223" s="270"/>
      <c r="Q223" s="270"/>
      <c r="R223" s="270"/>
    </row>
    <row r="224" spans="1:18" s="267" customFormat="1">
      <c r="A224" s="270"/>
      <c r="B224" s="270"/>
      <c r="C224" s="270"/>
      <c r="D224" s="270"/>
      <c r="E224" s="270"/>
      <c r="F224" s="270"/>
      <c r="G224" s="270"/>
      <c r="H224" s="270"/>
      <c r="I224" s="270"/>
      <c r="J224" s="270"/>
      <c r="K224" s="302"/>
      <c r="L224" s="270"/>
      <c r="M224" s="270"/>
      <c r="N224" s="270"/>
      <c r="O224" s="270"/>
      <c r="P224" s="270"/>
      <c r="Q224" s="270"/>
      <c r="R224" s="270"/>
    </row>
    <row r="225" spans="1:18" s="267" customFormat="1">
      <c r="A225" s="270"/>
      <c r="B225" s="270"/>
      <c r="C225" s="270"/>
      <c r="D225" s="270"/>
      <c r="E225" s="270"/>
      <c r="F225" s="270"/>
      <c r="G225" s="270"/>
      <c r="H225" s="270"/>
      <c r="I225" s="270"/>
      <c r="J225" s="270"/>
      <c r="K225" s="302"/>
      <c r="L225" s="270"/>
      <c r="M225" s="270"/>
      <c r="N225" s="270"/>
      <c r="O225" s="270"/>
      <c r="P225" s="270"/>
      <c r="Q225" s="270"/>
      <c r="R225" s="270"/>
    </row>
    <row r="226" spans="1:18" s="267" customFormat="1">
      <c r="A226" s="270"/>
      <c r="B226" s="270"/>
      <c r="C226" s="270"/>
      <c r="D226" s="270"/>
      <c r="E226" s="270"/>
      <c r="F226" s="270"/>
      <c r="G226" s="270"/>
      <c r="H226" s="270"/>
      <c r="I226" s="270"/>
      <c r="J226" s="270"/>
      <c r="K226" s="302"/>
      <c r="L226" s="270"/>
      <c r="M226" s="270"/>
      <c r="N226" s="270"/>
      <c r="O226" s="270"/>
      <c r="P226" s="270"/>
      <c r="Q226" s="270"/>
      <c r="R226" s="270"/>
    </row>
    <row r="227" spans="1:18" s="267" customFormat="1">
      <c r="A227" s="270"/>
      <c r="B227" s="270"/>
      <c r="C227" s="270"/>
      <c r="D227" s="270"/>
      <c r="E227" s="270"/>
      <c r="F227" s="270"/>
      <c r="G227" s="270"/>
      <c r="H227" s="270"/>
      <c r="I227" s="270"/>
      <c r="J227" s="270"/>
      <c r="K227" s="302"/>
      <c r="L227" s="270"/>
      <c r="M227" s="270"/>
      <c r="N227" s="270"/>
      <c r="O227" s="270"/>
      <c r="P227" s="270"/>
      <c r="Q227" s="270"/>
      <c r="R227" s="270"/>
    </row>
    <row r="228" spans="1:18" s="267" customFormat="1">
      <c r="A228" s="270"/>
      <c r="B228" s="270"/>
      <c r="C228" s="270"/>
      <c r="D228" s="270"/>
      <c r="E228" s="270"/>
      <c r="F228" s="270"/>
      <c r="G228" s="270"/>
      <c r="H228" s="270"/>
      <c r="I228" s="270"/>
      <c r="J228" s="270"/>
      <c r="K228" s="302"/>
      <c r="L228" s="270"/>
      <c r="M228" s="270"/>
      <c r="N228" s="270"/>
      <c r="O228" s="270"/>
      <c r="P228" s="270"/>
      <c r="Q228" s="270"/>
      <c r="R228" s="270"/>
    </row>
    <row r="229" spans="1:18" s="267" customFormat="1">
      <c r="A229" s="270"/>
      <c r="B229" s="270"/>
      <c r="C229" s="270"/>
      <c r="D229" s="270"/>
      <c r="E229" s="270"/>
      <c r="F229" s="270"/>
      <c r="G229" s="270"/>
      <c r="H229" s="270"/>
      <c r="I229" s="270"/>
      <c r="J229" s="270"/>
      <c r="K229" s="302"/>
      <c r="L229" s="270"/>
      <c r="M229" s="270"/>
      <c r="N229" s="270"/>
      <c r="O229" s="270"/>
      <c r="P229" s="270"/>
      <c r="Q229" s="270"/>
      <c r="R229" s="270"/>
    </row>
    <row r="230" spans="1:18" s="267" customFormat="1">
      <c r="A230" s="270"/>
      <c r="B230" s="270"/>
      <c r="C230" s="270"/>
      <c r="D230" s="270"/>
      <c r="E230" s="270"/>
      <c r="F230" s="270"/>
      <c r="G230" s="270"/>
      <c r="H230" s="270"/>
      <c r="I230" s="270"/>
      <c r="J230" s="270"/>
      <c r="K230" s="302"/>
      <c r="L230" s="270"/>
      <c r="M230" s="270"/>
      <c r="N230" s="270"/>
      <c r="O230" s="270"/>
      <c r="P230" s="270"/>
      <c r="Q230" s="270"/>
      <c r="R230" s="270"/>
    </row>
    <row r="231" spans="1:18" s="267" customFormat="1">
      <c r="A231" s="270"/>
      <c r="B231" s="270"/>
      <c r="C231" s="270"/>
      <c r="D231" s="270"/>
      <c r="E231" s="270"/>
      <c r="F231" s="270"/>
      <c r="G231" s="270"/>
      <c r="H231" s="270"/>
      <c r="I231" s="270"/>
      <c r="J231" s="270"/>
      <c r="K231" s="302"/>
      <c r="L231" s="270"/>
      <c r="M231" s="270"/>
      <c r="N231" s="270"/>
      <c r="O231" s="270"/>
      <c r="P231" s="270"/>
      <c r="Q231" s="270"/>
      <c r="R231" s="270"/>
    </row>
    <row r="232" spans="1:18" s="267" customFormat="1">
      <c r="A232" s="270"/>
      <c r="B232" s="270"/>
      <c r="C232" s="270"/>
      <c r="D232" s="270"/>
      <c r="E232" s="270"/>
      <c r="F232" s="270"/>
      <c r="G232" s="270"/>
      <c r="H232" s="270"/>
      <c r="I232" s="270"/>
      <c r="J232" s="270"/>
      <c r="K232" s="302"/>
      <c r="L232" s="270"/>
      <c r="M232" s="270"/>
      <c r="N232" s="270"/>
      <c r="O232" s="270"/>
      <c r="P232" s="270"/>
      <c r="Q232" s="270"/>
      <c r="R232" s="270"/>
    </row>
    <row r="233" spans="1:18" s="267" customFormat="1">
      <c r="A233" s="270"/>
      <c r="B233" s="270"/>
      <c r="C233" s="270"/>
      <c r="D233" s="270"/>
      <c r="E233" s="270"/>
      <c r="F233" s="270"/>
      <c r="G233" s="270"/>
      <c r="H233" s="270"/>
      <c r="I233" s="270"/>
      <c r="J233" s="270"/>
      <c r="K233" s="302"/>
      <c r="L233" s="270"/>
      <c r="M233" s="270"/>
      <c r="N233" s="270"/>
      <c r="O233" s="270"/>
      <c r="P233" s="270"/>
      <c r="Q233" s="270"/>
      <c r="R233" s="270"/>
    </row>
    <row r="234" spans="1:18" s="267" customFormat="1">
      <c r="A234" s="270"/>
      <c r="B234" s="270"/>
      <c r="C234" s="270"/>
      <c r="D234" s="270"/>
      <c r="E234" s="270"/>
      <c r="F234" s="270"/>
      <c r="G234" s="270"/>
      <c r="H234" s="270"/>
      <c r="I234" s="270"/>
      <c r="J234" s="270"/>
      <c r="K234" s="302"/>
      <c r="L234" s="270"/>
      <c r="M234" s="270"/>
      <c r="N234" s="270"/>
      <c r="O234" s="270"/>
      <c r="P234" s="270"/>
      <c r="Q234" s="270"/>
      <c r="R234" s="270"/>
    </row>
    <row r="235" spans="1:18" s="267" customFormat="1">
      <c r="A235" s="270"/>
      <c r="B235" s="270"/>
      <c r="C235" s="270"/>
      <c r="D235" s="270"/>
      <c r="E235" s="270"/>
      <c r="F235" s="270"/>
      <c r="G235" s="270"/>
      <c r="H235" s="270"/>
      <c r="I235" s="270"/>
      <c r="J235" s="270"/>
      <c r="K235" s="302"/>
      <c r="L235" s="270"/>
      <c r="M235" s="270"/>
      <c r="N235" s="270"/>
      <c r="O235" s="270"/>
      <c r="P235" s="270"/>
      <c r="Q235" s="270"/>
      <c r="R235" s="270"/>
    </row>
    <row r="236" spans="1:18" s="267" customFormat="1">
      <c r="A236" s="270"/>
      <c r="B236" s="270"/>
      <c r="C236" s="270"/>
      <c r="D236" s="270"/>
      <c r="E236" s="270"/>
      <c r="F236" s="270"/>
      <c r="G236" s="270"/>
      <c r="H236" s="270"/>
      <c r="I236" s="270"/>
      <c r="J236" s="270"/>
      <c r="K236" s="302"/>
      <c r="L236" s="270"/>
      <c r="M236" s="270"/>
      <c r="N236" s="270"/>
      <c r="O236" s="270"/>
      <c r="P236" s="270"/>
      <c r="Q236" s="270"/>
      <c r="R236" s="270"/>
    </row>
    <row r="237" spans="1:18" s="267" customFormat="1">
      <c r="A237" s="270"/>
      <c r="B237" s="270"/>
      <c r="C237" s="270"/>
      <c r="D237" s="270"/>
      <c r="E237" s="270"/>
      <c r="F237" s="270"/>
      <c r="G237" s="270"/>
      <c r="H237" s="270"/>
      <c r="I237" s="270"/>
      <c r="J237" s="270"/>
      <c r="K237" s="302"/>
      <c r="L237" s="270"/>
      <c r="M237" s="270"/>
      <c r="N237" s="270"/>
      <c r="O237" s="270"/>
      <c r="P237" s="270"/>
      <c r="Q237" s="270"/>
      <c r="R237" s="270"/>
    </row>
    <row r="238" spans="1:18" s="267" customFormat="1">
      <c r="A238" s="270"/>
      <c r="B238" s="270"/>
      <c r="C238" s="270"/>
      <c r="D238" s="270"/>
      <c r="E238" s="270"/>
      <c r="F238" s="270"/>
      <c r="G238" s="270"/>
      <c r="H238" s="270"/>
      <c r="I238" s="270"/>
      <c r="J238" s="270"/>
      <c r="K238" s="302"/>
      <c r="L238" s="270"/>
      <c r="M238" s="270"/>
      <c r="N238" s="270"/>
      <c r="O238" s="270"/>
      <c r="P238" s="270"/>
      <c r="Q238" s="270"/>
      <c r="R238" s="270"/>
    </row>
    <row r="239" spans="1:18" s="267" customFormat="1">
      <c r="A239" s="270"/>
      <c r="B239" s="270"/>
      <c r="C239" s="270"/>
      <c r="D239" s="270"/>
      <c r="E239" s="270"/>
      <c r="F239" s="270"/>
      <c r="G239" s="270"/>
      <c r="H239" s="270"/>
      <c r="I239" s="270"/>
      <c r="J239" s="270"/>
      <c r="K239" s="302"/>
      <c r="L239" s="270"/>
      <c r="M239" s="270"/>
      <c r="N239" s="270"/>
      <c r="O239" s="270"/>
      <c r="P239" s="270"/>
      <c r="Q239" s="270"/>
      <c r="R239" s="270"/>
    </row>
    <row r="240" spans="1:18" s="267" customFormat="1">
      <c r="A240" s="270"/>
      <c r="B240" s="270"/>
      <c r="C240" s="270"/>
      <c r="D240" s="270"/>
      <c r="E240" s="270"/>
      <c r="F240" s="270"/>
      <c r="G240" s="270"/>
      <c r="H240" s="270"/>
      <c r="I240" s="270"/>
      <c r="J240" s="270"/>
      <c r="K240" s="302"/>
      <c r="L240" s="270"/>
      <c r="M240" s="270"/>
      <c r="N240" s="270"/>
      <c r="O240" s="270"/>
      <c r="P240" s="270"/>
      <c r="Q240" s="270"/>
      <c r="R240" s="270"/>
    </row>
    <row r="241" spans="1:18" s="267" customFormat="1">
      <c r="A241" s="270"/>
      <c r="B241" s="270"/>
      <c r="C241" s="270"/>
      <c r="D241" s="270"/>
      <c r="E241" s="270"/>
      <c r="F241" s="270"/>
      <c r="G241" s="270"/>
      <c r="H241" s="270"/>
      <c r="I241" s="270"/>
      <c r="J241" s="270"/>
      <c r="K241" s="302"/>
      <c r="L241" s="270"/>
      <c r="M241" s="270"/>
      <c r="N241" s="270"/>
      <c r="O241" s="270"/>
      <c r="P241" s="270"/>
      <c r="Q241" s="270"/>
      <c r="R241" s="270"/>
    </row>
    <row r="242" spans="1:18" s="267" customFormat="1">
      <c r="A242" s="270"/>
      <c r="B242" s="270"/>
      <c r="C242" s="270"/>
      <c r="D242" s="270"/>
      <c r="E242" s="270"/>
      <c r="F242" s="270"/>
      <c r="G242" s="270"/>
      <c r="H242" s="270"/>
      <c r="I242" s="270"/>
      <c r="J242" s="270"/>
      <c r="K242" s="302"/>
      <c r="L242" s="270"/>
      <c r="M242" s="270"/>
      <c r="N242" s="270"/>
      <c r="O242" s="270"/>
      <c r="P242" s="270"/>
      <c r="Q242" s="270"/>
      <c r="R242" s="270"/>
    </row>
    <row r="243" spans="1:18" s="267" customFormat="1">
      <c r="A243" s="270"/>
      <c r="B243" s="270"/>
      <c r="C243" s="270"/>
      <c r="D243" s="270"/>
      <c r="E243" s="270"/>
      <c r="F243" s="270"/>
      <c r="G243" s="270"/>
      <c r="H243" s="270"/>
      <c r="I243" s="270"/>
      <c r="J243" s="270"/>
      <c r="K243" s="302"/>
      <c r="L243" s="270"/>
      <c r="M243" s="270"/>
      <c r="N243" s="270"/>
      <c r="O243" s="270"/>
      <c r="P243" s="270"/>
      <c r="Q243" s="270"/>
      <c r="R243" s="270"/>
    </row>
    <row r="244" spans="1:18" s="267" customFormat="1">
      <c r="A244" s="270"/>
      <c r="B244" s="270"/>
      <c r="C244" s="270"/>
      <c r="D244" s="270"/>
      <c r="E244" s="270"/>
      <c r="F244" s="270"/>
      <c r="G244" s="270"/>
      <c r="H244" s="270"/>
      <c r="I244" s="270"/>
      <c r="J244" s="270"/>
      <c r="K244" s="302"/>
      <c r="L244" s="270"/>
      <c r="M244" s="270"/>
      <c r="N244" s="270"/>
      <c r="O244" s="270"/>
      <c r="P244" s="270"/>
      <c r="Q244" s="270"/>
      <c r="R244" s="270"/>
    </row>
    <row r="245" spans="1:18" s="267" customFormat="1">
      <c r="A245" s="270"/>
      <c r="B245" s="270"/>
      <c r="C245" s="270"/>
      <c r="D245" s="270"/>
      <c r="E245" s="270"/>
      <c r="F245" s="270"/>
      <c r="G245" s="270"/>
      <c r="H245" s="270"/>
      <c r="I245" s="270"/>
      <c r="J245" s="270"/>
      <c r="K245" s="302"/>
      <c r="L245" s="270"/>
      <c r="M245" s="270"/>
      <c r="N245" s="270"/>
      <c r="O245" s="270"/>
      <c r="P245" s="270"/>
      <c r="Q245" s="270"/>
      <c r="R245" s="270"/>
    </row>
    <row r="246" spans="1:18" s="267" customFormat="1">
      <c r="A246" s="270"/>
      <c r="B246" s="270"/>
      <c r="C246" s="270"/>
      <c r="D246" s="270"/>
      <c r="E246" s="270"/>
      <c r="F246" s="270"/>
      <c r="G246" s="270"/>
      <c r="H246" s="270"/>
      <c r="I246" s="270"/>
      <c r="J246" s="270"/>
      <c r="K246" s="302"/>
      <c r="L246" s="270"/>
      <c r="M246" s="270"/>
      <c r="N246" s="270"/>
      <c r="O246" s="270"/>
      <c r="P246" s="270"/>
      <c r="Q246" s="270"/>
      <c r="R246" s="270"/>
    </row>
    <row r="247" spans="1:18" s="267" customFormat="1">
      <c r="A247" s="270"/>
      <c r="B247" s="270"/>
      <c r="C247" s="270"/>
      <c r="D247" s="270"/>
      <c r="E247" s="270"/>
      <c r="F247" s="270"/>
      <c r="G247" s="270"/>
      <c r="H247" s="270"/>
      <c r="I247" s="270"/>
      <c r="J247" s="270"/>
      <c r="K247" s="302"/>
      <c r="L247" s="270"/>
      <c r="M247" s="270"/>
      <c r="N247" s="270"/>
      <c r="O247" s="270"/>
      <c r="P247" s="270"/>
      <c r="Q247" s="270"/>
      <c r="R247" s="270"/>
    </row>
    <row r="248" spans="1:18" s="267" customFormat="1">
      <c r="A248" s="270"/>
      <c r="B248" s="270"/>
      <c r="C248" s="270"/>
      <c r="D248" s="270"/>
      <c r="E248" s="270"/>
      <c r="F248" s="270"/>
      <c r="G248" s="270"/>
      <c r="H248" s="270"/>
      <c r="I248" s="270"/>
      <c r="J248" s="270"/>
      <c r="K248" s="302"/>
      <c r="L248" s="270"/>
      <c r="M248" s="270"/>
      <c r="N248" s="270"/>
      <c r="O248" s="270"/>
      <c r="P248" s="270"/>
      <c r="Q248" s="270"/>
      <c r="R248" s="270"/>
    </row>
    <row r="249" spans="1:18" s="267" customFormat="1">
      <c r="A249" s="270"/>
      <c r="B249" s="270"/>
      <c r="C249" s="270"/>
      <c r="D249" s="270"/>
      <c r="E249" s="270"/>
      <c r="F249" s="270"/>
      <c r="G249" s="270"/>
      <c r="H249" s="270"/>
      <c r="I249" s="270"/>
      <c r="J249" s="270"/>
      <c r="K249" s="302"/>
      <c r="L249" s="270"/>
      <c r="M249" s="270"/>
      <c r="N249" s="270"/>
      <c r="O249" s="270"/>
      <c r="P249" s="270"/>
      <c r="Q249" s="270"/>
      <c r="R249" s="270"/>
    </row>
    <row r="250" spans="1:18" s="267" customFormat="1">
      <c r="A250" s="270"/>
      <c r="B250" s="270"/>
      <c r="C250" s="270"/>
      <c r="D250" s="270"/>
      <c r="E250" s="270"/>
      <c r="F250" s="270"/>
      <c r="G250" s="270"/>
      <c r="H250" s="270"/>
      <c r="I250" s="270"/>
      <c r="J250" s="270"/>
      <c r="K250" s="302"/>
      <c r="L250" s="270"/>
      <c r="M250" s="270"/>
      <c r="N250" s="270"/>
      <c r="O250" s="270"/>
      <c r="P250" s="270"/>
      <c r="Q250" s="270"/>
      <c r="R250" s="270"/>
    </row>
    <row r="251" spans="1:18" s="267" customFormat="1">
      <c r="A251" s="270"/>
      <c r="B251" s="270"/>
      <c r="C251" s="270"/>
      <c r="D251" s="270"/>
      <c r="E251" s="270"/>
      <c r="F251" s="270"/>
      <c r="G251" s="270"/>
      <c r="H251" s="270"/>
      <c r="I251" s="270"/>
      <c r="J251" s="270"/>
      <c r="K251" s="302"/>
      <c r="L251" s="270"/>
      <c r="M251" s="270"/>
      <c r="N251" s="270"/>
      <c r="O251" s="270"/>
      <c r="P251" s="270"/>
      <c r="Q251" s="270"/>
      <c r="R251" s="270"/>
    </row>
    <row r="252" spans="1:18" s="267" customFormat="1">
      <c r="A252" s="270"/>
      <c r="B252" s="270"/>
      <c r="C252" s="270"/>
      <c r="D252" s="270"/>
      <c r="E252" s="270"/>
      <c r="F252" s="270"/>
      <c r="G252" s="270"/>
      <c r="H252" s="270"/>
      <c r="I252" s="270"/>
      <c r="J252" s="270"/>
      <c r="K252" s="302"/>
      <c r="L252" s="270"/>
      <c r="M252" s="270"/>
      <c r="N252" s="270"/>
      <c r="O252" s="270"/>
      <c r="P252" s="270"/>
      <c r="Q252" s="270"/>
      <c r="R252" s="270"/>
    </row>
    <row r="253" spans="1:18" s="267" customFormat="1">
      <c r="A253" s="270"/>
      <c r="B253" s="270"/>
      <c r="C253" s="270"/>
      <c r="D253" s="270"/>
      <c r="E253" s="270"/>
      <c r="F253" s="270"/>
      <c r="G253" s="270"/>
      <c r="H253" s="270"/>
      <c r="I253" s="270"/>
      <c r="J253" s="270"/>
      <c r="K253" s="302"/>
      <c r="L253" s="270"/>
      <c r="M253" s="270"/>
      <c r="N253" s="270"/>
      <c r="O253" s="270"/>
      <c r="P253" s="270"/>
      <c r="Q253" s="270"/>
      <c r="R253" s="270"/>
    </row>
    <row r="254" spans="1:18" s="267" customFormat="1">
      <c r="A254" s="270"/>
      <c r="B254" s="270"/>
      <c r="C254" s="270"/>
      <c r="D254" s="270"/>
      <c r="E254" s="270"/>
      <c r="F254" s="270"/>
      <c r="G254" s="270"/>
      <c r="H254" s="270"/>
      <c r="I254" s="270"/>
      <c r="J254" s="270"/>
      <c r="K254" s="302"/>
      <c r="L254" s="270"/>
      <c r="M254" s="270"/>
      <c r="N254" s="270"/>
      <c r="O254" s="270"/>
      <c r="P254" s="270"/>
      <c r="Q254" s="270"/>
      <c r="R254" s="270"/>
    </row>
    <row r="255" spans="1:18" s="267" customFormat="1">
      <c r="A255" s="270"/>
      <c r="B255" s="270"/>
      <c r="C255" s="270"/>
      <c r="D255" s="270"/>
      <c r="E255" s="270"/>
      <c r="F255" s="270"/>
      <c r="G255" s="270"/>
      <c r="H255" s="270"/>
      <c r="I255" s="270"/>
      <c r="J255" s="270"/>
      <c r="K255" s="302"/>
      <c r="L255" s="270"/>
      <c r="M255" s="270"/>
      <c r="N255" s="270"/>
      <c r="O255" s="270"/>
      <c r="P255" s="270"/>
      <c r="Q255" s="270"/>
      <c r="R255" s="270"/>
    </row>
    <row r="256" spans="1:18" s="267" customFormat="1">
      <c r="A256" s="270"/>
      <c r="B256" s="270"/>
      <c r="C256" s="270"/>
      <c r="D256" s="270"/>
      <c r="E256" s="270"/>
      <c r="F256" s="270"/>
      <c r="G256" s="270"/>
      <c r="H256" s="270"/>
      <c r="I256" s="270"/>
      <c r="J256" s="270"/>
      <c r="K256" s="302"/>
      <c r="L256" s="270"/>
      <c r="M256" s="270"/>
      <c r="N256" s="270"/>
      <c r="O256" s="270"/>
      <c r="P256" s="270"/>
      <c r="Q256" s="270"/>
      <c r="R256" s="270"/>
    </row>
    <row r="257" spans="1:18" s="267" customFormat="1">
      <c r="A257" s="270"/>
      <c r="B257" s="270"/>
      <c r="C257" s="270"/>
      <c r="D257" s="270"/>
      <c r="E257" s="270"/>
      <c r="F257" s="270"/>
      <c r="G257" s="270"/>
      <c r="H257" s="270"/>
      <c r="I257" s="270"/>
      <c r="J257" s="270"/>
      <c r="K257" s="302"/>
      <c r="L257" s="270"/>
      <c r="M257" s="270"/>
      <c r="N257" s="270"/>
      <c r="O257" s="270"/>
      <c r="P257" s="270"/>
      <c r="Q257" s="270"/>
      <c r="R257" s="270"/>
    </row>
    <row r="258" spans="1:18" s="267" customFormat="1">
      <c r="A258" s="270"/>
      <c r="B258" s="270"/>
      <c r="C258" s="270"/>
      <c r="D258" s="270"/>
      <c r="E258" s="270"/>
      <c r="F258" s="270"/>
      <c r="G258" s="270"/>
      <c r="H258" s="270"/>
      <c r="I258" s="270"/>
      <c r="J258" s="270"/>
      <c r="K258" s="302"/>
      <c r="L258" s="270"/>
      <c r="M258" s="270"/>
      <c r="N258" s="270"/>
      <c r="O258" s="270"/>
      <c r="P258" s="270"/>
      <c r="Q258" s="270"/>
      <c r="R258" s="270"/>
    </row>
    <row r="259" spans="1:18" s="267" customFormat="1">
      <c r="A259" s="270"/>
      <c r="B259" s="270"/>
      <c r="C259" s="270"/>
      <c r="D259" s="270"/>
      <c r="E259" s="270"/>
      <c r="F259" s="270"/>
      <c r="G259" s="270"/>
      <c r="H259" s="270"/>
      <c r="I259" s="270"/>
      <c r="J259" s="270"/>
      <c r="K259" s="302"/>
      <c r="L259" s="270"/>
      <c r="M259" s="270"/>
      <c r="N259" s="270"/>
      <c r="O259" s="270"/>
      <c r="P259" s="270"/>
      <c r="Q259" s="270"/>
      <c r="R259" s="270"/>
    </row>
    <row r="260" spans="1:18" s="267" customFormat="1">
      <c r="A260" s="270"/>
      <c r="B260" s="270"/>
      <c r="C260" s="270"/>
      <c r="D260" s="270"/>
      <c r="E260" s="270"/>
      <c r="F260" s="270"/>
      <c r="G260" s="270"/>
      <c r="H260" s="270"/>
      <c r="I260" s="270"/>
      <c r="J260" s="270"/>
      <c r="K260" s="302"/>
      <c r="L260" s="270"/>
      <c r="M260" s="270"/>
      <c r="N260" s="270"/>
      <c r="O260" s="270"/>
      <c r="P260" s="270"/>
      <c r="Q260" s="270"/>
      <c r="R260" s="270"/>
    </row>
    <row r="261" spans="1:18" s="267" customFormat="1">
      <c r="A261" s="270"/>
      <c r="B261" s="270"/>
      <c r="C261" s="270"/>
      <c r="D261" s="270"/>
      <c r="E261" s="270"/>
      <c r="F261" s="270"/>
      <c r="G261" s="270"/>
      <c r="H261" s="270"/>
      <c r="I261" s="270"/>
      <c r="J261" s="270"/>
      <c r="K261" s="302"/>
      <c r="L261" s="270"/>
      <c r="M261" s="270"/>
      <c r="N261" s="270"/>
      <c r="O261" s="270"/>
      <c r="P261" s="270"/>
      <c r="Q261" s="270"/>
      <c r="R261" s="270"/>
    </row>
    <row r="262" spans="1:18" s="267" customFormat="1">
      <c r="A262" s="270"/>
      <c r="B262" s="270"/>
      <c r="C262" s="270"/>
      <c r="D262" s="270"/>
      <c r="E262" s="270"/>
      <c r="F262" s="270"/>
      <c r="G262" s="270"/>
      <c r="H262" s="270"/>
      <c r="I262" s="270"/>
      <c r="J262" s="270"/>
      <c r="K262" s="302"/>
      <c r="L262" s="270"/>
      <c r="M262" s="270"/>
      <c r="N262" s="270"/>
      <c r="O262" s="270"/>
      <c r="P262" s="270"/>
      <c r="Q262" s="270"/>
      <c r="R262" s="270"/>
    </row>
    <row r="263" spans="1:18" s="267" customFormat="1">
      <c r="A263" s="270"/>
      <c r="B263" s="270"/>
      <c r="C263" s="270"/>
      <c r="D263" s="270"/>
      <c r="E263" s="270"/>
      <c r="F263" s="270"/>
      <c r="G263" s="270"/>
      <c r="H263" s="270"/>
      <c r="I263" s="270"/>
      <c r="J263" s="270"/>
      <c r="K263" s="302"/>
      <c r="L263" s="270"/>
      <c r="M263" s="270"/>
      <c r="N263" s="270"/>
      <c r="O263" s="270"/>
      <c r="P263" s="270"/>
      <c r="Q263" s="270"/>
      <c r="R263" s="270"/>
    </row>
    <row r="264" spans="1:18" s="267" customFormat="1">
      <c r="A264" s="270"/>
      <c r="B264" s="270"/>
      <c r="C264" s="270"/>
      <c r="D264" s="270"/>
      <c r="E264" s="270"/>
      <c r="F264" s="270"/>
      <c r="G264" s="270"/>
      <c r="H264" s="270"/>
      <c r="I264" s="270"/>
      <c r="J264" s="270"/>
      <c r="K264" s="302"/>
      <c r="L264" s="270"/>
      <c r="M264" s="270"/>
      <c r="N264" s="270"/>
      <c r="O264" s="270"/>
      <c r="P264" s="270"/>
      <c r="Q264" s="270"/>
      <c r="R264" s="270"/>
    </row>
    <row r="265" spans="1:18" s="267" customFormat="1">
      <c r="A265" s="270"/>
      <c r="B265" s="270"/>
      <c r="C265" s="270"/>
      <c r="D265" s="270"/>
      <c r="E265" s="270"/>
      <c r="F265" s="270"/>
      <c r="G265" s="270"/>
      <c r="H265" s="270"/>
      <c r="I265" s="270"/>
      <c r="J265" s="270"/>
      <c r="K265" s="302"/>
      <c r="L265" s="270"/>
      <c r="M265" s="270"/>
      <c r="N265" s="270"/>
      <c r="O265" s="270"/>
      <c r="P265" s="270"/>
      <c r="Q265" s="270"/>
      <c r="R265" s="270"/>
    </row>
    <row r="266" spans="1:18" s="267" customFormat="1">
      <c r="A266" s="270"/>
      <c r="B266" s="270"/>
      <c r="C266" s="270"/>
      <c r="D266" s="270"/>
      <c r="E266" s="270"/>
      <c r="F266" s="270"/>
      <c r="G266" s="270"/>
      <c r="H266" s="270"/>
      <c r="I266" s="270"/>
      <c r="J266" s="270"/>
      <c r="K266" s="302"/>
      <c r="L266" s="270"/>
      <c r="M266" s="270"/>
      <c r="N266" s="270"/>
      <c r="O266" s="270"/>
      <c r="P266" s="270"/>
      <c r="Q266" s="270"/>
      <c r="R266" s="270"/>
    </row>
    <row r="267" spans="1:18" s="267" customFormat="1">
      <c r="A267" s="270"/>
      <c r="B267" s="270"/>
      <c r="C267" s="270"/>
      <c r="D267" s="270"/>
      <c r="E267" s="270"/>
      <c r="F267" s="270"/>
      <c r="G267" s="270"/>
      <c r="H267" s="270"/>
      <c r="I267" s="270"/>
      <c r="J267" s="270"/>
      <c r="K267" s="302"/>
      <c r="L267" s="270"/>
      <c r="M267" s="270"/>
      <c r="N267" s="270"/>
      <c r="O267" s="270"/>
      <c r="P267" s="270"/>
      <c r="Q267" s="270"/>
      <c r="R267" s="270"/>
    </row>
    <row r="268" spans="1:18" s="267" customFormat="1">
      <c r="A268" s="270"/>
      <c r="B268" s="270"/>
      <c r="C268" s="270"/>
      <c r="D268" s="270"/>
      <c r="E268" s="270"/>
      <c r="F268" s="270"/>
      <c r="G268" s="270"/>
      <c r="H268" s="270"/>
      <c r="I268" s="270"/>
      <c r="J268" s="270"/>
      <c r="K268" s="302"/>
      <c r="L268" s="270"/>
      <c r="M268" s="270"/>
      <c r="N268" s="270"/>
      <c r="O268" s="270"/>
      <c r="P268" s="270"/>
      <c r="Q268" s="270"/>
      <c r="R268" s="270"/>
    </row>
    <row r="269" spans="1:18" s="267" customFormat="1">
      <c r="A269" s="270"/>
      <c r="B269" s="270"/>
      <c r="C269" s="270"/>
      <c r="D269" s="270"/>
      <c r="E269" s="270"/>
      <c r="F269" s="270"/>
      <c r="G269" s="270"/>
      <c r="H269" s="270"/>
      <c r="I269" s="270"/>
      <c r="J269" s="270"/>
      <c r="K269" s="302"/>
      <c r="L269" s="270"/>
      <c r="M269" s="270"/>
      <c r="N269" s="270"/>
      <c r="O269" s="270"/>
      <c r="P269" s="270"/>
      <c r="Q269" s="270"/>
      <c r="R269" s="270"/>
    </row>
    <row r="270" spans="1:18" s="267" customFormat="1">
      <c r="A270" s="270"/>
      <c r="B270" s="270"/>
      <c r="C270" s="270"/>
      <c r="D270" s="270"/>
      <c r="E270" s="270"/>
      <c r="F270" s="270"/>
      <c r="G270" s="270"/>
      <c r="H270" s="270"/>
      <c r="I270" s="270"/>
      <c r="J270" s="270"/>
      <c r="K270" s="302"/>
      <c r="L270" s="270"/>
      <c r="M270" s="270"/>
      <c r="N270" s="270"/>
      <c r="O270" s="270"/>
      <c r="P270" s="270"/>
      <c r="Q270" s="270"/>
      <c r="R270" s="270"/>
    </row>
    <row r="271" spans="1:18" s="267" customFormat="1">
      <c r="A271" s="270"/>
      <c r="B271" s="270"/>
      <c r="C271" s="270"/>
      <c r="D271" s="270"/>
      <c r="E271" s="270"/>
      <c r="F271" s="270"/>
      <c r="G271" s="270"/>
      <c r="H271" s="270"/>
      <c r="I271" s="270"/>
      <c r="J271" s="270"/>
      <c r="K271" s="302"/>
      <c r="L271" s="270"/>
      <c r="M271" s="270"/>
      <c r="N271" s="270"/>
      <c r="O271" s="270"/>
      <c r="P271" s="270"/>
      <c r="Q271" s="270"/>
      <c r="R271" s="270"/>
    </row>
    <row r="272" spans="1:18" s="267" customFormat="1">
      <c r="A272" s="270"/>
      <c r="B272" s="270"/>
      <c r="C272" s="270"/>
      <c r="D272" s="270"/>
      <c r="E272" s="270"/>
      <c r="F272" s="270"/>
      <c r="G272" s="270"/>
      <c r="H272" s="270"/>
      <c r="I272" s="270"/>
      <c r="J272" s="270"/>
      <c r="K272" s="302"/>
      <c r="L272" s="270"/>
      <c r="M272" s="270"/>
      <c r="N272" s="270"/>
      <c r="O272" s="270"/>
      <c r="P272" s="270"/>
      <c r="Q272" s="270"/>
      <c r="R272" s="270"/>
    </row>
    <row r="273" spans="1:18" s="267" customFormat="1">
      <c r="A273" s="270"/>
      <c r="B273" s="270"/>
      <c r="C273" s="270"/>
      <c r="D273" s="270"/>
      <c r="E273" s="270"/>
      <c r="F273" s="270"/>
      <c r="G273" s="270"/>
      <c r="H273" s="270"/>
      <c r="I273" s="270"/>
      <c r="J273" s="270"/>
      <c r="K273" s="302"/>
      <c r="L273" s="270"/>
      <c r="M273" s="270"/>
      <c r="N273" s="270"/>
      <c r="O273" s="270"/>
      <c r="P273" s="270"/>
      <c r="Q273" s="270"/>
      <c r="R273" s="270"/>
    </row>
    <row r="274" spans="1:18" s="267" customFormat="1">
      <c r="A274" s="270"/>
      <c r="B274" s="270"/>
      <c r="C274" s="270"/>
      <c r="D274" s="270"/>
      <c r="E274" s="270"/>
      <c r="F274" s="270"/>
      <c r="G274" s="270"/>
      <c r="H274" s="270"/>
      <c r="I274" s="270"/>
      <c r="J274" s="270"/>
      <c r="K274" s="302"/>
      <c r="L274" s="270"/>
      <c r="M274" s="270"/>
      <c r="N274" s="270"/>
      <c r="O274" s="270"/>
      <c r="P274" s="270"/>
      <c r="Q274" s="270"/>
      <c r="R274" s="270"/>
    </row>
    <row r="275" spans="1:18" s="267" customFormat="1">
      <c r="A275" s="270"/>
      <c r="B275" s="270"/>
      <c r="C275" s="270"/>
      <c r="D275" s="270"/>
      <c r="E275" s="270"/>
      <c r="F275" s="270"/>
      <c r="G275" s="270"/>
      <c r="H275" s="270"/>
      <c r="I275" s="270"/>
      <c r="J275" s="270"/>
      <c r="K275" s="302"/>
      <c r="L275" s="270"/>
      <c r="M275" s="270"/>
      <c r="N275" s="270"/>
      <c r="O275" s="270"/>
      <c r="P275" s="270"/>
      <c r="Q275" s="270"/>
      <c r="R275" s="270"/>
    </row>
    <row r="276" spans="1:18" s="267" customFormat="1">
      <c r="A276" s="270"/>
      <c r="B276" s="270"/>
      <c r="C276" s="270"/>
      <c r="D276" s="270"/>
      <c r="E276" s="270"/>
      <c r="F276" s="270"/>
      <c r="G276" s="270"/>
      <c r="H276" s="270"/>
      <c r="I276" s="270"/>
      <c r="J276" s="270"/>
      <c r="K276" s="302"/>
      <c r="L276" s="270"/>
      <c r="M276" s="270"/>
      <c r="N276" s="270"/>
      <c r="O276" s="270"/>
      <c r="P276" s="270"/>
      <c r="Q276" s="270"/>
      <c r="R276" s="270"/>
    </row>
    <row r="277" spans="1:18" s="267" customFormat="1">
      <c r="A277" s="270"/>
      <c r="B277" s="270"/>
      <c r="C277" s="270"/>
      <c r="D277" s="270"/>
      <c r="E277" s="270"/>
      <c r="F277" s="270"/>
      <c r="G277" s="270"/>
      <c r="H277" s="270"/>
      <c r="I277" s="270"/>
      <c r="J277" s="270"/>
      <c r="K277" s="302"/>
      <c r="L277" s="270"/>
      <c r="M277" s="270"/>
      <c r="N277" s="270"/>
      <c r="O277" s="270"/>
      <c r="P277" s="270"/>
      <c r="Q277" s="270"/>
      <c r="R277" s="270"/>
    </row>
    <row r="278" spans="1:18" s="267" customFormat="1">
      <c r="A278" s="270"/>
      <c r="B278" s="270"/>
      <c r="C278" s="270"/>
      <c r="D278" s="270"/>
      <c r="E278" s="270"/>
      <c r="F278" s="270"/>
      <c r="G278" s="270"/>
      <c r="H278" s="270"/>
      <c r="I278" s="270"/>
      <c r="J278" s="270"/>
      <c r="K278" s="302"/>
      <c r="L278" s="270"/>
      <c r="M278" s="270"/>
      <c r="N278" s="270"/>
      <c r="O278" s="270"/>
      <c r="P278" s="270"/>
      <c r="Q278" s="270"/>
      <c r="R278" s="270"/>
    </row>
    <row r="279" spans="1:18" s="267" customFormat="1">
      <c r="A279" s="270"/>
      <c r="B279" s="270"/>
      <c r="C279" s="270"/>
      <c r="D279" s="270"/>
      <c r="E279" s="270"/>
      <c r="F279" s="270"/>
      <c r="G279" s="270"/>
      <c r="H279" s="270"/>
      <c r="I279" s="270"/>
      <c r="J279" s="270"/>
      <c r="K279" s="302"/>
      <c r="L279" s="270"/>
      <c r="M279" s="270"/>
      <c r="N279" s="270"/>
      <c r="O279" s="270"/>
      <c r="P279" s="270"/>
      <c r="Q279" s="270"/>
      <c r="R279" s="270"/>
    </row>
    <row r="280" spans="1:18" s="267" customFormat="1">
      <c r="A280" s="270"/>
      <c r="B280" s="270"/>
      <c r="C280" s="270"/>
      <c r="D280" s="270"/>
      <c r="E280" s="270"/>
      <c r="F280" s="270"/>
      <c r="G280" s="270"/>
      <c r="H280" s="270"/>
      <c r="I280" s="270"/>
      <c r="J280" s="270"/>
      <c r="K280" s="302"/>
      <c r="L280" s="270"/>
      <c r="M280" s="270"/>
      <c r="N280" s="270"/>
      <c r="O280" s="270"/>
      <c r="P280" s="270"/>
      <c r="Q280" s="270"/>
      <c r="R280" s="270"/>
    </row>
    <row r="281" spans="1:18" s="267" customFormat="1">
      <c r="A281" s="270"/>
      <c r="B281" s="270"/>
      <c r="C281" s="270"/>
      <c r="D281" s="270"/>
      <c r="E281" s="270"/>
      <c r="F281" s="270"/>
      <c r="G281" s="270"/>
      <c r="H281" s="270"/>
      <c r="I281" s="270"/>
      <c r="J281" s="270"/>
      <c r="K281" s="302"/>
      <c r="L281" s="270"/>
      <c r="M281" s="270"/>
      <c r="N281" s="270"/>
      <c r="O281" s="270"/>
      <c r="P281" s="270"/>
      <c r="Q281" s="270"/>
      <c r="R281" s="270"/>
    </row>
    <row r="282" spans="1:18" s="267" customFormat="1">
      <c r="A282" s="270"/>
      <c r="B282" s="270"/>
      <c r="C282" s="270"/>
      <c r="D282" s="270"/>
      <c r="E282" s="270"/>
      <c r="F282" s="270"/>
      <c r="G282" s="270"/>
      <c r="H282" s="270"/>
      <c r="I282" s="270"/>
      <c r="J282" s="270"/>
      <c r="K282" s="302"/>
      <c r="L282" s="270"/>
      <c r="M282" s="270"/>
      <c r="N282" s="270"/>
      <c r="O282" s="270"/>
      <c r="P282" s="270"/>
      <c r="Q282" s="270"/>
      <c r="R282" s="270"/>
    </row>
    <row r="283" spans="1:18" s="267" customFormat="1">
      <c r="A283" s="270"/>
      <c r="B283" s="270"/>
      <c r="C283" s="270"/>
      <c r="D283" s="270"/>
      <c r="E283" s="270"/>
      <c r="F283" s="270"/>
      <c r="G283" s="270"/>
      <c r="H283" s="270"/>
      <c r="I283" s="270"/>
      <c r="J283" s="270"/>
      <c r="K283" s="302"/>
      <c r="L283" s="270"/>
      <c r="M283" s="270"/>
      <c r="N283" s="270"/>
      <c r="O283" s="270"/>
      <c r="P283" s="270"/>
      <c r="Q283" s="270"/>
      <c r="R283" s="270"/>
    </row>
    <row r="284" spans="1:18" s="267" customFormat="1">
      <c r="A284" s="270"/>
      <c r="B284" s="270"/>
      <c r="C284" s="270"/>
      <c r="D284" s="270"/>
      <c r="E284" s="270"/>
      <c r="F284" s="270"/>
      <c r="G284" s="270"/>
      <c r="H284" s="270"/>
      <c r="I284" s="270"/>
      <c r="J284" s="270"/>
      <c r="K284" s="302"/>
      <c r="L284" s="270"/>
      <c r="M284" s="270"/>
      <c r="N284" s="270"/>
      <c r="O284" s="270"/>
      <c r="P284" s="270"/>
      <c r="Q284" s="270"/>
      <c r="R284" s="270"/>
    </row>
    <row r="285" spans="1:18" s="267" customFormat="1">
      <c r="A285" s="270"/>
      <c r="B285" s="270"/>
      <c r="C285" s="270"/>
      <c r="D285" s="270"/>
      <c r="E285" s="270"/>
      <c r="F285" s="270"/>
      <c r="G285" s="270"/>
      <c r="H285" s="270"/>
      <c r="I285" s="270"/>
      <c r="J285" s="270"/>
      <c r="K285" s="302"/>
      <c r="L285" s="270"/>
      <c r="M285" s="270"/>
      <c r="N285" s="270"/>
      <c r="O285" s="270"/>
      <c r="P285" s="270"/>
      <c r="Q285" s="270"/>
      <c r="R285" s="270"/>
    </row>
    <row r="286" spans="1:18" s="267" customFormat="1">
      <c r="A286" s="270"/>
      <c r="B286" s="270"/>
      <c r="C286" s="270"/>
      <c r="D286" s="270"/>
      <c r="E286" s="270"/>
      <c r="F286" s="270"/>
      <c r="G286" s="270"/>
      <c r="H286" s="270"/>
      <c r="I286" s="270"/>
      <c r="J286" s="270"/>
      <c r="K286" s="302"/>
      <c r="L286" s="270"/>
      <c r="M286" s="270"/>
      <c r="N286" s="270"/>
      <c r="O286" s="270"/>
      <c r="P286" s="270"/>
      <c r="Q286" s="270"/>
      <c r="R286" s="270"/>
    </row>
    <row r="287" spans="1:18" s="267" customFormat="1">
      <c r="A287" s="270"/>
      <c r="B287" s="270"/>
      <c r="C287" s="270"/>
      <c r="D287" s="270"/>
      <c r="E287" s="270"/>
      <c r="F287" s="270"/>
      <c r="G287" s="270"/>
      <c r="H287" s="270"/>
      <c r="I287" s="270"/>
      <c r="J287" s="270"/>
      <c r="K287" s="302"/>
      <c r="L287" s="270"/>
      <c r="M287" s="270"/>
      <c r="N287" s="270"/>
      <c r="O287" s="270"/>
      <c r="P287" s="270"/>
      <c r="Q287" s="270"/>
      <c r="R287" s="270"/>
    </row>
    <row r="288" spans="1:18" s="267" customFormat="1">
      <c r="A288" s="270"/>
      <c r="B288" s="270"/>
      <c r="C288" s="270"/>
      <c r="D288" s="270"/>
      <c r="E288" s="270"/>
      <c r="F288" s="270"/>
      <c r="G288" s="270"/>
      <c r="H288" s="270"/>
      <c r="I288" s="270"/>
      <c r="J288" s="270"/>
      <c r="K288" s="302"/>
      <c r="L288" s="270"/>
      <c r="M288" s="270"/>
      <c r="N288" s="270"/>
      <c r="O288" s="270"/>
      <c r="P288" s="270"/>
      <c r="Q288" s="270"/>
      <c r="R288" s="270"/>
    </row>
    <row r="289" spans="1:18" s="267" customFormat="1">
      <c r="A289" s="270"/>
      <c r="B289" s="270"/>
      <c r="C289" s="270"/>
      <c r="D289" s="270"/>
      <c r="E289" s="270"/>
      <c r="F289" s="270"/>
      <c r="G289" s="270"/>
      <c r="H289" s="270"/>
      <c r="I289" s="270"/>
      <c r="J289" s="270"/>
      <c r="K289" s="302"/>
      <c r="L289" s="270"/>
      <c r="M289" s="270"/>
      <c r="N289" s="270"/>
      <c r="O289" s="270"/>
      <c r="P289" s="270"/>
      <c r="Q289" s="270"/>
      <c r="R289" s="270"/>
    </row>
    <row r="290" spans="1:18" s="267" customFormat="1">
      <c r="A290" s="270"/>
      <c r="B290" s="270"/>
      <c r="C290" s="270"/>
      <c r="D290" s="270"/>
      <c r="E290" s="270"/>
      <c r="F290" s="270"/>
      <c r="G290" s="270"/>
      <c r="H290" s="270"/>
      <c r="I290" s="270"/>
      <c r="J290" s="270"/>
      <c r="K290" s="302"/>
      <c r="L290" s="270"/>
      <c r="M290" s="270"/>
      <c r="N290" s="270"/>
      <c r="O290" s="270"/>
      <c r="P290" s="270"/>
      <c r="Q290" s="270"/>
      <c r="R290" s="270"/>
    </row>
    <row r="291" spans="1:18" s="267" customFormat="1">
      <c r="A291" s="270"/>
      <c r="B291" s="270"/>
      <c r="C291" s="270"/>
      <c r="D291" s="270"/>
      <c r="E291" s="270"/>
      <c r="F291" s="270"/>
      <c r="G291" s="270"/>
      <c r="H291" s="270"/>
      <c r="I291" s="270"/>
      <c r="J291" s="270"/>
      <c r="K291" s="302"/>
      <c r="L291" s="270"/>
      <c r="M291" s="270"/>
      <c r="N291" s="270"/>
      <c r="O291" s="270"/>
      <c r="P291" s="270"/>
      <c r="Q291" s="270"/>
      <c r="R291" s="270"/>
    </row>
    <row r="292" spans="1:18" s="267" customFormat="1">
      <c r="A292" s="270"/>
      <c r="B292" s="270"/>
      <c r="C292" s="270"/>
      <c r="D292" s="270"/>
      <c r="E292" s="270"/>
      <c r="F292" s="270"/>
      <c r="G292" s="270"/>
      <c r="H292" s="270"/>
      <c r="I292" s="270"/>
      <c r="J292" s="270"/>
      <c r="K292" s="302"/>
      <c r="L292" s="270"/>
      <c r="M292" s="270"/>
      <c r="N292" s="270"/>
      <c r="O292" s="270"/>
      <c r="P292" s="270"/>
      <c r="Q292" s="270"/>
      <c r="R292" s="270"/>
    </row>
    <row r="293" spans="1:18" s="267" customFormat="1">
      <c r="A293" s="270"/>
      <c r="B293" s="270"/>
      <c r="C293" s="270"/>
      <c r="D293" s="270"/>
      <c r="E293" s="270"/>
      <c r="F293" s="270"/>
      <c r="G293" s="270"/>
      <c r="H293" s="270"/>
      <c r="I293" s="270"/>
      <c r="J293" s="270"/>
      <c r="K293" s="302"/>
      <c r="L293" s="270"/>
      <c r="M293" s="270"/>
      <c r="N293" s="270"/>
      <c r="O293" s="270"/>
      <c r="P293" s="270"/>
      <c r="Q293" s="270"/>
      <c r="R293" s="270"/>
    </row>
    <row r="294" spans="1:18" s="267" customFormat="1">
      <c r="A294" s="270"/>
      <c r="B294" s="270"/>
      <c r="C294" s="270"/>
      <c r="D294" s="270"/>
      <c r="E294" s="270"/>
      <c r="F294" s="270"/>
      <c r="G294" s="270"/>
      <c r="H294" s="270"/>
      <c r="I294" s="270"/>
      <c r="J294" s="270"/>
      <c r="K294" s="302"/>
      <c r="L294" s="270"/>
      <c r="M294" s="270"/>
      <c r="N294" s="270"/>
      <c r="O294" s="270"/>
      <c r="P294" s="270"/>
      <c r="Q294" s="270"/>
      <c r="R294" s="270"/>
    </row>
    <row r="295" spans="1:18" s="267" customFormat="1">
      <c r="A295" s="270"/>
      <c r="B295" s="270"/>
      <c r="C295" s="270"/>
      <c r="D295" s="270"/>
      <c r="E295" s="270"/>
      <c r="F295" s="270"/>
      <c r="G295" s="270"/>
      <c r="H295" s="270"/>
      <c r="I295" s="270"/>
      <c r="J295" s="270"/>
      <c r="K295" s="302"/>
      <c r="L295" s="270"/>
      <c r="M295" s="270"/>
      <c r="N295" s="270"/>
      <c r="O295" s="270"/>
      <c r="P295" s="270"/>
      <c r="Q295" s="270"/>
      <c r="R295" s="270"/>
    </row>
    <row r="296" spans="1:18" s="267" customFormat="1">
      <c r="A296" s="270"/>
      <c r="B296" s="270"/>
      <c r="C296" s="270"/>
      <c r="D296" s="270"/>
      <c r="E296" s="270"/>
      <c r="F296" s="270"/>
      <c r="G296" s="270"/>
      <c r="H296" s="270"/>
      <c r="I296" s="270"/>
      <c r="J296" s="270"/>
      <c r="K296" s="302"/>
      <c r="L296" s="270"/>
      <c r="M296" s="270"/>
      <c r="N296" s="270"/>
      <c r="O296" s="270"/>
      <c r="P296" s="270"/>
      <c r="Q296" s="270"/>
      <c r="R296" s="270"/>
    </row>
    <row r="297" spans="1:18" s="267" customFormat="1">
      <c r="A297" s="270"/>
      <c r="B297" s="270"/>
      <c r="C297" s="270"/>
      <c r="D297" s="270"/>
      <c r="E297" s="270"/>
      <c r="F297" s="270"/>
      <c r="G297" s="270"/>
      <c r="H297" s="270"/>
      <c r="I297" s="270"/>
      <c r="J297" s="270"/>
      <c r="K297" s="302"/>
      <c r="L297" s="270"/>
      <c r="M297" s="270"/>
      <c r="N297" s="270"/>
      <c r="O297" s="270"/>
      <c r="P297" s="270"/>
      <c r="Q297" s="270"/>
      <c r="R297" s="270"/>
    </row>
    <row r="298" spans="1:18" s="267" customFormat="1">
      <c r="A298" s="270"/>
      <c r="B298" s="270"/>
      <c r="C298" s="270"/>
      <c r="D298" s="270"/>
      <c r="E298" s="270"/>
      <c r="F298" s="270"/>
      <c r="G298" s="270"/>
      <c r="H298" s="270"/>
      <c r="I298" s="270"/>
      <c r="J298" s="270"/>
      <c r="K298" s="302"/>
      <c r="L298" s="270"/>
      <c r="M298" s="270"/>
      <c r="N298" s="270"/>
      <c r="O298" s="270"/>
      <c r="P298" s="270"/>
      <c r="Q298" s="270"/>
      <c r="R298" s="270"/>
    </row>
    <row r="299" spans="1:18" s="267" customFormat="1">
      <c r="A299" s="270"/>
      <c r="B299" s="270"/>
      <c r="C299" s="270"/>
      <c r="D299" s="270"/>
      <c r="E299" s="270"/>
      <c r="F299" s="270"/>
      <c r="G299" s="270"/>
      <c r="H299" s="270"/>
      <c r="I299" s="270"/>
      <c r="J299" s="270"/>
      <c r="K299" s="302"/>
      <c r="L299" s="270"/>
      <c r="M299" s="270"/>
      <c r="N299" s="270"/>
      <c r="O299" s="270"/>
      <c r="P299" s="270"/>
      <c r="Q299" s="270"/>
      <c r="R299" s="270"/>
    </row>
    <row r="300" spans="1:18" s="267" customFormat="1">
      <c r="A300" s="270"/>
      <c r="B300" s="270"/>
      <c r="C300" s="270"/>
      <c r="D300" s="270"/>
      <c r="E300" s="270"/>
      <c r="F300" s="270"/>
      <c r="G300" s="270"/>
      <c r="H300" s="270"/>
      <c r="I300" s="270"/>
      <c r="J300" s="270"/>
      <c r="K300" s="302"/>
      <c r="L300" s="270"/>
      <c r="M300" s="270"/>
      <c r="N300" s="270"/>
      <c r="O300" s="270"/>
      <c r="P300" s="270"/>
      <c r="Q300" s="270"/>
      <c r="R300" s="270"/>
    </row>
    <row r="301" spans="1:18" s="267" customFormat="1">
      <c r="A301" s="270"/>
      <c r="B301" s="270"/>
      <c r="C301" s="270"/>
      <c r="D301" s="270"/>
      <c r="E301" s="270"/>
      <c r="F301" s="270"/>
      <c r="G301" s="270"/>
      <c r="H301" s="270"/>
      <c r="I301" s="270"/>
      <c r="J301" s="270"/>
      <c r="K301" s="302"/>
      <c r="L301" s="270"/>
      <c r="M301" s="270"/>
      <c r="N301" s="270"/>
      <c r="O301" s="270"/>
      <c r="P301" s="270"/>
      <c r="Q301" s="270"/>
      <c r="R301" s="270"/>
    </row>
    <row r="302" spans="1:18" s="267" customFormat="1">
      <c r="A302" s="270"/>
      <c r="B302" s="270"/>
      <c r="C302" s="270"/>
      <c r="D302" s="270"/>
      <c r="E302" s="270"/>
      <c r="F302" s="270"/>
      <c r="G302" s="270"/>
      <c r="H302" s="270"/>
      <c r="I302" s="270"/>
      <c r="J302" s="270"/>
      <c r="K302" s="302"/>
      <c r="L302" s="270"/>
      <c r="M302" s="270"/>
      <c r="N302" s="270"/>
      <c r="O302" s="270"/>
      <c r="P302" s="270"/>
      <c r="Q302" s="270"/>
      <c r="R302" s="270"/>
    </row>
    <row r="303" spans="1:18" s="267" customFormat="1">
      <c r="A303" s="270"/>
      <c r="B303" s="270"/>
      <c r="C303" s="270"/>
      <c r="D303" s="270"/>
      <c r="E303" s="270"/>
      <c r="F303" s="270"/>
      <c r="G303" s="270"/>
      <c r="H303" s="270"/>
      <c r="I303" s="270"/>
      <c r="J303" s="270"/>
      <c r="K303" s="302"/>
      <c r="L303" s="270"/>
      <c r="M303" s="270"/>
      <c r="N303" s="270"/>
      <c r="O303" s="270"/>
      <c r="P303" s="270"/>
      <c r="Q303" s="270"/>
      <c r="R303" s="270"/>
    </row>
    <row r="304" spans="1:18" s="267" customFormat="1">
      <c r="A304" s="270"/>
      <c r="B304" s="270"/>
      <c r="C304" s="270"/>
      <c r="D304" s="270"/>
      <c r="E304" s="270"/>
      <c r="F304" s="270"/>
      <c r="G304" s="270"/>
      <c r="H304" s="270"/>
      <c r="I304" s="270"/>
      <c r="J304" s="270"/>
      <c r="K304" s="302"/>
      <c r="L304" s="270"/>
      <c r="M304" s="270"/>
      <c r="N304" s="270"/>
      <c r="O304" s="270"/>
      <c r="P304" s="270"/>
      <c r="Q304" s="270"/>
      <c r="R304" s="270"/>
    </row>
    <row r="305" spans="1:18" s="267" customFormat="1">
      <c r="A305" s="270"/>
      <c r="B305" s="270"/>
      <c r="C305" s="270"/>
      <c r="D305" s="270"/>
      <c r="E305" s="270"/>
      <c r="F305" s="270"/>
      <c r="G305" s="270"/>
      <c r="H305" s="270"/>
      <c r="I305" s="270"/>
      <c r="J305" s="270"/>
      <c r="K305" s="302"/>
      <c r="L305" s="270"/>
      <c r="M305" s="270"/>
      <c r="N305" s="270"/>
      <c r="O305" s="270"/>
      <c r="P305" s="270"/>
      <c r="Q305" s="270"/>
      <c r="R305" s="270"/>
    </row>
    <row r="306" spans="1:18" s="267" customFormat="1">
      <c r="A306" s="270"/>
      <c r="B306" s="270"/>
      <c r="C306" s="270"/>
      <c r="D306" s="270"/>
      <c r="E306" s="270"/>
      <c r="F306" s="270"/>
      <c r="G306" s="270"/>
      <c r="H306" s="270"/>
      <c r="I306" s="270"/>
      <c r="J306" s="270"/>
      <c r="K306" s="302"/>
      <c r="L306" s="270"/>
      <c r="M306" s="270"/>
      <c r="N306" s="270"/>
      <c r="O306" s="270"/>
      <c r="P306" s="270"/>
      <c r="Q306" s="270"/>
      <c r="R306" s="270"/>
    </row>
    <row r="307" spans="1:18" s="267" customFormat="1">
      <c r="A307" s="270"/>
      <c r="B307" s="270"/>
      <c r="C307" s="270"/>
      <c r="D307" s="270"/>
      <c r="E307" s="270"/>
      <c r="F307" s="270"/>
      <c r="G307" s="270"/>
      <c r="H307" s="270"/>
      <c r="I307" s="270"/>
      <c r="J307" s="270"/>
      <c r="K307" s="302"/>
      <c r="L307" s="270"/>
      <c r="M307" s="270"/>
      <c r="N307" s="270"/>
      <c r="O307" s="270"/>
      <c r="P307" s="270"/>
      <c r="Q307" s="270"/>
      <c r="R307" s="270"/>
    </row>
    <row r="308" spans="1:18" s="267" customFormat="1">
      <c r="A308" s="270"/>
      <c r="B308" s="270"/>
      <c r="C308" s="270"/>
      <c r="D308" s="270"/>
      <c r="E308" s="270"/>
      <c r="F308" s="270"/>
      <c r="G308" s="270"/>
      <c r="H308" s="270"/>
      <c r="I308" s="270"/>
      <c r="J308" s="270"/>
      <c r="K308" s="302"/>
      <c r="L308" s="270"/>
      <c r="M308" s="270"/>
      <c r="N308" s="270"/>
      <c r="O308" s="270"/>
      <c r="P308" s="270"/>
      <c r="Q308" s="270"/>
      <c r="R308" s="270"/>
    </row>
    <row r="309" spans="1:18" s="267" customFormat="1">
      <c r="A309" s="270"/>
      <c r="B309" s="270"/>
      <c r="C309" s="270"/>
      <c r="D309" s="270"/>
      <c r="E309" s="270"/>
      <c r="F309" s="270"/>
      <c r="G309" s="270"/>
      <c r="H309" s="270"/>
      <c r="I309" s="270"/>
      <c r="J309" s="270"/>
      <c r="K309" s="302"/>
      <c r="L309" s="270"/>
      <c r="M309" s="270"/>
      <c r="N309" s="270"/>
      <c r="O309" s="270"/>
      <c r="P309" s="270"/>
      <c r="Q309" s="270"/>
      <c r="R309" s="270"/>
    </row>
    <row r="310" spans="1:18" s="267" customFormat="1">
      <c r="A310" s="270"/>
      <c r="B310" s="270"/>
      <c r="C310" s="270"/>
      <c r="D310" s="270"/>
      <c r="E310" s="270"/>
      <c r="F310" s="270"/>
      <c r="G310" s="270"/>
      <c r="H310" s="270"/>
      <c r="I310" s="270"/>
      <c r="J310" s="270"/>
      <c r="K310" s="302"/>
      <c r="L310" s="270"/>
      <c r="M310" s="270"/>
      <c r="N310" s="270"/>
      <c r="O310" s="270"/>
      <c r="P310" s="270"/>
      <c r="Q310" s="270"/>
      <c r="R310" s="270"/>
    </row>
    <row r="311" spans="1:18" s="267" customFormat="1">
      <c r="A311" s="270"/>
      <c r="B311" s="270"/>
      <c r="C311" s="270"/>
      <c r="D311" s="270"/>
      <c r="E311" s="270"/>
      <c r="F311" s="270"/>
      <c r="G311" s="270"/>
      <c r="H311" s="270"/>
      <c r="I311" s="270"/>
      <c r="J311" s="270"/>
      <c r="K311" s="302"/>
      <c r="L311" s="270"/>
      <c r="M311" s="270"/>
      <c r="N311" s="270"/>
      <c r="O311" s="270"/>
      <c r="P311" s="270"/>
      <c r="Q311" s="270"/>
      <c r="R311" s="270"/>
    </row>
    <row r="312" spans="1:18" s="267" customFormat="1">
      <c r="A312" s="270"/>
      <c r="B312" s="270"/>
      <c r="C312" s="270"/>
      <c r="D312" s="270"/>
      <c r="E312" s="270"/>
      <c r="F312" s="270"/>
      <c r="G312" s="270"/>
      <c r="H312" s="270"/>
      <c r="I312" s="270"/>
      <c r="J312" s="270"/>
      <c r="K312" s="302"/>
      <c r="L312" s="270"/>
      <c r="M312" s="270"/>
      <c r="N312" s="270"/>
      <c r="O312" s="270"/>
      <c r="P312" s="270"/>
      <c r="Q312" s="270"/>
      <c r="R312" s="270"/>
    </row>
    <row r="313" spans="1:18" s="267" customFormat="1">
      <c r="A313" s="270"/>
      <c r="B313" s="270"/>
      <c r="C313" s="270"/>
      <c r="D313" s="270"/>
      <c r="E313" s="270"/>
      <c r="F313" s="270"/>
      <c r="G313" s="270"/>
      <c r="H313" s="270"/>
      <c r="I313" s="270"/>
      <c r="J313" s="270"/>
      <c r="K313" s="302"/>
      <c r="L313" s="270"/>
      <c r="M313" s="270"/>
      <c r="N313" s="270"/>
      <c r="O313" s="270"/>
      <c r="P313" s="270"/>
      <c r="Q313" s="270"/>
      <c r="R313" s="270"/>
    </row>
    <row r="314" spans="1:18" s="267" customFormat="1">
      <c r="A314" s="270"/>
      <c r="B314" s="270"/>
      <c r="C314" s="270"/>
      <c r="D314" s="270"/>
      <c r="E314" s="270"/>
      <c r="F314" s="270"/>
      <c r="G314" s="270"/>
      <c r="H314" s="270"/>
      <c r="I314" s="270"/>
      <c r="J314" s="270"/>
      <c r="K314" s="302"/>
      <c r="L314" s="270"/>
      <c r="M314" s="270"/>
      <c r="N314" s="270"/>
      <c r="O314" s="270"/>
      <c r="P314" s="270"/>
      <c r="Q314" s="270"/>
      <c r="R314" s="270"/>
    </row>
    <row r="315" spans="1:18" s="267" customFormat="1">
      <c r="A315" s="270"/>
      <c r="B315" s="270"/>
      <c r="C315" s="270"/>
      <c r="D315" s="270"/>
      <c r="E315" s="270"/>
      <c r="F315" s="270"/>
      <c r="G315" s="270"/>
      <c r="H315" s="270"/>
      <c r="I315" s="270"/>
      <c r="J315" s="270"/>
      <c r="K315" s="302"/>
      <c r="L315" s="270"/>
      <c r="M315" s="270"/>
      <c r="N315" s="270"/>
      <c r="O315" s="270"/>
      <c r="P315" s="270"/>
      <c r="Q315" s="270"/>
      <c r="R315" s="270"/>
    </row>
    <row r="316" spans="1:18" s="267" customFormat="1">
      <c r="A316" s="270"/>
      <c r="B316" s="270"/>
      <c r="C316" s="270"/>
      <c r="D316" s="270"/>
      <c r="E316" s="270"/>
      <c r="F316" s="270"/>
      <c r="G316" s="270"/>
      <c r="H316" s="270"/>
      <c r="I316" s="270"/>
      <c r="J316" s="270"/>
      <c r="K316" s="302"/>
      <c r="L316" s="270"/>
      <c r="M316" s="270"/>
      <c r="N316" s="270"/>
      <c r="O316" s="270"/>
      <c r="P316" s="270"/>
      <c r="Q316" s="270"/>
      <c r="R316" s="270"/>
    </row>
    <row r="317" spans="1:18" s="267" customFormat="1">
      <c r="A317" s="270"/>
      <c r="B317" s="270"/>
      <c r="C317" s="270"/>
      <c r="D317" s="270"/>
      <c r="E317" s="270"/>
      <c r="F317" s="270"/>
      <c r="G317" s="270"/>
      <c r="H317" s="270"/>
      <c r="I317" s="270"/>
      <c r="J317" s="270"/>
      <c r="K317" s="302"/>
      <c r="L317" s="270"/>
      <c r="M317" s="270"/>
      <c r="N317" s="270"/>
      <c r="O317" s="270"/>
      <c r="P317" s="270"/>
      <c r="Q317" s="270"/>
      <c r="R317" s="270"/>
    </row>
    <row r="318" spans="1:18" s="267" customFormat="1">
      <c r="A318" s="270"/>
      <c r="B318" s="270"/>
      <c r="C318" s="270"/>
      <c r="D318" s="270"/>
      <c r="E318" s="270"/>
      <c r="F318" s="270"/>
      <c r="G318" s="270"/>
      <c r="H318" s="270"/>
      <c r="I318" s="270"/>
      <c r="J318" s="270"/>
      <c r="K318" s="302"/>
      <c r="L318" s="270"/>
      <c r="M318" s="270"/>
      <c r="N318" s="270"/>
      <c r="O318" s="270"/>
      <c r="P318" s="270"/>
      <c r="Q318" s="270"/>
      <c r="R318" s="270"/>
    </row>
    <row r="319" spans="1:18" s="267" customFormat="1">
      <c r="A319" s="270"/>
      <c r="B319" s="270"/>
      <c r="C319" s="270"/>
      <c r="D319" s="270"/>
      <c r="E319" s="270"/>
      <c r="F319" s="270"/>
      <c r="G319" s="270"/>
      <c r="H319" s="270"/>
      <c r="I319" s="270"/>
      <c r="J319" s="270"/>
      <c r="K319" s="302"/>
      <c r="L319" s="270"/>
      <c r="M319" s="270"/>
      <c r="N319" s="270"/>
      <c r="O319" s="270"/>
      <c r="P319" s="270"/>
      <c r="Q319" s="270"/>
      <c r="R319" s="270"/>
    </row>
    <row r="320" spans="1:18" s="267" customFormat="1">
      <c r="A320" s="270"/>
      <c r="B320" s="270"/>
      <c r="C320" s="270"/>
      <c r="D320" s="270"/>
      <c r="E320" s="270"/>
      <c r="F320" s="270"/>
      <c r="G320" s="270"/>
      <c r="H320" s="270"/>
      <c r="I320" s="270"/>
      <c r="J320" s="270"/>
      <c r="K320" s="302"/>
      <c r="L320" s="270"/>
      <c r="M320" s="270"/>
      <c r="N320" s="270"/>
      <c r="O320" s="270"/>
      <c r="P320" s="270"/>
      <c r="Q320" s="270"/>
      <c r="R320" s="270"/>
    </row>
    <row r="321" spans="1:18" s="267" customFormat="1">
      <c r="A321" s="270"/>
      <c r="B321" s="270"/>
      <c r="C321" s="270"/>
      <c r="D321" s="270"/>
      <c r="E321" s="270"/>
      <c r="F321" s="270"/>
      <c r="G321" s="270"/>
      <c r="H321" s="270"/>
      <c r="I321" s="270"/>
      <c r="J321" s="270"/>
      <c r="K321" s="302"/>
      <c r="L321" s="270"/>
      <c r="M321" s="270"/>
      <c r="N321" s="270"/>
      <c r="O321" s="270"/>
      <c r="P321" s="270"/>
      <c r="Q321" s="270"/>
      <c r="R321" s="270"/>
    </row>
    <row r="322" spans="1:18" s="267" customFormat="1">
      <c r="A322" s="270"/>
      <c r="B322" s="270"/>
      <c r="C322" s="270"/>
      <c r="D322" s="270"/>
      <c r="E322" s="270"/>
      <c r="F322" s="270"/>
      <c r="G322" s="270"/>
      <c r="H322" s="270"/>
      <c r="I322" s="270"/>
      <c r="J322" s="270"/>
      <c r="K322" s="302"/>
      <c r="L322" s="270"/>
      <c r="M322" s="270"/>
      <c r="N322" s="270"/>
      <c r="O322" s="270"/>
      <c r="P322" s="270"/>
      <c r="Q322" s="270"/>
      <c r="R322" s="270"/>
    </row>
    <row r="323" spans="1:18" s="267" customFormat="1">
      <c r="A323" s="270"/>
      <c r="B323" s="270"/>
      <c r="C323" s="270"/>
      <c r="D323" s="270"/>
      <c r="E323" s="270"/>
      <c r="F323" s="270"/>
      <c r="G323" s="270"/>
      <c r="H323" s="270"/>
      <c r="I323" s="270"/>
      <c r="J323" s="270"/>
      <c r="K323" s="302"/>
      <c r="L323" s="270"/>
      <c r="M323" s="270"/>
      <c r="N323" s="270"/>
      <c r="O323" s="270"/>
      <c r="P323" s="270"/>
      <c r="Q323" s="270"/>
      <c r="R323" s="270"/>
    </row>
    <row r="324" spans="1:18" s="267" customFormat="1">
      <c r="A324" s="270"/>
      <c r="B324" s="270"/>
      <c r="C324" s="270"/>
      <c r="D324" s="270"/>
      <c r="E324" s="270"/>
      <c r="F324" s="270"/>
      <c r="G324" s="270"/>
      <c r="H324" s="270"/>
      <c r="I324" s="270"/>
      <c r="J324" s="270"/>
      <c r="K324" s="302"/>
      <c r="L324" s="270"/>
      <c r="M324" s="270"/>
      <c r="N324" s="270"/>
      <c r="O324" s="270"/>
      <c r="P324" s="270"/>
      <c r="Q324" s="270"/>
      <c r="R324" s="270"/>
    </row>
    <row r="325" spans="1:18" s="267" customFormat="1">
      <c r="A325" s="270"/>
      <c r="B325" s="270"/>
      <c r="C325" s="270"/>
      <c r="D325" s="270"/>
      <c r="E325" s="270"/>
      <c r="F325" s="270"/>
      <c r="G325" s="270"/>
      <c r="H325" s="270"/>
      <c r="I325" s="270"/>
      <c r="J325" s="270"/>
      <c r="K325" s="302"/>
      <c r="L325" s="270"/>
      <c r="M325" s="270"/>
      <c r="N325" s="270"/>
      <c r="O325" s="270"/>
      <c r="P325" s="270"/>
      <c r="Q325" s="270"/>
      <c r="R325" s="270"/>
    </row>
    <row r="326" spans="1:18" s="267" customFormat="1">
      <c r="A326" s="270"/>
      <c r="B326" s="270"/>
      <c r="C326" s="270"/>
      <c r="D326" s="270"/>
      <c r="E326" s="270"/>
      <c r="F326" s="270"/>
      <c r="G326" s="270"/>
      <c r="H326" s="270"/>
      <c r="I326" s="270"/>
      <c r="J326" s="270"/>
      <c r="K326" s="302"/>
      <c r="L326" s="270"/>
      <c r="M326" s="270"/>
      <c r="N326" s="270"/>
      <c r="O326" s="270"/>
      <c r="P326" s="270"/>
      <c r="Q326" s="270"/>
      <c r="R326" s="270"/>
    </row>
    <row r="327" spans="1:18" s="267" customFormat="1">
      <c r="A327" s="270"/>
      <c r="B327" s="270"/>
      <c r="C327" s="270"/>
      <c r="D327" s="270"/>
      <c r="E327" s="270"/>
      <c r="F327" s="270"/>
      <c r="G327" s="270"/>
      <c r="H327" s="270"/>
      <c r="I327" s="270"/>
      <c r="J327" s="270"/>
      <c r="K327" s="302"/>
      <c r="L327" s="270"/>
      <c r="M327" s="270"/>
      <c r="N327" s="270"/>
      <c r="O327" s="270"/>
      <c r="P327" s="270"/>
      <c r="Q327" s="270"/>
      <c r="R327" s="270"/>
    </row>
    <row r="328" spans="1:18" s="267" customFormat="1">
      <c r="A328" s="270"/>
      <c r="B328" s="270"/>
      <c r="C328" s="270"/>
      <c r="D328" s="270"/>
      <c r="E328" s="270"/>
      <c r="F328" s="270"/>
      <c r="G328" s="270"/>
      <c r="H328" s="270"/>
      <c r="I328" s="270"/>
      <c r="J328" s="270"/>
      <c r="K328" s="302"/>
      <c r="L328" s="270"/>
      <c r="M328" s="270"/>
      <c r="N328" s="270"/>
      <c r="O328" s="270"/>
      <c r="P328" s="270"/>
      <c r="Q328" s="270"/>
      <c r="R328" s="270"/>
    </row>
    <row r="329" spans="1:18" s="267" customFormat="1">
      <c r="A329" s="270"/>
      <c r="B329" s="270"/>
      <c r="C329" s="270"/>
      <c r="D329" s="270"/>
      <c r="E329" s="270"/>
      <c r="F329" s="270"/>
      <c r="G329" s="270"/>
      <c r="H329" s="270"/>
      <c r="I329" s="270"/>
      <c r="J329" s="270"/>
      <c r="K329" s="302"/>
      <c r="L329" s="270"/>
      <c r="M329" s="270"/>
      <c r="N329" s="270"/>
      <c r="O329" s="270"/>
      <c r="P329" s="270"/>
      <c r="Q329" s="270"/>
      <c r="R329" s="270"/>
    </row>
    <row r="330" spans="1:18" s="267" customFormat="1">
      <c r="A330" s="270"/>
      <c r="B330" s="270"/>
      <c r="C330" s="270"/>
      <c r="D330" s="270"/>
      <c r="E330" s="270"/>
      <c r="F330" s="270"/>
      <c r="G330" s="270"/>
      <c r="H330" s="270"/>
      <c r="I330" s="270"/>
      <c r="J330" s="270"/>
      <c r="K330" s="302"/>
      <c r="L330" s="270"/>
      <c r="M330" s="270"/>
      <c r="N330" s="270"/>
      <c r="O330" s="270"/>
      <c r="P330" s="270"/>
      <c r="Q330" s="270"/>
      <c r="R330" s="270"/>
    </row>
    <row r="331" spans="1:18" s="267" customFormat="1">
      <c r="A331" s="270"/>
      <c r="B331" s="270"/>
      <c r="C331" s="270"/>
      <c r="D331" s="270"/>
      <c r="E331" s="270"/>
      <c r="F331" s="270"/>
      <c r="G331" s="270"/>
      <c r="H331" s="270"/>
      <c r="I331" s="270"/>
      <c r="J331" s="270"/>
      <c r="K331" s="302"/>
      <c r="L331" s="270"/>
      <c r="M331" s="270"/>
      <c r="N331" s="270"/>
      <c r="O331" s="270"/>
      <c r="P331" s="270"/>
      <c r="Q331" s="270"/>
      <c r="R331" s="270"/>
    </row>
    <row r="332" spans="1:18" s="267" customFormat="1">
      <c r="A332" s="270"/>
      <c r="B332" s="270"/>
      <c r="C332" s="270"/>
      <c r="D332" s="270"/>
      <c r="E332" s="270"/>
      <c r="F332" s="270"/>
      <c r="G332" s="270"/>
      <c r="H332" s="270"/>
      <c r="I332" s="270"/>
      <c r="J332" s="270"/>
      <c r="K332" s="302"/>
      <c r="L332" s="270"/>
      <c r="M332" s="270"/>
      <c r="N332" s="270"/>
      <c r="O332" s="270"/>
      <c r="P332" s="270"/>
      <c r="Q332" s="270"/>
      <c r="R332" s="270"/>
    </row>
    <row r="333" spans="1:18" s="267" customFormat="1">
      <c r="A333" s="270"/>
      <c r="B333" s="270"/>
      <c r="C333" s="270"/>
      <c r="D333" s="270"/>
      <c r="E333" s="270"/>
      <c r="F333" s="270"/>
      <c r="G333" s="270"/>
      <c r="H333" s="270"/>
      <c r="I333" s="270"/>
      <c r="J333" s="270"/>
      <c r="K333" s="302"/>
      <c r="L333" s="270"/>
      <c r="M333" s="270"/>
      <c r="N333" s="270"/>
      <c r="O333" s="270"/>
      <c r="P333" s="270"/>
      <c r="Q333" s="270"/>
      <c r="R333" s="270"/>
    </row>
    <row r="334" spans="1:18" s="267" customFormat="1">
      <c r="A334" s="270"/>
      <c r="B334" s="270"/>
      <c r="C334" s="270"/>
      <c r="D334" s="270"/>
      <c r="E334" s="270"/>
      <c r="F334" s="270"/>
      <c r="G334" s="270"/>
      <c r="H334" s="270"/>
      <c r="I334" s="270"/>
      <c r="J334" s="270"/>
      <c r="K334" s="302"/>
      <c r="L334" s="270"/>
      <c r="M334" s="270"/>
      <c r="N334" s="270"/>
      <c r="O334" s="270"/>
      <c r="P334" s="270"/>
      <c r="Q334" s="270"/>
      <c r="R334" s="270"/>
    </row>
    <row r="335" spans="1:18" s="267" customFormat="1">
      <c r="A335" s="270"/>
      <c r="B335" s="270"/>
      <c r="C335" s="270"/>
      <c r="D335" s="270"/>
      <c r="E335" s="270"/>
      <c r="F335" s="270"/>
      <c r="G335" s="270"/>
      <c r="H335" s="270"/>
      <c r="I335" s="270"/>
      <c r="J335" s="270"/>
      <c r="K335" s="302"/>
      <c r="L335" s="270"/>
      <c r="M335" s="270"/>
      <c r="N335" s="270"/>
      <c r="O335" s="270"/>
      <c r="P335" s="270"/>
      <c r="Q335" s="270"/>
      <c r="R335" s="270"/>
    </row>
    <row r="336" spans="1:18" s="267" customFormat="1">
      <c r="A336" s="270"/>
      <c r="B336" s="270"/>
      <c r="C336" s="270"/>
      <c r="D336" s="270"/>
      <c r="E336" s="270"/>
      <c r="F336" s="270"/>
      <c r="G336" s="270"/>
      <c r="H336" s="270"/>
      <c r="I336" s="270"/>
      <c r="J336" s="270"/>
      <c r="K336" s="302"/>
      <c r="L336" s="270"/>
      <c r="M336" s="270"/>
      <c r="N336" s="270"/>
      <c r="O336" s="270"/>
      <c r="P336" s="270"/>
      <c r="Q336" s="270"/>
      <c r="R336" s="270"/>
    </row>
    <row r="337" spans="1:18" s="267" customFormat="1">
      <c r="A337" s="270"/>
      <c r="B337" s="270"/>
      <c r="C337" s="270"/>
      <c r="D337" s="270"/>
      <c r="E337" s="270"/>
      <c r="F337" s="270"/>
      <c r="G337" s="270"/>
      <c r="H337" s="270"/>
      <c r="I337" s="270"/>
      <c r="J337" s="270"/>
      <c r="K337" s="302"/>
      <c r="L337" s="270"/>
      <c r="M337" s="270"/>
      <c r="N337" s="270"/>
      <c r="O337" s="270"/>
      <c r="P337" s="270"/>
      <c r="Q337" s="270"/>
      <c r="R337" s="270"/>
    </row>
    <row r="338" spans="1:18" s="267" customFormat="1">
      <c r="A338" s="270"/>
      <c r="B338" s="270"/>
      <c r="C338" s="270"/>
      <c r="D338" s="270"/>
      <c r="E338" s="270"/>
      <c r="F338" s="270"/>
      <c r="G338" s="270"/>
      <c r="H338" s="270"/>
      <c r="I338" s="270"/>
      <c r="J338" s="270"/>
      <c r="K338" s="302"/>
      <c r="L338" s="270"/>
      <c r="M338" s="270"/>
      <c r="N338" s="270"/>
      <c r="O338" s="270"/>
      <c r="P338" s="270"/>
      <c r="Q338" s="270"/>
      <c r="R338" s="270"/>
    </row>
    <row r="339" spans="1:18" s="267" customFormat="1">
      <c r="A339" s="270"/>
      <c r="B339" s="270"/>
      <c r="C339" s="270"/>
      <c r="D339" s="270"/>
      <c r="E339" s="270"/>
      <c r="F339" s="270"/>
      <c r="G339" s="270"/>
      <c r="H339" s="270"/>
      <c r="I339" s="270"/>
      <c r="J339" s="270"/>
      <c r="K339" s="302"/>
      <c r="L339" s="270"/>
      <c r="M339" s="270"/>
      <c r="N339" s="270"/>
      <c r="O339" s="270"/>
      <c r="P339" s="270"/>
      <c r="Q339" s="270"/>
      <c r="R339" s="270"/>
    </row>
    <row r="340" spans="1:18" s="267" customFormat="1">
      <c r="A340" s="270"/>
      <c r="B340" s="270"/>
      <c r="C340" s="270"/>
      <c r="D340" s="270"/>
      <c r="E340" s="270"/>
      <c r="F340" s="270"/>
      <c r="G340" s="270"/>
      <c r="H340" s="270"/>
      <c r="I340" s="270"/>
      <c r="J340" s="270"/>
      <c r="K340" s="302"/>
      <c r="L340" s="270"/>
      <c r="M340" s="270"/>
      <c r="N340" s="270"/>
      <c r="O340" s="270"/>
      <c r="P340" s="270"/>
      <c r="Q340" s="270"/>
      <c r="R340" s="270"/>
    </row>
    <row r="341" spans="1:18" s="267" customFormat="1">
      <c r="A341" s="270"/>
      <c r="B341" s="270"/>
      <c r="C341" s="270"/>
      <c r="D341" s="270"/>
      <c r="E341" s="270"/>
      <c r="F341" s="270"/>
      <c r="G341" s="270"/>
      <c r="H341" s="270"/>
      <c r="I341" s="270"/>
      <c r="J341" s="270"/>
      <c r="K341" s="302"/>
      <c r="L341" s="270"/>
      <c r="M341" s="270"/>
      <c r="N341" s="270"/>
      <c r="O341" s="270"/>
      <c r="P341" s="270"/>
      <c r="Q341" s="270"/>
      <c r="R341" s="270"/>
    </row>
    <row r="342" spans="1:18" s="267" customFormat="1">
      <c r="A342" s="270"/>
      <c r="B342" s="270"/>
      <c r="C342" s="270"/>
      <c r="D342" s="270"/>
      <c r="E342" s="270"/>
      <c r="F342" s="270"/>
      <c r="G342" s="270"/>
      <c r="H342" s="270"/>
      <c r="I342" s="270"/>
      <c r="J342" s="270"/>
      <c r="K342" s="302"/>
      <c r="L342" s="270"/>
      <c r="M342" s="270"/>
      <c r="N342" s="270"/>
      <c r="O342" s="270"/>
      <c r="P342" s="270"/>
      <c r="Q342" s="270"/>
      <c r="R342" s="270"/>
    </row>
    <row r="343" spans="1:18" s="267" customFormat="1">
      <c r="A343" s="270"/>
      <c r="B343" s="270"/>
      <c r="C343" s="270"/>
      <c r="D343" s="270"/>
      <c r="E343" s="270"/>
      <c r="F343" s="270"/>
      <c r="G343" s="270"/>
      <c r="H343" s="270"/>
      <c r="I343" s="270"/>
      <c r="J343" s="270"/>
      <c r="K343" s="302"/>
      <c r="L343" s="270"/>
      <c r="M343" s="270"/>
      <c r="N343" s="270"/>
      <c r="O343" s="270"/>
      <c r="P343" s="270"/>
      <c r="Q343" s="270"/>
      <c r="R343" s="270"/>
    </row>
    <row r="344" spans="1:18" s="267" customFormat="1">
      <c r="A344" s="270"/>
      <c r="B344" s="270"/>
      <c r="C344" s="270"/>
      <c r="D344" s="270"/>
      <c r="E344" s="270"/>
      <c r="F344" s="270"/>
      <c r="G344" s="270"/>
      <c r="H344" s="270"/>
      <c r="I344" s="270"/>
      <c r="J344" s="270"/>
      <c r="K344" s="302"/>
      <c r="L344" s="270"/>
      <c r="M344" s="270"/>
      <c r="N344" s="270"/>
      <c r="O344" s="270"/>
      <c r="P344" s="270"/>
      <c r="Q344" s="270"/>
      <c r="R344" s="270"/>
    </row>
    <row r="345" spans="1:18" s="267" customFormat="1">
      <c r="A345" s="270"/>
      <c r="B345" s="270"/>
      <c r="C345" s="270"/>
      <c r="D345" s="270"/>
      <c r="E345" s="270"/>
      <c r="F345" s="270"/>
      <c r="G345" s="270"/>
      <c r="H345" s="270"/>
      <c r="I345" s="270"/>
      <c r="J345" s="270"/>
      <c r="K345" s="302"/>
      <c r="L345" s="270"/>
      <c r="M345" s="270"/>
      <c r="N345" s="270"/>
      <c r="O345" s="270"/>
      <c r="P345" s="270"/>
      <c r="Q345" s="270"/>
      <c r="R345" s="270"/>
    </row>
    <row r="346" spans="1:18" s="267" customFormat="1">
      <c r="A346" s="270"/>
      <c r="B346" s="270"/>
      <c r="C346" s="270"/>
      <c r="D346" s="270"/>
      <c r="E346" s="270"/>
      <c r="F346" s="270"/>
      <c r="G346" s="270"/>
      <c r="H346" s="270"/>
      <c r="I346" s="270"/>
      <c r="J346" s="270"/>
      <c r="K346" s="302"/>
      <c r="L346" s="270"/>
      <c r="M346" s="270"/>
      <c r="N346" s="270"/>
      <c r="O346" s="270"/>
      <c r="P346" s="270"/>
      <c r="Q346" s="270"/>
      <c r="R346" s="270"/>
    </row>
    <row r="347" spans="1:18" s="267" customFormat="1">
      <c r="A347" s="270"/>
      <c r="B347" s="270"/>
      <c r="C347" s="270"/>
      <c r="D347" s="270"/>
      <c r="E347" s="270"/>
      <c r="F347" s="270"/>
      <c r="G347" s="270"/>
      <c r="H347" s="270"/>
      <c r="I347" s="270"/>
      <c r="J347" s="270"/>
      <c r="K347" s="302"/>
      <c r="L347" s="270"/>
      <c r="M347" s="270"/>
      <c r="N347" s="270"/>
      <c r="O347" s="270"/>
      <c r="P347" s="270"/>
      <c r="Q347" s="270"/>
      <c r="R347" s="270"/>
    </row>
    <row r="348" spans="1:18" s="267" customFormat="1">
      <c r="A348" s="270"/>
      <c r="B348" s="270"/>
      <c r="C348" s="270"/>
      <c r="D348" s="270"/>
      <c r="E348" s="270"/>
      <c r="F348" s="270"/>
      <c r="G348" s="270"/>
      <c r="H348" s="270"/>
      <c r="I348" s="270"/>
      <c r="J348" s="270"/>
      <c r="K348" s="302"/>
      <c r="L348" s="270"/>
      <c r="M348" s="270"/>
      <c r="N348" s="270"/>
      <c r="O348" s="270"/>
      <c r="P348" s="270"/>
      <c r="Q348" s="270"/>
      <c r="R348" s="270"/>
    </row>
    <row r="349" spans="1:18" s="267" customFormat="1">
      <c r="A349" s="270"/>
      <c r="B349" s="270"/>
      <c r="C349" s="270"/>
      <c r="D349" s="270"/>
      <c r="E349" s="270"/>
      <c r="F349" s="270"/>
      <c r="G349" s="270"/>
      <c r="H349" s="270"/>
      <c r="I349" s="270"/>
      <c r="J349" s="270"/>
      <c r="K349" s="302"/>
      <c r="L349" s="270"/>
      <c r="M349" s="270"/>
      <c r="N349" s="270"/>
      <c r="O349" s="270"/>
      <c r="P349" s="270"/>
      <c r="Q349" s="270"/>
      <c r="R349" s="270"/>
    </row>
    <row r="350" spans="1:18" s="267" customFormat="1">
      <c r="A350" s="270"/>
      <c r="B350" s="270"/>
      <c r="C350" s="270"/>
      <c r="D350" s="270"/>
      <c r="E350" s="270"/>
      <c r="F350" s="270"/>
      <c r="G350" s="270"/>
      <c r="H350" s="270"/>
      <c r="I350" s="270"/>
      <c r="J350" s="270"/>
      <c r="K350" s="302"/>
      <c r="L350" s="270"/>
      <c r="M350" s="270"/>
      <c r="N350" s="270"/>
      <c r="O350" s="270"/>
      <c r="P350" s="270"/>
      <c r="Q350" s="270"/>
      <c r="R350" s="270"/>
    </row>
    <row r="351" spans="1:18" s="267" customFormat="1">
      <c r="A351" s="270"/>
      <c r="B351" s="270"/>
      <c r="C351" s="270"/>
      <c r="D351" s="270"/>
      <c r="E351" s="270"/>
      <c r="F351" s="270"/>
      <c r="G351" s="270"/>
      <c r="H351" s="270"/>
      <c r="I351" s="270"/>
      <c r="J351" s="270"/>
      <c r="K351" s="302"/>
      <c r="L351" s="270"/>
      <c r="M351" s="270"/>
      <c r="N351" s="270"/>
      <c r="O351" s="270"/>
      <c r="P351" s="270"/>
      <c r="Q351" s="270"/>
      <c r="R351" s="270"/>
    </row>
    <row r="352" spans="1:18" s="267" customFormat="1">
      <c r="A352" s="270"/>
      <c r="B352" s="270"/>
      <c r="C352" s="270"/>
      <c r="D352" s="270"/>
      <c r="E352" s="270"/>
      <c r="F352" s="270"/>
      <c r="G352" s="270"/>
      <c r="H352" s="270"/>
      <c r="I352" s="270"/>
      <c r="J352" s="270"/>
      <c r="K352" s="302"/>
      <c r="L352" s="270"/>
      <c r="M352" s="270"/>
      <c r="N352" s="270"/>
      <c r="O352" s="270"/>
      <c r="P352" s="270"/>
      <c r="Q352" s="270"/>
      <c r="R352" s="270"/>
    </row>
    <row r="353" spans="1:18" s="267" customFormat="1">
      <c r="A353" s="270"/>
      <c r="B353" s="270"/>
      <c r="C353" s="270"/>
      <c r="D353" s="270"/>
      <c r="E353" s="270"/>
      <c r="F353" s="270"/>
      <c r="G353" s="270"/>
      <c r="H353" s="270"/>
      <c r="I353" s="270"/>
      <c r="J353" s="270"/>
      <c r="K353" s="302"/>
      <c r="L353" s="270"/>
      <c r="M353" s="270"/>
      <c r="N353" s="270"/>
      <c r="O353" s="270"/>
      <c r="P353" s="270"/>
      <c r="Q353" s="270"/>
      <c r="R353" s="270"/>
    </row>
    <row r="354" spans="1:18" s="267" customFormat="1">
      <c r="A354" s="270"/>
      <c r="B354" s="270"/>
      <c r="C354" s="270"/>
      <c r="D354" s="270"/>
      <c r="E354" s="270"/>
      <c r="F354" s="270"/>
      <c r="G354" s="270"/>
      <c r="H354" s="270"/>
      <c r="I354" s="270"/>
      <c r="J354" s="270"/>
      <c r="K354" s="302"/>
      <c r="L354" s="270"/>
      <c r="M354" s="270"/>
      <c r="N354" s="270"/>
      <c r="O354" s="270"/>
      <c r="P354" s="270"/>
      <c r="Q354" s="270"/>
      <c r="R354" s="270"/>
    </row>
    <row r="355" spans="1:18" s="267" customFormat="1">
      <c r="A355" s="270"/>
      <c r="B355" s="270"/>
      <c r="C355" s="270"/>
      <c r="D355" s="270"/>
      <c r="E355" s="270"/>
      <c r="F355" s="270"/>
      <c r="G355" s="270"/>
      <c r="H355" s="270"/>
      <c r="I355" s="270"/>
      <c r="J355" s="270"/>
      <c r="K355" s="302"/>
      <c r="L355" s="270"/>
      <c r="M355" s="270"/>
      <c r="N355" s="270"/>
      <c r="O355" s="270"/>
      <c r="P355" s="270"/>
      <c r="Q355" s="270"/>
      <c r="R355" s="270"/>
    </row>
    <row r="356" spans="1:18" s="267" customFormat="1">
      <c r="A356" s="270"/>
      <c r="B356" s="270"/>
      <c r="C356" s="270"/>
      <c r="D356" s="270"/>
      <c r="E356" s="270"/>
      <c r="F356" s="270"/>
      <c r="G356" s="270"/>
      <c r="H356" s="270"/>
      <c r="I356" s="270"/>
      <c r="J356" s="270"/>
      <c r="K356" s="302"/>
      <c r="L356" s="270"/>
      <c r="M356" s="270"/>
      <c r="N356" s="270"/>
      <c r="O356" s="270"/>
      <c r="P356" s="270"/>
      <c r="Q356" s="270"/>
      <c r="R356" s="270"/>
    </row>
    <row r="357" spans="1:18" s="267" customFormat="1">
      <c r="A357" s="270"/>
      <c r="B357" s="270"/>
      <c r="C357" s="270"/>
      <c r="D357" s="270"/>
      <c r="E357" s="270"/>
      <c r="F357" s="270"/>
      <c r="G357" s="270"/>
      <c r="H357" s="270"/>
      <c r="I357" s="270"/>
      <c r="J357" s="270"/>
      <c r="K357" s="302"/>
      <c r="L357" s="270"/>
      <c r="M357" s="270"/>
      <c r="N357" s="270"/>
      <c r="O357" s="270"/>
      <c r="P357" s="270"/>
      <c r="Q357" s="270"/>
      <c r="R357" s="270"/>
    </row>
    <row r="358" spans="1:18" s="267" customFormat="1">
      <c r="A358" s="270"/>
      <c r="B358" s="270"/>
      <c r="C358" s="270"/>
      <c r="D358" s="270"/>
      <c r="E358" s="270"/>
      <c r="F358" s="270"/>
      <c r="G358" s="270"/>
      <c r="H358" s="270"/>
      <c r="I358" s="270"/>
      <c r="J358" s="270"/>
      <c r="K358" s="302"/>
      <c r="L358" s="270"/>
      <c r="M358" s="270"/>
      <c r="N358" s="270"/>
      <c r="O358" s="270"/>
      <c r="P358" s="270"/>
      <c r="Q358" s="270"/>
      <c r="R358" s="270"/>
    </row>
    <row r="359" spans="1:18" s="267" customFormat="1">
      <c r="A359" s="270"/>
      <c r="B359" s="270"/>
      <c r="C359" s="270"/>
      <c r="D359" s="270"/>
      <c r="E359" s="270"/>
      <c r="F359" s="270"/>
      <c r="G359" s="270"/>
      <c r="H359" s="270"/>
      <c r="I359" s="270"/>
      <c r="J359" s="270"/>
      <c r="K359" s="302"/>
      <c r="L359" s="270"/>
      <c r="M359" s="270"/>
      <c r="N359" s="270"/>
      <c r="O359" s="270"/>
      <c r="P359" s="270"/>
      <c r="Q359" s="270"/>
      <c r="R359" s="270"/>
    </row>
    <row r="360" spans="1:18" s="267" customFormat="1">
      <c r="A360" s="270"/>
      <c r="B360" s="270"/>
      <c r="C360" s="270"/>
      <c r="D360" s="270"/>
      <c r="E360" s="270"/>
      <c r="F360" s="270"/>
      <c r="G360" s="270"/>
      <c r="H360" s="270"/>
      <c r="I360" s="270"/>
      <c r="J360" s="270"/>
      <c r="K360" s="302"/>
      <c r="L360" s="270"/>
      <c r="M360" s="270"/>
      <c r="N360" s="270"/>
      <c r="O360" s="270"/>
      <c r="P360" s="270"/>
      <c r="Q360" s="270"/>
      <c r="R360" s="270"/>
    </row>
    <row r="361" spans="1:18" s="267" customFormat="1">
      <c r="A361" s="270"/>
      <c r="B361" s="270"/>
      <c r="C361" s="270"/>
      <c r="D361" s="270"/>
      <c r="E361" s="270"/>
      <c r="F361" s="270"/>
      <c r="G361" s="270"/>
      <c r="H361" s="270"/>
      <c r="I361" s="270"/>
      <c r="J361" s="270"/>
      <c r="K361" s="302"/>
      <c r="L361" s="270"/>
      <c r="M361" s="270"/>
      <c r="N361" s="270"/>
      <c r="O361" s="270"/>
      <c r="P361" s="270"/>
      <c r="Q361" s="270"/>
      <c r="R361" s="270"/>
    </row>
    <row r="362" spans="1:18" s="267" customFormat="1">
      <c r="A362" s="270"/>
      <c r="B362" s="270"/>
      <c r="C362" s="270"/>
      <c r="D362" s="270"/>
      <c r="E362" s="270"/>
      <c r="F362" s="270"/>
      <c r="G362" s="270"/>
      <c r="H362" s="270"/>
      <c r="I362" s="270"/>
      <c r="J362" s="270"/>
      <c r="K362" s="302"/>
      <c r="L362" s="270"/>
      <c r="M362" s="270"/>
      <c r="N362" s="270"/>
      <c r="O362" s="270"/>
      <c r="P362" s="270"/>
      <c r="Q362" s="270"/>
      <c r="R362" s="270"/>
    </row>
    <row r="363" spans="1:18" s="267" customFormat="1">
      <c r="A363" s="270"/>
      <c r="B363" s="270"/>
      <c r="C363" s="270"/>
      <c r="D363" s="270"/>
      <c r="E363" s="270"/>
      <c r="F363" s="270"/>
      <c r="G363" s="270"/>
      <c r="H363" s="270"/>
      <c r="I363" s="270"/>
      <c r="J363" s="270"/>
      <c r="K363" s="302"/>
      <c r="L363" s="270"/>
      <c r="M363" s="270"/>
      <c r="N363" s="270"/>
      <c r="O363" s="270"/>
      <c r="P363" s="270"/>
      <c r="Q363" s="270"/>
      <c r="R363" s="270"/>
    </row>
    <row r="364" spans="1:18" s="267" customFormat="1">
      <c r="A364" s="270"/>
      <c r="B364" s="270"/>
      <c r="C364" s="270"/>
      <c r="D364" s="270"/>
      <c r="E364" s="270"/>
      <c r="F364" s="270"/>
      <c r="G364" s="270"/>
      <c r="H364" s="270"/>
      <c r="I364" s="270"/>
      <c r="J364" s="270"/>
      <c r="K364" s="302"/>
      <c r="L364" s="270"/>
      <c r="M364" s="270"/>
      <c r="N364" s="270"/>
      <c r="O364" s="270"/>
      <c r="P364" s="270"/>
      <c r="Q364" s="270"/>
      <c r="R364" s="270"/>
    </row>
    <row r="365" spans="1:18" s="267" customFormat="1">
      <c r="A365" s="270"/>
      <c r="B365" s="270"/>
      <c r="C365" s="270"/>
      <c r="D365" s="270"/>
      <c r="E365" s="270"/>
      <c r="F365" s="270"/>
      <c r="G365" s="270"/>
      <c r="H365" s="270"/>
      <c r="I365" s="270"/>
      <c r="J365" s="270"/>
      <c r="K365" s="302"/>
      <c r="L365" s="270"/>
      <c r="M365" s="270"/>
      <c r="N365" s="270"/>
      <c r="O365" s="270"/>
      <c r="P365" s="270"/>
      <c r="Q365" s="270"/>
      <c r="R365" s="270"/>
    </row>
    <row r="366" spans="1:18" s="267" customFormat="1">
      <c r="A366" s="270"/>
      <c r="B366" s="270"/>
      <c r="C366" s="270"/>
      <c r="D366" s="270"/>
      <c r="E366" s="270"/>
      <c r="F366" s="270"/>
      <c r="G366" s="270"/>
      <c r="H366" s="270"/>
      <c r="I366" s="270"/>
      <c r="J366" s="270"/>
      <c r="K366" s="302"/>
      <c r="L366" s="270"/>
      <c r="M366" s="270"/>
      <c r="N366" s="270"/>
      <c r="O366" s="270"/>
      <c r="P366" s="270"/>
      <c r="Q366" s="270"/>
      <c r="R366" s="270"/>
    </row>
    <row r="367" spans="1:18" s="267" customFormat="1">
      <c r="A367" s="270"/>
      <c r="B367" s="270"/>
      <c r="C367" s="270"/>
      <c r="D367" s="270"/>
      <c r="E367" s="270"/>
      <c r="F367" s="270"/>
      <c r="G367" s="270"/>
      <c r="H367" s="270"/>
      <c r="I367" s="270"/>
      <c r="J367" s="270"/>
      <c r="K367" s="302"/>
      <c r="L367" s="270"/>
      <c r="M367" s="270"/>
      <c r="N367" s="270"/>
      <c r="O367" s="270"/>
      <c r="P367" s="270"/>
      <c r="Q367" s="270"/>
      <c r="R367" s="270"/>
    </row>
    <row r="368" spans="1:18" s="267" customFormat="1">
      <c r="A368" s="270"/>
      <c r="B368" s="270"/>
      <c r="C368" s="270"/>
      <c r="D368" s="270"/>
      <c r="E368" s="270"/>
      <c r="F368" s="270"/>
      <c r="G368" s="270"/>
      <c r="H368" s="270"/>
      <c r="I368" s="270"/>
      <c r="J368" s="270"/>
      <c r="K368" s="302"/>
      <c r="L368" s="270"/>
      <c r="M368" s="270"/>
      <c r="N368" s="270"/>
      <c r="O368" s="270"/>
      <c r="P368" s="270"/>
      <c r="Q368" s="270"/>
      <c r="R368" s="270"/>
    </row>
    <row r="369" spans="1:18" s="267" customFormat="1">
      <c r="A369" s="270"/>
      <c r="B369" s="270"/>
      <c r="C369" s="270"/>
      <c r="D369" s="270"/>
      <c r="E369" s="270"/>
      <c r="F369" s="270"/>
      <c r="G369" s="270"/>
      <c r="H369" s="270"/>
      <c r="I369" s="270"/>
      <c r="J369" s="270"/>
      <c r="K369" s="302"/>
      <c r="L369" s="270"/>
      <c r="M369" s="270"/>
      <c r="N369" s="270"/>
      <c r="O369" s="270"/>
      <c r="P369" s="270"/>
      <c r="Q369" s="270"/>
      <c r="R369" s="270"/>
    </row>
    <row r="370" spans="1:18" s="267" customFormat="1">
      <c r="A370" s="270"/>
      <c r="B370" s="270"/>
      <c r="C370" s="270"/>
      <c r="D370" s="270"/>
      <c r="E370" s="270"/>
      <c r="F370" s="270"/>
      <c r="G370" s="270"/>
      <c r="H370" s="270"/>
      <c r="I370" s="270"/>
      <c r="J370" s="270"/>
      <c r="K370" s="302"/>
      <c r="L370" s="270"/>
      <c r="M370" s="270"/>
      <c r="N370" s="270"/>
      <c r="O370" s="270"/>
      <c r="P370" s="270"/>
      <c r="Q370" s="270"/>
      <c r="R370" s="270"/>
    </row>
    <row r="371" spans="1:18" s="267" customFormat="1">
      <c r="A371" s="270"/>
      <c r="B371" s="270"/>
      <c r="C371" s="270"/>
      <c r="D371" s="270"/>
      <c r="E371" s="270"/>
      <c r="F371" s="270"/>
      <c r="G371" s="270"/>
      <c r="H371" s="270"/>
      <c r="I371" s="270"/>
      <c r="J371" s="270"/>
      <c r="K371" s="302"/>
      <c r="L371" s="270"/>
      <c r="M371" s="270"/>
      <c r="N371" s="270"/>
      <c r="O371" s="270"/>
      <c r="P371" s="270"/>
      <c r="Q371" s="270"/>
      <c r="R371" s="270"/>
    </row>
    <row r="372" spans="1:18" s="267" customFormat="1">
      <c r="A372" s="270"/>
      <c r="B372" s="270"/>
      <c r="C372" s="270"/>
      <c r="D372" s="270"/>
      <c r="E372" s="270"/>
      <c r="F372" s="270"/>
      <c r="G372" s="270"/>
      <c r="H372" s="270"/>
      <c r="I372" s="270"/>
      <c r="J372" s="270"/>
      <c r="K372" s="302"/>
      <c r="L372" s="270"/>
      <c r="M372" s="270"/>
      <c r="N372" s="270"/>
      <c r="O372" s="270"/>
      <c r="P372" s="270"/>
      <c r="Q372" s="270"/>
      <c r="R372" s="270"/>
    </row>
    <row r="373" spans="1:18" s="267" customFormat="1">
      <c r="A373" s="270"/>
      <c r="B373" s="270"/>
      <c r="C373" s="270"/>
      <c r="D373" s="270"/>
      <c r="E373" s="270"/>
      <c r="F373" s="270"/>
      <c r="G373" s="270"/>
      <c r="H373" s="270"/>
      <c r="I373" s="270"/>
      <c r="J373" s="270"/>
      <c r="K373" s="302"/>
      <c r="L373" s="270"/>
      <c r="M373" s="270"/>
      <c r="N373" s="270"/>
      <c r="O373" s="270"/>
      <c r="P373" s="270"/>
      <c r="Q373" s="270"/>
      <c r="R373" s="270"/>
    </row>
    <row r="374" spans="1:18" s="267" customFormat="1">
      <c r="A374" s="270"/>
      <c r="B374" s="270"/>
      <c r="C374" s="270"/>
      <c r="D374" s="270"/>
      <c r="E374" s="270"/>
      <c r="F374" s="270"/>
      <c r="G374" s="270"/>
      <c r="H374" s="270"/>
      <c r="I374" s="270"/>
      <c r="J374" s="270"/>
      <c r="K374" s="302"/>
      <c r="L374" s="270"/>
      <c r="M374" s="270"/>
      <c r="N374" s="270"/>
      <c r="O374" s="270"/>
      <c r="P374" s="270"/>
      <c r="Q374" s="270"/>
      <c r="R374" s="270"/>
    </row>
    <row r="375" spans="1:18" s="267" customFormat="1">
      <c r="A375" s="270"/>
      <c r="B375" s="270"/>
      <c r="C375" s="270"/>
      <c r="D375" s="270"/>
      <c r="E375" s="270"/>
      <c r="F375" s="270"/>
      <c r="G375" s="270"/>
      <c r="H375" s="270"/>
      <c r="I375" s="270"/>
      <c r="J375" s="270"/>
      <c r="K375" s="302"/>
      <c r="L375" s="270"/>
      <c r="M375" s="270"/>
      <c r="N375" s="270"/>
      <c r="O375" s="270"/>
      <c r="P375" s="270"/>
      <c r="Q375" s="270"/>
      <c r="R375" s="270"/>
    </row>
    <row r="376" spans="1:18" s="267" customFormat="1">
      <c r="A376" s="270"/>
      <c r="B376" s="270"/>
      <c r="C376" s="270"/>
      <c r="D376" s="270"/>
      <c r="E376" s="270"/>
      <c r="F376" s="270"/>
      <c r="G376" s="270"/>
      <c r="H376" s="270"/>
      <c r="I376" s="270"/>
      <c r="J376" s="270"/>
      <c r="K376" s="302"/>
      <c r="L376" s="270"/>
      <c r="M376" s="270"/>
      <c r="N376" s="270"/>
      <c r="O376" s="270"/>
      <c r="P376" s="270"/>
      <c r="Q376" s="270"/>
      <c r="R376" s="270"/>
    </row>
    <row r="377" spans="1:18" s="267" customFormat="1">
      <c r="A377" s="270"/>
      <c r="B377" s="270"/>
      <c r="C377" s="270"/>
      <c r="D377" s="270"/>
      <c r="E377" s="270"/>
      <c r="F377" s="270"/>
      <c r="G377" s="270"/>
      <c r="H377" s="270"/>
      <c r="I377" s="270"/>
      <c r="J377" s="270"/>
      <c r="K377" s="302"/>
      <c r="L377" s="270"/>
      <c r="M377" s="270"/>
      <c r="N377" s="270"/>
      <c r="O377" s="270"/>
      <c r="P377" s="270"/>
      <c r="Q377" s="270"/>
      <c r="R377" s="270"/>
    </row>
    <row r="378" spans="1:18" s="267" customFormat="1">
      <c r="A378" s="270"/>
      <c r="B378" s="270"/>
      <c r="C378" s="270"/>
      <c r="D378" s="270"/>
      <c r="E378" s="270"/>
      <c r="F378" s="270"/>
      <c r="G378" s="270"/>
      <c r="H378" s="270"/>
      <c r="I378" s="270"/>
      <c r="J378" s="270"/>
      <c r="K378" s="302"/>
      <c r="L378" s="270"/>
      <c r="M378" s="270"/>
      <c r="N378" s="270"/>
      <c r="O378" s="270"/>
      <c r="P378" s="270"/>
      <c r="Q378" s="270"/>
      <c r="R378" s="270"/>
    </row>
    <row r="379" spans="1:18" s="267" customFormat="1">
      <c r="A379" s="270"/>
      <c r="B379" s="270"/>
      <c r="C379" s="270"/>
      <c r="D379" s="270"/>
      <c r="E379" s="270"/>
      <c r="F379" s="270"/>
      <c r="G379" s="270"/>
      <c r="H379" s="270"/>
      <c r="I379" s="270"/>
      <c r="J379" s="270"/>
      <c r="K379" s="302"/>
      <c r="L379" s="270"/>
      <c r="M379" s="270"/>
      <c r="N379" s="270"/>
      <c r="O379" s="270"/>
      <c r="P379" s="270"/>
      <c r="Q379" s="270"/>
      <c r="R379" s="270"/>
    </row>
    <row r="380" spans="1:18" s="267" customFormat="1">
      <c r="A380" s="270"/>
      <c r="B380" s="270"/>
      <c r="C380" s="270"/>
      <c r="D380" s="270"/>
      <c r="E380" s="270"/>
      <c r="F380" s="270"/>
      <c r="G380" s="270"/>
      <c r="H380" s="270"/>
      <c r="I380" s="270"/>
      <c r="J380" s="270"/>
      <c r="K380" s="302"/>
      <c r="L380" s="270"/>
      <c r="M380" s="270"/>
      <c r="N380" s="270"/>
      <c r="O380" s="270"/>
      <c r="P380" s="270"/>
      <c r="Q380" s="270"/>
      <c r="R380" s="270"/>
    </row>
    <row r="381" spans="1:18" s="267" customFormat="1">
      <c r="A381" s="270"/>
      <c r="B381" s="270"/>
      <c r="C381" s="270"/>
      <c r="D381" s="270"/>
      <c r="E381" s="270"/>
      <c r="F381" s="270"/>
      <c r="G381" s="270"/>
      <c r="H381" s="270"/>
      <c r="I381" s="270"/>
      <c r="J381" s="270"/>
      <c r="K381" s="302"/>
      <c r="L381" s="270"/>
      <c r="M381" s="270"/>
      <c r="N381" s="270"/>
      <c r="O381" s="270"/>
      <c r="P381" s="270"/>
      <c r="Q381" s="270"/>
      <c r="R381" s="270"/>
    </row>
    <row r="382" spans="1:18" s="267" customFormat="1">
      <c r="A382" s="270"/>
      <c r="B382" s="270"/>
      <c r="C382" s="270"/>
      <c r="D382" s="270"/>
      <c r="E382" s="270"/>
      <c r="F382" s="270"/>
      <c r="G382" s="270"/>
      <c r="H382" s="270"/>
      <c r="I382" s="270"/>
      <c r="J382" s="270"/>
      <c r="K382" s="302"/>
      <c r="L382" s="270"/>
      <c r="M382" s="270"/>
      <c r="N382" s="270"/>
      <c r="O382" s="270"/>
      <c r="P382" s="270"/>
      <c r="Q382" s="270"/>
      <c r="R382" s="270"/>
    </row>
    <row r="383" spans="1:18" s="267" customFormat="1">
      <c r="A383" s="270"/>
      <c r="B383" s="270"/>
      <c r="C383" s="270"/>
      <c r="D383" s="270"/>
      <c r="E383" s="270"/>
      <c r="F383" s="270"/>
      <c r="G383" s="270"/>
      <c r="H383" s="270"/>
      <c r="I383" s="270"/>
      <c r="J383" s="270"/>
      <c r="K383" s="302"/>
      <c r="L383" s="270"/>
      <c r="M383" s="270"/>
      <c r="N383" s="270"/>
      <c r="O383" s="270"/>
      <c r="P383" s="270"/>
      <c r="Q383" s="270"/>
      <c r="R383" s="270"/>
    </row>
    <row r="384" spans="1:18" s="267" customFormat="1">
      <c r="A384" s="270"/>
      <c r="B384" s="270"/>
      <c r="C384" s="270"/>
      <c r="D384" s="270"/>
      <c r="E384" s="270"/>
      <c r="F384" s="270"/>
      <c r="G384" s="270"/>
      <c r="H384" s="270"/>
      <c r="I384" s="270"/>
      <c r="J384" s="270"/>
      <c r="K384" s="302"/>
      <c r="L384" s="270"/>
      <c r="M384" s="270"/>
      <c r="N384" s="270"/>
      <c r="O384" s="270"/>
      <c r="P384" s="270"/>
      <c r="Q384" s="270"/>
      <c r="R384" s="270"/>
    </row>
    <row r="385" spans="1:18" s="267" customFormat="1">
      <c r="A385" s="270"/>
      <c r="B385" s="270"/>
      <c r="C385" s="270"/>
      <c r="D385" s="270"/>
      <c r="E385" s="270"/>
      <c r="F385" s="270"/>
      <c r="G385" s="270"/>
      <c r="H385" s="270"/>
      <c r="I385" s="270"/>
      <c r="J385" s="270"/>
      <c r="K385" s="302"/>
      <c r="L385" s="270"/>
      <c r="M385" s="270"/>
      <c r="N385" s="270"/>
      <c r="O385" s="270"/>
      <c r="P385" s="270"/>
      <c r="Q385" s="270"/>
      <c r="R385" s="270"/>
    </row>
    <row r="386" spans="1:18" s="267" customFormat="1">
      <c r="A386" s="270"/>
      <c r="B386" s="270"/>
      <c r="C386" s="270"/>
      <c r="D386" s="270"/>
      <c r="E386" s="270"/>
      <c r="F386" s="270"/>
      <c r="G386" s="270"/>
      <c r="H386" s="270"/>
      <c r="I386" s="270"/>
      <c r="J386" s="270"/>
      <c r="K386" s="302"/>
      <c r="L386" s="270"/>
      <c r="M386" s="270"/>
      <c r="N386" s="270"/>
      <c r="O386" s="270"/>
      <c r="P386" s="270"/>
      <c r="Q386" s="270"/>
      <c r="R386" s="270"/>
    </row>
    <row r="387" spans="1:18" s="267" customFormat="1">
      <c r="A387" s="270"/>
      <c r="B387" s="270"/>
      <c r="C387" s="270"/>
      <c r="D387" s="270"/>
      <c r="E387" s="270"/>
      <c r="F387" s="270"/>
      <c r="G387" s="270"/>
      <c r="H387" s="270"/>
      <c r="I387" s="270"/>
      <c r="J387" s="270"/>
      <c r="K387" s="302"/>
      <c r="L387" s="270"/>
      <c r="M387" s="270"/>
      <c r="N387" s="270"/>
      <c r="O387" s="270"/>
      <c r="P387" s="270"/>
      <c r="Q387" s="270"/>
      <c r="R387" s="270"/>
    </row>
    <row r="388" spans="1:18" s="267" customFormat="1">
      <c r="A388" s="270"/>
      <c r="B388" s="270"/>
      <c r="C388" s="270"/>
      <c r="D388" s="270"/>
      <c r="E388" s="270"/>
      <c r="F388" s="270"/>
      <c r="G388" s="270"/>
      <c r="H388" s="270"/>
      <c r="I388" s="270"/>
      <c r="J388" s="270"/>
      <c r="K388" s="302"/>
      <c r="L388" s="270"/>
      <c r="M388" s="270"/>
      <c r="N388" s="270"/>
      <c r="O388" s="270"/>
      <c r="P388" s="270"/>
      <c r="Q388" s="270"/>
      <c r="R388" s="270"/>
    </row>
    <row r="389" spans="1:18" s="267" customFormat="1">
      <c r="A389" s="270"/>
      <c r="B389" s="270"/>
      <c r="C389" s="270"/>
      <c r="D389" s="270"/>
      <c r="E389" s="270"/>
      <c r="F389" s="270"/>
      <c r="G389" s="270"/>
      <c r="H389" s="270"/>
      <c r="I389" s="270"/>
      <c r="J389" s="270"/>
      <c r="K389" s="302"/>
      <c r="L389" s="270"/>
      <c r="M389" s="270"/>
      <c r="N389" s="270"/>
      <c r="O389" s="270"/>
      <c r="P389" s="270"/>
      <c r="Q389" s="270"/>
      <c r="R389" s="270"/>
    </row>
    <row r="390" spans="1:18" s="267" customFormat="1">
      <c r="A390" s="270"/>
      <c r="B390" s="270"/>
      <c r="C390" s="270"/>
      <c r="D390" s="270"/>
      <c r="E390" s="270"/>
      <c r="F390" s="270"/>
      <c r="G390" s="270"/>
      <c r="H390" s="270"/>
      <c r="I390" s="270"/>
      <c r="J390" s="270"/>
      <c r="K390" s="302"/>
      <c r="L390" s="270"/>
      <c r="M390" s="270"/>
      <c r="N390" s="270"/>
      <c r="O390" s="270"/>
      <c r="P390" s="270"/>
      <c r="Q390" s="270"/>
      <c r="R390" s="270"/>
    </row>
    <row r="391" spans="1:18" s="267" customFormat="1">
      <c r="A391" s="270"/>
      <c r="B391" s="270"/>
      <c r="C391" s="270"/>
      <c r="D391" s="270"/>
      <c r="E391" s="270"/>
      <c r="F391" s="270"/>
      <c r="G391" s="270"/>
      <c r="H391" s="270"/>
      <c r="I391" s="270"/>
      <c r="J391" s="270"/>
      <c r="K391" s="302"/>
      <c r="L391" s="270"/>
      <c r="M391" s="270"/>
      <c r="N391" s="270"/>
      <c r="O391" s="270"/>
      <c r="P391" s="270"/>
      <c r="Q391" s="270"/>
      <c r="R391" s="270"/>
    </row>
    <row r="392" spans="1:18" s="267" customFormat="1">
      <c r="A392" s="270"/>
      <c r="B392" s="270"/>
      <c r="C392" s="270"/>
      <c r="D392" s="270"/>
      <c r="E392" s="270"/>
      <c r="F392" s="270"/>
      <c r="G392" s="270"/>
      <c r="H392" s="270"/>
      <c r="I392" s="270"/>
      <c r="J392" s="270"/>
      <c r="K392" s="302"/>
      <c r="L392" s="270"/>
      <c r="M392" s="270"/>
      <c r="N392" s="270"/>
      <c r="O392" s="270"/>
      <c r="P392" s="270"/>
      <c r="Q392" s="270"/>
      <c r="R392" s="270"/>
    </row>
    <row r="393" spans="1:18" s="267" customFormat="1">
      <c r="A393" s="270"/>
      <c r="B393" s="270"/>
      <c r="C393" s="270"/>
      <c r="D393" s="270"/>
      <c r="E393" s="270"/>
      <c r="F393" s="270"/>
      <c r="G393" s="270"/>
      <c r="H393" s="270"/>
      <c r="I393" s="270"/>
      <c r="J393" s="270"/>
      <c r="K393" s="302"/>
      <c r="L393" s="270"/>
      <c r="M393" s="270"/>
      <c r="N393" s="270"/>
      <c r="O393" s="270"/>
      <c r="P393" s="270"/>
      <c r="Q393" s="270"/>
      <c r="R393" s="270"/>
    </row>
    <row r="394" spans="1:18" s="267" customFormat="1">
      <c r="A394" s="270"/>
      <c r="B394" s="270"/>
      <c r="C394" s="270"/>
      <c r="D394" s="270"/>
      <c r="E394" s="270"/>
      <c r="F394" s="270"/>
      <c r="G394" s="270"/>
      <c r="H394" s="270"/>
      <c r="I394" s="270"/>
      <c r="J394" s="270"/>
      <c r="K394" s="302"/>
      <c r="L394" s="270"/>
      <c r="M394" s="270"/>
      <c r="N394" s="270"/>
      <c r="O394" s="270"/>
      <c r="P394" s="270"/>
      <c r="Q394" s="270"/>
      <c r="R394" s="270"/>
    </row>
    <row r="395" spans="1:18" s="267" customFormat="1">
      <c r="A395" s="270"/>
      <c r="B395" s="270"/>
      <c r="C395" s="270"/>
      <c r="D395" s="270"/>
      <c r="E395" s="270"/>
      <c r="F395" s="270"/>
      <c r="G395" s="270"/>
      <c r="H395" s="270"/>
      <c r="I395" s="270"/>
      <c r="J395" s="270"/>
      <c r="K395" s="302"/>
      <c r="L395" s="270"/>
      <c r="M395" s="270"/>
      <c r="N395" s="270"/>
      <c r="O395" s="270"/>
      <c r="P395" s="270"/>
      <c r="Q395" s="270"/>
      <c r="R395" s="270"/>
    </row>
    <row r="396" spans="1:18" s="267" customFormat="1">
      <c r="A396" s="270"/>
      <c r="B396" s="270"/>
      <c r="C396" s="270"/>
      <c r="D396" s="270"/>
      <c r="E396" s="270"/>
      <c r="F396" s="270"/>
      <c r="G396" s="270"/>
      <c r="H396" s="270"/>
      <c r="I396" s="270"/>
      <c r="J396" s="270"/>
      <c r="K396" s="302"/>
      <c r="L396" s="270"/>
      <c r="M396" s="270"/>
      <c r="N396" s="270"/>
      <c r="O396" s="270"/>
      <c r="P396" s="270"/>
      <c r="Q396" s="270"/>
      <c r="R396" s="270"/>
    </row>
    <row r="397" spans="1:18" s="267" customFormat="1">
      <c r="A397" s="270"/>
      <c r="B397" s="270"/>
      <c r="C397" s="270"/>
      <c r="D397" s="270"/>
      <c r="E397" s="270"/>
      <c r="F397" s="270"/>
      <c r="G397" s="270"/>
      <c r="H397" s="270"/>
      <c r="I397" s="270"/>
      <c r="J397" s="270"/>
      <c r="K397" s="302"/>
      <c r="L397" s="270"/>
      <c r="M397" s="270"/>
      <c r="N397" s="270"/>
      <c r="O397" s="270"/>
      <c r="P397" s="270"/>
      <c r="Q397" s="270"/>
      <c r="R397" s="270"/>
    </row>
    <row r="398" spans="1:18" s="267" customFormat="1">
      <c r="A398" s="270"/>
      <c r="B398" s="270"/>
      <c r="C398" s="270"/>
      <c r="D398" s="270"/>
      <c r="E398" s="270"/>
      <c r="F398" s="270"/>
      <c r="G398" s="270"/>
      <c r="H398" s="270"/>
      <c r="I398" s="270"/>
      <c r="J398" s="270"/>
      <c r="K398" s="302"/>
      <c r="L398" s="270"/>
      <c r="M398" s="270"/>
      <c r="N398" s="270"/>
      <c r="O398" s="270"/>
      <c r="P398" s="270"/>
      <c r="Q398" s="270"/>
      <c r="R398" s="270"/>
    </row>
    <row r="399" spans="1:18" s="267" customFormat="1">
      <c r="A399" s="270"/>
      <c r="B399" s="270"/>
      <c r="C399" s="270"/>
      <c r="D399" s="270"/>
      <c r="E399" s="270"/>
      <c r="F399" s="270"/>
      <c r="G399" s="270"/>
      <c r="H399" s="270"/>
      <c r="I399" s="270"/>
      <c r="J399" s="270"/>
      <c r="K399" s="302"/>
      <c r="L399" s="270"/>
      <c r="M399" s="270"/>
      <c r="N399" s="270"/>
      <c r="O399" s="270"/>
      <c r="P399" s="270"/>
      <c r="Q399" s="270"/>
      <c r="R399" s="270"/>
    </row>
    <row r="400" spans="1:18" s="267" customFormat="1">
      <c r="A400" s="270"/>
      <c r="B400" s="270"/>
      <c r="C400" s="270"/>
      <c r="D400" s="270"/>
      <c r="E400" s="270"/>
      <c r="F400" s="270"/>
      <c r="G400" s="270"/>
      <c r="H400" s="270"/>
      <c r="I400" s="270"/>
      <c r="J400" s="270"/>
      <c r="K400" s="302"/>
      <c r="L400" s="270"/>
      <c r="M400" s="270"/>
      <c r="N400" s="270"/>
      <c r="O400" s="270"/>
      <c r="P400" s="270"/>
      <c r="Q400" s="270"/>
      <c r="R400" s="270"/>
    </row>
    <row r="401" spans="1:18" s="267" customFormat="1">
      <c r="A401" s="270"/>
      <c r="B401" s="270"/>
      <c r="C401" s="270"/>
      <c r="D401" s="270"/>
      <c r="E401" s="270"/>
      <c r="F401" s="270"/>
      <c r="G401" s="270"/>
      <c r="H401" s="270"/>
      <c r="I401" s="270"/>
      <c r="J401" s="270"/>
      <c r="K401" s="302"/>
      <c r="L401" s="270"/>
      <c r="M401" s="270"/>
      <c r="N401" s="270"/>
      <c r="O401" s="270"/>
      <c r="P401" s="270"/>
      <c r="Q401" s="270"/>
      <c r="R401" s="270"/>
    </row>
    <row r="402" spans="1:18" s="267" customFormat="1">
      <c r="A402" s="270"/>
      <c r="B402" s="270"/>
      <c r="C402" s="270"/>
      <c r="D402" s="270"/>
      <c r="E402" s="270"/>
      <c r="F402" s="270"/>
      <c r="G402" s="270"/>
      <c r="H402" s="270"/>
      <c r="I402" s="270"/>
      <c r="J402" s="270"/>
      <c r="K402" s="302"/>
      <c r="L402" s="270"/>
      <c r="M402" s="270"/>
      <c r="N402" s="270"/>
      <c r="O402" s="270"/>
      <c r="P402" s="270"/>
      <c r="Q402" s="270"/>
      <c r="R402" s="270"/>
    </row>
    <row r="403" spans="1:18" s="267" customFormat="1">
      <c r="A403" s="270"/>
      <c r="B403" s="270"/>
      <c r="C403" s="270"/>
      <c r="D403" s="270"/>
      <c r="E403" s="270"/>
      <c r="F403" s="270"/>
      <c r="G403" s="270"/>
      <c r="H403" s="270"/>
      <c r="I403" s="270"/>
      <c r="J403" s="270"/>
      <c r="K403" s="302"/>
      <c r="L403" s="270"/>
      <c r="M403" s="270"/>
      <c r="N403" s="270"/>
      <c r="O403" s="270"/>
      <c r="P403" s="270"/>
      <c r="Q403" s="270"/>
      <c r="R403" s="270"/>
    </row>
    <row r="404" spans="1:18" s="267" customFormat="1">
      <c r="A404" s="270"/>
      <c r="B404" s="270"/>
      <c r="C404" s="270"/>
      <c r="D404" s="270"/>
      <c r="E404" s="270"/>
      <c r="F404" s="270"/>
      <c r="G404" s="270"/>
      <c r="H404" s="270"/>
      <c r="I404" s="270"/>
      <c r="J404" s="270"/>
      <c r="K404" s="302"/>
      <c r="L404" s="270"/>
      <c r="M404" s="270"/>
      <c r="N404" s="270"/>
      <c r="O404" s="270"/>
      <c r="P404" s="270"/>
      <c r="Q404" s="270"/>
      <c r="R404" s="270"/>
    </row>
    <row r="405" spans="1:18" s="267" customFormat="1">
      <c r="A405" s="270"/>
      <c r="B405" s="270"/>
      <c r="C405" s="270"/>
      <c r="D405" s="270"/>
      <c r="E405" s="270"/>
      <c r="F405" s="270"/>
      <c r="G405" s="270"/>
      <c r="H405" s="270"/>
      <c r="I405" s="270"/>
      <c r="J405" s="270"/>
      <c r="K405" s="302"/>
      <c r="L405" s="270"/>
      <c r="M405" s="270"/>
      <c r="N405" s="270"/>
      <c r="O405" s="270"/>
      <c r="P405" s="270"/>
      <c r="Q405" s="270"/>
      <c r="R405" s="270"/>
    </row>
    <row r="406" spans="1:18" s="267" customFormat="1">
      <c r="A406" s="270"/>
      <c r="B406" s="270"/>
      <c r="C406" s="270"/>
      <c r="D406" s="270"/>
      <c r="E406" s="270"/>
      <c r="F406" s="270"/>
      <c r="G406" s="270"/>
      <c r="H406" s="270"/>
      <c r="I406" s="270"/>
      <c r="J406" s="270"/>
      <c r="K406" s="302"/>
      <c r="L406" s="270"/>
      <c r="M406" s="270"/>
      <c r="N406" s="270"/>
      <c r="O406" s="270"/>
      <c r="P406" s="270"/>
      <c r="Q406" s="270"/>
      <c r="R406" s="270"/>
    </row>
    <row r="407" spans="1:18" s="267" customFormat="1">
      <c r="A407" s="270"/>
      <c r="B407" s="270"/>
      <c r="C407" s="270"/>
      <c r="D407" s="270"/>
      <c r="E407" s="270"/>
      <c r="F407" s="270"/>
      <c r="G407" s="270"/>
      <c r="H407" s="270"/>
      <c r="I407" s="270"/>
      <c r="J407" s="270"/>
      <c r="K407" s="302"/>
      <c r="L407" s="270"/>
      <c r="M407" s="270"/>
      <c r="N407" s="270"/>
      <c r="O407" s="270"/>
      <c r="P407" s="270"/>
      <c r="Q407" s="270"/>
      <c r="R407" s="270"/>
    </row>
    <row r="408" spans="1:18" s="267" customFormat="1">
      <c r="A408" s="270"/>
      <c r="B408" s="270"/>
      <c r="C408" s="270"/>
      <c r="D408" s="270"/>
      <c r="E408" s="270"/>
      <c r="F408" s="270"/>
      <c r="G408" s="270"/>
      <c r="H408" s="270"/>
      <c r="I408" s="270"/>
      <c r="J408" s="270"/>
      <c r="K408" s="302"/>
      <c r="L408" s="270"/>
      <c r="M408" s="270"/>
      <c r="N408" s="270"/>
      <c r="O408" s="270"/>
      <c r="P408" s="270"/>
      <c r="Q408" s="270"/>
      <c r="R408" s="270"/>
    </row>
    <row r="409" spans="1:18" s="267" customFormat="1">
      <c r="A409" s="270"/>
      <c r="B409" s="270"/>
      <c r="C409" s="270"/>
      <c r="D409" s="270"/>
      <c r="E409" s="270"/>
      <c r="F409" s="270"/>
      <c r="G409" s="270"/>
      <c r="H409" s="270"/>
      <c r="I409" s="270"/>
      <c r="J409" s="270"/>
      <c r="K409" s="302"/>
      <c r="L409" s="270"/>
      <c r="M409" s="270"/>
      <c r="N409" s="270"/>
      <c r="O409" s="270"/>
      <c r="P409" s="270"/>
      <c r="Q409" s="270"/>
      <c r="R409" s="270"/>
    </row>
    <row r="410" spans="1:18" s="267" customFormat="1">
      <c r="A410" s="270"/>
      <c r="B410" s="270"/>
      <c r="C410" s="270"/>
      <c r="D410" s="270"/>
      <c r="E410" s="270"/>
      <c r="F410" s="270"/>
      <c r="G410" s="270"/>
      <c r="H410" s="270"/>
      <c r="I410" s="270"/>
      <c r="J410" s="270"/>
      <c r="K410" s="302"/>
      <c r="L410" s="270"/>
      <c r="M410" s="270"/>
      <c r="N410" s="270"/>
      <c r="O410" s="270"/>
      <c r="P410" s="270"/>
      <c r="Q410" s="270"/>
      <c r="R410" s="270"/>
    </row>
    <row r="411" spans="1:18" s="267" customFormat="1">
      <c r="A411" s="270"/>
      <c r="B411" s="270"/>
      <c r="C411" s="270"/>
      <c r="D411" s="270"/>
      <c r="E411" s="270"/>
      <c r="F411" s="270"/>
      <c r="G411" s="270"/>
      <c r="H411" s="270"/>
      <c r="I411" s="270"/>
      <c r="J411" s="270"/>
      <c r="K411" s="302"/>
      <c r="L411" s="270"/>
      <c r="M411" s="270"/>
      <c r="N411" s="270"/>
      <c r="O411" s="270"/>
      <c r="P411" s="270"/>
      <c r="Q411" s="270"/>
      <c r="R411" s="270"/>
    </row>
    <row r="412" spans="1:18" s="267" customFormat="1">
      <c r="A412" s="270"/>
      <c r="B412" s="270"/>
      <c r="C412" s="270"/>
      <c r="D412" s="270"/>
      <c r="E412" s="270"/>
      <c r="F412" s="270"/>
      <c r="G412" s="270"/>
      <c r="H412" s="270"/>
      <c r="I412" s="270"/>
      <c r="J412" s="270"/>
      <c r="K412" s="302"/>
      <c r="L412" s="270"/>
      <c r="M412" s="270"/>
      <c r="N412" s="270"/>
      <c r="O412" s="270"/>
      <c r="P412" s="270"/>
      <c r="Q412" s="270"/>
      <c r="R412" s="270"/>
    </row>
    <row r="413" spans="1:18" s="267" customFormat="1">
      <c r="A413" s="270"/>
      <c r="B413" s="270"/>
      <c r="C413" s="270"/>
      <c r="D413" s="270"/>
      <c r="E413" s="270"/>
      <c r="F413" s="270"/>
      <c r="G413" s="270"/>
      <c r="H413" s="270"/>
      <c r="I413" s="270"/>
      <c r="J413" s="270"/>
      <c r="K413" s="302"/>
      <c r="L413" s="270"/>
      <c r="M413" s="270"/>
      <c r="N413" s="270"/>
      <c r="O413" s="270"/>
      <c r="P413" s="270"/>
      <c r="Q413" s="270"/>
      <c r="R413" s="270"/>
    </row>
    <row r="414" spans="1:18" s="267" customFormat="1">
      <c r="A414" s="270"/>
      <c r="B414" s="270"/>
      <c r="C414" s="270"/>
      <c r="D414" s="270"/>
      <c r="E414" s="270"/>
      <c r="F414" s="270"/>
      <c r="G414" s="270"/>
      <c r="H414" s="270"/>
      <c r="I414" s="270"/>
      <c r="J414" s="270"/>
      <c r="K414" s="302"/>
      <c r="L414" s="270"/>
      <c r="M414" s="270"/>
      <c r="N414" s="270"/>
      <c r="O414" s="270"/>
      <c r="P414" s="270"/>
      <c r="Q414" s="270"/>
      <c r="R414" s="270"/>
    </row>
    <row r="415" spans="1:18" s="267" customFormat="1">
      <c r="A415" s="270"/>
      <c r="B415" s="270"/>
      <c r="C415" s="270"/>
      <c r="D415" s="270"/>
      <c r="E415" s="270"/>
      <c r="F415" s="270"/>
      <c r="G415" s="270"/>
      <c r="H415" s="270"/>
      <c r="I415" s="270"/>
      <c r="J415" s="270"/>
      <c r="K415" s="302"/>
      <c r="L415" s="270"/>
      <c r="M415" s="270"/>
      <c r="N415" s="270"/>
      <c r="O415" s="270"/>
      <c r="P415" s="270"/>
      <c r="Q415" s="270"/>
      <c r="R415" s="270"/>
    </row>
    <row r="416" spans="1:18" s="267" customFormat="1">
      <c r="A416" s="270"/>
      <c r="B416" s="270"/>
      <c r="C416" s="270"/>
      <c r="D416" s="270"/>
      <c r="E416" s="270"/>
      <c r="F416" s="270"/>
      <c r="G416" s="270"/>
      <c r="H416" s="270"/>
      <c r="I416" s="270"/>
      <c r="J416" s="270"/>
      <c r="K416" s="302"/>
      <c r="L416" s="270"/>
      <c r="M416" s="270"/>
      <c r="N416" s="270"/>
      <c r="O416" s="270"/>
      <c r="P416" s="270"/>
      <c r="Q416" s="270"/>
      <c r="R416" s="270"/>
    </row>
    <row r="417" spans="1:18" s="267" customFormat="1">
      <c r="A417" s="270"/>
      <c r="B417" s="270"/>
      <c r="C417" s="270"/>
      <c r="D417" s="270"/>
      <c r="E417" s="270"/>
      <c r="F417" s="270"/>
      <c r="G417" s="270"/>
      <c r="H417" s="270"/>
      <c r="I417" s="270"/>
      <c r="J417" s="270"/>
      <c r="K417" s="302"/>
      <c r="L417" s="270"/>
      <c r="M417" s="270"/>
      <c r="N417" s="270"/>
      <c r="O417" s="270"/>
      <c r="P417" s="270"/>
      <c r="Q417" s="270"/>
      <c r="R417" s="270"/>
    </row>
    <row r="418" spans="1:18" s="267" customFormat="1">
      <c r="A418" s="270"/>
      <c r="B418" s="270"/>
      <c r="C418" s="270"/>
      <c r="D418" s="270"/>
      <c r="E418" s="270"/>
      <c r="F418" s="270"/>
      <c r="G418" s="270"/>
      <c r="H418" s="270"/>
      <c r="I418" s="270"/>
      <c r="J418" s="270"/>
      <c r="K418" s="302"/>
      <c r="L418" s="270"/>
      <c r="M418" s="270"/>
      <c r="N418" s="270"/>
      <c r="O418" s="270"/>
      <c r="P418" s="270"/>
      <c r="Q418" s="270"/>
      <c r="R418" s="270"/>
    </row>
    <row r="419" spans="1:18" s="267" customFormat="1">
      <c r="A419" s="270"/>
      <c r="B419" s="270"/>
      <c r="C419" s="270"/>
      <c r="D419" s="270"/>
      <c r="E419" s="270"/>
      <c r="F419" s="270"/>
      <c r="G419" s="270"/>
      <c r="H419" s="270"/>
      <c r="I419" s="270"/>
      <c r="J419" s="270"/>
      <c r="K419" s="302"/>
      <c r="L419" s="270"/>
      <c r="M419" s="270"/>
      <c r="N419" s="270"/>
      <c r="O419" s="270"/>
      <c r="P419" s="270"/>
      <c r="Q419" s="270"/>
      <c r="R419" s="270"/>
    </row>
    <row r="420" spans="1:18" s="267" customFormat="1">
      <c r="A420" s="270"/>
      <c r="B420" s="270"/>
      <c r="C420" s="270"/>
      <c r="D420" s="270"/>
      <c r="E420" s="270"/>
      <c r="F420" s="270"/>
      <c r="G420" s="270"/>
      <c r="H420" s="270"/>
      <c r="I420" s="270"/>
      <c r="J420" s="270"/>
      <c r="K420" s="302"/>
      <c r="L420" s="270"/>
      <c r="M420" s="270"/>
      <c r="N420" s="270"/>
      <c r="O420" s="270"/>
      <c r="P420" s="270"/>
      <c r="Q420" s="270"/>
      <c r="R420" s="270"/>
    </row>
    <row r="421" spans="1:18" s="267" customFormat="1">
      <c r="A421" s="270"/>
      <c r="B421" s="270"/>
      <c r="C421" s="270"/>
      <c r="D421" s="270"/>
      <c r="E421" s="270"/>
      <c r="F421" s="270"/>
      <c r="G421" s="270"/>
      <c r="H421" s="270"/>
      <c r="I421" s="270"/>
      <c r="J421" s="270"/>
      <c r="K421" s="302"/>
      <c r="L421" s="270"/>
      <c r="M421" s="270"/>
      <c r="N421" s="270"/>
      <c r="O421" s="270"/>
      <c r="P421" s="270"/>
      <c r="Q421" s="270"/>
      <c r="R421" s="270"/>
    </row>
    <row r="422" spans="1:18" s="267" customFormat="1">
      <c r="A422" s="270"/>
      <c r="B422" s="270"/>
      <c r="C422" s="270"/>
      <c r="D422" s="270"/>
      <c r="E422" s="270"/>
      <c r="F422" s="270"/>
      <c r="G422" s="270"/>
      <c r="H422" s="270"/>
      <c r="I422" s="270"/>
      <c r="J422" s="270"/>
      <c r="K422" s="302"/>
      <c r="L422" s="270"/>
      <c r="M422" s="270"/>
      <c r="N422" s="270"/>
      <c r="O422" s="270"/>
      <c r="P422" s="270"/>
      <c r="Q422" s="270"/>
      <c r="R422" s="270"/>
    </row>
    <row r="423" spans="1:18" s="267" customFormat="1">
      <c r="A423" s="270"/>
      <c r="B423" s="270"/>
      <c r="C423" s="270"/>
      <c r="D423" s="270"/>
      <c r="E423" s="270"/>
      <c r="F423" s="270"/>
      <c r="G423" s="270"/>
      <c r="H423" s="270"/>
      <c r="I423" s="270"/>
      <c r="J423" s="270"/>
      <c r="K423" s="302"/>
      <c r="L423" s="270"/>
      <c r="M423" s="270"/>
      <c r="N423" s="270"/>
      <c r="O423" s="270"/>
      <c r="P423" s="270"/>
      <c r="Q423" s="270"/>
      <c r="R423" s="270"/>
    </row>
    <row r="424" spans="1:18" s="267" customFormat="1">
      <c r="A424" s="270"/>
      <c r="B424" s="270"/>
      <c r="C424" s="270"/>
      <c r="D424" s="270"/>
      <c r="E424" s="270"/>
      <c r="F424" s="270"/>
      <c r="G424" s="270"/>
      <c r="H424" s="270"/>
      <c r="I424" s="270"/>
      <c r="J424" s="270"/>
      <c r="K424" s="302"/>
      <c r="L424" s="270"/>
      <c r="M424" s="270"/>
      <c r="N424" s="270"/>
      <c r="O424" s="270"/>
      <c r="P424" s="270"/>
      <c r="Q424" s="270"/>
      <c r="R424" s="270"/>
    </row>
    <row r="425" spans="1:18" s="267" customFormat="1">
      <c r="A425" s="270"/>
      <c r="B425" s="270"/>
      <c r="C425" s="270"/>
      <c r="D425" s="270"/>
      <c r="E425" s="270"/>
      <c r="F425" s="270"/>
      <c r="G425" s="270"/>
      <c r="H425" s="270"/>
      <c r="I425" s="270"/>
      <c r="J425" s="270"/>
      <c r="K425" s="302"/>
      <c r="L425" s="270"/>
      <c r="M425" s="270"/>
      <c r="N425" s="270"/>
      <c r="O425" s="270"/>
      <c r="P425" s="270"/>
      <c r="Q425" s="270"/>
      <c r="R425" s="270"/>
    </row>
    <row r="426" spans="1:18" s="267" customFormat="1">
      <c r="A426" s="270"/>
      <c r="B426" s="270"/>
      <c r="C426" s="270"/>
      <c r="D426" s="270"/>
      <c r="E426" s="270"/>
      <c r="F426" s="270"/>
      <c r="G426" s="270"/>
      <c r="H426" s="270"/>
      <c r="I426" s="270"/>
      <c r="J426" s="270"/>
      <c r="K426" s="302"/>
      <c r="L426" s="270"/>
      <c r="M426" s="270"/>
      <c r="N426" s="270"/>
      <c r="O426" s="270"/>
      <c r="P426" s="270"/>
      <c r="Q426" s="270"/>
      <c r="R426" s="270"/>
    </row>
    <row r="427" spans="1:18" s="267" customFormat="1">
      <c r="A427" s="270"/>
      <c r="B427" s="270"/>
      <c r="C427" s="270"/>
      <c r="D427" s="270"/>
      <c r="E427" s="270"/>
      <c r="F427" s="270"/>
      <c r="G427" s="270"/>
      <c r="H427" s="270"/>
      <c r="I427" s="270"/>
      <c r="J427" s="270"/>
      <c r="K427" s="302"/>
      <c r="L427" s="270"/>
      <c r="M427" s="270"/>
      <c r="N427" s="270"/>
      <c r="O427" s="270"/>
      <c r="P427" s="270"/>
      <c r="Q427" s="270"/>
      <c r="R427" s="270"/>
    </row>
    <row r="428" spans="1:18" s="267" customFormat="1">
      <c r="A428" s="270"/>
      <c r="B428" s="270"/>
      <c r="C428" s="270"/>
      <c r="D428" s="270"/>
      <c r="E428" s="270"/>
      <c r="F428" s="270"/>
      <c r="G428" s="270"/>
      <c r="H428" s="270"/>
      <c r="I428" s="270"/>
      <c r="J428" s="270"/>
      <c r="K428" s="302"/>
      <c r="L428" s="270"/>
      <c r="M428" s="270"/>
      <c r="N428" s="270"/>
      <c r="O428" s="270"/>
      <c r="P428" s="270"/>
      <c r="Q428" s="270"/>
      <c r="R428" s="270"/>
    </row>
    <row r="429" spans="1:18" s="267" customFormat="1">
      <c r="A429" s="270"/>
      <c r="B429" s="270"/>
      <c r="C429" s="270"/>
      <c r="D429" s="270"/>
      <c r="E429" s="270"/>
      <c r="F429" s="270"/>
      <c r="G429" s="270"/>
      <c r="H429" s="270"/>
      <c r="I429" s="270"/>
      <c r="J429" s="270"/>
      <c r="K429" s="302"/>
      <c r="L429" s="270"/>
      <c r="M429" s="270"/>
      <c r="N429" s="270"/>
      <c r="O429" s="270"/>
      <c r="P429" s="270"/>
      <c r="Q429" s="270"/>
      <c r="R429" s="270"/>
    </row>
    <row r="430" spans="1:18" s="267" customFormat="1">
      <c r="A430" s="270"/>
      <c r="B430" s="270"/>
      <c r="C430" s="270"/>
      <c r="D430" s="270"/>
      <c r="E430" s="270"/>
      <c r="F430" s="270"/>
      <c r="G430" s="270"/>
      <c r="H430" s="270"/>
      <c r="I430" s="270"/>
      <c r="J430" s="270"/>
      <c r="K430" s="302"/>
      <c r="L430" s="270"/>
      <c r="M430" s="270"/>
      <c r="N430" s="270"/>
      <c r="O430" s="270"/>
      <c r="P430" s="270"/>
      <c r="Q430" s="270"/>
      <c r="R430" s="270"/>
    </row>
    <row r="431" spans="1:18" s="267" customFormat="1">
      <c r="A431" s="270"/>
      <c r="B431" s="270"/>
      <c r="C431" s="270"/>
      <c r="D431" s="270"/>
      <c r="E431" s="270"/>
      <c r="F431" s="270"/>
      <c r="G431" s="270"/>
      <c r="H431" s="270"/>
      <c r="I431" s="270"/>
      <c r="J431" s="270"/>
      <c r="K431" s="302"/>
      <c r="L431" s="270"/>
      <c r="M431" s="270"/>
      <c r="N431" s="270"/>
      <c r="O431" s="270"/>
      <c r="P431" s="270"/>
      <c r="Q431" s="270"/>
      <c r="R431" s="270"/>
    </row>
    <row r="432" spans="1:18" s="267" customFormat="1">
      <c r="A432" s="270"/>
      <c r="B432" s="270"/>
      <c r="C432" s="270"/>
      <c r="D432" s="270"/>
      <c r="E432" s="270"/>
      <c r="F432" s="270"/>
      <c r="G432" s="270"/>
      <c r="H432" s="270"/>
      <c r="I432" s="270"/>
      <c r="J432" s="270"/>
      <c r="K432" s="302"/>
      <c r="L432" s="270"/>
      <c r="M432" s="270"/>
      <c r="N432" s="270"/>
      <c r="O432" s="270"/>
      <c r="P432" s="270"/>
      <c r="Q432" s="270"/>
      <c r="R432" s="270"/>
    </row>
    <row r="433" spans="1:18" s="267" customFormat="1">
      <c r="A433" s="270"/>
      <c r="B433" s="270"/>
      <c r="C433" s="270"/>
      <c r="D433" s="270"/>
      <c r="E433" s="270"/>
      <c r="F433" s="270"/>
      <c r="G433" s="270"/>
      <c r="H433" s="270"/>
      <c r="I433" s="270"/>
      <c r="J433" s="270"/>
      <c r="K433" s="302"/>
      <c r="L433" s="270"/>
      <c r="M433" s="270"/>
      <c r="N433" s="270"/>
      <c r="O433" s="270"/>
      <c r="P433" s="270"/>
      <c r="Q433" s="270"/>
      <c r="R433" s="270"/>
    </row>
    <row r="434" spans="1:18" s="267" customFormat="1">
      <c r="A434" s="270"/>
      <c r="B434" s="270"/>
      <c r="C434" s="270"/>
      <c r="D434" s="270"/>
      <c r="E434" s="270"/>
      <c r="F434" s="270"/>
      <c r="G434" s="270"/>
      <c r="H434" s="270"/>
      <c r="I434" s="270"/>
      <c r="J434" s="270"/>
      <c r="K434" s="302"/>
      <c r="L434" s="270"/>
      <c r="M434" s="270"/>
      <c r="N434" s="270"/>
      <c r="O434" s="270"/>
      <c r="P434" s="270"/>
      <c r="Q434" s="270"/>
      <c r="R434" s="270"/>
    </row>
    <row r="435" spans="1:18" s="267" customFormat="1">
      <c r="A435" s="270"/>
      <c r="B435" s="270"/>
      <c r="C435" s="270"/>
      <c r="D435" s="270"/>
      <c r="E435" s="270"/>
      <c r="F435" s="270"/>
      <c r="G435" s="270"/>
      <c r="H435" s="270"/>
      <c r="I435" s="270"/>
      <c r="J435" s="270"/>
      <c r="K435" s="302"/>
      <c r="L435" s="270"/>
      <c r="M435" s="270"/>
      <c r="N435" s="270"/>
      <c r="O435" s="270"/>
      <c r="P435" s="270"/>
      <c r="Q435" s="270"/>
      <c r="R435" s="270"/>
    </row>
    <row r="436" spans="1:18" s="267" customFormat="1">
      <c r="A436" s="270"/>
      <c r="B436" s="270"/>
      <c r="C436" s="270"/>
      <c r="D436" s="270"/>
      <c r="E436" s="270"/>
      <c r="F436" s="270"/>
      <c r="G436" s="270"/>
      <c r="H436" s="270"/>
      <c r="I436" s="270"/>
      <c r="J436" s="270"/>
      <c r="K436" s="302"/>
      <c r="L436" s="270"/>
      <c r="M436" s="270"/>
      <c r="N436" s="270"/>
      <c r="O436" s="270"/>
      <c r="P436" s="270"/>
      <c r="Q436" s="270"/>
      <c r="R436" s="270"/>
    </row>
    <row r="437" spans="1:18" s="267" customFormat="1">
      <c r="A437" s="270"/>
      <c r="B437" s="270"/>
      <c r="C437" s="270"/>
      <c r="D437" s="270"/>
      <c r="E437" s="270"/>
      <c r="F437" s="270"/>
      <c r="G437" s="270"/>
      <c r="H437" s="270"/>
      <c r="I437" s="270"/>
      <c r="J437" s="270"/>
      <c r="K437" s="302"/>
      <c r="L437" s="270"/>
      <c r="M437" s="270"/>
      <c r="N437" s="270"/>
      <c r="O437" s="270"/>
      <c r="P437" s="270"/>
      <c r="Q437" s="270"/>
      <c r="R437" s="270"/>
    </row>
    <row r="438" spans="1:18" s="267" customFormat="1">
      <c r="A438" s="270"/>
      <c r="B438" s="270"/>
      <c r="C438" s="270"/>
      <c r="D438" s="270"/>
      <c r="E438" s="270"/>
      <c r="F438" s="270"/>
      <c r="G438" s="270"/>
      <c r="H438" s="270"/>
      <c r="I438" s="270"/>
      <c r="J438" s="270"/>
      <c r="K438" s="302"/>
      <c r="L438" s="270"/>
      <c r="M438" s="270"/>
      <c r="N438" s="270"/>
      <c r="O438" s="270"/>
      <c r="P438" s="270"/>
      <c r="Q438" s="270"/>
      <c r="R438" s="270"/>
    </row>
    <row r="439" spans="1:18" s="267" customFormat="1">
      <c r="A439" s="270"/>
      <c r="B439" s="270"/>
      <c r="C439" s="270"/>
      <c r="D439" s="270"/>
      <c r="E439" s="270"/>
      <c r="F439" s="270"/>
      <c r="G439" s="270"/>
      <c r="H439" s="270"/>
      <c r="I439" s="270"/>
      <c r="J439" s="270"/>
      <c r="K439" s="302"/>
      <c r="L439" s="270"/>
      <c r="M439" s="270"/>
      <c r="N439" s="270"/>
      <c r="O439" s="270"/>
      <c r="P439" s="270"/>
      <c r="Q439" s="270"/>
      <c r="R439" s="270"/>
    </row>
    <row r="440" spans="1:18" s="267" customFormat="1">
      <c r="A440" s="270"/>
      <c r="B440" s="270"/>
      <c r="C440" s="270"/>
      <c r="D440" s="270"/>
      <c r="E440" s="270"/>
      <c r="F440" s="270"/>
      <c r="G440" s="270"/>
      <c r="H440" s="270"/>
      <c r="I440" s="270"/>
      <c r="J440" s="270"/>
      <c r="K440" s="302"/>
      <c r="L440" s="270"/>
      <c r="M440" s="270"/>
      <c r="N440" s="270"/>
      <c r="O440" s="270"/>
      <c r="P440" s="270"/>
      <c r="Q440" s="270"/>
      <c r="R440" s="270"/>
    </row>
    <row r="441" spans="1:18" s="267" customFormat="1">
      <c r="A441" s="270"/>
      <c r="B441" s="270"/>
      <c r="C441" s="270"/>
      <c r="D441" s="270"/>
      <c r="E441" s="270"/>
      <c r="F441" s="270"/>
      <c r="G441" s="270"/>
      <c r="H441" s="270"/>
      <c r="I441" s="270"/>
      <c r="J441" s="270"/>
      <c r="K441" s="302"/>
      <c r="L441" s="270"/>
      <c r="M441" s="270"/>
      <c r="N441" s="270"/>
      <c r="O441" s="270"/>
      <c r="P441" s="270"/>
      <c r="Q441" s="270"/>
      <c r="R441" s="270"/>
    </row>
    <row r="442" spans="1:18" s="267" customFormat="1">
      <c r="A442" s="270"/>
      <c r="B442" s="270"/>
      <c r="C442" s="270"/>
      <c r="D442" s="270"/>
      <c r="E442" s="270"/>
      <c r="F442" s="270"/>
      <c r="G442" s="270"/>
      <c r="H442" s="270"/>
      <c r="I442" s="270"/>
      <c r="J442" s="270"/>
      <c r="K442" s="302"/>
      <c r="L442" s="270"/>
      <c r="M442" s="270"/>
      <c r="N442" s="270"/>
      <c r="O442" s="270"/>
      <c r="P442" s="270"/>
      <c r="Q442" s="270"/>
      <c r="R442" s="270"/>
    </row>
    <row r="443" spans="1:18" s="267" customFormat="1">
      <c r="A443" s="270"/>
      <c r="B443" s="270"/>
      <c r="C443" s="270"/>
      <c r="D443" s="270"/>
      <c r="E443" s="270"/>
      <c r="F443" s="270"/>
      <c r="G443" s="270"/>
      <c r="H443" s="270"/>
      <c r="I443" s="270"/>
      <c r="J443" s="270"/>
      <c r="K443" s="302"/>
      <c r="L443" s="270"/>
      <c r="M443" s="270"/>
      <c r="N443" s="270"/>
      <c r="O443" s="270"/>
      <c r="P443" s="270"/>
      <c r="Q443" s="270"/>
      <c r="R443" s="270"/>
    </row>
    <row r="444" spans="1:18" s="267" customFormat="1">
      <c r="A444" s="270"/>
      <c r="B444" s="270"/>
      <c r="C444" s="270"/>
      <c r="D444" s="270"/>
      <c r="E444" s="270"/>
      <c r="F444" s="270"/>
      <c r="G444" s="270"/>
      <c r="H444" s="270"/>
      <c r="I444" s="270"/>
      <c r="J444" s="270"/>
      <c r="K444" s="302"/>
      <c r="L444" s="270"/>
      <c r="M444" s="270"/>
      <c r="N444" s="270"/>
      <c r="O444" s="270"/>
      <c r="P444" s="270"/>
      <c r="Q444" s="270"/>
      <c r="R444" s="270"/>
    </row>
    <row r="445" spans="1:18" s="267" customFormat="1">
      <c r="A445" s="270"/>
      <c r="B445" s="270"/>
      <c r="C445" s="270"/>
      <c r="D445" s="270"/>
      <c r="E445" s="270"/>
      <c r="F445" s="270"/>
      <c r="G445" s="270"/>
      <c r="H445" s="270"/>
      <c r="I445" s="270"/>
      <c r="J445" s="270"/>
      <c r="K445" s="302"/>
      <c r="L445" s="270"/>
      <c r="M445" s="270"/>
      <c r="N445" s="270"/>
      <c r="O445" s="270"/>
      <c r="P445" s="270"/>
      <c r="Q445" s="270"/>
      <c r="R445" s="270"/>
    </row>
    <row r="446" spans="1:18" s="267" customFormat="1">
      <c r="A446" s="270"/>
      <c r="B446" s="270"/>
      <c r="C446" s="270"/>
      <c r="D446" s="270"/>
      <c r="E446" s="270"/>
      <c r="F446" s="270"/>
      <c r="G446" s="270"/>
      <c r="H446" s="270"/>
      <c r="I446" s="270"/>
      <c r="J446" s="270"/>
      <c r="K446" s="302"/>
      <c r="L446" s="270"/>
      <c r="M446" s="270"/>
      <c r="N446" s="270"/>
      <c r="O446" s="270"/>
      <c r="P446" s="270"/>
      <c r="Q446" s="270"/>
      <c r="R446" s="270"/>
    </row>
    <row r="447" spans="1:18" s="267" customFormat="1">
      <c r="A447" s="270"/>
      <c r="B447" s="270"/>
      <c r="C447" s="270"/>
      <c r="D447" s="270"/>
      <c r="E447" s="270"/>
      <c r="F447" s="270"/>
      <c r="G447" s="270"/>
      <c r="H447" s="270"/>
      <c r="I447" s="270"/>
      <c r="J447" s="270"/>
      <c r="K447" s="302"/>
      <c r="L447" s="270"/>
      <c r="M447" s="270"/>
      <c r="N447" s="270"/>
      <c r="O447" s="270"/>
      <c r="P447" s="270"/>
      <c r="Q447" s="270"/>
      <c r="R447" s="270"/>
    </row>
    <row r="448" spans="1:18" s="267" customFormat="1">
      <c r="A448" s="270"/>
      <c r="B448" s="270"/>
      <c r="C448" s="270"/>
      <c r="D448" s="270"/>
      <c r="E448" s="270"/>
      <c r="F448" s="270"/>
      <c r="G448" s="270"/>
      <c r="H448" s="270"/>
      <c r="I448" s="270"/>
      <c r="J448" s="270"/>
      <c r="K448" s="302"/>
      <c r="L448" s="270"/>
      <c r="M448" s="270"/>
      <c r="N448" s="270"/>
      <c r="O448" s="270"/>
      <c r="P448" s="270"/>
      <c r="Q448" s="270"/>
      <c r="R448" s="270"/>
    </row>
    <row r="449" spans="1:18" s="267" customFormat="1">
      <c r="A449" s="270"/>
      <c r="B449" s="270"/>
      <c r="C449" s="270"/>
      <c r="D449" s="270"/>
      <c r="E449" s="270"/>
      <c r="F449" s="270"/>
      <c r="G449" s="270"/>
      <c r="H449" s="270"/>
      <c r="I449" s="270"/>
      <c r="J449" s="270"/>
      <c r="K449" s="302"/>
      <c r="L449" s="270"/>
      <c r="M449" s="270"/>
      <c r="N449" s="270"/>
      <c r="O449" s="270"/>
      <c r="P449" s="270"/>
      <c r="Q449" s="270"/>
      <c r="R449" s="270"/>
    </row>
    <row r="450" spans="1:18" s="267" customFormat="1">
      <c r="A450" s="270"/>
      <c r="B450" s="270"/>
      <c r="C450" s="270"/>
      <c r="D450" s="270"/>
      <c r="E450" s="270"/>
      <c r="F450" s="270"/>
      <c r="G450" s="270"/>
      <c r="H450" s="270"/>
      <c r="I450" s="270"/>
      <c r="J450" s="270"/>
      <c r="K450" s="302"/>
      <c r="L450" s="270"/>
      <c r="M450" s="270"/>
      <c r="N450" s="270"/>
      <c r="O450" s="270"/>
      <c r="P450" s="270"/>
      <c r="Q450" s="270"/>
      <c r="R450" s="270"/>
    </row>
    <row r="451" spans="1:18" s="267" customFormat="1">
      <c r="A451" s="270"/>
      <c r="B451" s="270"/>
      <c r="C451" s="270"/>
      <c r="D451" s="270"/>
      <c r="E451" s="270"/>
      <c r="F451" s="270"/>
      <c r="G451" s="270"/>
      <c r="H451" s="270"/>
      <c r="I451" s="270"/>
      <c r="J451" s="270"/>
      <c r="K451" s="302"/>
      <c r="L451" s="270"/>
      <c r="M451" s="270"/>
      <c r="N451" s="270"/>
      <c r="O451" s="270"/>
      <c r="P451" s="270"/>
      <c r="Q451" s="270"/>
      <c r="R451" s="270"/>
    </row>
    <row r="452" spans="1:18" s="267" customFormat="1">
      <c r="A452" s="270"/>
      <c r="B452" s="270"/>
      <c r="C452" s="270"/>
      <c r="D452" s="270"/>
      <c r="E452" s="270"/>
      <c r="F452" s="270"/>
      <c r="G452" s="270"/>
      <c r="H452" s="270"/>
      <c r="I452" s="270"/>
      <c r="J452" s="270"/>
      <c r="K452" s="302"/>
      <c r="L452" s="270"/>
      <c r="M452" s="270"/>
      <c r="N452" s="270"/>
      <c r="O452" s="270"/>
      <c r="P452" s="270"/>
      <c r="Q452" s="270"/>
      <c r="R452" s="270"/>
    </row>
    <row r="453" spans="1:18" s="267" customFormat="1">
      <c r="A453" s="270"/>
      <c r="B453" s="270"/>
      <c r="C453" s="270"/>
      <c r="D453" s="270"/>
      <c r="E453" s="270"/>
      <c r="F453" s="270"/>
      <c r="G453" s="270"/>
      <c r="H453" s="270"/>
      <c r="I453" s="270"/>
      <c r="J453" s="270"/>
      <c r="K453" s="302"/>
      <c r="L453" s="270"/>
      <c r="M453" s="270"/>
      <c r="N453" s="270"/>
      <c r="O453" s="270"/>
      <c r="P453" s="270"/>
      <c r="Q453" s="270"/>
      <c r="R453" s="270"/>
    </row>
    <row r="454" spans="1:18" s="267" customFormat="1">
      <c r="A454" s="270"/>
      <c r="B454" s="270"/>
      <c r="C454" s="270"/>
      <c r="D454" s="270"/>
      <c r="E454" s="270"/>
      <c r="F454" s="270"/>
      <c r="G454" s="270"/>
      <c r="H454" s="270"/>
      <c r="I454" s="270"/>
      <c r="J454" s="270"/>
      <c r="K454" s="302"/>
      <c r="L454" s="270"/>
      <c r="M454" s="270"/>
      <c r="N454" s="270"/>
      <c r="O454" s="270"/>
      <c r="P454" s="270"/>
      <c r="Q454" s="270"/>
      <c r="R454" s="270"/>
    </row>
    <row r="455" spans="1:18" s="267" customFormat="1">
      <c r="A455" s="270"/>
      <c r="B455" s="270"/>
      <c r="C455" s="270"/>
      <c r="D455" s="270"/>
      <c r="E455" s="270"/>
      <c r="F455" s="270"/>
      <c r="G455" s="270"/>
      <c r="H455" s="270"/>
      <c r="I455" s="270"/>
      <c r="J455" s="270"/>
      <c r="K455" s="302"/>
      <c r="L455" s="270"/>
      <c r="M455" s="270"/>
      <c r="N455" s="270"/>
      <c r="O455" s="270"/>
      <c r="P455" s="270"/>
      <c r="Q455" s="270"/>
      <c r="R455" s="270"/>
    </row>
    <row r="456" spans="1:18" s="267" customFormat="1">
      <c r="A456" s="270"/>
      <c r="B456" s="270"/>
      <c r="C456" s="270"/>
      <c r="D456" s="270"/>
      <c r="E456" s="270"/>
      <c r="F456" s="270"/>
      <c r="G456" s="270"/>
      <c r="H456" s="270"/>
      <c r="I456" s="270"/>
      <c r="J456" s="270"/>
      <c r="K456" s="302"/>
      <c r="L456" s="270"/>
      <c r="M456" s="270"/>
      <c r="N456" s="270"/>
      <c r="O456" s="270"/>
      <c r="P456" s="270"/>
      <c r="Q456" s="270"/>
      <c r="R456" s="270"/>
    </row>
    <row r="457" spans="1:18" s="267" customFormat="1">
      <c r="A457" s="270"/>
      <c r="B457" s="270"/>
      <c r="C457" s="270"/>
      <c r="D457" s="270"/>
      <c r="E457" s="270"/>
      <c r="F457" s="270"/>
      <c r="G457" s="270"/>
      <c r="H457" s="270"/>
      <c r="I457" s="270"/>
      <c r="J457" s="270"/>
      <c r="K457" s="302"/>
      <c r="L457" s="270"/>
      <c r="M457" s="270"/>
      <c r="N457" s="270"/>
      <c r="O457" s="270"/>
      <c r="P457" s="270"/>
      <c r="Q457" s="270"/>
      <c r="R457" s="270"/>
    </row>
    <row r="458" spans="1:18" s="267" customFormat="1">
      <c r="A458" s="270"/>
      <c r="B458" s="270"/>
      <c r="C458" s="270"/>
      <c r="D458" s="270"/>
      <c r="E458" s="270"/>
      <c r="F458" s="270"/>
      <c r="G458" s="270"/>
      <c r="H458" s="270"/>
      <c r="I458" s="270"/>
      <c r="J458" s="270"/>
      <c r="K458" s="302"/>
      <c r="L458" s="270"/>
      <c r="M458" s="270"/>
      <c r="N458" s="270"/>
      <c r="O458" s="270"/>
      <c r="P458" s="270"/>
      <c r="Q458" s="270"/>
      <c r="R458" s="270"/>
    </row>
    <row r="459" spans="1:18" s="267" customFormat="1">
      <c r="A459" s="270"/>
      <c r="B459" s="270"/>
      <c r="C459" s="270"/>
      <c r="D459" s="270"/>
      <c r="E459" s="270"/>
      <c r="F459" s="270"/>
      <c r="G459" s="270"/>
      <c r="H459" s="270"/>
      <c r="I459" s="270"/>
      <c r="J459" s="270"/>
      <c r="K459" s="302"/>
      <c r="L459" s="270"/>
      <c r="M459" s="270"/>
      <c r="N459" s="270"/>
      <c r="O459" s="270"/>
      <c r="P459" s="270"/>
      <c r="Q459" s="270"/>
      <c r="R459" s="270"/>
    </row>
    <row r="460" spans="1:18" s="267" customFormat="1">
      <c r="A460" s="270"/>
      <c r="B460" s="270"/>
      <c r="C460" s="270"/>
      <c r="D460" s="270"/>
      <c r="E460" s="270"/>
      <c r="F460" s="270"/>
      <c r="G460" s="270"/>
      <c r="H460" s="270"/>
      <c r="I460" s="270"/>
      <c r="J460" s="270"/>
      <c r="K460" s="302"/>
      <c r="L460" s="270"/>
      <c r="M460" s="270"/>
      <c r="N460" s="270"/>
      <c r="O460" s="270"/>
      <c r="P460" s="270"/>
      <c r="Q460" s="270"/>
      <c r="R460" s="270"/>
    </row>
    <row r="461" spans="1:18" s="267" customFormat="1">
      <c r="A461" s="270"/>
      <c r="B461" s="270"/>
      <c r="C461" s="270"/>
      <c r="D461" s="270"/>
      <c r="E461" s="270"/>
      <c r="F461" s="270"/>
      <c r="G461" s="270"/>
      <c r="H461" s="270"/>
      <c r="I461" s="270"/>
      <c r="J461" s="270"/>
      <c r="K461" s="302"/>
      <c r="L461" s="270"/>
      <c r="M461" s="270"/>
      <c r="N461" s="270"/>
      <c r="O461" s="270"/>
      <c r="P461" s="270"/>
      <c r="Q461" s="270"/>
      <c r="R461" s="270"/>
    </row>
    <row r="462" spans="1:18" s="267" customFormat="1">
      <c r="A462" s="270"/>
      <c r="B462" s="270"/>
      <c r="C462" s="270"/>
      <c r="D462" s="270"/>
      <c r="E462" s="270"/>
      <c r="F462" s="270"/>
      <c r="G462" s="270"/>
      <c r="H462" s="270"/>
      <c r="I462" s="270"/>
      <c r="J462" s="270"/>
      <c r="K462" s="302"/>
      <c r="L462" s="270"/>
      <c r="M462" s="270"/>
      <c r="N462" s="270"/>
      <c r="O462" s="270"/>
      <c r="P462" s="270"/>
      <c r="Q462" s="270"/>
      <c r="R462" s="270"/>
    </row>
    <row r="463" spans="1:18" s="267" customFormat="1">
      <c r="A463" s="270"/>
      <c r="B463" s="270"/>
      <c r="C463" s="270"/>
      <c r="D463" s="270"/>
      <c r="E463" s="270"/>
      <c r="F463" s="270"/>
      <c r="G463" s="270"/>
      <c r="H463" s="270"/>
      <c r="I463" s="270"/>
      <c r="J463" s="270"/>
      <c r="K463" s="302"/>
      <c r="L463" s="270"/>
      <c r="M463" s="270"/>
      <c r="N463" s="270"/>
      <c r="O463" s="270"/>
      <c r="P463" s="270"/>
      <c r="Q463" s="270"/>
      <c r="R463" s="270"/>
    </row>
    <row r="464" spans="1:18" s="267" customFormat="1">
      <c r="A464" s="270"/>
      <c r="B464" s="270"/>
      <c r="C464" s="270"/>
      <c r="D464" s="270"/>
      <c r="E464" s="270"/>
      <c r="F464" s="270"/>
      <c r="G464" s="270"/>
      <c r="H464" s="270"/>
      <c r="I464" s="270"/>
      <c r="J464" s="270"/>
      <c r="K464" s="302"/>
      <c r="L464" s="270"/>
      <c r="M464" s="270"/>
      <c r="N464" s="270"/>
      <c r="O464" s="270"/>
      <c r="P464" s="270"/>
      <c r="Q464" s="270"/>
      <c r="R464" s="270"/>
    </row>
    <row r="465" spans="1:18" s="267" customFormat="1">
      <c r="A465" s="270"/>
      <c r="B465" s="270"/>
      <c r="C465" s="270"/>
      <c r="D465" s="270"/>
      <c r="E465" s="270"/>
      <c r="F465" s="270"/>
      <c r="G465" s="270"/>
      <c r="H465" s="270"/>
      <c r="I465" s="270"/>
      <c r="J465" s="270"/>
      <c r="K465" s="302"/>
      <c r="L465" s="270"/>
      <c r="M465" s="270"/>
      <c r="N465" s="270"/>
      <c r="O465" s="270"/>
      <c r="P465" s="270"/>
      <c r="Q465" s="270"/>
      <c r="R465" s="270"/>
    </row>
    <row r="466" spans="1:18" s="267" customFormat="1">
      <c r="A466" s="270"/>
      <c r="B466" s="270"/>
      <c r="C466" s="270"/>
      <c r="D466" s="270"/>
      <c r="E466" s="270"/>
      <c r="F466" s="270"/>
      <c r="G466" s="270"/>
      <c r="H466" s="270"/>
      <c r="I466" s="270"/>
      <c r="J466" s="270"/>
      <c r="K466" s="302"/>
      <c r="L466" s="270"/>
      <c r="M466" s="270"/>
      <c r="N466" s="270"/>
      <c r="O466" s="270"/>
      <c r="P466" s="270"/>
      <c r="Q466" s="270"/>
      <c r="R466" s="270"/>
    </row>
    <row r="467" spans="1:18" s="267" customFormat="1">
      <c r="A467" s="270"/>
      <c r="B467" s="270"/>
      <c r="C467" s="270"/>
      <c r="D467" s="270"/>
      <c r="E467" s="270"/>
      <c r="F467" s="270"/>
      <c r="G467" s="270"/>
      <c r="H467" s="270"/>
      <c r="I467" s="270"/>
      <c r="J467" s="270"/>
      <c r="K467" s="302"/>
      <c r="L467" s="270"/>
      <c r="M467" s="270"/>
      <c r="N467" s="270"/>
      <c r="O467" s="270"/>
      <c r="P467" s="270"/>
      <c r="Q467" s="270"/>
      <c r="R467" s="270"/>
    </row>
    <row r="468" spans="1:18" s="267" customFormat="1">
      <c r="A468" s="270"/>
      <c r="B468" s="270"/>
      <c r="C468" s="270"/>
      <c r="D468" s="270"/>
      <c r="E468" s="270"/>
      <c r="F468" s="270"/>
      <c r="G468" s="270"/>
      <c r="H468" s="270"/>
      <c r="I468" s="270"/>
      <c r="J468" s="270"/>
      <c r="K468" s="302"/>
      <c r="L468" s="270"/>
      <c r="M468" s="270"/>
      <c r="N468" s="270"/>
      <c r="O468" s="270"/>
      <c r="P468" s="270"/>
      <c r="Q468" s="270"/>
      <c r="R468" s="270"/>
    </row>
    <row r="469" spans="1:18" s="267" customFormat="1">
      <c r="A469" s="270"/>
      <c r="B469" s="270"/>
      <c r="C469" s="270"/>
      <c r="D469" s="270"/>
      <c r="E469" s="270"/>
      <c r="F469" s="270"/>
      <c r="G469" s="270"/>
      <c r="H469" s="270"/>
      <c r="I469" s="270"/>
      <c r="J469" s="270"/>
      <c r="K469" s="302"/>
      <c r="L469" s="270"/>
      <c r="M469" s="270"/>
      <c r="N469" s="270"/>
      <c r="O469" s="270"/>
      <c r="P469" s="270"/>
      <c r="Q469" s="270"/>
      <c r="R469" s="270"/>
    </row>
    <row r="470" spans="1:18" s="267" customFormat="1">
      <c r="A470" s="270"/>
      <c r="B470" s="270"/>
      <c r="C470" s="270"/>
      <c r="D470" s="270"/>
      <c r="E470" s="270"/>
      <c r="F470" s="270"/>
      <c r="G470" s="270"/>
      <c r="H470" s="270"/>
      <c r="I470" s="270"/>
      <c r="J470" s="270"/>
      <c r="K470" s="302"/>
      <c r="L470" s="270"/>
      <c r="M470" s="270"/>
      <c r="N470" s="270"/>
      <c r="O470" s="270"/>
      <c r="P470" s="270"/>
      <c r="Q470" s="270"/>
      <c r="R470" s="270"/>
    </row>
    <row r="471" spans="1:18" s="267" customFormat="1">
      <c r="A471" s="270"/>
      <c r="B471" s="270"/>
      <c r="C471" s="270"/>
      <c r="D471" s="270"/>
      <c r="E471" s="270"/>
      <c r="F471" s="270"/>
      <c r="G471" s="270"/>
      <c r="H471" s="270"/>
      <c r="I471" s="270"/>
      <c r="J471" s="270"/>
      <c r="K471" s="302"/>
      <c r="L471" s="270"/>
      <c r="M471" s="270"/>
      <c r="N471" s="270"/>
      <c r="O471" s="270"/>
      <c r="P471" s="270"/>
      <c r="Q471" s="270"/>
      <c r="R471" s="270"/>
    </row>
    <row r="472" spans="1:18" s="267" customFormat="1">
      <c r="A472" s="270"/>
      <c r="B472" s="270"/>
      <c r="C472" s="270"/>
      <c r="D472" s="270"/>
      <c r="E472" s="270"/>
      <c r="F472" s="270"/>
      <c r="G472" s="270"/>
      <c r="H472" s="270"/>
      <c r="I472" s="270"/>
      <c r="J472" s="270"/>
      <c r="K472" s="302"/>
      <c r="L472" s="270"/>
      <c r="M472" s="270"/>
      <c r="N472" s="270"/>
      <c r="O472" s="270"/>
      <c r="P472" s="270"/>
      <c r="Q472" s="270"/>
      <c r="R472" s="270"/>
    </row>
    <row r="473" spans="1:18" s="267" customFormat="1">
      <c r="A473" s="270"/>
      <c r="B473" s="270"/>
      <c r="C473" s="270"/>
      <c r="D473" s="270"/>
      <c r="E473" s="270"/>
      <c r="F473" s="270"/>
      <c r="G473" s="270"/>
      <c r="H473" s="270"/>
      <c r="I473" s="270"/>
      <c r="J473" s="270"/>
      <c r="K473" s="302"/>
      <c r="L473" s="270"/>
      <c r="M473" s="270"/>
      <c r="N473" s="270"/>
      <c r="O473" s="270"/>
      <c r="P473" s="270"/>
      <c r="Q473" s="270"/>
      <c r="R473" s="270"/>
    </row>
    <row r="474" spans="1:18" s="267" customFormat="1">
      <c r="A474" s="270"/>
      <c r="B474" s="270"/>
      <c r="C474" s="270"/>
      <c r="D474" s="270"/>
      <c r="E474" s="270"/>
      <c r="F474" s="270"/>
      <c r="G474" s="270"/>
      <c r="H474" s="270"/>
      <c r="I474" s="270"/>
      <c r="J474" s="270"/>
      <c r="K474" s="302"/>
      <c r="L474" s="270"/>
      <c r="M474" s="270"/>
      <c r="N474" s="270"/>
      <c r="O474" s="270"/>
      <c r="P474" s="270"/>
      <c r="Q474" s="270"/>
      <c r="R474" s="270"/>
    </row>
    <row r="475" spans="1:18" s="267" customFormat="1">
      <c r="A475" s="270"/>
      <c r="B475" s="270"/>
      <c r="C475" s="270"/>
      <c r="D475" s="270"/>
      <c r="E475" s="270"/>
      <c r="F475" s="270"/>
      <c r="G475" s="270"/>
      <c r="H475" s="270"/>
      <c r="I475" s="270"/>
      <c r="J475" s="270"/>
      <c r="K475" s="302"/>
      <c r="L475" s="270"/>
      <c r="M475" s="270"/>
      <c r="N475" s="270"/>
      <c r="O475" s="270"/>
      <c r="P475" s="270"/>
      <c r="Q475" s="270"/>
      <c r="R475" s="270"/>
    </row>
    <row r="476" spans="1:18" s="267" customFormat="1">
      <c r="A476" s="270"/>
      <c r="B476" s="270"/>
      <c r="C476" s="270"/>
      <c r="D476" s="270"/>
      <c r="E476" s="270"/>
      <c r="F476" s="270"/>
      <c r="G476" s="270"/>
      <c r="H476" s="270"/>
      <c r="I476" s="270"/>
      <c r="J476" s="270"/>
      <c r="K476" s="302"/>
      <c r="L476" s="270"/>
      <c r="M476" s="270"/>
      <c r="N476" s="270"/>
      <c r="O476" s="270"/>
      <c r="P476" s="270"/>
      <c r="Q476" s="270"/>
      <c r="R476" s="270"/>
    </row>
    <row r="477" spans="1:18" s="267" customFormat="1">
      <c r="A477" s="270"/>
      <c r="B477" s="270"/>
      <c r="C477" s="270"/>
      <c r="D477" s="270"/>
      <c r="E477" s="270"/>
      <c r="F477" s="270"/>
      <c r="G477" s="270"/>
      <c r="H477" s="270"/>
      <c r="I477" s="270"/>
      <c r="J477" s="270"/>
      <c r="K477" s="302"/>
      <c r="L477" s="270"/>
      <c r="M477" s="270"/>
      <c r="N477" s="270"/>
      <c r="O477" s="270"/>
      <c r="P477" s="270"/>
      <c r="Q477" s="270"/>
      <c r="R477" s="270"/>
    </row>
    <row r="478" spans="1:18" s="267" customFormat="1">
      <c r="A478" s="270"/>
      <c r="B478" s="270"/>
      <c r="C478" s="270"/>
      <c r="D478" s="270"/>
      <c r="E478" s="270"/>
      <c r="F478" s="270"/>
      <c r="G478" s="270"/>
      <c r="H478" s="270"/>
      <c r="I478" s="270"/>
      <c r="J478" s="270"/>
      <c r="K478" s="302"/>
      <c r="L478" s="270"/>
      <c r="M478" s="270"/>
      <c r="N478" s="270"/>
      <c r="O478" s="270"/>
      <c r="P478" s="270"/>
      <c r="Q478" s="270"/>
      <c r="R478" s="270"/>
    </row>
    <row r="479" spans="1:18" s="267" customFormat="1">
      <c r="A479" s="270"/>
      <c r="B479" s="270"/>
      <c r="C479" s="270"/>
      <c r="D479" s="270"/>
      <c r="E479" s="270"/>
      <c r="F479" s="270"/>
      <c r="G479" s="270"/>
      <c r="H479" s="270"/>
      <c r="I479" s="270"/>
      <c r="J479" s="270"/>
      <c r="K479" s="302"/>
      <c r="L479" s="270"/>
      <c r="M479" s="270"/>
      <c r="N479" s="270"/>
      <c r="O479" s="270"/>
      <c r="P479" s="270"/>
      <c r="Q479" s="270"/>
      <c r="R479" s="270"/>
    </row>
    <row r="480" spans="1:18" s="267" customFormat="1">
      <c r="A480" s="270"/>
      <c r="B480" s="270"/>
      <c r="C480" s="270"/>
      <c r="D480" s="270"/>
      <c r="E480" s="270"/>
      <c r="F480" s="270"/>
      <c r="G480" s="270"/>
      <c r="H480" s="270"/>
      <c r="I480" s="270"/>
      <c r="J480" s="270"/>
      <c r="K480" s="302"/>
      <c r="L480" s="270"/>
      <c r="M480" s="270"/>
      <c r="N480" s="270"/>
      <c r="O480" s="270"/>
      <c r="P480" s="270"/>
      <c r="Q480" s="270"/>
      <c r="R480" s="270"/>
    </row>
    <row r="481" spans="1:18" s="267" customFormat="1">
      <c r="A481" s="270"/>
      <c r="B481" s="270"/>
      <c r="C481" s="270"/>
      <c r="D481" s="270"/>
      <c r="E481" s="270"/>
      <c r="F481" s="270"/>
      <c r="G481" s="270"/>
      <c r="H481" s="270"/>
      <c r="I481" s="270"/>
      <c r="J481" s="270"/>
      <c r="K481" s="302"/>
      <c r="L481" s="270"/>
      <c r="M481" s="270"/>
      <c r="N481" s="270"/>
      <c r="O481" s="270"/>
      <c r="P481" s="270"/>
      <c r="Q481" s="270"/>
      <c r="R481" s="270"/>
    </row>
    <row r="482" spans="1:18" s="267" customFormat="1">
      <c r="A482" s="270"/>
      <c r="B482" s="270"/>
      <c r="C482" s="270"/>
      <c r="D482" s="270"/>
      <c r="E482" s="270"/>
      <c r="F482" s="270"/>
      <c r="G482" s="270"/>
      <c r="H482" s="270"/>
      <c r="I482" s="270"/>
      <c r="J482" s="270"/>
      <c r="K482" s="302"/>
      <c r="L482" s="270"/>
      <c r="M482" s="270"/>
      <c r="N482" s="270"/>
      <c r="O482" s="270"/>
      <c r="P482" s="270"/>
      <c r="Q482" s="270"/>
      <c r="R482" s="270"/>
    </row>
    <row r="483" spans="1:18" s="267" customFormat="1">
      <c r="A483" s="270"/>
      <c r="B483" s="270"/>
      <c r="C483" s="270"/>
      <c r="D483" s="270"/>
      <c r="E483" s="270"/>
      <c r="F483" s="270"/>
      <c r="G483" s="270"/>
      <c r="H483" s="270"/>
      <c r="I483" s="270"/>
      <c r="J483" s="270"/>
      <c r="K483" s="302"/>
      <c r="L483" s="270"/>
      <c r="M483" s="270"/>
      <c r="N483" s="270"/>
      <c r="O483" s="270"/>
      <c r="P483" s="270"/>
      <c r="Q483" s="270"/>
      <c r="R483" s="270"/>
    </row>
    <row r="484" spans="1:18" s="267" customFormat="1">
      <c r="A484" s="270"/>
      <c r="B484" s="270"/>
      <c r="C484" s="270"/>
      <c r="D484" s="270"/>
      <c r="E484" s="270"/>
      <c r="F484" s="270"/>
      <c r="G484" s="270"/>
      <c r="H484" s="270"/>
      <c r="I484" s="270"/>
      <c r="J484" s="270"/>
      <c r="K484" s="302"/>
      <c r="L484" s="270"/>
      <c r="M484" s="270"/>
      <c r="N484" s="270"/>
      <c r="O484" s="270"/>
      <c r="P484" s="270"/>
      <c r="Q484" s="270"/>
      <c r="R484" s="270"/>
    </row>
    <row r="485" spans="1:18" s="267" customFormat="1">
      <c r="A485" s="270"/>
      <c r="B485" s="270"/>
      <c r="C485" s="270"/>
      <c r="D485" s="270"/>
      <c r="E485" s="270"/>
      <c r="F485" s="270"/>
      <c r="G485" s="270"/>
      <c r="H485" s="270"/>
      <c r="I485" s="270"/>
      <c r="J485" s="270"/>
      <c r="K485" s="302"/>
      <c r="L485" s="270"/>
      <c r="M485" s="270"/>
      <c r="N485" s="270"/>
      <c r="O485" s="270"/>
      <c r="P485" s="270"/>
      <c r="Q485" s="270"/>
      <c r="R485" s="270"/>
    </row>
    <row r="486" spans="1:18" s="267" customFormat="1">
      <c r="A486" s="270"/>
      <c r="B486" s="270"/>
      <c r="C486" s="270"/>
      <c r="D486" s="270"/>
      <c r="E486" s="270"/>
      <c r="F486" s="270"/>
      <c r="G486" s="270"/>
      <c r="H486" s="270"/>
      <c r="I486" s="270"/>
      <c r="J486" s="270"/>
      <c r="K486" s="302"/>
      <c r="L486" s="270"/>
      <c r="M486" s="270"/>
      <c r="N486" s="270"/>
      <c r="O486" s="270"/>
      <c r="P486" s="270"/>
      <c r="Q486" s="270"/>
      <c r="R486" s="270"/>
    </row>
    <row r="487" spans="1:18" s="267" customFormat="1">
      <c r="A487" s="270"/>
      <c r="B487" s="270"/>
      <c r="C487" s="270"/>
      <c r="D487" s="270"/>
      <c r="E487" s="270"/>
      <c r="F487" s="270"/>
      <c r="G487" s="270"/>
      <c r="H487" s="270"/>
      <c r="I487" s="270"/>
      <c r="J487" s="270"/>
      <c r="K487" s="302"/>
      <c r="L487" s="270"/>
      <c r="M487" s="270"/>
      <c r="N487" s="270"/>
      <c r="O487" s="270"/>
      <c r="P487" s="270"/>
      <c r="Q487" s="270"/>
      <c r="R487" s="270"/>
    </row>
    <row r="488" spans="1:18" s="267" customFormat="1">
      <c r="A488" s="270"/>
      <c r="B488" s="270"/>
      <c r="C488" s="270"/>
      <c r="D488" s="270"/>
      <c r="E488" s="270"/>
      <c r="F488" s="270"/>
      <c r="G488" s="270"/>
      <c r="H488" s="270"/>
      <c r="I488" s="270"/>
      <c r="J488" s="270"/>
      <c r="K488" s="302"/>
      <c r="L488" s="270"/>
      <c r="M488" s="270"/>
      <c r="N488" s="270"/>
      <c r="O488" s="270"/>
      <c r="P488" s="270"/>
      <c r="Q488" s="270"/>
      <c r="R488" s="270"/>
    </row>
    <row r="489" spans="1:18" s="267" customFormat="1">
      <c r="A489" s="270"/>
      <c r="B489" s="270"/>
      <c r="C489" s="270"/>
      <c r="D489" s="270"/>
      <c r="E489" s="270"/>
      <c r="F489" s="270"/>
      <c r="G489" s="270"/>
      <c r="H489" s="270"/>
      <c r="I489" s="270"/>
      <c r="J489" s="270"/>
      <c r="K489" s="302"/>
      <c r="L489" s="270"/>
      <c r="M489" s="270"/>
      <c r="N489" s="270"/>
      <c r="O489" s="270"/>
      <c r="P489" s="270"/>
      <c r="Q489" s="270"/>
      <c r="R489" s="270"/>
    </row>
    <row r="490" spans="1:18" s="267" customFormat="1">
      <c r="A490" s="270"/>
      <c r="B490" s="270"/>
      <c r="C490" s="270"/>
      <c r="D490" s="270"/>
      <c r="E490" s="270"/>
      <c r="F490" s="270"/>
      <c r="G490" s="270"/>
      <c r="H490" s="270"/>
      <c r="I490" s="270"/>
      <c r="J490" s="270"/>
      <c r="K490" s="302"/>
      <c r="L490" s="270"/>
      <c r="M490" s="270"/>
      <c r="N490" s="270"/>
      <c r="O490" s="270"/>
      <c r="P490" s="270"/>
      <c r="Q490" s="270"/>
      <c r="R490" s="270"/>
    </row>
    <row r="491" spans="1:18" s="267" customFormat="1">
      <c r="A491" s="270"/>
      <c r="B491" s="270"/>
      <c r="C491" s="270"/>
      <c r="D491" s="270"/>
      <c r="E491" s="270"/>
      <c r="F491" s="270"/>
      <c r="G491" s="270"/>
      <c r="H491" s="270"/>
      <c r="I491" s="270"/>
      <c r="J491" s="270"/>
      <c r="K491" s="302"/>
      <c r="L491" s="270"/>
      <c r="M491" s="270"/>
      <c r="N491" s="270"/>
      <c r="O491" s="270"/>
      <c r="P491" s="270"/>
      <c r="Q491" s="270"/>
      <c r="R491" s="270"/>
    </row>
    <row r="492" spans="1:18" s="267" customFormat="1">
      <c r="A492" s="270"/>
      <c r="B492" s="270"/>
      <c r="C492" s="270"/>
      <c r="D492" s="270"/>
      <c r="E492" s="270"/>
      <c r="F492" s="270"/>
      <c r="G492" s="270"/>
      <c r="H492" s="270"/>
      <c r="I492" s="270"/>
      <c r="J492" s="270"/>
      <c r="K492" s="302"/>
      <c r="L492" s="270"/>
      <c r="M492" s="270"/>
      <c r="N492" s="270"/>
      <c r="O492" s="270"/>
      <c r="P492" s="270"/>
      <c r="Q492" s="270"/>
      <c r="R492" s="270"/>
    </row>
    <row r="493" spans="1:18" s="267" customFormat="1">
      <c r="A493" s="270"/>
      <c r="B493" s="270"/>
      <c r="C493" s="270"/>
      <c r="D493" s="270"/>
      <c r="E493" s="270"/>
      <c r="F493" s="270"/>
      <c r="G493" s="270"/>
      <c r="H493" s="270"/>
      <c r="I493" s="270"/>
      <c r="J493" s="270"/>
      <c r="K493" s="302"/>
      <c r="L493" s="270"/>
      <c r="M493" s="270"/>
      <c r="N493" s="270"/>
      <c r="O493" s="270"/>
      <c r="P493" s="270"/>
      <c r="Q493" s="270"/>
      <c r="R493" s="270"/>
    </row>
    <row r="494" spans="1:18" s="267" customFormat="1">
      <c r="A494" s="270"/>
      <c r="B494" s="270"/>
      <c r="C494" s="270"/>
      <c r="D494" s="270"/>
      <c r="E494" s="270"/>
      <c r="F494" s="270"/>
      <c r="G494" s="270"/>
      <c r="H494" s="270"/>
      <c r="I494" s="270"/>
      <c r="J494" s="270"/>
      <c r="K494" s="302"/>
      <c r="L494" s="270"/>
      <c r="M494" s="270"/>
      <c r="N494" s="270"/>
      <c r="O494" s="270"/>
      <c r="P494" s="270"/>
      <c r="Q494" s="270"/>
      <c r="R494" s="270"/>
    </row>
    <row r="495" spans="1:18" s="267" customFormat="1">
      <c r="A495" s="270"/>
      <c r="B495" s="270"/>
      <c r="C495" s="270"/>
      <c r="D495" s="270"/>
      <c r="E495" s="270"/>
      <c r="F495" s="270"/>
      <c r="G495" s="270"/>
      <c r="H495" s="270"/>
      <c r="I495" s="270"/>
      <c r="J495" s="270"/>
      <c r="K495" s="302"/>
      <c r="L495" s="270"/>
      <c r="M495" s="270"/>
      <c r="N495" s="270"/>
      <c r="O495" s="270"/>
      <c r="P495" s="270"/>
      <c r="Q495" s="270"/>
      <c r="R495" s="270"/>
    </row>
    <row r="496" spans="1:18" s="267" customFormat="1">
      <c r="A496" s="270"/>
      <c r="B496" s="270"/>
      <c r="C496" s="270"/>
      <c r="D496" s="270"/>
      <c r="E496" s="270"/>
      <c r="F496" s="270"/>
      <c r="G496" s="270"/>
      <c r="H496" s="270"/>
      <c r="I496" s="270"/>
      <c r="J496" s="270"/>
      <c r="K496" s="302"/>
      <c r="L496" s="270"/>
      <c r="M496" s="270"/>
      <c r="N496" s="270"/>
      <c r="O496" s="270"/>
      <c r="P496" s="270"/>
      <c r="Q496" s="270"/>
      <c r="R496" s="270"/>
    </row>
    <row r="497" spans="1:18" s="267" customFormat="1">
      <c r="A497" s="270"/>
      <c r="B497" s="270"/>
      <c r="C497" s="270"/>
      <c r="D497" s="270"/>
      <c r="E497" s="270"/>
      <c r="F497" s="270"/>
      <c r="G497" s="270"/>
      <c r="H497" s="270"/>
      <c r="I497" s="270"/>
      <c r="J497" s="270"/>
      <c r="K497" s="302"/>
      <c r="L497" s="270"/>
      <c r="M497" s="270"/>
      <c r="N497" s="270"/>
      <c r="O497" s="270"/>
      <c r="P497" s="270"/>
      <c r="Q497" s="270"/>
      <c r="R497" s="270"/>
    </row>
    <row r="498" spans="1:18" s="267" customFormat="1">
      <c r="A498" s="270"/>
      <c r="B498" s="270"/>
      <c r="C498" s="270"/>
      <c r="D498" s="270"/>
      <c r="E498" s="270"/>
      <c r="F498" s="270"/>
      <c r="G498" s="270"/>
      <c r="H498" s="270"/>
      <c r="I498" s="270"/>
      <c r="J498" s="270"/>
      <c r="K498" s="302"/>
      <c r="L498" s="270"/>
      <c r="M498" s="270"/>
      <c r="N498" s="270"/>
      <c r="O498" s="270"/>
      <c r="P498" s="270"/>
      <c r="Q498" s="270"/>
      <c r="R498" s="270"/>
    </row>
    <row r="499" spans="1:18" s="267" customFormat="1">
      <c r="A499" s="270"/>
      <c r="B499" s="270"/>
      <c r="C499" s="270"/>
      <c r="D499" s="270"/>
      <c r="E499" s="270"/>
      <c r="F499" s="270"/>
      <c r="G499" s="270"/>
      <c r="H499" s="270"/>
      <c r="I499" s="270"/>
      <c r="J499" s="270"/>
      <c r="K499" s="302"/>
      <c r="L499" s="270"/>
      <c r="M499" s="270"/>
      <c r="N499" s="270"/>
      <c r="O499" s="270"/>
      <c r="P499" s="270"/>
      <c r="Q499" s="270"/>
      <c r="R499" s="270"/>
    </row>
    <row r="500" spans="1:18" s="267" customFormat="1">
      <c r="A500" s="270"/>
      <c r="B500" s="270"/>
      <c r="C500" s="270"/>
      <c r="D500" s="270"/>
      <c r="E500" s="270"/>
      <c r="F500" s="270"/>
      <c r="G500" s="270"/>
      <c r="H500" s="270"/>
      <c r="I500" s="270"/>
      <c r="J500" s="270"/>
      <c r="K500" s="302"/>
      <c r="L500" s="270"/>
      <c r="M500" s="270"/>
      <c r="N500" s="270"/>
      <c r="O500" s="270"/>
      <c r="P500" s="270"/>
      <c r="Q500" s="270"/>
      <c r="R500" s="270"/>
    </row>
    <row r="501" spans="1:18" s="267" customFormat="1"/>
    <row r="502" spans="1:18" s="267" customFormat="1"/>
    <row r="503" spans="1:18" s="267" customFormat="1"/>
    <row r="504" spans="1:18" s="267" customFormat="1"/>
    <row r="505" spans="1:18" s="267" customFormat="1"/>
    <row r="506" spans="1:18" s="267" customFormat="1"/>
    <row r="507" spans="1:18" s="267" customFormat="1"/>
    <row r="508" spans="1:18" s="267" customFormat="1"/>
    <row r="509" spans="1:18" s="267" customFormat="1"/>
    <row r="510" spans="1:18" s="267" customFormat="1"/>
    <row r="511" spans="1:18" s="267" customFormat="1"/>
    <row r="512" spans="1:18" s="267" customFormat="1"/>
    <row r="513" s="267" customFormat="1"/>
    <row r="514" s="267" customFormat="1"/>
    <row r="515" s="267" customFormat="1"/>
    <row r="516" s="267" customFormat="1"/>
    <row r="517" s="267" customFormat="1"/>
    <row r="518" s="267" customFormat="1"/>
    <row r="519" s="267" customFormat="1"/>
    <row r="520" s="267" customFormat="1"/>
    <row r="521" s="267" customFormat="1"/>
    <row r="522" s="267" customFormat="1"/>
    <row r="523" s="267" customFormat="1"/>
    <row r="524" s="267" customFormat="1"/>
    <row r="525" s="267" customFormat="1"/>
    <row r="526" s="267" customFormat="1"/>
    <row r="527" s="267" customFormat="1"/>
    <row r="528" s="267" customFormat="1"/>
    <row r="529" s="267" customFormat="1"/>
    <row r="530" s="267" customFormat="1"/>
    <row r="531" s="267" customFormat="1"/>
    <row r="532" s="267" customFormat="1"/>
    <row r="533" s="267" customFormat="1"/>
    <row r="534" s="267" customFormat="1"/>
    <row r="535" s="267" customFormat="1"/>
    <row r="536" s="267" customFormat="1"/>
    <row r="537" s="267" customFormat="1"/>
    <row r="538" s="267" customFormat="1"/>
    <row r="539" s="267" customFormat="1"/>
    <row r="540" s="267" customFormat="1"/>
    <row r="541" s="267" customFormat="1"/>
    <row r="542" s="267" customFormat="1"/>
    <row r="543" s="267" customFormat="1"/>
    <row r="544" s="267" customFormat="1"/>
    <row r="545" s="267" customFormat="1"/>
    <row r="546" s="267" customFormat="1"/>
    <row r="547" s="267" customFormat="1"/>
    <row r="548" s="267" customFormat="1"/>
    <row r="549" s="267" customFormat="1"/>
    <row r="550" s="267" customFormat="1"/>
    <row r="551" s="267" customFormat="1"/>
    <row r="552" s="267" customFormat="1"/>
    <row r="553" s="267" customFormat="1"/>
    <row r="554" s="267" customFormat="1"/>
    <row r="555" s="267" customFormat="1"/>
    <row r="556" s="267" customFormat="1"/>
    <row r="557" s="267" customFormat="1"/>
    <row r="558" s="267" customFormat="1"/>
    <row r="559" s="267" customFormat="1"/>
    <row r="560" s="267" customFormat="1"/>
    <row r="561" s="267" customFormat="1"/>
    <row r="562" s="267" customFormat="1"/>
    <row r="563" s="267" customFormat="1"/>
    <row r="564" s="267" customFormat="1"/>
    <row r="565" s="267" customFormat="1"/>
    <row r="566" s="267" customFormat="1"/>
    <row r="567" s="267" customFormat="1"/>
    <row r="568" s="267" customFormat="1"/>
    <row r="569" s="267" customFormat="1"/>
    <row r="570" s="267" customFormat="1"/>
    <row r="571" s="267" customFormat="1"/>
    <row r="572" s="267" customFormat="1"/>
    <row r="573" s="267" customFormat="1"/>
    <row r="574" s="267" customFormat="1"/>
    <row r="575" s="267" customFormat="1"/>
    <row r="576" s="267" customFormat="1"/>
    <row r="577" s="267" customFormat="1"/>
    <row r="578" s="267" customFormat="1"/>
    <row r="579" s="267" customFormat="1"/>
    <row r="580" s="267" customFormat="1"/>
    <row r="581" s="267" customFormat="1"/>
    <row r="582" s="267" customFormat="1"/>
    <row r="583" s="267" customFormat="1"/>
    <row r="584" s="267" customFormat="1"/>
    <row r="585" s="267" customFormat="1"/>
    <row r="586" s="267" customFormat="1"/>
    <row r="587" s="267" customFormat="1"/>
    <row r="588" s="267" customFormat="1"/>
    <row r="589" s="267" customFormat="1"/>
    <row r="590" s="267" customFormat="1"/>
    <row r="591" s="267" customFormat="1"/>
    <row r="592" s="267" customFormat="1"/>
    <row r="593" s="267" customFormat="1"/>
    <row r="594" s="267" customFormat="1"/>
    <row r="595" s="267" customFormat="1"/>
    <row r="596" s="267" customFormat="1"/>
    <row r="597" s="267" customFormat="1"/>
    <row r="598" s="267" customFormat="1"/>
    <row r="599" s="267" customFormat="1"/>
    <row r="600" s="267" customFormat="1"/>
    <row r="601" s="267" customFormat="1"/>
    <row r="602" s="267" customFormat="1"/>
    <row r="603" s="267" customFormat="1"/>
    <row r="604" s="267" customFormat="1"/>
    <row r="605" s="267" customFormat="1"/>
    <row r="606" s="267" customFormat="1"/>
    <row r="607" s="267" customFormat="1"/>
    <row r="608" s="267" customFormat="1"/>
    <row r="609" s="267" customFormat="1"/>
    <row r="610" s="267" customFormat="1"/>
    <row r="611" s="267" customFormat="1"/>
    <row r="612" s="267" customFormat="1"/>
    <row r="613" s="267" customFormat="1"/>
    <row r="614" s="267" customFormat="1"/>
    <row r="615" s="267" customFormat="1"/>
    <row r="616" s="267" customFormat="1"/>
    <row r="617" s="267" customFormat="1"/>
    <row r="618" s="267" customFormat="1"/>
    <row r="619" s="267" customFormat="1"/>
    <row r="620" s="267" customFormat="1"/>
    <row r="621" s="267" customFormat="1"/>
    <row r="622" s="267" customFormat="1"/>
    <row r="623" s="267" customFormat="1"/>
    <row r="624" s="267" customFormat="1"/>
    <row r="625" s="267" customFormat="1"/>
    <row r="626" s="267" customFormat="1"/>
    <row r="627" s="267" customFormat="1"/>
    <row r="628" s="267" customFormat="1"/>
    <row r="629" s="267" customFormat="1"/>
    <row r="630" s="267" customFormat="1"/>
    <row r="631" s="267" customFormat="1"/>
    <row r="632" s="267" customFormat="1"/>
    <row r="633" s="267" customFormat="1"/>
    <row r="634" s="267" customFormat="1"/>
    <row r="635" s="267" customFormat="1"/>
    <row r="636" s="267" customFormat="1"/>
    <row r="637" s="267" customFormat="1"/>
    <row r="638" s="267" customFormat="1"/>
    <row r="639" s="267" customFormat="1"/>
    <row r="640" s="267" customFormat="1"/>
    <row r="641" s="267" customFormat="1"/>
    <row r="642" s="267" customFormat="1"/>
    <row r="643" s="267" customFormat="1"/>
    <row r="644" s="267" customFormat="1"/>
    <row r="645" s="267" customFormat="1"/>
    <row r="646" s="267" customFormat="1"/>
    <row r="647" s="267" customFormat="1"/>
    <row r="648" s="267" customFormat="1"/>
    <row r="649" s="267" customFormat="1"/>
    <row r="650" s="267" customFormat="1"/>
    <row r="651" s="267" customFormat="1"/>
    <row r="652" s="267" customFormat="1"/>
    <row r="653" s="267" customFormat="1"/>
    <row r="654" s="267" customFormat="1"/>
    <row r="655" s="267" customFormat="1"/>
    <row r="656" s="267" customFormat="1"/>
    <row r="657" s="267" customFormat="1"/>
    <row r="658" s="267" customFormat="1"/>
    <row r="659" s="267" customFormat="1"/>
    <row r="660" s="267" customFormat="1"/>
    <row r="661" s="267" customFormat="1"/>
    <row r="662" s="267" customFormat="1"/>
    <row r="663" s="267" customFormat="1"/>
    <row r="664" s="267" customFormat="1"/>
    <row r="665" s="267" customFormat="1"/>
    <row r="666" s="267" customFormat="1"/>
    <row r="667" s="267" customFormat="1"/>
    <row r="668" s="267" customFormat="1"/>
    <row r="669" s="267" customFormat="1"/>
    <row r="670" s="267" customFormat="1"/>
    <row r="671" s="267" customFormat="1"/>
    <row r="672" s="267" customFormat="1"/>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sheetPr codeName="Sheet5">
    <pageSetUpPr fitToPage="1"/>
  </sheetPr>
  <dimension ref="A1:V109"/>
  <sheetViews>
    <sheetView showZeros="0" zoomScaleNormal="100" zoomScaleSheetLayoutView="90" workbookViewId="0">
      <pane ySplit="11" topLeftCell="A30" activePane="bottomLeft" state="frozen"/>
      <selection pane="bottomLeft" activeCell="D19" sqref="D19"/>
    </sheetView>
  </sheetViews>
  <sheetFormatPr defaultColWidth="0" defaultRowHeight="14.25"/>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c r="A1" s="467" t="s">
        <v>8</v>
      </c>
      <c r="B1" s="468"/>
      <c r="C1" s="468"/>
      <c r="D1" s="468"/>
      <c r="E1" s="213"/>
      <c r="F1" s="213"/>
      <c r="G1" s="3"/>
      <c r="H1" s="3"/>
      <c r="I1" s="3"/>
      <c r="J1" s="3"/>
      <c r="K1" s="3"/>
      <c r="L1" s="3"/>
      <c r="M1" s="3"/>
      <c r="N1" s="3"/>
      <c r="O1" s="3"/>
      <c r="P1" s="3"/>
      <c r="Q1" s="3"/>
      <c r="R1" s="3"/>
      <c r="S1" s="3"/>
      <c r="T1" s="3"/>
      <c r="U1" s="3"/>
      <c r="V1" s="3"/>
    </row>
    <row r="2" spans="1:22" s="292" customFormat="1" ht="20.25" customHeight="1">
      <c r="A2" s="469" t="s">
        <v>9</v>
      </c>
      <c r="B2" s="468"/>
      <c r="C2" s="468"/>
      <c r="D2" s="468"/>
      <c r="E2" s="214"/>
      <c r="F2" s="214"/>
      <c r="G2" s="4"/>
      <c r="H2" s="4"/>
      <c r="I2" s="4"/>
      <c r="J2" s="4"/>
      <c r="K2" s="4"/>
      <c r="L2" s="4"/>
      <c r="M2" s="4"/>
      <c r="N2" s="4"/>
      <c r="O2" s="4"/>
      <c r="P2" s="4"/>
      <c r="Q2" s="4"/>
      <c r="R2" s="4"/>
      <c r="S2" s="4"/>
      <c r="T2" s="4"/>
      <c r="U2" s="4"/>
      <c r="V2" s="4"/>
    </row>
    <row r="3" spans="1:22" s="292" customFormat="1" ht="15.75" customHeight="1">
      <c r="A3" s="470" t="s">
        <v>1378</v>
      </c>
      <c r="B3" s="468"/>
      <c r="C3" s="468"/>
      <c r="D3" s="468"/>
      <c r="E3" s="215"/>
      <c r="F3" s="215"/>
      <c r="G3" s="21"/>
      <c r="H3" s="21"/>
      <c r="I3" s="21"/>
      <c r="J3" s="21"/>
      <c r="K3" s="21"/>
      <c r="L3" s="21"/>
      <c r="M3" s="21"/>
      <c r="N3" s="21"/>
      <c r="O3" s="21"/>
      <c r="P3" s="21"/>
      <c r="Q3" s="21"/>
      <c r="R3" s="21"/>
      <c r="S3" s="21"/>
      <c r="T3" s="21"/>
      <c r="U3" s="21"/>
      <c r="V3" s="21"/>
    </row>
    <row r="4" spans="1:22" s="2" customFormat="1" ht="12.75">
      <c r="A4" s="335" t="s">
        <v>10</v>
      </c>
      <c r="B4" s="244" t="str">
        <f>'Start Here'!B4:D4</f>
        <v>Pinole</v>
      </c>
      <c r="C4" s="336"/>
      <c r="D4" s="212"/>
      <c r="E4" s="212"/>
      <c r="F4" s="212"/>
      <c r="G4" s="212"/>
      <c r="H4" s="212"/>
      <c r="I4" s="212"/>
      <c r="J4" s="212"/>
    </row>
    <row r="5" spans="1:22" s="2" customFormat="1" ht="12.75">
      <c r="A5" s="335" t="s">
        <v>36</v>
      </c>
      <c r="B5" s="243">
        <f>'Start Here'!B5</f>
        <v>2018</v>
      </c>
      <c r="C5" s="337" t="str">
        <f>'Table A2'!C5</f>
        <v>(Jan. 1 - Dec. 31)</v>
      </c>
      <c r="D5" s="8"/>
      <c r="E5" s="212"/>
      <c r="F5" s="212"/>
      <c r="G5" s="212"/>
    </row>
    <row r="7" spans="1:22" ht="15.75">
      <c r="A7" s="466" t="s">
        <v>26</v>
      </c>
      <c r="B7" s="466"/>
      <c r="C7" s="466"/>
      <c r="D7" s="466"/>
    </row>
    <row r="8" spans="1:22" ht="15.75">
      <c r="A8" s="466" t="s">
        <v>41</v>
      </c>
      <c r="B8" s="466"/>
      <c r="C8" s="466"/>
      <c r="D8" s="466"/>
    </row>
    <row r="9" spans="1:22" s="17" customFormat="1" ht="52.5" customHeight="1">
      <c r="A9" s="463" t="s">
        <v>42</v>
      </c>
      <c r="B9" s="464"/>
      <c r="C9" s="464"/>
      <c r="D9" s="465"/>
    </row>
    <row r="10" spans="1:22" s="17" customFormat="1" ht="18.75" customHeight="1">
      <c r="A10" s="218">
        <v>1</v>
      </c>
      <c r="B10" s="218">
        <v>2</v>
      </c>
      <c r="C10" s="218">
        <v>3</v>
      </c>
      <c r="D10" s="217">
        <v>4</v>
      </c>
    </row>
    <row r="11" spans="1:22" s="17" customFormat="1" ht="24.75" customHeight="1">
      <c r="A11" s="217" t="s">
        <v>27</v>
      </c>
      <c r="B11" s="217" t="s">
        <v>28</v>
      </c>
      <c r="C11" s="217" t="s">
        <v>38</v>
      </c>
      <c r="D11" s="217" t="s">
        <v>29</v>
      </c>
    </row>
    <row r="12" spans="1:22" s="306" customFormat="1" ht="25.5">
      <c r="A12" s="288" t="s">
        <v>1419</v>
      </c>
      <c r="B12" s="288" t="s">
        <v>1420</v>
      </c>
      <c r="C12" s="288" t="s">
        <v>1421</v>
      </c>
      <c r="D12" s="288" t="s">
        <v>1422</v>
      </c>
    </row>
    <row r="13" spans="1:22" s="306" customFormat="1" ht="63.75">
      <c r="A13" s="288" t="s">
        <v>1423</v>
      </c>
      <c r="B13" s="288" t="s">
        <v>1424</v>
      </c>
      <c r="C13" s="288" t="s">
        <v>1425</v>
      </c>
      <c r="D13" s="288" t="s">
        <v>1426</v>
      </c>
    </row>
    <row r="14" spans="1:22" s="306" customFormat="1" ht="102">
      <c r="A14" s="288" t="s">
        <v>1427</v>
      </c>
      <c r="B14" s="288" t="s">
        <v>1428</v>
      </c>
      <c r="C14" s="288" t="s">
        <v>1429</v>
      </c>
      <c r="D14" s="363" t="s">
        <v>1430</v>
      </c>
    </row>
    <row r="15" spans="1:22" s="306" customFormat="1" ht="51">
      <c r="A15" s="288" t="s">
        <v>1431</v>
      </c>
      <c r="B15" s="288" t="s">
        <v>1432</v>
      </c>
      <c r="C15" s="288" t="s">
        <v>1425</v>
      </c>
      <c r="D15" s="345" t="s">
        <v>1433</v>
      </c>
    </row>
    <row r="16" spans="1:22" s="306" customFormat="1" ht="14.45" customHeight="1">
      <c r="A16" s="288"/>
      <c r="B16" s="288"/>
      <c r="C16" s="288"/>
      <c r="D16" s="345"/>
    </row>
    <row r="17" spans="1:4" s="306" customFormat="1" ht="63.75">
      <c r="A17" s="288" t="s">
        <v>1434</v>
      </c>
      <c r="B17" s="288" t="s">
        <v>1435</v>
      </c>
      <c r="C17" s="288" t="s">
        <v>1425</v>
      </c>
      <c r="D17" s="363" t="s">
        <v>1436</v>
      </c>
    </row>
    <row r="18" spans="1:4" s="306" customFormat="1" ht="114.75">
      <c r="A18" s="288" t="s">
        <v>1437</v>
      </c>
      <c r="B18" s="288" t="s">
        <v>1438</v>
      </c>
      <c r="C18" s="288" t="s">
        <v>1439</v>
      </c>
      <c r="D18" s="363" t="s">
        <v>1440</v>
      </c>
    </row>
    <row r="19" spans="1:4" s="306" customFormat="1" ht="63.75">
      <c r="A19" s="288" t="s">
        <v>1441</v>
      </c>
      <c r="B19" s="288" t="s">
        <v>1442</v>
      </c>
      <c r="C19" s="288" t="s">
        <v>1443</v>
      </c>
      <c r="D19" s="288" t="s">
        <v>1494</v>
      </c>
    </row>
    <row r="20" spans="1:4" s="306" customFormat="1" ht="12" customHeight="1">
      <c r="A20" s="288"/>
      <c r="B20" s="288"/>
      <c r="C20" s="288"/>
      <c r="D20" s="343"/>
    </row>
    <row r="21" spans="1:4" s="306" customFormat="1" ht="51">
      <c r="A21" s="288" t="s">
        <v>1444</v>
      </c>
      <c r="B21" s="288" t="s">
        <v>1445</v>
      </c>
      <c r="C21" s="288" t="s">
        <v>1443</v>
      </c>
      <c r="D21" s="288" t="s">
        <v>1446</v>
      </c>
    </row>
    <row r="22" spans="1:4" s="306" customFormat="1" ht="38.25">
      <c r="A22" s="288" t="s">
        <v>1447</v>
      </c>
      <c r="B22" s="288" t="s">
        <v>1448</v>
      </c>
      <c r="C22" s="288" t="s">
        <v>1421</v>
      </c>
      <c r="D22" s="288" t="s">
        <v>1449</v>
      </c>
    </row>
    <row r="23" spans="1:4" s="306" customFormat="1" ht="38.25">
      <c r="A23" s="288" t="s">
        <v>1450</v>
      </c>
      <c r="B23" s="288" t="s">
        <v>1451</v>
      </c>
      <c r="C23" s="288" t="s">
        <v>1421</v>
      </c>
      <c r="D23" s="288" t="s">
        <v>1452</v>
      </c>
    </row>
    <row r="24" spans="1:4" s="306" customFormat="1" ht="51">
      <c r="A24" s="288" t="s">
        <v>1453</v>
      </c>
      <c r="B24" s="288" t="s">
        <v>1454</v>
      </c>
      <c r="C24" s="288" t="s">
        <v>1443</v>
      </c>
      <c r="D24" s="288" t="s">
        <v>1455</v>
      </c>
    </row>
    <row r="25" spans="1:4" s="306" customFormat="1" ht="51">
      <c r="A25" s="288" t="s">
        <v>1456</v>
      </c>
      <c r="B25" s="288" t="s">
        <v>1457</v>
      </c>
      <c r="C25" s="288" t="s">
        <v>1443</v>
      </c>
      <c r="D25" s="363" t="s">
        <v>1458</v>
      </c>
    </row>
    <row r="26" spans="1:4" s="306" customFormat="1" ht="38.25">
      <c r="A26" s="288" t="s">
        <v>1459</v>
      </c>
      <c r="B26" s="288" t="s">
        <v>1460</v>
      </c>
      <c r="C26" s="288" t="s">
        <v>1443</v>
      </c>
      <c r="D26" s="288" t="s">
        <v>1461</v>
      </c>
    </row>
    <row r="27" spans="1:4" s="306" customFormat="1" ht="38.25">
      <c r="A27" s="288" t="s">
        <v>1462</v>
      </c>
      <c r="B27" s="288" t="s">
        <v>1463</v>
      </c>
      <c r="C27" s="288" t="s">
        <v>1443</v>
      </c>
      <c r="D27" s="288" t="s">
        <v>1464</v>
      </c>
    </row>
    <row r="28" spans="1:4" s="306" customFormat="1" ht="38.25">
      <c r="A28" s="288" t="s">
        <v>1465</v>
      </c>
      <c r="B28" s="288" t="s">
        <v>1466</v>
      </c>
      <c r="C28" s="288" t="s">
        <v>1443</v>
      </c>
      <c r="D28" s="288" t="s">
        <v>1467</v>
      </c>
    </row>
    <row r="29" spans="1:4" s="306" customFormat="1" ht="63.75">
      <c r="A29" s="288" t="s">
        <v>1468</v>
      </c>
      <c r="B29" s="288" t="s">
        <v>1469</v>
      </c>
      <c r="C29" s="288" t="s">
        <v>1443</v>
      </c>
      <c r="D29" s="363" t="s">
        <v>1470</v>
      </c>
    </row>
    <row r="30" spans="1:4" s="306" customFormat="1" ht="38.25">
      <c r="A30" s="288" t="s">
        <v>1471</v>
      </c>
      <c r="B30" s="288" t="s">
        <v>1472</v>
      </c>
      <c r="C30" s="288" t="s">
        <v>1473</v>
      </c>
      <c r="D30" s="288" t="s">
        <v>1474</v>
      </c>
    </row>
    <row r="31" spans="1:4" s="306" customFormat="1" ht="25.5">
      <c r="A31" s="288" t="s">
        <v>1475</v>
      </c>
      <c r="B31" s="288" t="s">
        <v>1476</v>
      </c>
      <c r="C31" s="288" t="s">
        <v>1473</v>
      </c>
      <c r="D31" s="288" t="s">
        <v>1474</v>
      </c>
    </row>
    <row r="32" spans="1:4" s="306" customFormat="1" ht="25.5">
      <c r="A32" s="288" t="s">
        <v>1477</v>
      </c>
      <c r="B32" s="288" t="s">
        <v>1478</v>
      </c>
      <c r="C32" s="288" t="s">
        <v>1443</v>
      </c>
      <c r="D32" s="288" t="s">
        <v>1479</v>
      </c>
    </row>
    <row r="33" spans="1:4" s="306" customFormat="1" ht="63.75">
      <c r="A33" s="288" t="s">
        <v>1480</v>
      </c>
      <c r="B33" s="288" t="s">
        <v>1481</v>
      </c>
      <c r="C33" s="288" t="s">
        <v>1482</v>
      </c>
      <c r="D33" s="288" t="s">
        <v>1483</v>
      </c>
    </row>
    <row r="34" spans="1:4" s="306" customFormat="1" ht="38.25">
      <c r="A34" s="288" t="s">
        <v>1484</v>
      </c>
      <c r="B34" s="288" t="s">
        <v>1485</v>
      </c>
      <c r="C34" s="288" t="s">
        <v>1486</v>
      </c>
      <c r="D34" s="288" t="s">
        <v>1487</v>
      </c>
    </row>
    <row r="35" spans="1:4" s="306" customFormat="1" ht="63.75">
      <c r="A35" s="288" t="s">
        <v>1488</v>
      </c>
      <c r="B35" s="288" t="s">
        <v>1489</v>
      </c>
      <c r="C35" s="288" t="s">
        <v>1443</v>
      </c>
      <c r="D35" s="288" t="s">
        <v>1490</v>
      </c>
    </row>
    <row r="36" spans="1:4" s="306" customFormat="1" ht="51">
      <c r="A36" s="288" t="s">
        <v>1491</v>
      </c>
      <c r="B36" s="288" t="s">
        <v>1492</v>
      </c>
      <c r="C36" s="288" t="s">
        <v>1473</v>
      </c>
      <c r="D36" s="288" t="s">
        <v>1493</v>
      </c>
    </row>
    <row r="37" spans="1:4" s="306" customFormat="1" ht="12.75">
      <c r="A37" s="288"/>
      <c r="B37" s="288"/>
      <c r="C37" s="288"/>
      <c r="D37" s="288"/>
    </row>
    <row r="38" spans="1:4" s="306" customFormat="1" ht="12.75">
      <c r="A38" s="288"/>
      <c r="B38" s="288"/>
      <c r="C38" s="288"/>
      <c r="D38" s="288"/>
    </row>
    <row r="39" spans="1:4" s="306" customFormat="1" ht="12.75">
      <c r="A39" s="288"/>
      <c r="B39" s="288"/>
      <c r="C39" s="288"/>
      <c r="D39" s="288"/>
    </row>
    <row r="40" spans="1:4" s="306" customFormat="1" ht="12.75">
      <c r="A40" s="288"/>
      <c r="B40" s="288"/>
      <c r="C40" s="288"/>
      <c r="D40" s="288"/>
    </row>
    <row r="41" spans="1:4" s="306" customFormat="1" ht="12.75">
      <c r="A41" s="288"/>
      <c r="B41" s="288"/>
      <c r="C41" s="288"/>
      <c r="D41" s="288"/>
    </row>
    <row r="42" spans="1:4" s="306" customFormat="1" ht="12.75">
      <c r="A42" s="288"/>
      <c r="B42" s="288"/>
      <c r="C42" s="288"/>
      <c r="D42" s="288"/>
    </row>
    <row r="43" spans="1:4" s="306" customFormat="1" ht="12.75">
      <c r="A43" s="288"/>
      <c r="B43" s="288"/>
      <c r="C43" s="288"/>
      <c r="D43" s="288"/>
    </row>
    <row r="44" spans="1:4" s="306" customFormat="1" ht="12.75">
      <c r="A44" s="288"/>
      <c r="B44" s="288"/>
      <c r="C44" s="288"/>
      <c r="D44" s="288"/>
    </row>
    <row r="45" spans="1:4" s="306" customFormat="1" ht="12.75">
      <c r="A45" s="288"/>
      <c r="B45" s="288"/>
      <c r="C45" s="288"/>
      <c r="D45" s="288"/>
    </row>
    <row r="46" spans="1:4" s="306" customFormat="1" ht="12.75">
      <c r="A46" s="288"/>
      <c r="B46" s="288"/>
      <c r="C46" s="288"/>
      <c r="D46" s="288"/>
    </row>
    <row r="47" spans="1:4" s="306" customFormat="1" ht="12.75">
      <c r="A47" s="288"/>
      <c r="B47" s="288"/>
      <c r="C47" s="288"/>
      <c r="D47" s="288"/>
    </row>
    <row r="48" spans="1:4" s="306" customFormat="1" ht="12.75">
      <c r="A48" s="288"/>
      <c r="B48" s="288"/>
      <c r="C48" s="288"/>
      <c r="D48" s="288"/>
    </row>
    <row r="49" spans="1:4" s="306" customFormat="1" ht="12.75">
      <c r="A49" s="288"/>
      <c r="B49" s="288"/>
      <c r="C49" s="288"/>
      <c r="D49" s="288"/>
    </row>
    <row r="50" spans="1:4" s="306" customFormat="1" ht="12.75">
      <c r="A50" s="288"/>
      <c r="B50" s="288"/>
      <c r="C50" s="288"/>
      <c r="D50" s="288"/>
    </row>
    <row r="51" spans="1:4" s="306" customFormat="1" ht="12.75">
      <c r="A51" s="288"/>
      <c r="B51" s="288"/>
      <c r="C51" s="288"/>
      <c r="D51" s="288"/>
    </row>
    <row r="52" spans="1:4" s="306" customFormat="1" ht="12.75">
      <c r="A52" s="288"/>
      <c r="B52" s="288"/>
      <c r="C52" s="288"/>
      <c r="D52" s="288"/>
    </row>
    <row r="53" spans="1:4" s="306" customFormat="1" ht="12.75">
      <c r="A53" s="288"/>
      <c r="B53" s="288"/>
      <c r="C53" s="288"/>
      <c r="D53" s="288"/>
    </row>
    <row r="54" spans="1:4" s="306" customFormat="1" ht="12.75">
      <c r="A54" s="288"/>
      <c r="B54" s="288"/>
      <c r="C54" s="288"/>
      <c r="D54" s="288"/>
    </row>
    <row r="55" spans="1:4" s="306" customFormat="1" ht="12.75">
      <c r="A55" s="288"/>
      <c r="B55" s="288"/>
      <c r="C55" s="288"/>
      <c r="D55" s="288"/>
    </row>
    <row r="56" spans="1:4" s="306" customFormat="1" ht="12.75">
      <c r="A56" s="288"/>
      <c r="B56" s="288"/>
      <c r="C56" s="288"/>
      <c r="D56" s="288"/>
    </row>
    <row r="57" spans="1:4" s="306" customFormat="1" ht="12.75">
      <c r="A57" s="288"/>
      <c r="B57" s="288"/>
      <c r="C57" s="288"/>
      <c r="D57" s="288"/>
    </row>
    <row r="58" spans="1:4" s="306" customFormat="1" ht="12.75">
      <c r="A58" s="288"/>
      <c r="B58" s="288"/>
      <c r="C58" s="288"/>
      <c r="D58" s="288"/>
    </row>
    <row r="59" spans="1:4" s="306" customFormat="1" ht="12.75">
      <c r="A59" s="288"/>
      <c r="B59" s="288"/>
      <c r="C59" s="288"/>
      <c r="D59" s="288"/>
    </row>
    <row r="60" spans="1:4" s="306" customFormat="1" ht="12.75">
      <c r="A60" s="288"/>
      <c r="B60" s="288"/>
      <c r="C60" s="288"/>
      <c r="D60" s="288"/>
    </row>
    <row r="61" spans="1:4" s="306" customFormat="1" ht="12.75">
      <c r="A61" s="288"/>
      <c r="B61" s="288"/>
      <c r="C61" s="288"/>
      <c r="D61" s="288"/>
    </row>
    <row r="62" spans="1:4" s="306" customFormat="1" ht="12.75">
      <c r="A62" s="288"/>
      <c r="B62" s="288"/>
      <c r="C62" s="288"/>
      <c r="D62" s="288"/>
    </row>
    <row r="63" spans="1:4" s="306" customFormat="1" ht="12.75">
      <c r="A63" s="288"/>
      <c r="B63" s="288"/>
      <c r="C63" s="288"/>
      <c r="D63" s="288"/>
    </row>
    <row r="64" spans="1:4" s="306" customFormat="1" ht="12.75">
      <c r="A64" s="288"/>
      <c r="B64" s="288"/>
      <c r="C64" s="288"/>
      <c r="D64" s="288"/>
    </row>
    <row r="65" spans="1:4" s="306" customFormat="1" ht="12.75">
      <c r="A65" s="288"/>
      <c r="B65" s="288"/>
      <c r="C65" s="288"/>
      <c r="D65" s="288"/>
    </row>
    <row r="66" spans="1:4" s="306" customFormat="1" ht="12.75">
      <c r="A66" s="288"/>
      <c r="B66" s="288"/>
      <c r="C66" s="288"/>
      <c r="D66" s="288"/>
    </row>
    <row r="67" spans="1:4" s="306" customFormat="1" ht="12.75">
      <c r="A67" s="288"/>
      <c r="B67" s="288"/>
      <c r="C67" s="288"/>
      <c r="D67" s="288"/>
    </row>
    <row r="68" spans="1:4" s="306" customFormat="1" ht="12.75">
      <c r="A68" s="288"/>
      <c r="B68" s="288"/>
      <c r="C68" s="288"/>
      <c r="D68" s="288"/>
    </row>
    <row r="69" spans="1:4" s="306" customFormat="1" ht="12.75">
      <c r="A69" s="288"/>
      <c r="B69" s="288"/>
      <c r="C69" s="288"/>
      <c r="D69" s="288"/>
    </row>
    <row r="70" spans="1:4" s="306" customFormat="1" ht="12.75">
      <c r="A70" s="288"/>
      <c r="B70" s="288"/>
      <c r="C70" s="288"/>
      <c r="D70" s="288"/>
    </row>
    <row r="71" spans="1:4" s="306" customFormat="1" ht="12.75">
      <c r="A71" s="288"/>
      <c r="B71" s="288"/>
      <c r="C71" s="288"/>
      <c r="D71" s="288"/>
    </row>
    <row r="72" spans="1:4" s="306" customFormat="1" ht="12.75">
      <c r="A72" s="288"/>
      <c r="B72" s="288"/>
      <c r="C72" s="288"/>
      <c r="D72" s="288"/>
    </row>
    <row r="73" spans="1:4" s="306" customFormat="1" ht="12.75">
      <c r="A73" s="288"/>
      <c r="B73" s="288"/>
      <c r="C73" s="288"/>
      <c r="D73" s="288"/>
    </row>
    <row r="74" spans="1:4" s="306" customFormat="1" ht="12.75">
      <c r="A74" s="288"/>
      <c r="B74" s="288"/>
      <c r="C74" s="288"/>
      <c r="D74" s="288"/>
    </row>
    <row r="75" spans="1:4" s="306" customFormat="1" ht="12.75">
      <c r="A75" s="288"/>
      <c r="B75" s="288"/>
      <c r="C75" s="288"/>
      <c r="D75" s="288"/>
    </row>
    <row r="76" spans="1:4" s="306" customFormat="1" ht="12.75">
      <c r="A76" s="288"/>
      <c r="B76" s="288"/>
      <c r="C76" s="288"/>
      <c r="D76" s="288"/>
    </row>
    <row r="77" spans="1:4" s="306" customFormat="1" ht="12.75">
      <c r="A77" s="288"/>
      <c r="B77" s="288"/>
      <c r="C77" s="288"/>
      <c r="D77" s="288"/>
    </row>
    <row r="78" spans="1:4" s="306" customFormat="1" ht="12.75">
      <c r="A78" s="288"/>
      <c r="B78" s="288"/>
      <c r="C78" s="288"/>
      <c r="D78" s="288"/>
    </row>
    <row r="79" spans="1:4" s="306" customFormat="1" ht="12.75">
      <c r="A79" s="288"/>
      <c r="B79" s="288"/>
      <c r="C79" s="288"/>
      <c r="D79" s="288"/>
    </row>
    <row r="80" spans="1:4" s="306" customFormat="1" ht="12.75">
      <c r="A80" s="288"/>
      <c r="B80" s="288"/>
      <c r="C80" s="288"/>
      <c r="D80" s="288"/>
    </row>
    <row r="81" spans="1:4" s="306" customFormat="1" ht="12.75">
      <c r="A81" s="288"/>
      <c r="B81" s="288"/>
      <c r="C81" s="288"/>
      <c r="D81" s="288"/>
    </row>
    <row r="82" spans="1:4" s="306" customFormat="1" ht="12.75">
      <c r="A82" s="288"/>
      <c r="B82" s="288"/>
      <c r="C82" s="288"/>
      <c r="D82" s="288"/>
    </row>
    <row r="83" spans="1:4" s="306" customFormat="1" ht="12.75">
      <c r="A83" s="288"/>
      <c r="B83" s="288"/>
      <c r="C83" s="288"/>
      <c r="D83" s="288"/>
    </row>
    <row r="84" spans="1:4" s="306" customFormat="1" ht="12.75">
      <c r="A84" s="288"/>
      <c r="B84" s="288"/>
      <c r="C84" s="288"/>
      <c r="D84" s="288"/>
    </row>
    <row r="85" spans="1:4" s="306" customFormat="1" ht="12.75">
      <c r="A85" s="288"/>
      <c r="B85" s="288"/>
      <c r="C85" s="288"/>
      <c r="D85" s="288"/>
    </row>
    <row r="86" spans="1:4" s="306" customFormat="1" ht="12.75">
      <c r="A86" s="288"/>
      <c r="B86" s="288"/>
      <c r="C86" s="288"/>
      <c r="D86" s="288"/>
    </row>
    <row r="87" spans="1:4" s="306" customFormat="1" ht="12.75">
      <c r="A87" s="288"/>
      <c r="B87" s="288"/>
      <c r="C87" s="288"/>
      <c r="D87" s="288"/>
    </row>
    <row r="88" spans="1:4" s="306" customFormat="1" ht="12.75">
      <c r="A88" s="288"/>
      <c r="B88" s="288"/>
      <c r="C88" s="288"/>
      <c r="D88" s="288"/>
    </row>
    <row r="89" spans="1:4" s="306" customFormat="1" ht="12.75">
      <c r="A89" s="288"/>
      <c r="B89" s="288"/>
      <c r="C89" s="288"/>
      <c r="D89" s="288"/>
    </row>
    <row r="90" spans="1:4" s="306" customFormat="1" ht="12.75">
      <c r="A90" s="288"/>
      <c r="B90" s="288"/>
      <c r="C90" s="288"/>
      <c r="D90" s="288"/>
    </row>
    <row r="91" spans="1:4" s="306" customFormat="1" ht="12.75">
      <c r="A91" s="288"/>
      <c r="B91" s="288"/>
      <c r="C91" s="288"/>
      <c r="D91" s="288"/>
    </row>
    <row r="92" spans="1:4" s="306" customFormat="1" ht="12.75">
      <c r="A92" s="288"/>
      <c r="B92" s="288"/>
      <c r="C92" s="288"/>
      <c r="D92" s="288"/>
    </row>
    <row r="93" spans="1:4" s="306" customFormat="1" ht="12.75">
      <c r="A93" s="288"/>
      <c r="B93" s="288"/>
      <c r="C93" s="288"/>
      <c r="D93" s="288"/>
    </row>
    <row r="94" spans="1:4" s="306" customFormat="1" ht="12.75">
      <c r="A94" s="288"/>
      <c r="B94" s="288"/>
      <c r="C94" s="288"/>
      <c r="D94" s="288"/>
    </row>
    <row r="95" spans="1:4" s="306" customFormat="1" ht="12.75">
      <c r="A95" s="288"/>
      <c r="B95" s="344"/>
      <c r="C95" s="288"/>
      <c r="D95" s="288"/>
    </row>
    <row r="96" spans="1:4" s="306" customFormat="1" ht="12.75">
      <c r="A96" s="288"/>
      <c r="B96" s="288"/>
      <c r="C96" s="288"/>
      <c r="D96" s="288"/>
    </row>
    <row r="97" spans="1:4" s="306" customFormat="1" ht="12.75">
      <c r="A97" s="288"/>
      <c r="B97" s="288"/>
      <c r="C97" s="288"/>
      <c r="D97" s="288"/>
    </row>
    <row r="98" spans="1:4" s="306" customFormat="1" ht="12.75">
      <c r="A98" s="288"/>
      <c r="B98" s="288"/>
      <c r="C98" s="288"/>
      <c r="D98" s="288"/>
    </row>
    <row r="99" spans="1:4" s="306" customFormat="1" ht="12.75">
      <c r="A99" s="288"/>
      <c r="B99" s="288"/>
      <c r="C99" s="288"/>
      <c r="D99" s="288"/>
    </row>
    <row r="100" spans="1:4" s="306" customFormat="1" ht="12.75">
      <c r="A100" s="307"/>
      <c r="B100" s="288"/>
      <c r="C100" s="288"/>
      <c r="D100" s="288"/>
    </row>
    <row r="101" spans="1:4" s="97" customFormat="1" ht="12.75">
      <c r="A101" s="163" t="s">
        <v>39</v>
      </c>
      <c r="B101" s="308"/>
      <c r="C101" s="308"/>
      <c r="D101" s="309"/>
    </row>
    <row r="102" spans="1:4" s="17" customFormat="1" ht="12.75">
      <c r="A102" s="454"/>
      <c r="B102" s="455"/>
      <c r="C102" s="455"/>
      <c r="D102" s="456"/>
    </row>
    <row r="103" spans="1:4" s="17" customFormat="1" ht="12.75">
      <c r="A103" s="457"/>
      <c r="B103" s="458"/>
      <c r="C103" s="458"/>
      <c r="D103" s="459"/>
    </row>
    <row r="104" spans="1:4" s="17" customFormat="1" ht="12.75">
      <c r="A104" s="457"/>
      <c r="B104" s="458"/>
      <c r="C104" s="458"/>
      <c r="D104" s="459"/>
    </row>
    <row r="105" spans="1:4" s="17" customFormat="1" ht="12.75">
      <c r="A105" s="457"/>
      <c r="B105" s="458"/>
      <c r="C105" s="458"/>
      <c r="D105" s="459"/>
    </row>
    <row r="106" spans="1:4" s="17" customFormat="1" ht="12.75">
      <c r="A106" s="457"/>
      <c r="B106" s="458"/>
      <c r="C106" s="458"/>
      <c r="D106" s="459"/>
    </row>
    <row r="107" spans="1:4" s="17" customFormat="1" ht="12.75">
      <c r="A107" s="457"/>
      <c r="B107" s="458"/>
      <c r="C107" s="458"/>
      <c r="D107" s="459"/>
    </row>
    <row r="108" spans="1:4" s="17" customFormat="1" ht="12.75">
      <c r="A108" s="457"/>
      <c r="B108" s="458"/>
      <c r="C108" s="458"/>
      <c r="D108" s="459"/>
    </row>
    <row r="109" spans="1:4" s="17" customFormat="1" ht="12.75">
      <c r="A109" s="460"/>
      <c r="B109" s="461"/>
      <c r="C109" s="461"/>
      <c r="D109" s="462"/>
    </row>
  </sheetData>
  <sheetProtection password="CDF4"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99"/>
  </dataValidations>
  <printOptions horizontalCentered="1"/>
  <pageMargins left="0.7" right="0.7" top="0.75" bottom="0.75" header="0.3" footer="0.3"/>
  <pageSetup paperSize="5" fitToHeight="0" orientation="landscape" r:id="rId1"/>
</worksheet>
</file>

<file path=xl/worksheets/sheet11.xml><?xml version="1.0" encoding="utf-8"?>
<worksheet xmlns="http://schemas.openxmlformats.org/spreadsheetml/2006/main" xmlns:r="http://schemas.openxmlformats.org/officeDocument/2006/relationships">
  <sheetPr codeName="Sheet6">
    <pageSetUpPr fitToPage="1"/>
  </sheetPr>
  <dimension ref="A1:V1383"/>
  <sheetViews>
    <sheetView showZeros="0" zoomScale="90" zoomScaleNormal="90" zoomScaleSheetLayoutView="70" workbookViewId="0">
      <selection activeCell="E24" sqref="E24"/>
    </sheetView>
  </sheetViews>
  <sheetFormatPr defaultColWidth="0" defaultRowHeight="14.25"/>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c r="A1" s="422" t="s">
        <v>8</v>
      </c>
      <c r="B1" s="422"/>
      <c r="C1" s="422"/>
      <c r="D1" s="422"/>
      <c r="E1" s="422"/>
      <c r="F1" s="422"/>
      <c r="G1" s="422"/>
      <c r="H1" s="422"/>
      <c r="I1" s="422"/>
      <c r="J1" s="74"/>
      <c r="K1" s="74"/>
      <c r="L1" s="74"/>
      <c r="M1" s="74"/>
      <c r="N1" s="74"/>
      <c r="O1" s="74"/>
      <c r="P1" s="74"/>
      <c r="Q1" s="74"/>
      <c r="R1" s="74"/>
      <c r="S1" s="74"/>
      <c r="T1" s="74"/>
      <c r="U1" s="74"/>
      <c r="V1" s="74"/>
    </row>
    <row r="2" spans="1:22" s="261" customFormat="1" ht="20.25" customHeight="1">
      <c r="A2" s="423" t="s">
        <v>9</v>
      </c>
      <c r="B2" s="423"/>
      <c r="C2" s="423"/>
      <c r="D2" s="423"/>
      <c r="E2" s="423"/>
      <c r="F2" s="423"/>
      <c r="G2" s="423"/>
      <c r="H2" s="423"/>
      <c r="I2" s="423"/>
      <c r="J2" s="75"/>
      <c r="K2" s="75"/>
      <c r="L2" s="75"/>
      <c r="M2" s="75"/>
      <c r="N2" s="75"/>
      <c r="O2" s="75"/>
      <c r="P2" s="75"/>
      <c r="Q2" s="75"/>
      <c r="R2" s="75"/>
      <c r="S2" s="75"/>
      <c r="T2" s="75"/>
      <c r="U2" s="75"/>
      <c r="V2" s="75"/>
    </row>
    <row r="3" spans="1:22" s="261" customFormat="1" ht="15.75" customHeight="1">
      <c r="A3" s="418" t="s">
        <v>1378</v>
      </c>
      <c r="B3" s="418"/>
      <c r="C3" s="418"/>
      <c r="D3" s="418"/>
      <c r="E3" s="418"/>
      <c r="F3" s="418"/>
      <c r="G3" s="418"/>
      <c r="H3" s="418"/>
      <c r="I3" s="418"/>
      <c r="J3" s="76"/>
      <c r="K3" s="76"/>
      <c r="L3" s="76"/>
      <c r="M3" s="76"/>
      <c r="N3" s="76"/>
      <c r="O3" s="76"/>
      <c r="P3" s="76"/>
      <c r="Q3" s="76"/>
      <c r="R3" s="76"/>
      <c r="S3" s="76"/>
      <c r="T3" s="76"/>
      <c r="U3" s="76"/>
      <c r="V3" s="76"/>
    </row>
    <row r="4" spans="1:22" s="79" customFormat="1" ht="25.5" customHeight="1">
      <c r="A4" s="331" t="s">
        <v>10</v>
      </c>
      <c r="B4" s="244" t="str">
        <f>'Start Here'!B4:D4</f>
        <v>Pinole</v>
      </c>
      <c r="C4" s="332"/>
      <c r="D4" s="78"/>
      <c r="E4" s="78"/>
      <c r="F4" s="78"/>
      <c r="G4" s="78"/>
      <c r="H4" s="411" t="s">
        <v>1376</v>
      </c>
      <c r="I4" s="412"/>
      <c r="J4" s="413"/>
      <c r="K4" s="328"/>
    </row>
    <row r="5" spans="1:22" s="79" customFormat="1" ht="30" customHeight="1">
      <c r="A5" s="331" t="s">
        <v>11</v>
      </c>
      <c r="B5" s="243">
        <f>'Start Here'!B5</f>
        <v>2018</v>
      </c>
      <c r="C5" s="333" t="str">
        <f>'Table A2'!C5</f>
        <v>(Jan. 1 - Dec. 31)</v>
      </c>
      <c r="D5" s="9"/>
      <c r="E5" s="78"/>
      <c r="F5" s="78"/>
      <c r="G5" s="78"/>
      <c r="H5" s="96" t="s">
        <v>108</v>
      </c>
      <c r="I5" s="310"/>
      <c r="J5" s="311"/>
    </row>
    <row r="6" spans="1:22" s="79" customFormat="1" ht="21" customHeight="1">
      <c r="A6" s="77"/>
      <c r="B6" s="295"/>
      <c r="C6" s="80"/>
      <c r="D6" s="9"/>
      <c r="E6" s="78"/>
      <c r="F6" s="78"/>
      <c r="G6" s="78"/>
    </row>
    <row r="7" spans="1:22" s="247" customFormat="1"/>
    <row r="8" spans="1:22" s="247" customFormat="1" ht="15.75">
      <c r="A8" s="475" t="s">
        <v>30</v>
      </c>
      <c r="B8" s="475"/>
      <c r="C8" s="475"/>
      <c r="D8" s="475"/>
      <c r="E8" s="475"/>
      <c r="F8" s="475"/>
      <c r="G8" s="475"/>
      <c r="H8" s="475"/>
      <c r="I8" s="475"/>
      <c r="J8" s="453"/>
    </row>
    <row r="9" spans="1:22" s="247" customFormat="1" ht="15.75">
      <c r="A9" s="475" t="s">
        <v>37</v>
      </c>
      <c r="B9" s="475"/>
      <c r="C9" s="475"/>
      <c r="D9" s="475"/>
      <c r="E9" s="475"/>
      <c r="F9" s="475"/>
      <c r="G9" s="475"/>
      <c r="H9" s="475"/>
      <c r="I9" s="475"/>
      <c r="J9" s="453"/>
    </row>
    <row r="10" spans="1:22" s="247" customFormat="1" ht="45" customHeight="1">
      <c r="A10" s="419" t="s">
        <v>43</v>
      </c>
      <c r="B10" s="476"/>
      <c r="C10" s="476"/>
      <c r="D10" s="477"/>
      <c r="E10" s="474" t="s">
        <v>31</v>
      </c>
      <c r="F10" s="474"/>
      <c r="G10" s="474"/>
      <c r="H10" s="474"/>
      <c r="I10" s="216" t="s">
        <v>32</v>
      </c>
      <c r="J10" s="216" t="s">
        <v>33</v>
      </c>
    </row>
    <row r="11" spans="1:22" s="247" customFormat="1" ht="14.25" customHeight="1">
      <c r="A11" s="396">
        <v>1</v>
      </c>
      <c r="B11" s="397"/>
      <c r="C11" s="397"/>
      <c r="D11" s="399"/>
      <c r="E11" s="396">
        <v>2</v>
      </c>
      <c r="F11" s="398"/>
      <c r="G11" s="398"/>
      <c r="H11" s="399"/>
      <c r="I11" s="205">
        <v>3</v>
      </c>
      <c r="J11" s="205">
        <v>4</v>
      </c>
    </row>
    <row r="12" spans="1:22" s="247" customFormat="1" ht="66.75" customHeight="1">
      <c r="A12" s="220" t="s">
        <v>1</v>
      </c>
      <c r="B12" s="220" t="s">
        <v>2</v>
      </c>
      <c r="C12" s="220" t="s">
        <v>135</v>
      </c>
      <c r="D12" s="220" t="s">
        <v>1294</v>
      </c>
      <c r="E12" s="220" t="s">
        <v>1369</v>
      </c>
      <c r="F12" s="220" t="s">
        <v>1370</v>
      </c>
      <c r="G12" s="220" t="s">
        <v>1371</v>
      </c>
      <c r="H12" s="220" t="s">
        <v>1379</v>
      </c>
      <c r="I12" s="220" t="s">
        <v>32</v>
      </c>
      <c r="J12" s="220" t="s">
        <v>33</v>
      </c>
    </row>
    <row r="13" spans="1:22" s="314" customFormat="1">
      <c r="A13" s="471" t="s">
        <v>138</v>
      </c>
      <c r="B13" s="472"/>
      <c r="C13" s="473"/>
      <c r="D13" s="189"/>
      <c r="E13" s="312">
        <f>SUM(E14:E100)</f>
        <v>0</v>
      </c>
      <c r="F13" s="312">
        <f>SUM(F14:F100)</f>
        <v>0</v>
      </c>
      <c r="G13" s="312">
        <f>SUM(G14:G100)</f>
        <v>0</v>
      </c>
      <c r="H13" s="312">
        <f>SUM(H14:H100)</f>
        <v>0</v>
      </c>
      <c r="I13" s="312">
        <f>SUM(I14:I100)</f>
        <v>0</v>
      </c>
      <c r="J13" s="313"/>
    </row>
    <row r="14" spans="1:22" s="267" customFormat="1">
      <c r="A14" s="165"/>
      <c r="B14" s="165"/>
      <c r="C14" s="165"/>
      <c r="D14" s="165"/>
      <c r="E14" s="165"/>
      <c r="F14" s="165"/>
      <c r="G14" s="165"/>
      <c r="H14" s="165"/>
      <c r="I14" s="288"/>
      <c r="J14" s="315"/>
    </row>
    <row r="15" spans="1:22" s="267" customFormat="1">
      <c r="A15" s="165"/>
      <c r="B15" s="165"/>
      <c r="C15" s="165"/>
      <c r="D15" s="165"/>
      <c r="E15" s="165"/>
      <c r="F15" s="165"/>
      <c r="G15" s="165"/>
      <c r="H15" s="165"/>
      <c r="I15" s="288"/>
      <c r="J15" s="315"/>
    </row>
    <row r="16" spans="1:22" s="267" customFormat="1">
      <c r="A16" s="165"/>
      <c r="B16" s="165"/>
      <c r="C16" s="165"/>
      <c r="D16" s="165"/>
      <c r="E16" s="165"/>
      <c r="F16" s="165"/>
      <c r="G16" s="165"/>
      <c r="H16" s="165"/>
      <c r="I16" s="288"/>
      <c r="J16" s="315"/>
    </row>
    <row r="17" spans="1:10" s="267" customFormat="1">
      <c r="A17" s="165"/>
      <c r="B17" s="165"/>
      <c r="C17" s="165"/>
      <c r="D17" s="165"/>
      <c r="E17" s="165"/>
      <c r="F17" s="165"/>
      <c r="G17" s="165"/>
      <c r="H17" s="165"/>
      <c r="I17" s="288"/>
      <c r="J17" s="315"/>
    </row>
    <row r="18" spans="1:10" s="267" customFormat="1">
      <c r="A18" s="165"/>
      <c r="B18" s="165"/>
      <c r="C18" s="165"/>
      <c r="D18" s="165"/>
      <c r="E18" s="165"/>
      <c r="F18" s="165"/>
      <c r="G18" s="165"/>
      <c r="H18" s="165"/>
      <c r="I18" s="288"/>
      <c r="J18" s="315"/>
    </row>
    <row r="19" spans="1:10" s="267" customFormat="1">
      <c r="A19" s="165"/>
      <c r="B19" s="165"/>
      <c r="C19" s="165"/>
      <c r="D19" s="165"/>
      <c r="E19" s="165"/>
      <c r="F19" s="165"/>
      <c r="G19" s="165"/>
      <c r="H19" s="165"/>
      <c r="I19" s="288"/>
      <c r="J19" s="315"/>
    </row>
    <row r="20" spans="1:10" s="267" customFormat="1">
      <c r="A20" s="165"/>
      <c r="B20" s="165"/>
      <c r="C20" s="165"/>
      <c r="D20" s="165"/>
      <c r="E20" s="165"/>
      <c r="F20" s="165"/>
      <c r="G20" s="165"/>
      <c r="H20" s="165"/>
      <c r="I20" s="288"/>
      <c r="J20" s="315"/>
    </row>
    <row r="21" spans="1:10" s="267" customFormat="1">
      <c r="A21" s="165"/>
      <c r="B21" s="165"/>
      <c r="C21" s="165"/>
      <c r="D21" s="165"/>
      <c r="E21" s="165"/>
      <c r="F21" s="165"/>
      <c r="G21" s="165"/>
      <c r="H21" s="165"/>
      <c r="I21" s="288"/>
      <c r="J21" s="315"/>
    </row>
    <row r="22" spans="1:10" s="267" customFormat="1">
      <c r="A22" s="165"/>
      <c r="B22" s="165"/>
      <c r="C22" s="165"/>
      <c r="D22" s="165"/>
      <c r="E22" s="165"/>
      <c r="F22" s="165"/>
      <c r="G22" s="165"/>
      <c r="H22" s="165"/>
      <c r="I22" s="288"/>
      <c r="J22" s="315"/>
    </row>
    <row r="23" spans="1:10" s="267" customFormat="1">
      <c r="A23" s="165"/>
      <c r="B23" s="165"/>
      <c r="C23" s="165"/>
      <c r="D23" s="165"/>
      <c r="E23" s="165"/>
      <c r="F23" s="165"/>
      <c r="G23" s="165"/>
      <c r="H23" s="165"/>
      <c r="I23" s="288"/>
      <c r="J23" s="315"/>
    </row>
    <row r="24" spans="1:10" s="267" customFormat="1">
      <c r="A24" s="165"/>
      <c r="B24" s="165"/>
      <c r="C24" s="165"/>
      <c r="D24" s="165"/>
      <c r="E24" s="165"/>
      <c r="F24" s="165"/>
      <c r="G24" s="165"/>
      <c r="H24" s="165"/>
      <c r="I24" s="288"/>
      <c r="J24" s="315"/>
    </row>
    <row r="25" spans="1:10" s="267" customFormat="1">
      <c r="A25" s="165"/>
      <c r="B25" s="165"/>
      <c r="C25" s="165"/>
      <c r="D25" s="165"/>
      <c r="E25" s="165"/>
      <c r="F25" s="165"/>
      <c r="G25" s="165"/>
      <c r="H25" s="165"/>
      <c r="I25" s="288"/>
      <c r="J25" s="315"/>
    </row>
    <row r="26" spans="1:10" s="267" customFormat="1">
      <c r="A26" s="165"/>
      <c r="B26" s="165"/>
      <c r="C26" s="165"/>
      <c r="D26" s="165"/>
      <c r="E26" s="165"/>
      <c r="F26" s="165"/>
      <c r="G26" s="165"/>
      <c r="H26" s="165"/>
      <c r="I26" s="288"/>
      <c r="J26" s="315"/>
    </row>
    <row r="27" spans="1:10" s="267" customFormat="1">
      <c r="A27" s="165"/>
      <c r="B27" s="165"/>
      <c r="C27" s="165"/>
      <c r="D27" s="165"/>
      <c r="E27" s="165"/>
      <c r="F27" s="165"/>
      <c r="G27" s="165"/>
      <c r="H27" s="165"/>
      <c r="I27" s="288"/>
      <c r="J27" s="315"/>
    </row>
    <row r="28" spans="1:10" s="267" customFormat="1">
      <c r="A28" s="165"/>
      <c r="B28" s="165"/>
      <c r="C28" s="165"/>
      <c r="D28" s="165"/>
      <c r="E28" s="165"/>
      <c r="F28" s="165"/>
      <c r="G28" s="165"/>
      <c r="H28" s="165"/>
      <c r="I28" s="288"/>
      <c r="J28" s="315"/>
    </row>
    <row r="29" spans="1:10" s="267" customFormat="1">
      <c r="A29" s="165"/>
      <c r="B29" s="165"/>
      <c r="C29" s="165"/>
      <c r="D29" s="165"/>
      <c r="E29" s="165"/>
      <c r="F29" s="165"/>
      <c r="G29" s="165"/>
      <c r="H29" s="165"/>
      <c r="I29" s="288"/>
      <c r="J29" s="315"/>
    </row>
    <row r="30" spans="1:10" s="267" customFormat="1">
      <c r="A30" s="165"/>
      <c r="B30" s="165"/>
      <c r="C30" s="165"/>
      <c r="D30" s="165"/>
      <c r="E30" s="165"/>
      <c r="F30" s="165"/>
      <c r="G30" s="165"/>
      <c r="H30" s="165"/>
      <c r="I30" s="288"/>
      <c r="J30" s="315"/>
    </row>
    <row r="31" spans="1:10" s="267" customFormat="1">
      <c r="A31" s="165"/>
      <c r="B31" s="165"/>
      <c r="C31" s="165"/>
      <c r="D31" s="165"/>
      <c r="E31" s="165"/>
      <c r="F31" s="165"/>
      <c r="G31" s="165"/>
      <c r="H31" s="165"/>
      <c r="I31" s="288"/>
      <c r="J31" s="315"/>
    </row>
    <row r="32" spans="1:10" s="267" customFormat="1">
      <c r="A32" s="165"/>
      <c r="B32" s="165"/>
      <c r="C32" s="165"/>
      <c r="D32" s="165"/>
      <c r="E32" s="165"/>
      <c r="F32" s="165"/>
      <c r="G32" s="165"/>
      <c r="H32" s="165"/>
      <c r="I32" s="288"/>
      <c r="J32" s="315"/>
    </row>
    <row r="33" spans="1:10" s="267" customFormat="1">
      <c r="A33" s="165"/>
      <c r="B33" s="165"/>
      <c r="C33" s="165"/>
      <c r="D33" s="165"/>
      <c r="E33" s="165"/>
      <c r="F33" s="165"/>
      <c r="G33" s="165"/>
      <c r="H33" s="165"/>
      <c r="I33" s="288"/>
      <c r="J33" s="315"/>
    </row>
    <row r="34" spans="1:10" s="267" customFormat="1">
      <c r="A34" s="165"/>
      <c r="B34" s="165"/>
      <c r="C34" s="165"/>
      <c r="D34" s="165"/>
      <c r="E34" s="165"/>
      <c r="F34" s="165"/>
      <c r="G34" s="165"/>
      <c r="H34" s="165"/>
      <c r="I34" s="288"/>
      <c r="J34" s="315"/>
    </row>
    <row r="35" spans="1:10" s="267" customFormat="1">
      <c r="A35" s="165"/>
      <c r="B35" s="165"/>
      <c r="C35" s="165"/>
      <c r="D35" s="165"/>
      <c r="E35" s="165"/>
      <c r="F35" s="165"/>
      <c r="G35" s="165"/>
      <c r="H35" s="165"/>
      <c r="I35" s="288"/>
      <c r="J35" s="315"/>
    </row>
    <row r="36" spans="1:10" s="267" customFormat="1">
      <c r="A36" s="165"/>
      <c r="B36" s="165"/>
      <c r="C36" s="165"/>
      <c r="D36" s="165"/>
      <c r="E36" s="165"/>
      <c r="F36" s="165"/>
      <c r="G36" s="165"/>
      <c r="H36" s="165"/>
      <c r="I36" s="288"/>
      <c r="J36" s="315"/>
    </row>
    <row r="37" spans="1:10" s="267" customFormat="1">
      <c r="A37" s="165"/>
      <c r="B37" s="165"/>
      <c r="C37" s="165"/>
      <c r="D37" s="165"/>
      <c r="E37" s="165"/>
      <c r="F37" s="165"/>
      <c r="G37" s="165"/>
      <c r="H37" s="165"/>
      <c r="I37" s="288"/>
      <c r="J37" s="315"/>
    </row>
    <row r="38" spans="1:10" s="267" customFormat="1">
      <c r="A38" s="165"/>
      <c r="B38" s="165"/>
      <c r="C38" s="165"/>
      <c r="D38" s="165"/>
      <c r="E38" s="165"/>
      <c r="F38" s="165"/>
      <c r="G38" s="165"/>
      <c r="H38" s="165"/>
      <c r="I38" s="288"/>
      <c r="J38" s="315"/>
    </row>
    <row r="39" spans="1:10" s="267" customFormat="1">
      <c r="A39" s="165"/>
      <c r="B39" s="165"/>
      <c r="C39" s="165"/>
      <c r="D39" s="165"/>
      <c r="E39" s="165"/>
      <c r="F39" s="165"/>
      <c r="G39" s="165"/>
      <c r="H39" s="165"/>
      <c r="I39" s="288"/>
      <c r="J39" s="315"/>
    </row>
    <row r="40" spans="1:10" s="267" customFormat="1">
      <c r="A40" s="165"/>
      <c r="B40" s="165"/>
      <c r="C40" s="165"/>
      <c r="D40" s="165"/>
      <c r="E40" s="165"/>
      <c r="F40" s="165"/>
      <c r="G40" s="165"/>
      <c r="H40" s="165"/>
      <c r="I40" s="288"/>
      <c r="J40" s="315"/>
    </row>
    <row r="41" spans="1:10" s="267" customFormat="1">
      <c r="A41" s="165"/>
      <c r="B41" s="165"/>
      <c r="C41" s="165"/>
      <c r="D41" s="165"/>
      <c r="E41" s="165"/>
      <c r="F41" s="165"/>
      <c r="G41" s="165"/>
      <c r="H41" s="165"/>
      <c r="I41" s="288"/>
      <c r="J41" s="315"/>
    </row>
    <row r="42" spans="1:10" s="267" customFormat="1">
      <c r="A42" s="165"/>
      <c r="B42" s="165"/>
      <c r="C42" s="165"/>
      <c r="D42" s="165"/>
      <c r="E42" s="165"/>
      <c r="F42" s="165"/>
      <c r="G42" s="165"/>
      <c r="H42" s="165"/>
      <c r="I42" s="288"/>
      <c r="J42" s="315"/>
    </row>
    <row r="43" spans="1:10" s="267" customFormat="1">
      <c r="A43" s="165"/>
      <c r="B43" s="165"/>
      <c r="C43" s="165"/>
      <c r="D43" s="165"/>
      <c r="E43" s="165"/>
      <c r="F43" s="165"/>
      <c r="G43" s="165"/>
      <c r="H43" s="165"/>
      <c r="I43" s="288"/>
      <c r="J43" s="315"/>
    </row>
    <row r="44" spans="1:10" s="267" customFormat="1">
      <c r="A44" s="165"/>
      <c r="B44" s="165"/>
      <c r="C44" s="165"/>
      <c r="D44" s="165"/>
      <c r="E44" s="165"/>
      <c r="F44" s="165"/>
      <c r="G44" s="165"/>
      <c r="H44" s="165"/>
      <c r="I44" s="288"/>
      <c r="J44" s="315"/>
    </row>
    <row r="45" spans="1:10" s="267" customFormat="1">
      <c r="A45" s="165"/>
      <c r="B45" s="165"/>
      <c r="C45" s="165"/>
      <c r="D45" s="165"/>
      <c r="E45" s="165"/>
      <c r="F45" s="165"/>
      <c r="G45" s="165"/>
      <c r="H45" s="165"/>
      <c r="I45" s="288"/>
      <c r="J45" s="315"/>
    </row>
    <row r="46" spans="1:10" s="267" customFormat="1">
      <c r="A46" s="165"/>
      <c r="B46" s="165"/>
      <c r="C46" s="165"/>
      <c r="D46" s="165"/>
      <c r="E46" s="165"/>
      <c r="F46" s="165"/>
      <c r="G46" s="165"/>
      <c r="H46" s="165"/>
      <c r="I46" s="288"/>
      <c r="J46" s="315"/>
    </row>
    <row r="47" spans="1:10" s="267" customFormat="1">
      <c r="A47" s="165"/>
      <c r="B47" s="165"/>
      <c r="C47" s="165"/>
      <c r="D47" s="165"/>
      <c r="E47" s="165"/>
      <c r="F47" s="165"/>
      <c r="G47" s="165"/>
      <c r="H47" s="165"/>
      <c r="I47" s="288"/>
      <c r="J47" s="315"/>
    </row>
    <row r="48" spans="1:10" s="267" customFormat="1">
      <c r="A48" s="165"/>
      <c r="B48" s="165"/>
      <c r="C48" s="165"/>
      <c r="D48" s="165"/>
      <c r="E48" s="165"/>
      <c r="F48" s="165"/>
      <c r="G48" s="165"/>
      <c r="H48" s="165"/>
      <c r="I48" s="288"/>
      <c r="J48" s="315"/>
    </row>
    <row r="49" spans="1:10" s="267" customFormat="1">
      <c r="A49" s="165"/>
      <c r="B49" s="165"/>
      <c r="C49" s="165"/>
      <c r="D49" s="165"/>
      <c r="E49" s="165"/>
      <c r="F49" s="165"/>
      <c r="G49" s="165"/>
      <c r="H49" s="165"/>
      <c r="I49" s="288"/>
      <c r="J49" s="315"/>
    </row>
    <row r="50" spans="1:10" s="267" customFormat="1">
      <c r="A50" s="165"/>
      <c r="B50" s="165"/>
      <c r="C50" s="165"/>
      <c r="D50" s="165"/>
      <c r="E50" s="165"/>
      <c r="F50" s="165"/>
      <c r="G50" s="165"/>
      <c r="H50" s="165"/>
      <c r="I50" s="288"/>
      <c r="J50" s="315"/>
    </row>
    <row r="51" spans="1:10" s="267" customFormat="1">
      <c r="A51" s="165"/>
      <c r="B51" s="165"/>
      <c r="C51" s="165"/>
      <c r="D51" s="165"/>
      <c r="E51" s="165"/>
      <c r="F51" s="165"/>
      <c r="G51" s="165"/>
      <c r="H51" s="165"/>
      <c r="I51" s="288"/>
      <c r="J51" s="315"/>
    </row>
    <row r="52" spans="1:10" s="267" customFormat="1">
      <c r="A52" s="165"/>
      <c r="B52" s="165"/>
      <c r="C52" s="165"/>
      <c r="D52" s="165"/>
      <c r="E52" s="165"/>
      <c r="F52" s="165"/>
      <c r="G52" s="165"/>
      <c r="H52" s="165"/>
      <c r="I52" s="288"/>
      <c r="J52" s="315"/>
    </row>
    <row r="53" spans="1:10" s="267" customFormat="1">
      <c r="A53" s="165"/>
      <c r="B53" s="165"/>
      <c r="C53" s="165"/>
      <c r="D53" s="165"/>
      <c r="E53" s="165"/>
      <c r="F53" s="165"/>
      <c r="G53" s="165"/>
      <c r="H53" s="165"/>
      <c r="I53" s="288"/>
      <c r="J53" s="315"/>
    </row>
    <row r="54" spans="1:10" s="267" customFormat="1">
      <c r="A54" s="165"/>
      <c r="B54" s="165"/>
      <c r="C54" s="165"/>
      <c r="D54" s="165"/>
      <c r="E54" s="165"/>
      <c r="F54" s="165"/>
      <c r="G54" s="165"/>
      <c r="H54" s="165"/>
      <c r="I54" s="288"/>
      <c r="J54" s="315"/>
    </row>
    <row r="55" spans="1:10" s="267" customFormat="1">
      <c r="A55" s="165"/>
      <c r="B55" s="165"/>
      <c r="C55" s="165"/>
      <c r="D55" s="165"/>
      <c r="E55" s="165"/>
      <c r="F55" s="165"/>
      <c r="G55" s="165"/>
      <c r="H55" s="165"/>
      <c r="I55" s="288"/>
      <c r="J55" s="315"/>
    </row>
    <row r="56" spans="1:10" s="267" customFormat="1">
      <c r="A56" s="165"/>
      <c r="B56" s="165"/>
      <c r="C56" s="165"/>
      <c r="D56" s="165"/>
      <c r="E56" s="165"/>
      <c r="F56" s="165"/>
      <c r="G56" s="165"/>
      <c r="H56" s="165"/>
      <c r="I56" s="288"/>
      <c r="J56" s="315"/>
    </row>
    <row r="57" spans="1:10" s="267" customFormat="1">
      <c r="A57" s="165"/>
      <c r="B57" s="165"/>
      <c r="C57" s="165"/>
      <c r="D57" s="165"/>
      <c r="E57" s="165"/>
      <c r="F57" s="165"/>
      <c r="G57" s="165"/>
      <c r="H57" s="165"/>
      <c r="I57" s="288"/>
      <c r="J57" s="315"/>
    </row>
    <row r="58" spans="1:10" s="267" customFormat="1">
      <c r="A58" s="165"/>
      <c r="B58" s="165"/>
      <c r="C58" s="165"/>
      <c r="D58" s="165"/>
      <c r="E58" s="165"/>
      <c r="F58" s="165"/>
      <c r="G58" s="165"/>
      <c r="H58" s="165"/>
      <c r="I58" s="288"/>
      <c r="J58" s="315"/>
    </row>
    <row r="59" spans="1:10" s="267" customFormat="1">
      <c r="A59" s="165"/>
      <c r="B59" s="165"/>
      <c r="C59" s="165"/>
      <c r="D59" s="165"/>
      <c r="E59" s="165"/>
      <c r="F59" s="165"/>
      <c r="G59" s="165"/>
      <c r="H59" s="165"/>
      <c r="I59" s="288"/>
      <c r="J59" s="315"/>
    </row>
    <row r="60" spans="1:10" s="267" customFormat="1">
      <c r="A60" s="165"/>
      <c r="B60" s="165"/>
      <c r="C60" s="165"/>
      <c r="D60" s="165"/>
      <c r="E60" s="165"/>
      <c r="F60" s="165"/>
      <c r="G60" s="165"/>
      <c r="H60" s="165"/>
      <c r="I60" s="288"/>
      <c r="J60" s="315"/>
    </row>
    <row r="61" spans="1:10" s="267" customFormat="1">
      <c r="A61" s="165"/>
      <c r="B61" s="165"/>
      <c r="C61" s="165"/>
      <c r="D61" s="165"/>
      <c r="E61" s="165"/>
      <c r="F61" s="165"/>
      <c r="G61" s="165"/>
      <c r="H61" s="165"/>
      <c r="I61" s="288"/>
      <c r="J61" s="315"/>
    </row>
    <row r="62" spans="1:10" s="267" customFormat="1">
      <c r="A62" s="165"/>
      <c r="B62" s="165"/>
      <c r="C62" s="165"/>
      <c r="D62" s="165"/>
      <c r="E62" s="165"/>
      <c r="F62" s="165"/>
      <c r="G62" s="165"/>
      <c r="H62" s="165"/>
      <c r="I62" s="288"/>
      <c r="J62" s="315"/>
    </row>
    <row r="63" spans="1:10" s="267" customFormat="1">
      <c r="A63" s="165"/>
      <c r="B63" s="165"/>
      <c r="C63" s="165"/>
      <c r="D63" s="165"/>
      <c r="E63" s="165"/>
      <c r="F63" s="165"/>
      <c r="G63" s="165"/>
      <c r="H63" s="165"/>
      <c r="I63" s="288"/>
      <c r="J63" s="315"/>
    </row>
    <row r="64" spans="1:10" s="267" customFormat="1">
      <c r="A64" s="165"/>
      <c r="B64" s="165"/>
      <c r="C64" s="165"/>
      <c r="D64" s="165"/>
      <c r="E64" s="165"/>
      <c r="F64" s="165"/>
      <c r="G64" s="165"/>
      <c r="H64" s="165"/>
      <c r="I64" s="288"/>
      <c r="J64" s="315"/>
    </row>
    <row r="65" spans="1:10" s="267" customFormat="1">
      <c r="A65" s="165"/>
      <c r="B65" s="165"/>
      <c r="C65" s="165"/>
      <c r="D65" s="165"/>
      <c r="E65" s="165"/>
      <c r="F65" s="165"/>
      <c r="G65" s="165"/>
      <c r="H65" s="165"/>
      <c r="I65" s="288"/>
      <c r="J65" s="315"/>
    </row>
    <row r="66" spans="1:10" s="267" customFormat="1">
      <c r="A66" s="165"/>
      <c r="B66" s="165"/>
      <c r="C66" s="165"/>
      <c r="D66" s="165"/>
      <c r="E66" s="165"/>
      <c r="F66" s="165"/>
      <c r="G66" s="165"/>
      <c r="H66" s="165"/>
      <c r="I66" s="288"/>
      <c r="J66" s="315"/>
    </row>
    <row r="67" spans="1:10" s="267" customFormat="1">
      <c r="A67" s="165"/>
      <c r="B67" s="165"/>
      <c r="C67" s="165"/>
      <c r="D67" s="165"/>
      <c r="E67" s="165"/>
      <c r="F67" s="165"/>
      <c r="G67" s="165"/>
      <c r="H67" s="165"/>
      <c r="I67" s="288"/>
      <c r="J67" s="315"/>
    </row>
    <row r="68" spans="1:10" s="267" customFormat="1">
      <c r="A68" s="165"/>
      <c r="B68" s="165"/>
      <c r="C68" s="165"/>
      <c r="D68" s="165"/>
      <c r="E68" s="165"/>
      <c r="F68" s="165"/>
      <c r="G68" s="165"/>
      <c r="H68" s="165"/>
      <c r="I68" s="288"/>
      <c r="J68" s="315"/>
    </row>
    <row r="69" spans="1:10" s="267" customFormat="1">
      <c r="A69" s="165"/>
      <c r="B69" s="165"/>
      <c r="C69" s="165"/>
      <c r="D69" s="165"/>
      <c r="E69" s="165"/>
      <c r="F69" s="165"/>
      <c r="G69" s="165"/>
      <c r="H69" s="165"/>
      <c r="I69" s="288"/>
      <c r="J69" s="315"/>
    </row>
    <row r="70" spans="1:10" s="267" customFormat="1">
      <c r="A70" s="165"/>
      <c r="B70" s="165"/>
      <c r="C70" s="165"/>
      <c r="D70" s="165"/>
      <c r="E70" s="165"/>
      <c r="F70" s="165"/>
      <c r="G70" s="165"/>
      <c r="H70" s="165"/>
      <c r="I70" s="288"/>
      <c r="J70" s="315"/>
    </row>
    <row r="71" spans="1:10" s="267" customFormat="1">
      <c r="A71" s="165"/>
      <c r="B71" s="165"/>
      <c r="C71" s="165"/>
      <c r="D71" s="165"/>
      <c r="E71" s="165"/>
      <c r="F71" s="165"/>
      <c r="G71" s="165"/>
      <c r="H71" s="165"/>
      <c r="I71" s="288"/>
      <c r="J71" s="315"/>
    </row>
    <row r="72" spans="1:10" s="267" customFormat="1">
      <c r="A72" s="165"/>
      <c r="B72" s="165"/>
      <c r="C72" s="165"/>
      <c r="D72" s="165"/>
      <c r="E72" s="165"/>
      <c r="F72" s="165"/>
      <c r="G72" s="165"/>
      <c r="H72" s="165"/>
      <c r="I72" s="288"/>
      <c r="J72" s="315"/>
    </row>
    <row r="73" spans="1:10" s="267" customFormat="1">
      <c r="A73" s="165"/>
      <c r="B73" s="165"/>
      <c r="C73" s="165"/>
      <c r="D73" s="165"/>
      <c r="E73" s="165"/>
      <c r="F73" s="165"/>
      <c r="G73" s="165"/>
      <c r="H73" s="165"/>
      <c r="I73" s="288"/>
      <c r="J73" s="315"/>
    </row>
    <row r="74" spans="1:10" s="267" customFormat="1">
      <c r="A74" s="165"/>
      <c r="B74" s="165"/>
      <c r="C74" s="165"/>
      <c r="D74" s="165"/>
      <c r="E74" s="165"/>
      <c r="F74" s="165"/>
      <c r="G74" s="165"/>
      <c r="H74" s="165"/>
      <c r="I74" s="288"/>
      <c r="J74" s="315"/>
    </row>
    <row r="75" spans="1:10" s="267" customFormat="1">
      <c r="A75" s="165"/>
      <c r="B75" s="165"/>
      <c r="C75" s="165"/>
      <c r="D75" s="165"/>
      <c r="E75" s="165"/>
      <c r="F75" s="165"/>
      <c r="G75" s="165"/>
      <c r="H75" s="165"/>
      <c r="I75" s="288"/>
      <c r="J75" s="315"/>
    </row>
    <row r="76" spans="1:10" s="267" customFormat="1">
      <c r="A76" s="165"/>
      <c r="B76" s="165"/>
      <c r="C76" s="165"/>
      <c r="D76" s="165"/>
      <c r="E76" s="165"/>
      <c r="F76" s="165"/>
      <c r="G76" s="165"/>
      <c r="H76" s="165"/>
      <c r="I76" s="288"/>
      <c r="J76" s="315"/>
    </row>
    <row r="77" spans="1:10" s="267" customFormat="1">
      <c r="A77" s="165"/>
      <c r="B77" s="165"/>
      <c r="C77" s="165"/>
      <c r="D77" s="165"/>
      <c r="E77" s="165"/>
      <c r="F77" s="165"/>
      <c r="G77" s="165"/>
      <c r="H77" s="165"/>
      <c r="I77" s="288"/>
      <c r="J77" s="315"/>
    </row>
    <row r="78" spans="1:10" s="267" customFormat="1">
      <c r="A78" s="165"/>
      <c r="B78" s="165"/>
      <c r="C78" s="165"/>
      <c r="D78" s="165"/>
      <c r="E78" s="165"/>
      <c r="F78" s="165"/>
      <c r="G78" s="165"/>
      <c r="H78" s="165"/>
      <c r="I78" s="288"/>
      <c r="J78" s="315"/>
    </row>
    <row r="79" spans="1:10" s="267" customFormat="1">
      <c r="A79" s="165"/>
      <c r="B79" s="165"/>
      <c r="C79" s="165"/>
      <c r="D79" s="165"/>
      <c r="E79" s="165"/>
      <c r="F79" s="165"/>
      <c r="G79" s="165"/>
      <c r="H79" s="165"/>
      <c r="I79" s="288"/>
      <c r="J79" s="315"/>
    </row>
    <row r="80" spans="1:10" s="267" customFormat="1">
      <c r="A80" s="165"/>
      <c r="B80" s="165"/>
      <c r="C80" s="165"/>
      <c r="D80" s="165"/>
      <c r="E80" s="165"/>
      <c r="F80" s="165"/>
      <c r="G80" s="165"/>
      <c r="H80" s="165"/>
      <c r="I80" s="288"/>
      <c r="J80" s="315"/>
    </row>
    <row r="81" spans="1:10" s="267" customFormat="1">
      <c r="A81" s="165"/>
      <c r="B81" s="165"/>
      <c r="C81" s="165"/>
      <c r="D81" s="165"/>
      <c r="E81" s="165"/>
      <c r="F81" s="165"/>
      <c r="G81" s="165"/>
      <c r="H81" s="165"/>
      <c r="I81" s="288"/>
      <c r="J81" s="315"/>
    </row>
    <row r="82" spans="1:10" s="267" customFormat="1">
      <c r="A82" s="165"/>
      <c r="B82" s="165"/>
      <c r="C82" s="165"/>
      <c r="D82" s="165"/>
      <c r="E82" s="165"/>
      <c r="F82" s="165"/>
      <c r="G82" s="165"/>
      <c r="H82" s="165"/>
      <c r="I82" s="288"/>
      <c r="J82" s="315"/>
    </row>
    <row r="83" spans="1:10" s="267" customFormat="1">
      <c r="A83" s="165"/>
      <c r="B83" s="165"/>
      <c r="C83" s="165"/>
      <c r="D83" s="165"/>
      <c r="E83" s="165"/>
      <c r="F83" s="165"/>
      <c r="G83" s="165"/>
      <c r="H83" s="165"/>
      <c r="I83" s="288"/>
      <c r="J83" s="315"/>
    </row>
    <row r="84" spans="1:10" s="267" customFormat="1">
      <c r="A84" s="165"/>
      <c r="B84" s="165"/>
      <c r="C84" s="165"/>
      <c r="D84" s="165"/>
      <c r="E84" s="165"/>
      <c r="F84" s="165"/>
      <c r="G84" s="165"/>
      <c r="H84" s="165"/>
      <c r="I84" s="288"/>
      <c r="J84" s="315"/>
    </row>
    <row r="85" spans="1:10" s="267" customFormat="1">
      <c r="A85" s="165"/>
      <c r="B85" s="165"/>
      <c r="C85" s="165"/>
      <c r="D85" s="165"/>
      <c r="E85" s="165"/>
      <c r="F85" s="165"/>
      <c r="G85" s="165"/>
      <c r="H85" s="165"/>
      <c r="I85" s="288"/>
      <c r="J85" s="315"/>
    </row>
    <row r="86" spans="1:10" s="267" customFormat="1">
      <c r="A86" s="165"/>
      <c r="B86" s="165"/>
      <c r="C86" s="165"/>
      <c r="D86" s="165"/>
      <c r="E86" s="165"/>
      <c r="F86" s="165"/>
      <c r="G86" s="165"/>
      <c r="H86" s="165"/>
      <c r="I86" s="288"/>
      <c r="J86" s="315"/>
    </row>
    <row r="87" spans="1:10" s="267" customFormat="1">
      <c r="A87" s="165"/>
      <c r="B87" s="165"/>
      <c r="C87" s="165"/>
      <c r="D87" s="165"/>
      <c r="E87" s="165"/>
      <c r="F87" s="165"/>
      <c r="G87" s="165"/>
      <c r="H87" s="165"/>
      <c r="I87" s="288"/>
      <c r="J87" s="315"/>
    </row>
    <row r="88" spans="1:10" s="267" customFormat="1">
      <c r="A88" s="165"/>
      <c r="B88" s="165"/>
      <c r="C88" s="165"/>
      <c r="D88" s="165"/>
      <c r="E88" s="165"/>
      <c r="F88" s="165"/>
      <c r="G88" s="165"/>
      <c r="H88" s="165"/>
      <c r="I88" s="288"/>
      <c r="J88" s="315"/>
    </row>
    <row r="89" spans="1:10" s="267" customFormat="1">
      <c r="A89" s="165"/>
      <c r="B89" s="165"/>
      <c r="C89" s="165"/>
      <c r="D89" s="165"/>
      <c r="E89" s="165"/>
      <c r="F89" s="165"/>
      <c r="G89" s="165"/>
      <c r="H89" s="165"/>
      <c r="I89" s="288"/>
      <c r="J89" s="315"/>
    </row>
    <row r="90" spans="1:10" s="267" customFormat="1">
      <c r="A90" s="165"/>
      <c r="B90" s="165"/>
      <c r="C90" s="165"/>
      <c r="D90" s="165"/>
      <c r="E90" s="165"/>
      <c r="F90" s="165"/>
      <c r="G90" s="165"/>
      <c r="H90" s="165"/>
      <c r="I90" s="288"/>
      <c r="J90" s="315"/>
    </row>
    <row r="91" spans="1:10" s="267" customFormat="1">
      <c r="A91" s="165"/>
      <c r="B91" s="165"/>
      <c r="C91" s="165"/>
      <c r="D91" s="165"/>
      <c r="E91" s="165"/>
      <c r="F91" s="165"/>
      <c r="G91" s="165"/>
      <c r="H91" s="165"/>
      <c r="I91" s="288"/>
      <c r="J91" s="315"/>
    </row>
    <row r="92" spans="1:10" s="267" customFormat="1">
      <c r="A92" s="165"/>
      <c r="B92" s="165"/>
      <c r="C92" s="165"/>
      <c r="D92" s="165"/>
      <c r="E92" s="165"/>
      <c r="F92" s="165"/>
      <c r="G92" s="165"/>
      <c r="H92" s="165"/>
      <c r="I92" s="288"/>
      <c r="J92" s="315"/>
    </row>
    <row r="93" spans="1:10" s="267" customFormat="1">
      <c r="A93" s="165"/>
      <c r="B93" s="165"/>
      <c r="C93" s="165"/>
      <c r="D93" s="165"/>
      <c r="E93" s="165"/>
      <c r="F93" s="165"/>
      <c r="G93" s="165"/>
      <c r="H93" s="165"/>
      <c r="I93" s="288"/>
      <c r="J93" s="315"/>
    </row>
    <row r="94" spans="1:10" s="267" customFormat="1">
      <c r="A94" s="165"/>
      <c r="B94" s="165"/>
      <c r="C94" s="165"/>
      <c r="D94" s="165"/>
      <c r="E94" s="165"/>
      <c r="F94" s="165"/>
      <c r="G94" s="165"/>
      <c r="H94" s="165"/>
      <c r="I94" s="288"/>
      <c r="J94" s="315"/>
    </row>
    <row r="95" spans="1:10" s="267" customFormat="1">
      <c r="A95" s="165"/>
      <c r="B95" s="165"/>
      <c r="C95" s="165"/>
      <c r="D95" s="165"/>
      <c r="E95" s="165"/>
      <c r="F95" s="165"/>
      <c r="G95" s="165"/>
      <c r="H95" s="165"/>
      <c r="I95" s="288"/>
      <c r="J95" s="315"/>
    </row>
    <row r="96" spans="1:10" s="267" customFormat="1">
      <c r="A96" s="165"/>
      <c r="B96" s="165"/>
      <c r="C96" s="165"/>
      <c r="D96" s="165"/>
      <c r="E96" s="165"/>
      <c r="F96" s="165"/>
      <c r="G96" s="165"/>
      <c r="H96" s="165"/>
      <c r="I96" s="288"/>
      <c r="J96" s="315"/>
    </row>
    <row r="97" spans="1:10" s="267" customFormat="1">
      <c r="A97" s="165"/>
      <c r="B97" s="165"/>
      <c r="C97" s="165"/>
      <c r="D97" s="165"/>
      <c r="E97" s="165"/>
      <c r="F97" s="165"/>
      <c r="G97" s="165"/>
      <c r="H97" s="165"/>
      <c r="I97" s="288"/>
      <c r="J97" s="315"/>
    </row>
    <row r="98" spans="1:10" s="267" customFormat="1">
      <c r="A98" s="165"/>
      <c r="B98" s="165"/>
      <c r="C98" s="165"/>
      <c r="D98" s="165"/>
      <c r="E98" s="165"/>
      <c r="F98" s="165"/>
      <c r="G98" s="165"/>
      <c r="H98" s="165"/>
      <c r="I98" s="288"/>
      <c r="J98" s="315"/>
    </row>
    <row r="99" spans="1:10" s="267" customFormat="1">
      <c r="A99" s="165"/>
      <c r="B99" s="165"/>
      <c r="C99" s="165"/>
      <c r="D99" s="165"/>
      <c r="E99" s="165"/>
      <c r="F99" s="165"/>
      <c r="G99" s="165"/>
      <c r="H99" s="165"/>
      <c r="I99" s="288"/>
      <c r="J99" s="315"/>
    </row>
    <row r="100" spans="1:10" s="267" customFormat="1">
      <c r="A100" s="165"/>
      <c r="B100" s="165"/>
      <c r="C100" s="165"/>
      <c r="D100" s="165"/>
      <c r="E100" s="165"/>
      <c r="F100" s="165"/>
      <c r="G100" s="165"/>
      <c r="H100" s="165"/>
      <c r="I100" s="288"/>
      <c r="J100" s="315"/>
    </row>
    <row r="101" spans="1:10" s="267" customFormat="1">
      <c r="J101" s="316"/>
    </row>
    <row r="102" spans="1:10" s="267" customFormat="1">
      <c r="D102" s="81"/>
      <c r="E102" s="81"/>
      <c r="F102" s="81"/>
      <c r="G102" s="81"/>
      <c r="H102" s="81"/>
      <c r="I102" s="81"/>
      <c r="J102" s="316"/>
    </row>
    <row r="103" spans="1:10" s="267" customFormat="1">
      <c r="J103" s="316"/>
    </row>
    <row r="104" spans="1:10" s="267" customFormat="1">
      <c r="J104" s="316"/>
    </row>
    <row r="105" spans="1:10" s="267" customFormat="1">
      <c r="J105" s="316"/>
    </row>
    <row r="106" spans="1:10" s="267" customFormat="1">
      <c r="J106" s="316"/>
    </row>
    <row r="107" spans="1:10" s="267" customFormat="1">
      <c r="J107" s="316"/>
    </row>
    <row r="108" spans="1:10" s="267" customFormat="1">
      <c r="J108" s="316"/>
    </row>
    <row r="109" spans="1:10" s="267" customFormat="1">
      <c r="J109" s="316"/>
    </row>
    <row r="110" spans="1:10" s="267" customFormat="1">
      <c r="J110" s="316"/>
    </row>
    <row r="111" spans="1:10" s="267" customFormat="1">
      <c r="J111" s="316"/>
    </row>
    <row r="112" spans="1:10" s="267" customFormat="1">
      <c r="J112" s="316"/>
    </row>
    <row r="113" spans="10:10" s="267" customFormat="1">
      <c r="J113" s="316"/>
    </row>
    <row r="114" spans="10:10" s="267" customFormat="1">
      <c r="J114" s="316"/>
    </row>
    <row r="115" spans="10:10" s="267" customFormat="1">
      <c r="J115" s="316"/>
    </row>
    <row r="116" spans="10:10" s="267" customFormat="1">
      <c r="J116" s="316"/>
    </row>
    <row r="117" spans="10:10" s="267" customFormat="1">
      <c r="J117" s="316"/>
    </row>
    <row r="118" spans="10:10" s="267" customFormat="1">
      <c r="J118" s="316"/>
    </row>
    <row r="119" spans="10:10" s="267" customFormat="1">
      <c r="J119" s="316"/>
    </row>
    <row r="120" spans="10:10" s="267" customFormat="1">
      <c r="J120" s="316"/>
    </row>
    <row r="121" spans="10:10" s="267" customFormat="1">
      <c r="J121" s="316"/>
    </row>
    <row r="122" spans="10:10" s="267" customFormat="1">
      <c r="J122" s="316"/>
    </row>
    <row r="123" spans="10:10" s="267" customFormat="1">
      <c r="J123" s="316"/>
    </row>
    <row r="124" spans="10:10" s="267" customFormat="1">
      <c r="J124" s="316"/>
    </row>
    <row r="125" spans="10:10" s="267" customFormat="1">
      <c r="J125" s="316"/>
    </row>
    <row r="126" spans="10:10" s="267" customFormat="1">
      <c r="J126" s="316"/>
    </row>
    <row r="127" spans="10:10" s="267" customFormat="1">
      <c r="J127" s="316"/>
    </row>
    <row r="128" spans="10:10" s="267" customFormat="1">
      <c r="J128" s="316"/>
    </row>
    <row r="129" spans="10:10" s="267" customFormat="1">
      <c r="J129" s="316"/>
    </row>
    <row r="130" spans="10:10" s="267" customFormat="1">
      <c r="J130" s="316"/>
    </row>
    <row r="131" spans="10:10" s="267" customFormat="1">
      <c r="J131" s="316"/>
    </row>
    <row r="132" spans="10:10" s="267" customFormat="1">
      <c r="J132" s="316"/>
    </row>
    <row r="133" spans="10:10" s="267" customFormat="1">
      <c r="J133" s="316"/>
    </row>
    <row r="134" spans="10:10" s="267" customFormat="1">
      <c r="J134" s="316"/>
    </row>
    <row r="135" spans="10:10" s="267" customFormat="1">
      <c r="J135" s="316"/>
    </row>
    <row r="136" spans="10:10" s="267" customFormat="1">
      <c r="J136" s="316"/>
    </row>
    <row r="137" spans="10:10" s="267" customFormat="1">
      <c r="J137" s="316"/>
    </row>
    <row r="138" spans="10:10" s="267" customFormat="1">
      <c r="J138" s="316"/>
    </row>
    <row r="139" spans="10:10" s="267" customFormat="1">
      <c r="J139" s="316"/>
    </row>
    <row r="140" spans="10:10" s="267" customFormat="1">
      <c r="J140" s="316"/>
    </row>
    <row r="141" spans="10:10" s="267" customFormat="1">
      <c r="J141" s="316"/>
    </row>
    <row r="142" spans="10:10" s="267" customFormat="1">
      <c r="J142" s="316"/>
    </row>
    <row r="143" spans="10:10" s="267" customFormat="1">
      <c r="J143" s="316"/>
    </row>
    <row r="144" spans="10:10" s="267" customFormat="1">
      <c r="J144" s="316"/>
    </row>
    <row r="145" spans="10:10" s="267" customFormat="1">
      <c r="J145" s="316"/>
    </row>
    <row r="146" spans="10:10" s="267" customFormat="1">
      <c r="J146" s="316"/>
    </row>
    <row r="147" spans="10:10" s="267" customFormat="1">
      <c r="J147" s="316"/>
    </row>
    <row r="148" spans="10:10" s="267" customFormat="1">
      <c r="J148" s="316"/>
    </row>
    <row r="149" spans="10:10" s="267" customFormat="1">
      <c r="J149" s="316"/>
    </row>
    <row r="150" spans="10:10" s="267" customFormat="1">
      <c r="J150" s="316"/>
    </row>
    <row r="151" spans="10:10" s="267" customFormat="1">
      <c r="J151" s="316"/>
    </row>
    <row r="152" spans="10:10" s="267" customFormat="1">
      <c r="J152" s="316"/>
    </row>
    <row r="153" spans="10:10" s="267" customFormat="1">
      <c r="J153" s="316"/>
    </row>
    <row r="154" spans="10:10" s="267" customFormat="1">
      <c r="J154" s="316"/>
    </row>
    <row r="155" spans="10:10" s="267" customFormat="1">
      <c r="J155" s="316"/>
    </row>
    <row r="156" spans="10:10" s="267" customFormat="1">
      <c r="J156" s="316"/>
    </row>
    <row r="157" spans="10:10" s="267" customFormat="1">
      <c r="J157" s="316"/>
    </row>
    <row r="158" spans="10:10" s="267" customFormat="1">
      <c r="J158" s="316"/>
    </row>
    <row r="159" spans="10:10" s="267" customFormat="1">
      <c r="J159" s="316"/>
    </row>
    <row r="160" spans="10:10" s="267" customFormat="1">
      <c r="J160" s="316"/>
    </row>
    <row r="161" spans="10:10" s="267" customFormat="1">
      <c r="J161" s="316"/>
    </row>
    <row r="162" spans="10:10" s="267" customFormat="1">
      <c r="J162" s="316"/>
    </row>
    <row r="163" spans="10:10" s="267" customFormat="1">
      <c r="J163" s="316"/>
    </row>
    <row r="164" spans="10:10" s="267" customFormat="1">
      <c r="J164" s="316"/>
    </row>
    <row r="165" spans="10:10" s="267" customFormat="1">
      <c r="J165" s="316"/>
    </row>
    <row r="166" spans="10:10" s="267" customFormat="1">
      <c r="J166" s="316"/>
    </row>
    <row r="167" spans="10:10" s="267" customFormat="1">
      <c r="J167" s="316"/>
    </row>
    <row r="168" spans="10:10" s="267" customFormat="1">
      <c r="J168" s="316"/>
    </row>
    <row r="169" spans="10:10" s="267" customFormat="1">
      <c r="J169" s="316"/>
    </row>
    <row r="170" spans="10:10" s="267" customFormat="1">
      <c r="J170" s="316"/>
    </row>
    <row r="171" spans="10:10" s="267" customFormat="1">
      <c r="J171" s="316"/>
    </row>
    <row r="172" spans="10:10" s="267" customFormat="1">
      <c r="J172" s="316"/>
    </row>
    <row r="173" spans="10:10" s="267" customFormat="1">
      <c r="J173" s="316"/>
    </row>
    <row r="174" spans="10:10" s="267" customFormat="1">
      <c r="J174" s="316"/>
    </row>
    <row r="175" spans="10:10" s="267" customFormat="1">
      <c r="J175" s="316"/>
    </row>
    <row r="176" spans="10:10" s="267" customFormat="1">
      <c r="J176" s="316"/>
    </row>
    <row r="177" spans="10:10" s="267" customFormat="1">
      <c r="J177" s="316"/>
    </row>
    <row r="178" spans="10:10" s="267" customFormat="1">
      <c r="J178" s="316"/>
    </row>
    <row r="179" spans="10:10" s="267" customFormat="1">
      <c r="J179" s="316"/>
    </row>
    <row r="180" spans="10:10" s="267" customFormat="1">
      <c r="J180" s="316"/>
    </row>
    <row r="181" spans="10:10" s="267" customFormat="1">
      <c r="J181" s="316"/>
    </row>
    <row r="182" spans="10:10" s="267" customFormat="1">
      <c r="J182" s="316"/>
    </row>
    <row r="183" spans="10:10" s="267" customFormat="1">
      <c r="J183" s="316"/>
    </row>
    <row r="184" spans="10:10" s="267" customFormat="1">
      <c r="J184" s="316"/>
    </row>
    <row r="185" spans="10:10" s="267" customFormat="1">
      <c r="J185" s="316"/>
    </row>
    <row r="186" spans="10:10" s="267" customFormat="1">
      <c r="J186" s="316"/>
    </row>
    <row r="187" spans="10:10" s="267" customFormat="1">
      <c r="J187" s="316"/>
    </row>
    <row r="188" spans="10:10" s="267" customFormat="1">
      <c r="J188" s="316"/>
    </row>
    <row r="189" spans="10:10" s="267" customFormat="1">
      <c r="J189" s="316"/>
    </row>
    <row r="190" spans="10:10" s="267" customFormat="1">
      <c r="J190" s="316"/>
    </row>
    <row r="191" spans="10:10" s="267" customFormat="1">
      <c r="J191" s="316"/>
    </row>
    <row r="192" spans="10:10" s="267" customFormat="1">
      <c r="J192" s="316"/>
    </row>
    <row r="193" spans="10:10" s="267" customFormat="1">
      <c r="J193" s="316"/>
    </row>
    <row r="194" spans="10:10" s="267" customFormat="1">
      <c r="J194" s="316"/>
    </row>
    <row r="195" spans="10:10" s="267" customFormat="1">
      <c r="J195" s="316"/>
    </row>
    <row r="196" spans="10:10" s="267" customFormat="1">
      <c r="J196" s="316"/>
    </row>
    <row r="197" spans="10:10" s="267" customFormat="1">
      <c r="J197" s="316"/>
    </row>
    <row r="198" spans="10:10" s="267" customFormat="1">
      <c r="J198" s="316"/>
    </row>
    <row r="199" spans="10:10" s="267" customFormat="1">
      <c r="J199" s="316"/>
    </row>
    <row r="200" spans="10:10" s="267" customFormat="1">
      <c r="J200" s="316"/>
    </row>
    <row r="201" spans="10:10" s="267" customFormat="1">
      <c r="J201" s="316"/>
    </row>
    <row r="202" spans="10:10" s="267" customFormat="1">
      <c r="J202" s="316"/>
    </row>
    <row r="203" spans="10:10" s="267" customFormat="1">
      <c r="J203" s="316"/>
    </row>
    <row r="204" spans="10:10" s="267" customFormat="1">
      <c r="J204" s="316"/>
    </row>
    <row r="205" spans="10:10" s="267" customFormat="1">
      <c r="J205" s="316"/>
    </row>
    <row r="206" spans="10:10" s="267" customFormat="1">
      <c r="J206" s="316"/>
    </row>
    <row r="207" spans="10:10" s="267" customFormat="1">
      <c r="J207" s="316"/>
    </row>
    <row r="208" spans="10:10" s="267" customFormat="1">
      <c r="J208" s="316"/>
    </row>
    <row r="209" spans="10:10" s="267" customFormat="1">
      <c r="J209" s="316"/>
    </row>
    <row r="210" spans="10:10" s="267" customFormat="1">
      <c r="J210" s="316"/>
    </row>
    <row r="211" spans="10:10" s="267" customFormat="1">
      <c r="J211" s="316"/>
    </row>
    <row r="212" spans="10:10" s="267" customFormat="1">
      <c r="J212" s="316"/>
    </row>
    <row r="213" spans="10:10" s="267" customFormat="1">
      <c r="J213" s="316"/>
    </row>
    <row r="214" spans="10:10" s="267" customFormat="1">
      <c r="J214" s="316"/>
    </row>
    <row r="215" spans="10:10" s="267" customFormat="1">
      <c r="J215" s="316"/>
    </row>
    <row r="216" spans="10:10" s="267" customFormat="1">
      <c r="J216" s="316"/>
    </row>
    <row r="217" spans="10:10" s="267" customFormat="1">
      <c r="J217" s="316"/>
    </row>
    <row r="218" spans="10:10" s="267" customFormat="1">
      <c r="J218" s="316"/>
    </row>
    <row r="219" spans="10:10" s="267" customFormat="1">
      <c r="J219" s="316"/>
    </row>
    <row r="220" spans="10:10" s="267" customFormat="1">
      <c r="J220" s="316"/>
    </row>
    <row r="221" spans="10:10" s="267" customFormat="1">
      <c r="J221" s="316"/>
    </row>
    <row r="222" spans="10:10" s="267" customFormat="1">
      <c r="J222" s="316"/>
    </row>
    <row r="223" spans="10:10" s="267" customFormat="1">
      <c r="J223" s="316"/>
    </row>
    <row r="224" spans="10:10" s="267" customFormat="1">
      <c r="J224" s="316"/>
    </row>
    <row r="225" spans="10:10" s="267" customFormat="1">
      <c r="J225" s="316"/>
    </row>
    <row r="226" spans="10:10" s="267" customFormat="1">
      <c r="J226" s="316"/>
    </row>
    <row r="227" spans="10:10" s="267" customFormat="1">
      <c r="J227" s="316"/>
    </row>
    <row r="228" spans="10:10" s="267" customFormat="1">
      <c r="J228" s="316"/>
    </row>
    <row r="229" spans="10:10" s="267" customFormat="1">
      <c r="J229" s="316"/>
    </row>
    <row r="230" spans="10:10" s="267" customFormat="1">
      <c r="J230" s="316"/>
    </row>
    <row r="231" spans="10:10" s="267" customFormat="1">
      <c r="J231" s="316"/>
    </row>
    <row r="232" spans="10:10" s="267" customFormat="1">
      <c r="J232" s="316"/>
    </row>
    <row r="233" spans="10:10" s="267" customFormat="1">
      <c r="J233" s="316"/>
    </row>
    <row r="234" spans="10:10" s="267" customFormat="1">
      <c r="J234" s="316"/>
    </row>
    <row r="235" spans="10:10" s="267" customFormat="1">
      <c r="J235" s="316"/>
    </row>
    <row r="236" spans="10:10" s="267" customFormat="1">
      <c r="J236" s="316"/>
    </row>
    <row r="237" spans="10:10" s="267" customFormat="1">
      <c r="J237" s="316"/>
    </row>
    <row r="238" spans="10:10" s="267" customFormat="1">
      <c r="J238" s="316"/>
    </row>
    <row r="239" spans="10:10" s="267" customFormat="1">
      <c r="J239" s="316"/>
    </row>
    <row r="240" spans="10:10" s="267" customFormat="1">
      <c r="J240" s="316"/>
    </row>
    <row r="241" spans="10:10" s="267" customFormat="1">
      <c r="J241" s="316"/>
    </row>
    <row r="242" spans="10:10" s="267" customFormat="1">
      <c r="J242" s="316"/>
    </row>
    <row r="243" spans="10:10" s="267" customFormat="1">
      <c r="J243" s="316"/>
    </row>
    <row r="244" spans="10:10" s="267" customFormat="1">
      <c r="J244" s="316"/>
    </row>
    <row r="245" spans="10:10" s="267" customFormat="1">
      <c r="J245" s="316"/>
    </row>
    <row r="246" spans="10:10" s="267" customFormat="1">
      <c r="J246" s="316"/>
    </row>
    <row r="247" spans="10:10" s="267" customFormat="1">
      <c r="J247" s="316"/>
    </row>
    <row r="248" spans="10:10" s="267" customFormat="1">
      <c r="J248" s="316"/>
    </row>
    <row r="249" spans="10:10" s="267" customFormat="1">
      <c r="J249" s="316"/>
    </row>
    <row r="250" spans="10:10" s="267" customFormat="1">
      <c r="J250" s="316"/>
    </row>
    <row r="251" spans="10:10" s="267" customFormat="1">
      <c r="J251" s="316"/>
    </row>
    <row r="252" spans="10:10" s="267" customFormat="1">
      <c r="J252" s="316"/>
    </row>
    <row r="253" spans="10:10" s="267" customFormat="1">
      <c r="J253" s="316"/>
    </row>
    <row r="254" spans="10:10" s="267" customFormat="1">
      <c r="J254" s="316"/>
    </row>
    <row r="255" spans="10:10" s="267" customFormat="1">
      <c r="J255" s="316"/>
    </row>
    <row r="256" spans="10:10" s="267" customFormat="1">
      <c r="J256" s="316"/>
    </row>
    <row r="257" spans="10:10" s="267" customFormat="1">
      <c r="J257" s="316"/>
    </row>
    <row r="258" spans="10:10" s="267" customFormat="1">
      <c r="J258" s="316"/>
    </row>
    <row r="259" spans="10:10" s="267" customFormat="1">
      <c r="J259" s="316"/>
    </row>
    <row r="260" spans="10:10" s="267" customFormat="1">
      <c r="J260" s="316"/>
    </row>
    <row r="261" spans="10:10" s="267" customFormat="1">
      <c r="J261" s="316"/>
    </row>
    <row r="262" spans="10:10" s="267" customFormat="1">
      <c r="J262" s="316"/>
    </row>
    <row r="263" spans="10:10" s="267" customFormat="1">
      <c r="J263" s="316"/>
    </row>
    <row r="264" spans="10:10" s="267" customFormat="1">
      <c r="J264" s="316"/>
    </row>
    <row r="265" spans="10:10" s="267" customFormat="1">
      <c r="J265" s="316"/>
    </row>
    <row r="266" spans="10:10" s="267" customFormat="1">
      <c r="J266" s="316"/>
    </row>
    <row r="267" spans="10:10" s="267" customFormat="1">
      <c r="J267" s="316"/>
    </row>
    <row r="268" spans="10:10" s="267" customFormat="1">
      <c r="J268" s="316"/>
    </row>
    <row r="269" spans="10:10" s="267" customFormat="1">
      <c r="J269" s="316"/>
    </row>
    <row r="270" spans="10:10" s="267" customFormat="1">
      <c r="J270" s="316"/>
    </row>
    <row r="271" spans="10:10" s="267" customFormat="1">
      <c r="J271" s="316"/>
    </row>
    <row r="272" spans="10:10" s="267" customFormat="1">
      <c r="J272" s="316"/>
    </row>
    <row r="273" spans="10:10" s="267" customFormat="1">
      <c r="J273" s="316"/>
    </row>
    <row r="274" spans="10:10" s="267" customFormat="1">
      <c r="J274" s="316"/>
    </row>
    <row r="275" spans="10:10" s="267" customFormat="1">
      <c r="J275" s="316"/>
    </row>
    <row r="276" spans="10:10" s="267" customFormat="1">
      <c r="J276" s="316"/>
    </row>
    <row r="277" spans="10:10" s="267" customFormat="1">
      <c r="J277" s="316"/>
    </row>
    <row r="278" spans="10:10" s="267" customFormat="1">
      <c r="J278" s="316"/>
    </row>
    <row r="279" spans="10:10" s="267" customFormat="1">
      <c r="J279" s="316"/>
    </row>
    <row r="280" spans="10:10" s="267" customFormat="1">
      <c r="J280" s="316"/>
    </row>
    <row r="281" spans="10:10" s="267" customFormat="1">
      <c r="J281" s="316"/>
    </row>
    <row r="282" spans="10:10" s="267" customFormat="1">
      <c r="J282" s="316"/>
    </row>
    <row r="283" spans="10:10" s="267" customFormat="1">
      <c r="J283" s="316"/>
    </row>
    <row r="284" spans="10:10" s="267" customFormat="1">
      <c r="J284" s="316"/>
    </row>
    <row r="285" spans="10:10" s="267" customFormat="1">
      <c r="J285" s="316"/>
    </row>
    <row r="286" spans="10:10" s="267" customFormat="1">
      <c r="J286" s="316"/>
    </row>
    <row r="287" spans="10:10" s="267" customFormat="1">
      <c r="J287" s="316"/>
    </row>
    <row r="288" spans="10:10" s="267" customFormat="1">
      <c r="J288" s="316"/>
    </row>
    <row r="289" spans="10:10" s="267" customFormat="1">
      <c r="J289" s="316"/>
    </row>
    <row r="290" spans="10:10" s="267" customFormat="1">
      <c r="J290" s="316"/>
    </row>
    <row r="291" spans="10:10" s="267" customFormat="1">
      <c r="J291" s="316"/>
    </row>
    <row r="292" spans="10:10" s="267" customFormat="1">
      <c r="J292" s="316"/>
    </row>
    <row r="293" spans="10:10" s="267" customFormat="1">
      <c r="J293" s="316"/>
    </row>
    <row r="294" spans="10:10" s="267" customFormat="1">
      <c r="J294" s="316"/>
    </row>
    <row r="295" spans="10:10" s="267" customFormat="1">
      <c r="J295" s="316"/>
    </row>
    <row r="296" spans="10:10" s="267" customFormat="1">
      <c r="J296" s="316"/>
    </row>
    <row r="297" spans="10:10" s="267" customFormat="1">
      <c r="J297" s="316"/>
    </row>
    <row r="298" spans="10:10" s="267" customFormat="1">
      <c r="J298" s="316"/>
    </row>
    <row r="299" spans="10:10" s="267" customFormat="1">
      <c r="J299" s="316"/>
    </row>
    <row r="300" spans="10:10" s="267" customFormat="1">
      <c r="J300" s="316"/>
    </row>
    <row r="301" spans="10:10" s="267" customFormat="1">
      <c r="J301" s="316"/>
    </row>
    <row r="302" spans="10:10" s="267" customFormat="1">
      <c r="J302" s="316"/>
    </row>
    <row r="303" spans="10:10" s="267" customFormat="1">
      <c r="J303" s="316"/>
    </row>
    <row r="304" spans="10:10" s="267" customFormat="1">
      <c r="J304" s="316"/>
    </row>
    <row r="305" spans="10:10" s="267" customFormat="1">
      <c r="J305" s="316"/>
    </row>
    <row r="306" spans="10:10" s="267" customFormat="1">
      <c r="J306" s="316"/>
    </row>
    <row r="307" spans="10:10" s="267" customFormat="1">
      <c r="J307" s="316"/>
    </row>
    <row r="308" spans="10:10" s="267" customFormat="1">
      <c r="J308" s="316"/>
    </row>
    <row r="309" spans="10:10" s="267" customFormat="1">
      <c r="J309" s="316"/>
    </row>
    <row r="310" spans="10:10" s="267" customFormat="1">
      <c r="J310" s="316"/>
    </row>
    <row r="311" spans="10:10" s="267" customFormat="1">
      <c r="J311" s="316"/>
    </row>
    <row r="312" spans="10:10" s="267" customFormat="1">
      <c r="J312" s="316"/>
    </row>
    <row r="313" spans="10:10" s="267" customFormat="1">
      <c r="J313" s="316"/>
    </row>
    <row r="314" spans="10:10" s="267" customFormat="1">
      <c r="J314" s="316"/>
    </row>
    <row r="315" spans="10:10" s="267" customFormat="1">
      <c r="J315" s="316"/>
    </row>
    <row r="316" spans="10:10" s="267" customFormat="1">
      <c r="J316" s="316"/>
    </row>
    <row r="317" spans="10:10" s="267" customFormat="1">
      <c r="J317" s="316"/>
    </row>
    <row r="318" spans="10:10" s="267" customFormat="1">
      <c r="J318" s="316"/>
    </row>
    <row r="319" spans="10:10" s="267" customFormat="1">
      <c r="J319" s="316"/>
    </row>
    <row r="320" spans="10:10" s="267" customFormat="1">
      <c r="J320" s="316"/>
    </row>
    <row r="321" spans="10:10" s="267" customFormat="1">
      <c r="J321" s="316"/>
    </row>
    <row r="322" spans="10:10" s="267" customFormat="1">
      <c r="J322" s="316"/>
    </row>
    <row r="323" spans="10:10" s="267" customFormat="1">
      <c r="J323" s="316"/>
    </row>
    <row r="324" spans="10:10" s="267" customFormat="1">
      <c r="J324" s="316"/>
    </row>
    <row r="325" spans="10:10" s="267" customFormat="1">
      <c r="J325" s="316"/>
    </row>
    <row r="326" spans="10:10" s="267" customFormat="1">
      <c r="J326" s="316"/>
    </row>
    <row r="327" spans="10:10" s="267" customFormat="1">
      <c r="J327" s="316"/>
    </row>
    <row r="328" spans="10:10" s="267" customFormat="1">
      <c r="J328" s="316"/>
    </row>
    <row r="329" spans="10:10" s="267" customFormat="1">
      <c r="J329" s="316"/>
    </row>
    <row r="330" spans="10:10" s="267" customFormat="1">
      <c r="J330" s="316"/>
    </row>
    <row r="331" spans="10:10" s="267" customFormat="1">
      <c r="J331" s="316"/>
    </row>
    <row r="332" spans="10:10" s="267" customFormat="1">
      <c r="J332" s="316"/>
    </row>
    <row r="333" spans="10:10" s="267" customFormat="1">
      <c r="J333" s="316"/>
    </row>
    <row r="334" spans="10:10" s="267" customFormat="1">
      <c r="J334" s="316"/>
    </row>
    <row r="335" spans="10:10" s="267" customFormat="1">
      <c r="J335" s="316"/>
    </row>
    <row r="336" spans="10:10" s="267" customFormat="1">
      <c r="J336" s="316"/>
    </row>
    <row r="337" spans="10:10" s="267" customFormat="1">
      <c r="J337" s="316"/>
    </row>
    <row r="338" spans="10:10" s="267" customFormat="1">
      <c r="J338" s="316"/>
    </row>
    <row r="339" spans="10:10" s="267" customFormat="1">
      <c r="J339" s="316"/>
    </row>
    <row r="340" spans="10:10" s="267" customFormat="1">
      <c r="J340" s="316"/>
    </row>
    <row r="341" spans="10:10" s="267" customFormat="1">
      <c r="J341" s="316"/>
    </row>
    <row r="342" spans="10:10" s="267" customFormat="1">
      <c r="J342" s="316"/>
    </row>
    <row r="343" spans="10:10" s="267" customFormat="1">
      <c r="J343" s="316"/>
    </row>
    <row r="344" spans="10:10" s="267" customFormat="1">
      <c r="J344" s="316"/>
    </row>
    <row r="345" spans="10:10" s="267" customFormat="1">
      <c r="J345" s="316"/>
    </row>
    <row r="346" spans="10:10" s="267" customFormat="1">
      <c r="J346" s="316"/>
    </row>
    <row r="347" spans="10:10" s="267" customFormat="1">
      <c r="J347" s="316"/>
    </row>
    <row r="348" spans="10:10" s="267" customFormat="1">
      <c r="J348" s="316"/>
    </row>
    <row r="349" spans="10:10" s="267" customFormat="1">
      <c r="J349" s="316"/>
    </row>
    <row r="350" spans="10:10" s="267" customFormat="1">
      <c r="J350" s="316"/>
    </row>
    <row r="351" spans="10:10" s="267" customFormat="1">
      <c r="J351" s="316"/>
    </row>
    <row r="352" spans="10:10" s="267" customFormat="1">
      <c r="J352" s="316"/>
    </row>
    <row r="353" spans="10:10" s="267" customFormat="1">
      <c r="J353" s="316"/>
    </row>
    <row r="354" spans="10:10" s="267" customFormat="1">
      <c r="J354" s="316"/>
    </row>
    <row r="355" spans="10:10" s="267" customFormat="1">
      <c r="J355" s="316"/>
    </row>
    <row r="356" spans="10:10" s="267" customFormat="1">
      <c r="J356" s="316"/>
    </row>
    <row r="357" spans="10:10" s="267" customFormat="1">
      <c r="J357" s="316"/>
    </row>
    <row r="358" spans="10:10" s="267" customFormat="1">
      <c r="J358" s="316"/>
    </row>
    <row r="359" spans="10:10" s="267" customFormat="1">
      <c r="J359" s="316"/>
    </row>
    <row r="360" spans="10:10" s="267" customFormat="1">
      <c r="J360" s="316"/>
    </row>
    <row r="361" spans="10:10" s="267" customFormat="1">
      <c r="J361" s="316"/>
    </row>
    <row r="362" spans="10:10" s="267" customFormat="1">
      <c r="J362" s="316"/>
    </row>
    <row r="363" spans="10:10" s="267" customFormat="1">
      <c r="J363" s="316"/>
    </row>
    <row r="364" spans="10:10" s="267" customFormat="1">
      <c r="J364" s="316"/>
    </row>
    <row r="365" spans="10:10" s="267" customFormat="1">
      <c r="J365" s="316"/>
    </row>
    <row r="366" spans="10:10" s="267" customFormat="1">
      <c r="J366" s="316"/>
    </row>
    <row r="367" spans="10:10" s="267" customFormat="1">
      <c r="J367" s="316"/>
    </row>
    <row r="368" spans="10:10" s="267" customFormat="1">
      <c r="J368" s="316"/>
    </row>
    <row r="369" spans="10:10" s="267" customFormat="1">
      <c r="J369" s="316"/>
    </row>
    <row r="370" spans="10:10" s="267" customFormat="1">
      <c r="J370" s="316"/>
    </row>
    <row r="371" spans="10:10" s="267" customFormat="1">
      <c r="J371" s="316"/>
    </row>
    <row r="372" spans="10:10" s="267" customFormat="1">
      <c r="J372" s="316"/>
    </row>
    <row r="373" spans="10:10" s="267" customFormat="1">
      <c r="J373" s="316"/>
    </row>
    <row r="374" spans="10:10" s="267" customFormat="1">
      <c r="J374" s="316"/>
    </row>
    <row r="375" spans="10:10" s="267" customFormat="1">
      <c r="J375" s="316"/>
    </row>
    <row r="376" spans="10:10" s="267" customFormat="1">
      <c r="J376" s="316"/>
    </row>
    <row r="377" spans="10:10" s="267" customFormat="1">
      <c r="J377" s="316"/>
    </row>
    <row r="378" spans="10:10" s="267" customFormat="1">
      <c r="J378" s="316"/>
    </row>
    <row r="379" spans="10:10" s="267" customFormat="1">
      <c r="J379" s="316"/>
    </row>
    <row r="380" spans="10:10" s="267" customFormat="1">
      <c r="J380" s="316"/>
    </row>
    <row r="381" spans="10:10" s="267" customFormat="1">
      <c r="J381" s="316"/>
    </row>
    <row r="382" spans="10:10" s="267" customFormat="1">
      <c r="J382" s="316"/>
    </row>
    <row r="383" spans="10:10" s="267" customFormat="1">
      <c r="J383" s="316"/>
    </row>
    <row r="384" spans="10:10" s="267" customFormat="1">
      <c r="J384" s="316"/>
    </row>
    <row r="385" spans="10:10" s="267" customFormat="1">
      <c r="J385" s="316"/>
    </row>
    <row r="386" spans="10:10" s="267" customFormat="1">
      <c r="J386" s="316"/>
    </row>
    <row r="387" spans="10:10" s="267" customFormat="1">
      <c r="J387" s="316"/>
    </row>
    <row r="388" spans="10:10" s="267" customFormat="1">
      <c r="J388" s="316"/>
    </row>
    <row r="389" spans="10:10" s="267" customFormat="1">
      <c r="J389" s="316"/>
    </row>
    <row r="390" spans="10:10" s="267" customFormat="1">
      <c r="J390" s="316"/>
    </row>
    <row r="391" spans="10:10" s="267" customFormat="1">
      <c r="J391" s="316"/>
    </row>
    <row r="392" spans="10:10" s="267" customFormat="1">
      <c r="J392" s="316"/>
    </row>
    <row r="393" spans="10:10" s="267" customFormat="1">
      <c r="J393" s="316"/>
    </row>
    <row r="394" spans="10:10" s="267" customFormat="1">
      <c r="J394" s="316"/>
    </row>
    <row r="395" spans="10:10" s="267" customFormat="1">
      <c r="J395" s="316"/>
    </row>
    <row r="396" spans="10:10" s="267" customFormat="1">
      <c r="J396" s="316"/>
    </row>
    <row r="397" spans="10:10" s="267" customFormat="1">
      <c r="J397" s="316"/>
    </row>
    <row r="398" spans="10:10" s="267" customFormat="1">
      <c r="J398" s="316"/>
    </row>
    <row r="399" spans="10:10" s="267" customFormat="1">
      <c r="J399" s="316"/>
    </row>
    <row r="400" spans="10:10" s="267" customFormat="1">
      <c r="J400" s="316"/>
    </row>
    <row r="401" spans="10:10" s="267" customFormat="1">
      <c r="J401" s="316"/>
    </row>
    <row r="402" spans="10:10" s="267" customFormat="1">
      <c r="J402" s="316"/>
    </row>
    <row r="403" spans="10:10" s="267" customFormat="1">
      <c r="J403" s="316"/>
    </row>
    <row r="404" spans="10:10" s="267" customFormat="1">
      <c r="J404" s="316"/>
    </row>
    <row r="405" spans="10:10" s="267" customFormat="1">
      <c r="J405" s="316"/>
    </row>
    <row r="406" spans="10:10" s="267" customFormat="1">
      <c r="J406" s="316"/>
    </row>
    <row r="407" spans="10:10" s="267" customFormat="1">
      <c r="J407" s="316"/>
    </row>
    <row r="408" spans="10:10" s="267" customFormat="1">
      <c r="J408" s="316"/>
    </row>
    <row r="409" spans="10:10" s="267" customFormat="1">
      <c r="J409" s="316"/>
    </row>
    <row r="410" spans="10:10" s="267" customFormat="1">
      <c r="J410" s="316"/>
    </row>
    <row r="411" spans="10:10" s="267" customFormat="1">
      <c r="J411" s="316"/>
    </row>
    <row r="412" spans="10:10" s="267" customFormat="1">
      <c r="J412" s="316"/>
    </row>
    <row r="413" spans="10:10" s="267" customFormat="1">
      <c r="J413" s="316"/>
    </row>
    <row r="414" spans="10:10" s="267" customFormat="1">
      <c r="J414" s="316"/>
    </row>
    <row r="415" spans="10:10" s="267" customFormat="1">
      <c r="J415" s="316"/>
    </row>
    <row r="416" spans="10:10" s="267" customFormat="1">
      <c r="J416" s="316"/>
    </row>
    <row r="417" spans="10:10" s="267" customFormat="1">
      <c r="J417" s="316"/>
    </row>
    <row r="418" spans="10:10" s="267" customFormat="1">
      <c r="J418" s="316"/>
    </row>
    <row r="419" spans="10:10" s="267" customFormat="1">
      <c r="J419" s="316"/>
    </row>
    <row r="420" spans="10:10" s="267" customFormat="1">
      <c r="J420" s="316"/>
    </row>
    <row r="421" spans="10:10" s="267" customFormat="1">
      <c r="J421" s="316"/>
    </row>
    <row r="422" spans="10:10" s="267" customFormat="1">
      <c r="J422" s="316"/>
    </row>
    <row r="423" spans="10:10" s="267" customFormat="1">
      <c r="J423" s="316"/>
    </row>
    <row r="424" spans="10:10" s="267" customFormat="1">
      <c r="J424" s="316"/>
    </row>
    <row r="425" spans="10:10" s="267" customFormat="1">
      <c r="J425" s="316"/>
    </row>
    <row r="426" spans="10:10" s="267" customFormat="1">
      <c r="J426" s="316"/>
    </row>
    <row r="427" spans="10:10" s="267" customFormat="1">
      <c r="J427" s="316"/>
    </row>
    <row r="428" spans="10:10" s="267" customFormat="1">
      <c r="J428" s="316"/>
    </row>
    <row r="429" spans="10:10" s="267" customFormat="1">
      <c r="J429" s="316"/>
    </row>
    <row r="430" spans="10:10" s="267" customFormat="1">
      <c r="J430" s="316"/>
    </row>
    <row r="431" spans="10:10" s="267" customFormat="1">
      <c r="J431" s="316"/>
    </row>
    <row r="432" spans="10:10" s="267" customFormat="1">
      <c r="J432" s="316"/>
    </row>
    <row r="433" spans="10:10" s="267" customFormat="1">
      <c r="J433" s="316"/>
    </row>
    <row r="434" spans="10:10" s="267" customFormat="1">
      <c r="J434" s="316"/>
    </row>
    <row r="435" spans="10:10" s="267" customFormat="1">
      <c r="J435" s="316"/>
    </row>
    <row r="436" spans="10:10" s="267" customFormat="1">
      <c r="J436" s="316"/>
    </row>
    <row r="437" spans="10:10" s="267" customFormat="1">
      <c r="J437" s="316"/>
    </row>
    <row r="438" spans="10:10" s="267" customFormat="1">
      <c r="J438" s="316"/>
    </row>
    <row r="439" spans="10:10" s="267" customFormat="1">
      <c r="J439" s="316"/>
    </row>
    <row r="440" spans="10:10" s="267" customFormat="1">
      <c r="J440" s="316"/>
    </row>
    <row r="441" spans="10:10" s="267" customFormat="1">
      <c r="J441" s="316"/>
    </row>
    <row r="442" spans="10:10" s="267" customFormat="1">
      <c r="J442" s="316"/>
    </row>
    <row r="443" spans="10:10" s="267" customFormat="1">
      <c r="J443" s="316"/>
    </row>
    <row r="444" spans="10:10" s="267" customFormat="1">
      <c r="J444" s="316"/>
    </row>
    <row r="445" spans="10:10" s="267" customFormat="1">
      <c r="J445" s="316"/>
    </row>
    <row r="446" spans="10:10" s="267" customFormat="1">
      <c r="J446" s="316"/>
    </row>
    <row r="447" spans="10:10" s="267" customFormat="1">
      <c r="J447" s="316"/>
    </row>
    <row r="448" spans="10:10" s="267" customFormat="1">
      <c r="J448" s="316"/>
    </row>
    <row r="449" spans="10:10" s="267" customFormat="1">
      <c r="J449" s="316"/>
    </row>
    <row r="450" spans="10:10" s="267" customFormat="1">
      <c r="J450" s="316"/>
    </row>
    <row r="451" spans="10:10" s="267" customFormat="1">
      <c r="J451" s="316"/>
    </row>
    <row r="452" spans="10:10" s="267" customFormat="1">
      <c r="J452" s="316"/>
    </row>
    <row r="453" spans="10:10" s="267" customFormat="1">
      <c r="J453" s="316"/>
    </row>
    <row r="454" spans="10:10" s="267" customFormat="1">
      <c r="J454" s="316"/>
    </row>
    <row r="455" spans="10:10" s="267" customFormat="1">
      <c r="J455" s="316"/>
    </row>
    <row r="456" spans="10:10" s="267" customFormat="1">
      <c r="J456" s="316"/>
    </row>
    <row r="457" spans="10:10" s="267" customFormat="1">
      <c r="J457" s="316"/>
    </row>
    <row r="458" spans="10:10" s="267" customFormat="1">
      <c r="J458" s="316"/>
    </row>
    <row r="459" spans="10:10" s="267" customFormat="1">
      <c r="J459" s="316"/>
    </row>
    <row r="460" spans="10:10" s="267" customFormat="1">
      <c r="J460" s="316"/>
    </row>
    <row r="461" spans="10:10" s="267" customFormat="1">
      <c r="J461" s="316"/>
    </row>
    <row r="462" spans="10:10" s="267" customFormat="1">
      <c r="J462" s="316"/>
    </row>
    <row r="463" spans="10:10" s="267" customFormat="1">
      <c r="J463" s="316"/>
    </row>
    <row r="464" spans="10:10" s="267" customFormat="1">
      <c r="J464" s="316"/>
    </row>
    <row r="465" spans="10:10" s="267" customFormat="1">
      <c r="J465" s="316"/>
    </row>
    <row r="466" spans="10:10" s="267" customFormat="1">
      <c r="J466" s="316"/>
    </row>
    <row r="467" spans="10:10" s="267" customFormat="1">
      <c r="J467" s="316"/>
    </row>
    <row r="468" spans="10:10" s="267" customFormat="1">
      <c r="J468" s="316"/>
    </row>
    <row r="469" spans="10:10" s="267" customFormat="1">
      <c r="J469" s="316"/>
    </row>
    <row r="470" spans="10:10" s="267" customFormat="1">
      <c r="J470" s="316"/>
    </row>
    <row r="471" spans="10:10" s="267" customFormat="1">
      <c r="J471" s="316"/>
    </row>
    <row r="472" spans="10:10" s="267" customFormat="1">
      <c r="J472" s="316"/>
    </row>
    <row r="473" spans="10:10" s="267" customFormat="1">
      <c r="J473" s="316"/>
    </row>
    <row r="474" spans="10:10" s="267" customFormat="1">
      <c r="J474" s="316"/>
    </row>
    <row r="475" spans="10:10" s="267" customFormat="1">
      <c r="J475" s="316"/>
    </row>
    <row r="476" spans="10:10" s="267" customFormat="1">
      <c r="J476" s="316"/>
    </row>
    <row r="477" spans="10:10" s="267" customFormat="1">
      <c r="J477" s="316"/>
    </row>
    <row r="478" spans="10:10" s="267" customFormat="1">
      <c r="J478" s="316"/>
    </row>
    <row r="479" spans="10:10" s="267" customFormat="1">
      <c r="J479" s="316"/>
    </row>
    <row r="480" spans="10:10" s="267" customFormat="1">
      <c r="J480" s="316"/>
    </row>
    <row r="481" spans="10:10" s="267" customFormat="1">
      <c r="J481" s="316"/>
    </row>
    <row r="482" spans="10:10" s="267" customFormat="1">
      <c r="J482" s="316"/>
    </row>
    <row r="483" spans="10:10" s="267" customFormat="1">
      <c r="J483" s="316"/>
    </row>
    <row r="484" spans="10:10" s="267" customFormat="1">
      <c r="J484" s="316"/>
    </row>
    <row r="485" spans="10:10" s="267" customFormat="1">
      <c r="J485" s="316"/>
    </row>
    <row r="486" spans="10:10" s="267" customFormat="1">
      <c r="J486" s="316"/>
    </row>
    <row r="487" spans="10:10" s="267" customFormat="1">
      <c r="J487" s="316"/>
    </row>
    <row r="488" spans="10:10" s="267" customFormat="1">
      <c r="J488" s="316"/>
    </row>
    <row r="489" spans="10:10" s="267" customFormat="1">
      <c r="J489" s="316"/>
    </row>
    <row r="490" spans="10:10" s="267" customFormat="1">
      <c r="J490" s="316"/>
    </row>
    <row r="491" spans="10:10" s="267" customFormat="1">
      <c r="J491" s="316"/>
    </row>
    <row r="492" spans="10:10" s="267" customFormat="1">
      <c r="J492" s="316"/>
    </row>
    <row r="493" spans="10:10" s="267" customFormat="1">
      <c r="J493" s="316"/>
    </row>
    <row r="494" spans="10:10" s="267" customFormat="1">
      <c r="J494" s="316"/>
    </row>
    <row r="495" spans="10:10" s="267" customFormat="1">
      <c r="J495" s="316"/>
    </row>
    <row r="496" spans="10:10" s="267" customFormat="1">
      <c r="J496" s="316"/>
    </row>
    <row r="497" spans="10:10" s="267" customFormat="1">
      <c r="J497" s="316"/>
    </row>
    <row r="498" spans="10:10" s="267" customFormat="1">
      <c r="J498" s="316"/>
    </row>
    <row r="499" spans="10:10" s="267" customFormat="1">
      <c r="J499" s="316"/>
    </row>
    <row r="500" spans="10:10" s="267" customFormat="1">
      <c r="J500" s="316"/>
    </row>
    <row r="501" spans="10:10" s="267" customFormat="1">
      <c r="J501" s="316"/>
    </row>
    <row r="502" spans="10:10" s="267" customFormat="1">
      <c r="J502" s="316"/>
    </row>
    <row r="503" spans="10:10" s="267" customFormat="1">
      <c r="J503" s="316"/>
    </row>
    <row r="504" spans="10:10" s="267" customFormat="1">
      <c r="J504" s="316"/>
    </row>
    <row r="505" spans="10:10" s="267" customFormat="1">
      <c r="J505" s="316"/>
    </row>
    <row r="506" spans="10:10" s="267" customFormat="1">
      <c r="J506" s="316"/>
    </row>
    <row r="507" spans="10:10" s="267" customFormat="1">
      <c r="J507" s="316"/>
    </row>
    <row r="508" spans="10:10" s="267" customFormat="1">
      <c r="J508" s="316"/>
    </row>
    <row r="509" spans="10:10" s="267" customFormat="1">
      <c r="J509" s="316"/>
    </row>
    <row r="510" spans="10:10" s="267" customFormat="1">
      <c r="J510" s="316"/>
    </row>
    <row r="511" spans="10:10" s="267" customFormat="1">
      <c r="J511" s="316"/>
    </row>
    <row r="512" spans="10:10" s="267" customFormat="1">
      <c r="J512" s="316"/>
    </row>
    <row r="513" spans="10:10" s="267" customFormat="1">
      <c r="J513" s="316"/>
    </row>
    <row r="514" spans="10:10" s="267" customFormat="1">
      <c r="J514" s="316"/>
    </row>
    <row r="515" spans="10:10" s="267" customFormat="1">
      <c r="J515" s="316"/>
    </row>
    <row r="516" spans="10:10" s="267" customFormat="1">
      <c r="J516" s="316"/>
    </row>
    <row r="517" spans="10:10" s="267" customFormat="1">
      <c r="J517" s="316"/>
    </row>
    <row r="518" spans="10:10" s="267" customFormat="1">
      <c r="J518" s="316"/>
    </row>
    <row r="519" spans="10:10" s="267" customFormat="1">
      <c r="J519" s="316"/>
    </row>
    <row r="520" spans="10:10" s="267" customFormat="1">
      <c r="J520" s="316"/>
    </row>
    <row r="521" spans="10:10" s="267" customFormat="1">
      <c r="J521" s="316"/>
    </row>
    <row r="522" spans="10:10" s="267" customFormat="1">
      <c r="J522" s="316"/>
    </row>
    <row r="523" spans="10:10" s="267" customFormat="1">
      <c r="J523" s="316"/>
    </row>
    <row r="524" spans="10:10" s="267" customFormat="1">
      <c r="J524" s="316"/>
    </row>
    <row r="525" spans="10:10" s="267" customFormat="1">
      <c r="J525" s="316"/>
    </row>
    <row r="526" spans="10:10" s="267" customFormat="1">
      <c r="J526" s="316"/>
    </row>
    <row r="527" spans="10:10" s="267" customFormat="1">
      <c r="J527" s="316"/>
    </row>
    <row r="528" spans="10:10" s="267" customFormat="1">
      <c r="J528" s="316"/>
    </row>
    <row r="529" spans="10:10" s="267" customFormat="1">
      <c r="J529" s="316"/>
    </row>
    <row r="530" spans="10:10" s="267" customFormat="1">
      <c r="J530" s="316"/>
    </row>
    <row r="531" spans="10:10" s="267" customFormat="1">
      <c r="J531" s="316"/>
    </row>
    <row r="532" spans="10:10" s="267" customFormat="1">
      <c r="J532" s="316"/>
    </row>
    <row r="533" spans="10:10" s="267" customFormat="1">
      <c r="J533" s="316"/>
    </row>
    <row r="534" spans="10:10" s="267" customFormat="1">
      <c r="J534" s="316"/>
    </row>
    <row r="535" spans="10:10" s="267" customFormat="1">
      <c r="J535" s="316"/>
    </row>
    <row r="536" spans="10:10" s="267" customFormat="1">
      <c r="J536" s="316"/>
    </row>
    <row r="537" spans="10:10" s="267" customFormat="1">
      <c r="J537" s="316"/>
    </row>
    <row r="538" spans="10:10" s="267" customFormat="1">
      <c r="J538" s="316"/>
    </row>
    <row r="539" spans="10:10" s="267" customFormat="1">
      <c r="J539" s="316"/>
    </row>
    <row r="540" spans="10:10" s="267" customFormat="1">
      <c r="J540" s="316"/>
    </row>
    <row r="541" spans="10:10" s="267" customFormat="1">
      <c r="J541" s="316"/>
    </row>
    <row r="542" spans="10:10" s="267" customFormat="1">
      <c r="J542" s="316"/>
    </row>
    <row r="543" spans="10:10" s="267" customFormat="1">
      <c r="J543" s="316"/>
    </row>
    <row r="544" spans="10:10" s="267" customFormat="1">
      <c r="J544" s="316"/>
    </row>
    <row r="545" spans="10:10" s="267" customFormat="1">
      <c r="J545" s="316"/>
    </row>
    <row r="546" spans="10:10" s="267" customFormat="1">
      <c r="J546" s="316"/>
    </row>
    <row r="547" spans="10:10" s="267" customFormat="1">
      <c r="J547" s="316"/>
    </row>
    <row r="548" spans="10:10" s="267" customFormat="1">
      <c r="J548" s="316"/>
    </row>
    <row r="549" spans="10:10" s="267" customFormat="1">
      <c r="J549" s="316"/>
    </row>
    <row r="550" spans="10:10" s="267" customFormat="1">
      <c r="J550" s="316"/>
    </row>
    <row r="551" spans="10:10" s="267" customFormat="1">
      <c r="J551" s="316"/>
    </row>
    <row r="552" spans="10:10" s="267" customFormat="1">
      <c r="J552" s="316"/>
    </row>
    <row r="553" spans="10:10" s="267" customFormat="1">
      <c r="J553" s="316"/>
    </row>
    <row r="554" spans="10:10" s="267" customFormat="1">
      <c r="J554" s="316"/>
    </row>
    <row r="555" spans="10:10" s="267" customFormat="1">
      <c r="J555" s="316"/>
    </row>
    <row r="556" spans="10:10" s="267" customFormat="1">
      <c r="J556" s="316"/>
    </row>
    <row r="557" spans="10:10" s="267" customFormat="1">
      <c r="J557" s="316"/>
    </row>
    <row r="558" spans="10:10" s="267" customFormat="1">
      <c r="J558" s="316"/>
    </row>
    <row r="559" spans="10:10" s="267" customFormat="1">
      <c r="J559" s="316"/>
    </row>
    <row r="560" spans="10:10" s="267" customFormat="1">
      <c r="J560" s="316"/>
    </row>
    <row r="561" spans="10:10" s="267" customFormat="1">
      <c r="J561" s="316"/>
    </row>
    <row r="562" spans="10:10" s="267" customFormat="1">
      <c r="J562" s="316"/>
    </row>
    <row r="563" spans="10:10" s="267" customFormat="1">
      <c r="J563" s="316"/>
    </row>
    <row r="564" spans="10:10" s="267" customFormat="1">
      <c r="J564" s="316"/>
    </row>
    <row r="565" spans="10:10" s="267" customFormat="1">
      <c r="J565" s="316"/>
    </row>
    <row r="566" spans="10:10" s="267" customFormat="1">
      <c r="J566" s="316"/>
    </row>
    <row r="567" spans="10:10" s="267" customFormat="1">
      <c r="J567" s="316"/>
    </row>
    <row r="568" spans="10:10" s="267" customFormat="1">
      <c r="J568" s="316"/>
    </row>
    <row r="569" spans="10:10" s="267" customFormat="1">
      <c r="J569" s="316"/>
    </row>
    <row r="570" spans="10:10" s="267" customFormat="1">
      <c r="J570" s="316"/>
    </row>
    <row r="571" spans="10:10" s="267" customFormat="1">
      <c r="J571" s="316"/>
    </row>
    <row r="572" spans="10:10" s="267" customFormat="1">
      <c r="J572" s="316"/>
    </row>
    <row r="573" spans="10:10" s="267" customFormat="1">
      <c r="J573" s="316"/>
    </row>
    <row r="574" spans="10:10" s="267" customFormat="1">
      <c r="J574" s="316"/>
    </row>
    <row r="575" spans="10:10" s="267" customFormat="1">
      <c r="J575" s="316"/>
    </row>
    <row r="576" spans="10:10" s="267" customFormat="1">
      <c r="J576" s="316"/>
    </row>
    <row r="577" spans="10:10" s="267" customFormat="1">
      <c r="J577" s="316"/>
    </row>
    <row r="578" spans="10:10" s="267" customFormat="1">
      <c r="J578" s="316"/>
    </row>
    <row r="579" spans="10:10" s="267" customFormat="1">
      <c r="J579" s="316"/>
    </row>
    <row r="580" spans="10:10" s="267" customFormat="1">
      <c r="J580" s="316"/>
    </row>
    <row r="581" spans="10:10" s="267" customFormat="1"/>
    <row r="582" spans="10:10" s="267" customFormat="1"/>
    <row r="583" spans="10:10" s="267" customFormat="1"/>
    <row r="584" spans="10:10" s="267" customFormat="1"/>
    <row r="585" spans="10:10" s="267" customFormat="1"/>
    <row r="586" spans="10:10" s="267" customFormat="1"/>
    <row r="587" spans="10:10" s="267" customFormat="1"/>
    <row r="588" spans="10:10" s="267" customFormat="1"/>
    <row r="589" spans="10:10" s="267" customFormat="1"/>
    <row r="590" spans="10:10" s="267" customFormat="1"/>
    <row r="591" spans="10:10" s="267" customFormat="1"/>
    <row r="592" spans="10:10" s="267" customFormat="1"/>
    <row r="593" s="267" customFormat="1"/>
    <row r="594" s="267" customFormat="1"/>
    <row r="595" s="267" customFormat="1"/>
    <row r="596" s="267" customFormat="1"/>
    <row r="597" s="267" customFormat="1"/>
    <row r="598" s="267" customFormat="1"/>
    <row r="599" s="267" customFormat="1"/>
    <row r="600" s="267" customFormat="1"/>
    <row r="601" s="267" customFormat="1"/>
    <row r="602" s="267" customFormat="1"/>
    <row r="603" s="267" customFormat="1"/>
    <row r="604" s="267" customFormat="1"/>
    <row r="605" s="267" customFormat="1"/>
    <row r="606" s="267" customFormat="1"/>
    <row r="607" s="267" customFormat="1"/>
    <row r="608" s="267" customFormat="1"/>
    <row r="609" s="267" customFormat="1"/>
    <row r="610" s="267" customFormat="1"/>
    <row r="611" s="267" customFormat="1"/>
    <row r="612" s="267" customFormat="1"/>
    <row r="613" s="267" customFormat="1"/>
    <row r="614" s="267" customFormat="1"/>
    <row r="615" s="267" customFormat="1"/>
    <row r="616" s="267" customFormat="1"/>
    <row r="617" s="267" customFormat="1"/>
    <row r="618" s="267" customFormat="1"/>
    <row r="619" s="267" customFormat="1"/>
    <row r="620" s="267" customFormat="1"/>
    <row r="621" s="267" customFormat="1"/>
    <row r="622" s="267" customFormat="1"/>
    <row r="623" s="267" customFormat="1"/>
    <row r="624" s="267" customFormat="1"/>
    <row r="625" s="267" customFormat="1"/>
    <row r="626" s="267" customFormat="1"/>
    <row r="627" s="267" customFormat="1"/>
    <row r="628" s="267" customFormat="1"/>
    <row r="629" s="267" customFormat="1"/>
    <row r="630" s="267" customFormat="1"/>
    <row r="631" s="267" customFormat="1"/>
    <row r="632" s="267" customFormat="1"/>
    <row r="633" s="267" customFormat="1"/>
    <row r="634" s="267" customFormat="1"/>
    <row r="635" s="267" customFormat="1"/>
    <row r="636" s="267" customFormat="1"/>
    <row r="637" s="267" customFormat="1"/>
    <row r="638" s="267" customFormat="1"/>
    <row r="639" s="267" customFormat="1"/>
    <row r="640" s="267" customFormat="1"/>
    <row r="641" s="267" customFormat="1"/>
    <row r="642" s="267" customFormat="1"/>
    <row r="643" s="267" customFormat="1"/>
    <row r="644" s="267" customFormat="1"/>
    <row r="645" s="267" customFormat="1"/>
    <row r="646" s="267" customFormat="1"/>
    <row r="647" s="267" customFormat="1"/>
    <row r="648" s="267" customFormat="1"/>
    <row r="649" s="267" customFormat="1"/>
    <row r="650" s="267" customFormat="1"/>
    <row r="651" s="267" customFormat="1"/>
    <row r="652" s="267" customFormat="1"/>
    <row r="653" s="267" customFormat="1"/>
    <row r="654" s="267" customFormat="1"/>
    <row r="655" s="267" customFormat="1"/>
    <row r="656" s="267" customFormat="1"/>
    <row r="657" s="267" customFormat="1"/>
    <row r="658" s="267" customFormat="1"/>
    <row r="659" s="267" customFormat="1"/>
    <row r="660" s="267" customFormat="1"/>
    <row r="661" s="267" customFormat="1"/>
    <row r="662" s="267" customFormat="1"/>
    <row r="663" s="267" customFormat="1"/>
    <row r="664" s="267" customFormat="1"/>
    <row r="665" s="267" customFormat="1"/>
    <row r="666" s="267" customFormat="1"/>
    <row r="667" s="267" customFormat="1"/>
    <row r="668" s="267" customFormat="1"/>
    <row r="669" s="267" customFormat="1"/>
    <row r="670" s="267" customFormat="1"/>
    <row r="671" s="267" customFormat="1"/>
    <row r="672" s="267" customFormat="1"/>
    <row r="673" s="267" customFormat="1"/>
    <row r="674" s="267" customFormat="1"/>
    <row r="675" s="267" customFormat="1"/>
    <row r="676" s="267" customFormat="1"/>
    <row r="677" s="267" customFormat="1"/>
    <row r="678" s="267" customFormat="1"/>
    <row r="679" s="267" customFormat="1"/>
    <row r="680" s="267" customFormat="1"/>
    <row r="681" s="267" customFormat="1"/>
    <row r="682" s="267" customFormat="1"/>
    <row r="683" s="267" customFormat="1"/>
    <row r="684" s="267" customFormat="1"/>
    <row r="685" s="267" customFormat="1"/>
    <row r="686" s="267" customFormat="1"/>
    <row r="687" s="267" customFormat="1"/>
    <row r="688" s="267" customFormat="1"/>
    <row r="689" s="267" customFormat="1"/>
    <row r="690" s="267" customFormat="1"/>
    <row r="691" s="267" customFormat="1"/>
    <row r="692" s="267" customFormat="1"/>
    <row r="693" s="267" customFormat="1"/>
    <row r="694" s="267" customFormat="1"/>
    <row r="695" s="267" customFormat="1"/>
    <row r="696" s="267" customFormat="1"/>
    <row r="697" s="267" customFormat="1"/>
    <row r="698" s="267" customFormat="1"/>
    <row r="699" s="267" customFormat="1"/>
    <row r="700" s="267" customFormat="1"/>
    <row r="701" s="267" customFormat="1"/>
    <row r="702" s="267" customFormat="1"/>
    <row r="703" s="267" customFormat="1"/>
    <row r="704" s="267" customFormat="1"/>
    <row r="705" s="267" customFormat="1"/>
    <row r="706" s="267" customFormat="1"/>
    <row r="707" s="267" customFormat="1"/>
    <row r="708" s="267" customFormat="1"/>
    <row r="709" s="267" customFormat="1"/>
    <row r="710" s="267" customFormat="1"/>
    <row r="711" s="267" customFormat="1"/>
    <row r="712" s="267" customFormat="1"/>
    <row r="713" s="267" customFormat="1"/>
    <row r="714" s="267" customFormat="1"/>
    <row r="715" s="267" customFormat="1"/>
    <row r="716" s="267" customFormat="1"/>
    <row r="717" s="267" customFormat="1"/>
    <row r="718" s="267" customFormat="1"/>
    <row r="719" s="267" customFormat="1"/>
    <row r="720" s="267" customFormat="1"/>
    <row r="721" s="267" customFormat="1"/>
    <row r="722" s="267" customFormat="1"/>
    <row r="723" s="267" customFormat="1"/>
    <row r="724" s="267" customFormat="1"/>
    <row r="725" s="267" customFormat="1"/>
    <row r="726" s="267" customFormat="1"/>
    <row r="727" s="267" customFormat="1"/>
    <row r="728" s="267" customFormat="1"/>
    <row r="729" s="267" customFormat="1"/>
    <row r="730" s="267" customFormat="1"/>
    <row r="731" s="267" customFormat="1"/>
    <row r="732" s="267" customFormat="1"/>
    <row r="733" s="267" customFormat="1"/>
    <row r="734" s="267" customFormat="1"/>
    <row r="735" s="267" customFormat="1"/>
    <row r="736" s="267" customFormat="1"/>
    <row r="737" s="267" customFormat="1"/>
    <row r="738" s="267" customFormat="1"/>
    <row r="739" s="267" customFormat="1"/>
    <row r="740" s="267" customFormat="1"/>
    <row r="741" s="267" customFormat="1"/>
    <row r="742" s="267" customFormat="1"/>
    <row r="743" s="267" customFormat="1"/>
    <row r="744" s="267" customFormat="1"/>
    <row r="745" s="267" customFormat="1"/>
    <row r="746" s="267" customFormat="1"/>
    <row r="747" s="267" customFormat="1"/>
    <row r="748" s="267" customFormat="1"/>
    <row r="749" s="267" customFormat="1"/>
    <row r="750" s="267" customFormat="1"/>
    <row r="751" s="267" customFormat="1"/>
    <row r="752" s="267" customFormat="1"/>
    <row r="753" s="267" customFormat="1"/>
    <row r="754" s="267" customFormat="1"/>
    <row r="755" s="267" customFormat="1"/>
    <row r="756" s="267" customFormat="1"/>
    <row r="757" s="267" customFormat="1"/>
    <row r="758" s="267" customFormat="1"/>
    <row r="759" s="267" customFormat="1"/>
    <row r="760" s="267" customFormat="1"/>
    <row r="761" s="267" customFormat="1"/>
    <row r="762" s="267" customFormat="1"/>
    <row r="763" s="267" customFormat="1"/>
    <row r="764" s="267" customFormat="1"/>
    <row r="765" s="267" customFormat="1"/>
    <row r="766" s="267" customFormat="1"/>
    <row r="767" s="267" customFormat="1"/>
    <row r="768" s="267" customFormat="1"/>
    <row r="769" s="267" customFormat="1"/>
    <row r="770" s="267" customFormat="1"/>
    <row r="771" s="267" customFormat="1"/>
    <row r="772" s="267" customFormat="1"/>
    <row r="773" s="267" customFormat="1"/>
    <row r="774" s="267" customFormat="1"/>
    <row r="775" s="267" customFormat="1"/>
    <row r="776" s="267" customFormat="1"/>
    <row r="777" s="267" customFormat="1"/>
    <row r="778" s="267" customFormat="1"/>
    <row r="779" s="267" customFormat="1"/>
    <row r="780" s="267" customFormat="1"/>
    <row r="781" s="267" customFormat="1"/>
    <row r="782" s="267" customFormat="1"/>
    <row r="783" s="267" customFormat="1"/>
    <row r="784" s="267" customFormat="1"/>
    <row r="785" s="267" customFormat="1"/>
    <row r="786" s="267" customFormat="1"/>
    <row r="787" s="267" customFormat="1"/>
    <row r="788" s="267" customFormat="1"/>
    <row r="789" s="267" customFormat="1"/>
    <row r="790" s="267" customFormat="1"/>
    <row r="791" s="267" customFormat="1"/>
    <row r="792" s="267" customFormat="1"/>
    <row r="793" s="267" customFormat="1"/>
    <row r="794" s="267" customFormat="1"/>
    <row r="795" s="267" customFormat="1"/>
    <row r="796" s="267" customFormat="1"/>
    <row r="797" s="267" customFormat="1"/>
    <row r="798" s="267" customFormat="1"/>
    <row r="799" s="267" customFormat="1"/>
    <row r="800" s="267" customFormat="1"/>
    <row r="801" s="267" customFormat="1"/>
    <row r="802" s="267" customFormat="1"/>
    <row r="803" s="267" customFormat="1"/>
    <row r="804" s="267" customFormat="1"/>
    <row r="805" s="267" customFormat="1"/>
    <row r="806" s="267" customFormat="1"/>
    <row r="807" s="267" customFormat="1"/>
    <row r="808" s="267" customFormat="1"/>
    <row r="809" s="267" customFormat="1"/>
    <row r="810" s="267" customFormat="1"/>
    <row r="811" s="267" customFormat="1"/>
    <row r="812" s="267" customFormat="1"/>
    <row r="813" s="267" customFormat="1"/>
    <row r="814" s="267" customFormat="1"/>
    <row r="815" s="267" customFormat="1"/>
    <row r="816" s="267" customFormat="1"/>
    <row r="817" s="267" customFormat="1"/>
    <row r="818" s="267" customFormat="1"/>
    <row r="819" s="267" customFormat="1"/>
    <row r="820" s="267" customFormat="1"/>
    <row r="821" s="267" customFormat="1"/>
    <row r="822" s="267" customFormat="1"/>
    <row r="823" s="267" customFormat="1"/>
    <row r="824" s="267" customFormat="1"/>
    <row r="825" s="267" customFormat="1"/>
    <row r="826" s="267" customFormat="1"/>
    <row r="827" s="267" customFormat="1"/>
    <row r="828" s="267" customFormat="1"/>
    <row r="829" s="267" customFormat="1"/>
    <row r="830" s="267" customFormat="1"/>
    <row r="831" s="267" customFormat="1"/>
    <row r="832" s="267" customFormat="1"/>
    <row r="833" s="267" customFormat="1"/>
    <row r="834" s="267" customFormat="1"/>
    <row r="835" s="267" customFormat="1"/>
    <row r="836" s="267" customFormat="1"/>
    <row r="837" s="267" customFormat="1"/>
    <row r="838" s="267" customFormat="1"/>
    <row r="839" s="267" customFormat="1"/>
    <row r="840" s="267" customFormat="1"/>
    <row r="841" s="267" customFormat="1"/>
    <row r="842" s="267" customFormat="1"/>
    <row r="843" s="267" customFormat="1"/>
    <row r="844" s="267" customFormat="1"/>
    <row r="845" s="267" customFormat="1"/>
    <row r="846" s="267" customFormat="1"/>
    <row r="847" s="267" customFormat="1"/>
    <row r="848" s="267" customFormat="1"/>
    <row r="849" s="267" customFormat="1"/>
    <row r="850" s="267" customFormat="1"/>
    <row r="851" s="267" customFormat="1"/>
    <row r="852" s="267" customFormat="1"/>
    <row r="853" s="267" customFormat="1"/>
    <row r="854" s="267" customFormat="1"/>
    <row r="855" s="267" customFormat="1"/>
    <row r="856" s="267" customFormat="1"/>
    <row r="857" s="267" customFormat="1"/>
    <row r="858" s="267" customFormat="1"/>
    <row r="859" s="267" customFormat="1"/>
    <row r="860" s="267" customFormat="1"/>
    <row r="861" s="267" customFormat="1"/>
    <row r="862" s="267" customFormat="1"/>
    <row r="863" s="267" customFormat="1"/>
    <row r="864" s="267" customFormat="1"/>
    <row r="865" s="267" customFormat="1"/>
    <row r="866" s="267" customFormat="1"/>
    <row r="867" s="267" customFormat="1"/>
    <row r="868" s="267" customFormat="1"/>
    <row r="869" s="267" customFormat="1"/>
    <row r="870" s="267" customFormat="1"/>
    <row r="871" s="267" customFormat="1"/>
    <row r="872" s="267" customFormat="1"/>
    <row r="873" s="267" customFormat="1"/>
    <row r="874" s="267" customFormat="1"/>
    <row r="875" s="267" customFormat="1"/>
    <row r="876" s="267" customFormat="1"/>
    <row r="877" s="267" customFormat="1"/>
    <row r="878" s="267" customFormat="1"/>
    <row r="879" s="267" customFormat="1"/>
    <row r="880" s="267" customFormat="1"/>
    <row r="881" s="267" customFormat="1"/>
    <row r="882" s="267" customFormat="1"/>
    <row r="883" s="267" customFormat="1"/>
    <row r="884" s="267" customFormat="1"/>
    <row r="885" s="267" customFormat="1"/>
    <row r="886" s="267" customFormat="1"/>
    <row r="887" s="267" customFormat="1"/>
    <row r="888" s="267" customFormat="1"/>
    <row r="889" s="267" customFormat="1"/>
    <row r="890" s="267" customFormat="1"/>
    <row r="891" s="267" customFormat="1"/>
    <row r="892" s="267" customFormat="1"/>
    <row r="893" s="267" customFormat="1"/>
    <row r="894" s="267" customFormat="1"/>
    <row r="895" s="267" customFormat="1"/>
    <row r="896" s="267" customFormat="1"/>
    <row r="897" s="267" customFormat="1"/>
    <row r="898" s="267" customFormat="1"/>
    <row r="899" s="267" customFormat="1"/>
    <row r="900" s="267" customFormat="1"/>
    <row r="901" s="267" customFormat="1"/>
    <row r="902" s="267" customFormat="1"/>
    <row r="903" s="267" customFormat="1"/>
    <row r="904" s="267" customFormat="1"/>
    <row r="905" s="267" customFormat="1"/>
    <row r="906" s="267" customFormat="1"/>
    <row r="907" s="267" customFormat="1"/>
    <row r="908" s="267" customFormat="1"/>
    <row r="909" s="267" customFormat="1"/>
    <row r="910" s="267" customFormat="1"/>
    <row r="911" s="267" customFormat="1"/>
    <row r="912" s="267" customFormat="1"/>
    <row r="913" s="267" customFormat="1"/>
    <row r="914" s="267" customFormat="1"/>
    <row r="915" s="267" customFormat="1"/>
    <row r="916" s="267" customFormat="1"/>
    <row r="917" s="267" customFormat="1"/>
    <row r="918" s="267" customFormat="1"/>
    <row r="919" s="267" customFormat="1"/>
    <row r="920" s="267" customFormat="1"/>
    <row r="921" s="267" customFormat="1"/>
    <row r="922" s="267" customFormat="1"/>
    <row r="923" s="267" customFormat="1"/>
    <row r="924" s="267" customFormat="1"/>
    <row r="925" s="267" customFormat="1"/>
    <row r="926" s="267" customFormat="1"/>
    <row r="927" s="267" customFormat="1"/>
    <row r="928" s="267" customFormat="1"/>
    <row r="929" s="267" customFormat="1"/>
    <row r="930" s="267" customFormat="1"/>
    <row r="931" s="267" customFormat="1"/>
    <row r="932" s="267" customFormat="1"/>
    <row r="933" s="267" customFormat="1"/>
    <row r="934" s="267" customFormat="1"/>
    <row r="935" s="267" customFormat="1"/>
    <row r="936" s="267" customFormat="1"/>
    <row r="937" s="267" customFormat="1"/>
    <row r="938" s="267" customFormat="1"/>
    <row r="939" s="267" customFormat="1"/>
    <row r="940" s="267" customFormat="1"/>
    <row r="941" s="267" customFormat="1"/>
    <row r="942" s="267" customFormat="1"/>
    <row r="943" s="267" customFormat="1"/>
    <row r="944" s="267" customFormat="1"/>
    <row r="945" s="267" customFormat="1"/>
    <row r="946" s="267" customFormat="1"/>
    <row r="947" s="267" customFormat="1"/>
    <row r="948" s="267" customFormat="1"/>
    <row r="949" s="267" customFormat="1"/>
    <row r="950" s="267" customFormat="1"/>
    <row r="951" s="267" customFormat="1"/>
    <row r="952" s="267" customFormat="1"/>
    <row r="953" s="267" customFormat="1"/>
    <row r="954" s="267" customFormat="1"/>
    <row r="955" s="267" customFormat="1"/>
    <row r="956" s="267" customFormat="1"/>
    <row r="957" s="267" customFormat="1"/>
    <row r="958" s="267" customFormat="1"/>
    <row r="959" s="267" customFormat="1"/>
    <row r="960" s="267" customFormat="1"/>
    <row r="961" s="267" customFormat="1"/>
    <row r="962" s="267" customFormat="1"/>
    <row r="963" s="267" customFormat="1"/>
    <row r="964" s="267" customFormat="1"/>
    <row r="965" s="267" customFormat="1"/>
    <row r="966" s="267" customFormat="1"/>
    <row r="967" s="267" customFormat="1"/>
    <row r="968" s="267" customFormat="1"/>
    <row r="969" s="267" customFormat="1"/>
    <row r="970" s="267" customFormat="1"/>
    <row r="971" s="267" customFormat="1"/>
    <row r="972" s="267" customFormat="1"/>
    <row r="973" s="267" customFormat="1"/>
    <row r="974" s="267" customFormat="1"/>
    <row r="975" s="267" customFormat="1"/>
    <row r="976" s="267" customFormat="1"/>
    <row r="977" s="267" customFormat="1"/>
    <row r="978" s="267" customFormat="1"/>
    <row r="979" s="267" customFormat="1"/>
    <row r="980" s="267" customFormat="1"/>
    <row r="981" s="267" customFormat="1"/>
    <row r="982" s="267" customFormat="1"/>
    <row r="983" s="267" customFormat="1"/>
    <row r="984" s="267" customFormat="1"/>
    <row r="985" s="267" customFormat="1"/>
    <row r="986" s="267" customFormat="1"/>
    <row r="987" s="267" customFormat="1"/>
    <row r="988" s="267" customFormat="1"/>
    <row r="989" s="267" customFormat="1"/>
    <row r="990" s="267" customFormat="1"/>
    <row r="991" s="267" customFormat="1"/>
    <row r="992" s="267" customFormat="1"/>
    <row r="993" s="267" customFormat="1"/>
    <row r="994" s="267" customFormat="1"/>
    <row r="995" s="267" customFormat="1"/>
    <row r="996" s="267" customFormat="1"/>
    <row r="997" s="267" customFormat="1"/>
    <row r="998" s="267" customFormat="1"/>
    <row r="999" s="267" customFormat="1"/>
    <row r="1000" s="267" customFormat="1"/>
    <row r="1001" s="267" customFormat="1"/>
    <row r="1002" s="267" customFormat="1"/>
    <row r="1003" s="267" customFormat="1"/>
    <row r="1004" s="267" customFormat="1"/>
    <row r="1005" s="267" customFormat="1"/>
    <row r="1006" s="267" customFormat="1"/>
    <row r="1007" s="267" customFormat="1"/>
    <row r="1008" s="267" customFormat="1"/>
    <row r="1009" s="267" customFormat="1"/>
    <row r="1010" s="267" customFormat="1"/>
    <row r="1011" s="267" customFormat="1"/>
    <row r="1012" s="267" customFormat="1"/>
    <row r="1013" s="267" customFormat="1"/>
    <row r="1014" s="267" customFormat="1"/>
    <row r="1015" s="267" customFormat="1"/>
    <row r="1016" s="267" customFormat="1"/>
    <row r="1017" s="267" customFormat="1"/>
    <row r="1018" s="267" customFormat="1"/>
    <row r="1019" s="267" customFormat="1"/>
    <row r="1020" s="267" customFormat="1"/>
    <row r="1021" s="267" customFormat="1"/>
    <row r="1022" s="267" customFormat="1"/>
    <row r="1023" s="267" customFormat="1"/>
    <row r="1024" s="267" customFormat="1"/>
    <row r="1025" s="267" customFormat="1"/>
    <row r="1026" s="267" customFormat="1"/>
    <row r="1027" s="267" customFormat="1"/>
    <row r="1028" s="267" customFormat="1"/>
    <row r="1029" s="267" customFormat="1"/>
    <row r="1030" s="267" customFormat="1"/>
    <row r="1031" s="267" customFormat="1"/>
    <row r="1032" s="267" customFormat="1"/>
    <row r="1033" s="267" customFormat="1"/>
    <row r="1034" s="267" customFormat="1"/>
    <row r="1035" s="267" customFormat="1"/>
    <row r="1036" s="267" customFormat="1"/>
    <row r="1037" s="267" customFormat="1"/>
    <row r="1038" s="267" customFormat="1"/>
    <row r="1039" s="267" customFormat="1"/>
    <row r="1040" s="267" customFormat="1"/>
    <row r="1041" s="267" customFormat="1"/>
    <row r="1042" s="267" customFormat="1"/>
    <row r="1043" s="267" customFormat="1"/>
    <row r="1044" s="267" customFormat="1"/>
    <row r="1045" s="267" customFormat="1"/>
    <row r="1046" s="267" customFormat="1"/>
    <row r="1047" s="267" customFormat="1"/>
    <row r="1048" s="267" customFormat="1"/>
    <row r="1049" s="267" customFormat="1"/>
    <row r="1050" s="267" customFormat="1"/>
    <row r="1051" s="267" customFormat="1"/>
    <row r="1052" s="267" customFormat="1"/>
    <row r="1053" s="267" customFormat="1"/>
    <row r="1054" s="267" customFormat="1"/>
    <row r="1055" s="267" customFormat="1"/>
    <row r="1056" s="267" customFormat="1"/>
    <row r="1057" s="267" customFormat="1"/>
    <row r="1058" s="267" customFormat="1"/>
    <row r="1059" s="267" customFormat="1"/>
    <row r="1060" s="267" customFormat="1"/>
    <row r="1061" s="267" customFormat="1"/>
    <row r="1062" s="267" customFormat="1"/>
    <row r="1063" s="267" customFormat="1"/>
    <row r="1064" s="267" customFormat="1"/>
    <row r="1065" s="267" customFormat="1"/>
    <row r="1066" s="267" customFormat="1"/>
    <row r="1067" s="267" customFormat="1"/>
    <row r="1068" s="267" customFormat="1"/>
    <row r="1069" s="267" customFormat="1"/>
    <row r="1070" s="267" customFormat="1"/>
    <row r="1071" s="267" customFormat="1"/>
    <row r="1072" s="267" customFormat="1"/>
    <row r="1073" s="267" customFormat="1"/>
    <row r="1074" s="267" customFormat="1"/>
    <row r="1075" s="267" customFormat="1"/>
    <row r="1076" s="267" customFormat="1"/>
    <row r="1077" s="267" customFormat="1"/>
    <row r="1078" s="267" customFormat="1"/>
    <row r="1079" s="267" customFormat="1"/>
    <row r="1080" s="267" customFormat="1"/>
    <row r="1081" s="267" customFormat="1"/>
    <row r="1082" s="267" customFormat="1"/>
    <row r="1083" s="267" customFormat="1"/>
    <row r="1084" s="267" customFormat="1"/>
    <row r="1085" s="267" customFormat="1"/>
    <row r="1086" s="267" customFormat="1"/>
    <row r="1087" s="267" customFormat="1"/>
    <row r="1088" s="267" customFormat="1"/>
    <row r="1089" s="267" customFormat="1"/>
    <row r="1090" s="267" customFormat="1"/>
    <row r="1091" s="267" customFormat="1"/>
    <row r="1092" s="267" customFormat="1"/>
    <row r="1093" s="267" customFormat="1"/>
    <row r="1094" s="267" customFormat="1"/>
    <row r="1095" s="267" customFormat="1"/>
    <row r="1096" s="267" customFormat="1"/>
    <row r="1097" s="267" customFormat="1"/>
    <row r="1098" s="267" customFormat="1"/>
    <row r="1099" s="267" customFormat="1"/>
    <row r="1100" s="267" customFormat="1"/>
    <row r="1101" s="267" customFormat="1"/>
    <row r="1102" s="267" customFormat="1"/>
    <row r="1103" s="267" customFormat="1"/>
    <row r="1104" s="267" customFormat="1"/>
    <row r="1105" s="267" customFormat="1"/>
    <row r="1106" s="267" customFormat="1"/>
    <row r="1107" s="267" customFormat="1"/>
    <row r="1108" s="267" customFormat="1"/>
    <row r="1109" s="267" customFormat="1"/>
    <row r="1110" s="267" customFormat="1"/>
    <row r="1111" s="267" customFormat="1"/>
    <row r="1112" s="267" customFormat="1"/>
    <row r="1113" s="267" customFormat="1"/>
    <row r="1114" s="267" customFormat="1"/>
    <row r="1115" s="267" customFormat="1"/>
    <row r="1116" s="267" customFormat="1"/>
    <row r="1117" s="267" customFormat="1"/>
    <row r="1118" s="267" customFormat="1"/>
    <row r="1119" s="267" customFormat="1"/>
    <row r="1120" s="267" customFormat="1"/>
    <row r="1121" s="267" customFormat="1"/>
    <row r="1122" s="267" customFormat="1"/>
    <row r="1123" s="267" customFormat="1"/>
    <row r="1124" s="267" customFormat="1"/>
    <row r="1125" s="267" customFormat="1"/>
    <row r="1126" s="267" customFormat="1"/>
    <row r="1127" s="267" customFormat="1"/>
    <row r="1128" s="267" customFormat="1"/>
    <row r="1129" s="267" customFormat="1"/>
    <row r="1130" s="267" customFormat="1"/>
    <row r="1131" s="267" customFormat="1"/>
    <row r="1132" s="267" customFormat="1"/>
    <row r="1133" s="267" customFormat="1"/>
    <row r="1134" s="267" customFormat="1"/>
    <row r="1135" s="267" customFormat="1"/>
    <row r="1136" s="267" customFormat="1"/>
    <row r="1137" s="267" customFormat="1"/>
    <row r="1138" s="267" customFormat="1"/>
    <row r="1139" s="267" customFormat="1"/>
    <row r="1140" s="267" customFormat="1"/>
    <row r="1141" s="267" customFormat="1"/>
    <row r="1142" s="267" customFormat="1"/>
    <row r="1143" s="267" customFormat="1"/>
    <row r="1144" s="267" customFormat="1"/>
    <row r="1145" s="267" customFormat="1"/>
    <row r="1146" s="267" customFormat="1"/>
    <row r="1147" s="267" customFormat="1"/>
    <row r="1148" s="267" customFormat="1"/>
    <row r="1149" s="267" customFormat="1"/>
    <row r="1150" s="267" customFormat="1"/>
    <row r="1151" s="267" customFormat="1"/>
    <row r="1152" s="267" customFormat="1"/>
    <row r="1153" s="267" customFormat="1"/>
    <row r="1154" s="267" customFormat="1"/>
    <row r="1155" s="267" customFormat="1"/>
    <row r="1156" s="267" customFormat="1"/>
    <row r="1157" s="267" customFormat="1"/>
    <row r="1158" s="267" customFormat="1"/>
    <row r="1159" s="267" customFormat="1"/>
    <row r="1160" s="267" customFormat="1"/>
    <row r="1161" s="267" customFormat="1"/>
    <row r="1162" s="267" customFormat="1"/>
    <row r="1163" s="267" customFormat="1"/>
    <row r="1164" s="267" customFormat="1"/>
    <row r="1165" s="267" customFormat="1"/>
    <row r="1166" s="267" customFormat="1"/>
    <row r="1167" s="267" customFormat="1"/>
    <row r="1168" s="267" customFormat="1"/>
    <row r="1169" s="267" customFormat="1"/>
    <row r="1170" s="267" customFormat="1"/>
    <row r="1171" s="267" customFormat="1"/>
    <row r="1172" s="267" customFormat="1"/>
    <row r="1173" s="267" customFormat="1"/>
    <row r="1174" s="267" customFormat="1"/>
    <row r="1175" s="267" customFormat="1"/>
    <row r="1176" s="267" customFormat="1"/>
    <row r="1177" s="267" customFormat="1"/>
    <row r="1178" s="267" customFormat="1"/>
    <row r="1179" s="267" customFormat="1"/>
    <row r="1180" s="267" customFormat="1"/>
    <row r="1181" s="267" customFormat="1"/>
    <row r="1182" s="267" customFormat="1"/>
    <row r="1183" s="267" customFormat="1"/>
    <row r="1184" s="267" customFormat="1"/>
    <row r="1185" s="267" customFormat="1"/>
    <row r="1186" s="267" customFormat="1"/>
    <row r="1187" s="267" customFormat="1"/>
    <row r="1188" s="267" customFormat="1"/>
    <row r="1189" s="267" customFormat="1"/>
    <row r="1190" s="267" customFormat="1"/>
    <row r="1191" s="267" customFormat="1"/>
    <row r="1192" s="267" customFormat="1"/>
    <row r="1193" s="267" customFormat="1"/>
    <row r="1194" s="267" customFormat="1"/>
    <row r="1195" s="267" customFormat="1"/>
    <row r="1196" s="267" customFormat="1"/>
    <row r="1197" s="267" customFormat="1"/>
    <row r="1198" s="267" customFormat="1"/>
    <row r="1199" s="267" customFormat="1"/>
    <row r="1200" s="267" customFormat="1"/>
    <row r="1201" s="267" customFormat="1"/>
    <row r="1202" s="267" customFormat="1"/>
    <row r="1203" s="267" customFormat="1"/>
    <row r="1204" s="267" customFormat="1"/>
    <row r="1205" s="267" customFormat="1"/>
    <row r="1206" s="267" customFormat="1"/>
    <row r="1207" s="267" customFormat="1"/>
    <row r="1208" s="267" customFormat="1"/>
    <row r="1209" s="267" customFormat="1"/>
    <row r="1210" s="267" customFormat="1"/>
    <row r="1211" s="267" customFormat="1"/>
    <row r="1212" s="267" customFormat="1"/>
    <row r="1213" s="267" customFormat="1"/>
    <row r="1214" s="267" customFormat="1"/>
    <row r="1215" s="267" customFormat="1"/>
    <row r="1216" s="267" customFormat="1"/>
    <row r="1217" s="267" customFormat="1"/>
    <row r="1218" s="267" customFormat="1"/>
    <row r="1219" s="267" customFormat="1"/>
    <row r="1220" s="267" customFormat="1"/>
    <row r="1221" s="267" customFormat="1"/>
    <row r="1222" s="267" customFormat="1"/>
    <row r="1223" s="267" customFormat="1"/>
    <row r="1224" s="267" customFormat="1"/>
    <row r="1225" s="267" customFormat="1"/>
    <row r="1226" s="267" customFormat="1"/>
    <row r="1227" s="267" customFormat="1"/>
    <row r="1228" s="267" customFormat="1"/>
    <row r="1229" s="267" customFormat="1"/>
    <row r="1230" s="267" customFormat="1"/>
    <row r="1231" s="267" customFormat="1"/>
    <row r="1232" s="267" customFormat="1"/>
    <row r="1233" s="267" customFormat="1"/>
    <row r="1234" s="267" customFormat="1"/>
    <row r="1235" s="267" customFormat="1"/>
    <row r="1236" s="267" customFormat="1"/>
    <row r="1237" s="267" customFormat="1"/>
    <row r="1238" s="267" customFormat="1"/>
    <row r="1239" s="267" customFormat="1"/>
    <row r="1240" s="267" customFormat="1"/>
    <row r="1241" s="267" customFormat="1"/>
    <row r="1242" s="267" customFormat="1"/>
    <row r="1243" s="267" customFormat="1"/>
    <row r="1244" s="267" customFormat="1"/>
    <row r="1245" s="267" customFormat="1"/>
    <row r="1246" s="267" customFormat="1"/>
    <row r="1247" s="267" customFormat="1"/>
    <row r="1248" s="267" customFormat="1"/>
    <row r="1249" s="267" customFormat="1"/>
    <row r="1250" s="267" customFormat="1"/>
    <row r="1251" s="267" customFormat="1"/>
    <row r="1252" s="267" customFormat="1"/>
    <row r="1253" s="267" customFormat="1"/>
    <row r="1254" s="267" customFormat="1"/>
    <row r="1255" s="267" customFormat="1"/>
    <row r="1256" s="267" customFormat="1"/>
    <row r="1257" s="267" customFormat="1"/>
    <row r="1258" s="267" customFormat="1"/>
    <row r="1259" s="267" customFormat="1"/>
    <row r="1260" s="267" customFormat="1"/>
    <row r="1261" s="267" customFormat="1"/>
    <row r="1262" s="267" customFormat="1"/>
    <row r="1263" s="267" customFormat="1"/>
    <row r="1264" s="267" customFormat="1"/>
    <row r="1265" s="267" customFormat="1"/>
    <row r="1266" s="267" customFormat="1"/>
    <row r="1267" s="267" customFormat="1"/>
    <row r="1268" s="267" customFormat="1"/>
    <row r="1269" s="267" customFormat="1"/>
    <row r="1270" s="267" customFormat="1"/>
    <row r="1271" s="267" customFormat="1"/>
    <row r="1272" s="267" customFormat="1"/>
    <row r="1273" s="267" customFormat="1"/>
    <row r="1274" s="267" customFormat="1"/>
    <row r="1275" s="267" customFormat="1"/>
    <row r="1276" s="267" customFormat="1"/>
    <row r="1277" s="267" customFormat="1"/>
    <row r="1278" s="267" customFormat="1"/>
    <row r="1279" s="267" customFormat="1"/>
    <row r="1280" s="267" customFormat="1"/>
    <row r="1281" s="267" customFormat="1"/>
    <row r="1282" s="267" customFormat="1"/>
    <row r="1283" s="267" customFormat="1"/>
    <row r="1284" s="267" customFormat="1"/>
    <row r="1285" s="267" customFormat="1"/>
    <row r="1286" s="267" customFormat="1"/>
    <row r="1287" s="267" customFormat="1"/>
    <row r="1288" s="267" customFormat="1"/>
    <row r="1289" s="267" customFormat="1"/>
    <row r="1290" s="267" customFormat="1"/>
    <row r="1291" s="267" customFormat="1"/>
    <row r="1292" s="267" customFormat="1"/>
    <row r="1293" s="267" customFormat="1"/>
    <row r="1294" s="267" customFormat="1"/>
    <row r="1295" s="267" customFormat="1"/>
    <row r="1296" s="267" customFormat="1"/>
    <row r="1297" s="267" customFormat="1"/>
    <row r="1298" s="267" customFormat="1"/>
    <row r="1299" s="267" customFormat="1"/>
    <row r="1300" s="267" customFormat="1"/>
    <row r="1301" s="267" customFormat="1"/>
    <row r="1302" s="267" customFormat="1"/>
    <row r="1303" s="267" customFormat="1"/>
    <row r="1304" s="267" customFormat="1"/>
    <row r="1305" s="267" customFormat="1"/>
    <row r="1306" s="267" customFormat="1"/>
    <row r="1307" s="267" customFormat="1"/>
    <row r="1308" s="267" customFormat="1"/>
    <row r="1309" s="267" customFormat="1"/>
    <row r="1310" s="267" customFormat="1"/>
    <row r="1311" s="267" customFormat="1"/>
    <row r="1312" s="267" customFormat="1"/>
    <row r="1313" s="267" customFormat="1"/>
    <row r="1314" s="267" customFormat="1"/>
    <row r="1315" s="267" customFormat="1"/>
    <row r="1316" s="267" customFormat="1"/>
    <row r="1317" s="267" customFormat="1"/>
    <row r="1318" s="267" customFormat="1"/>
    <row r="1319" s="267" customFormat="1"/>
    <row r="1320" s="267" customFormat="1"/>
    <row r="1321" s="267" customFormat="1"/>
    <row r="1322" s="267" customFormat="1"/>
    <row r="1323" s="267" customFormat="1"/>
    <row r="1324" s="267" customFormat="1"/>
    <row r="1325" s="267" customFormat="1"/>
    <row r="1326" s="267" customFormat="1"/>
    <row r="1327" s="267" customFormat="1"/>
    <row r="1328" s="267" customFormat="1"/>
    <row r="1329" s="267" customFormat="1"/>
    <row r="1330" s="267" customFormat="1"/>
    <row r="1331" s="267" customFormat="1"/>
    <row r="1332" s="267" customFormat="1"/>
    <row r="1333" s="267" customFormat="1"/>
    <row r="1334" s="267" customFormat="1"/>
    <row r="1335" s="267" customFormat="1"/>
    <row r="1336" s="267" customFormat="1"/>
    <row r="1337" s="267" customFormat="1"/>
    <row r="1338" s="267" customFormat="1"/>
    <row r="1339" s="267" customFormat="1"/>
    <row r="1340" s="267" customFormat="1"/>
    <row r="1341" s="267" customFormat="1"/>
    <row r="1342" s="267" customFormat="1"/>
    <row r="1343" s="267" customFormat="1"/>
    <row r="1344" s="267" customFormat="1"/>
    <row r="1345" s="267" customFormat="1"/>
    <row r="1346" s="267" customFormat="1"/>
    <row r="1347" s="267" customFormat="1"/>
    <row r="1348" s="267" customFormat="1"/>
    <row r="1349" s="267" customFormat="1"/>
    <row r="1350" s="267" customFormat="1"/>
    <row r="1351" s="267" customFormat="1"/>
    <row r="1352" s="267" customFormat="1"/>
    <row r="1353" s="267" customFormat="1"/>
    <row r="1354" s="267" customFormat="1"/>
    <row r="1355" s="267" customFormat="1"/>
    <row r="1356" s="267" customFormat="1"/>
    <row r="1357" s="267" customFormat="1"/>
    <row r="1358" s="267" customFormat="1"/>
    <row r="1359" s="267" customFormat="1"/>
    <row r="1360" s="267" customFormat="1"/>
    <row r="1361" s="267" customFormat="1"/>
    <row r="1362" s="267" customFormat="1"/>
    <row r="1363" s="267" customFormat="1"/>
    <row r="1364" s="267" customFormat="1"/>
    <row r="1365" s="267" customFormat="1"/>
    <row r="1366" s="267" customFormat="1"/>
    <row r="1367" s="267" customFormat="1"/>
    <row r="1368" s="267" customFormat="1"/>
    <row r="1369" s="267" customFormat="1"/>
    <row r="1370" s="267" customFormat="1"/>
    <row r="1371" s="267" customFormat="1"/>
    <row r="1372" s="267" customFormat="1"/>
    <row r="1373" s="267" customFormat="1"/>
    <row r="1374" s="267" customFormat="1"/>
    <row r="1375" s="267" customFormat="1"/>
    <row r="1376" s="267" customFormat="1"/>
    <row r="1377" s="267" customFormat="1"/>
    <row r="1378" s="267" customFormat="1"/>
    <row r="1379" s="267" customFormat="1"/>
    <row r="1380" s="267" customFormat="1"/>
    <row r="1381" s="267" customFormat="1"/>
    <row r="1382" s="267" customFormat="1"/>
    <row r="1383" s="267" customFormat="1"/>
  </sheetData>
  <sheetProtection algorithmName="SHA-512" hashValue="9MuHuHUOYKKSLCEvdRGM3NqVmR3Un54WhjW0LgMQbYSRlOuOCUrzhGAyMd2CbRSFsRcbx15uGybA+YkbPRtyEg==" saltValue="ZMzRBv2+TVOPACFSKEoiNw==" spinCount="100000" sheet="1"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8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c r="A1" s="467" t="s">
        <v>8</v>
      </c>
      <c r="B1" s="467"/>
      <c r="C1" s="467"/>
      <c r="D1" s="467"/>
      <c r="E1" s="467"/>
      <c r="F1" s="467"/>
      <c r="G1" s="467"/>
      <c r="H1" s="467"/>
      <c r="I1" s="467"/>
      <c r="J1" s="467"/>
      <c r="K1" s="3"/>
      <c r="L1" s="3"/>
      <c r="M1" s="3"/>
      <c r="N1" s="3"/>
      <c r="O1" s="3"/>
      <c r="P1" s="3"/>
      <c r="Q1" s="3"/>
      <c r="R1" s="3"/>
      <c r="S1" s="3"/>
      <c r="T1" s="3"/>
      <c r="U1" s="3"/>
    </row>
    <row r="2" spans="1:21" s="292" customFormat="1" ht="20.25" customHeight="1">
      <c r="A2" s="469" t="s">
        <v>9</v>
      </c>
      <c r="B2" s="469"/>
      <c r="C2" s="469"/>
      <c r="D2" s="469"/>
      <c r="E2" s="469"/>
      <c r="F2" s="469"/>
      <c r="G2" s="469"/>
      <c r="H2" s="469"/>
      <c r="I2" s="469"/>
      <c r="J2" s="469"/>
      <c r="K2" s="4"/>
      <c r="L2" s="4"/>
      <c r="M2" s="4"/>
      <c r="N2" s="4"/>
      <c r="O2" s="4"/>
      <c r="P2" s="4"/>
      <c r="Q2" s="4"/>
      <c r="R2" s="4"/>
      <c r="S2" s="4"/>
      <c r="T2" s="4"/>
      <c r="U2" s="4"/>
    </row>
    <row r="3" spans="1:21" s="292" customFormat="1" ht="15.75" customHeight="1">
      <c r="A3" s="470" t="s">
        <v>1378</v>
      </c>
      <c r="B3" s="470"/>
      <c r="C3" s="470"/>
      <c r="D3" s="470"/>
      <c r="E3" s="470"/>
      <c r="F3" s="470"/>
      <c r="G3" s="470"/>
      <c r="H3" s="470"/>
      <c r="I3" s="470"/>
      <c r="J3" s="470"/>
      <c r="K3" s="21"/>
      <c r="L3" s="21"/>
      <c r="M3" s="21"/>
      <c r="N3" s="21"/>
      <c r="O3" s="21"/>
      <c r="P3" s="21"/>
      <c r="Q3" s="21"/>
      <c r="R3" s="21"/>
      <c r="S3" s="21"/>
      <c r="T3" s="21"/>
      <c r="U3" s="21"/>
    </row>
    <row r="4" spans="1:21" s="2" customFormat="1" ht="16.5" customHeight="1">
      <c r="A4" s="338" t="s">
        <v>10</v>
      </c>
      <c r="B4" s="244" t="str">
        <f>'Start Here'!B4:D4</f>
        <v>Pinole</v>
      </c>
      <c r="C4" s="336"/>
      <c r="D4" s="212"/>
      <c r="E4" s="212"/>
      <c r="F4" s="212"/>
      <c r="G4" s="212"/>
      <c r="H4" s="212"/>
      <c r="I4" s="411" t="s">
        <v>1376</v>
      </c>
      <c r="J4" s="413"/>
      <c r="K4" s="328"/>
      <c r="L4" s="328"/>
      <c r="M4" s="488"/>
      <c r="N4" s="488"/>
      <c r="O4" s="488"/>
      <c r="P4" s="488"/>
    </row>
    <row r="5" spans="1:21" s="2" customFormat="1" ht="18" customHeight="1">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c r="A6" s="1"/>
      <c r="B6" s="295"/>
      <c r="C6" s="5"/>
      <c r="D6" s="7"/>
      <c r="E6" s="212"/>
      <c r="F6" s="212"/>
    </row>
    <row r="7" spans="1:21" ht="13.5" customHeight="1"/>
    <row r="8" spans="1:21" ht="15.75">
      <c r="A8" s="485" t="s">
        <v>40</v>
      </c>
      <c r="B8" s="486"/>
      <c r="C8" s="486"/>
      <c r="D8" s="486"/>
      <c r="E8" s="486"/>
      <c r="F8" s="486"/>
      <c r="G8" s="486"/>
      <c r="H8" s="486"/>
      <c r="I8" s="486"/>
      <c r="J8" s="487"/>
    </row>
    <row r="9" spans="1:21" ht="15.75" customHeight="1">
      <c r="A9" s="485" t="s">
        <v>1363</v>
      </c>
      <c r="B9" s="486"/>
      <c r="C9" s="486"/>
      <c r="D9" s="486"/>
      <c r="E9" s="486"/>
      <c r="F9" s="486"/>
      <c r="G9" s="486"/>
      <c r="H9" s="486"/>
      <c r="I9" s="486"/>
      <c r="J9" s="487"/>
    </row>
    <row r="10" spans="1:21" ht="58.5" customHeight="1">
      <c r="A10" s="478" t="s">
        <v>1364</v>
      </c>
      <c r="B10" s="479"/>
      <c r="C10" s="479"/>
      <c r="D10" s="479"/>
      <c r="E10" s="479"/>
      <c r="F10" s="479"/>
      <c r="G10" s="479"/>
      <c r="H10" s="479"/>
      <c r="I10" s="479"/>
      <c r="J10" s="480"/>
    </row>
    <row r="11" spans="1:21" ht="77.25" customHeight="1">
      <c r="A11" s="481" t="s">
        <v>34</v>
      </c>
      <c r="B11" s="482" t="s">
        <v>1354</v>
      </c>
      <c r="C11" s="483"/>
      <c r="D11" s="483"/>
      <c r="E11" s="484"/>
      <c r="F11" s="481" t="s">
        <v>1359</v>
      </c>
      <c r="G11" s="481"/>
      <c r="H11" s="481"/>
      <c r="I11" s="481"/>
      <c r="J11" s="481" t="s">
        <v>1360</v>
      </c>
    </row>
    <row r="12" spans="1:21" ht="60" customHeight="1">
      <c r="A12" s="481"/>
      <c r="B12" s="146" t="s">
        <v>1355</v>
      </c>
      <c r="C12" s="146" t="s">
        <v>1356</v>
      </c>
      <c r="D12" s="146" t="s">
        <v>1357</v>
      </c>
      <c r="E12" s="146" t="s">
        <v>1358</v>
      </c>
      <c r="F12" s="146" t="s">
        <v>1355</v>
      </c>
      <c r="G12" s="146" t="s">
        <v>1356</v>
      </c>
      <c r="H12" s="146" t="s">
        <v>1357</v>
      </c>
      <c r="I12" s="146" t="s">
        <v>1358</v>
      </c>
      <c r="J12" s="481"/>
    </row>
    <row r="13" spans="1:21" ht="26.25" customHeight="1">
      <c r="A13" s="169" t="s">
        <v>54</v>
      </c>
      <c r="B13" s="165"/>
      <c r="C13" s="165"/>
      <c r="D13" s="165"/>
      <c r="E13" s="172">
        <f>SUM(B13:D13)</f>
        <v>0</v>
      </c>
      <c r="F13" s="173"/>
      <c r="G13" s="173"/>
      <c r="H13" s="173"/>
      <c r="I13" s="174">
        <f>SUM(F13:H13)</f>
        <v>0</v>
      </c>
      <c r="J13" s="164"/>
    </row>
    <row r="14" spans="1:21" ht="33.75" customHeight="1">
      <c r="A14" s="169" t="s">
        <v>55</v>
      </c>
      <c r="B14" s="165"/>
      <c r="C14" s="165"/>
      <c r="D14" s="165"/>
      <c r="E14" s="172">
        <f>SUM(B14:D14)</f>
        <v>0</v>
      </c>
      <c r="F14" s="173"/>
      <c r="G14" s="173"/>
      <c r="H14" s="173"/>
      <c r="I14" s="174">
        <f>SUM(F14:H14)</f>
        <v>0</v>
      </c>
      <c r="J14" s="164"/>
    </row>
    <row r="15" spans="1:21" ht="28.5" customHeight="1" thickBot="1">
      <c r="A15" s="170" t="s">
        <v>56</v>
      </c>
      <c r="B15" s="175"/>
      <c r="C15" s="175"/>
      <c r="D15" s="175"/>
      <c r="E15" s="176">
        <f>SUM(B15:D15)</f>
        <v>0</v>
      </c>
      <c r="F15" s="177"/>
      <c r="G15" s="177"/>
      <c r="H15" s="177"/>
      <c r="I15" s="178">
        <f>SUM(F15:H15)</f>
        <v>0</v>
      </c>
      <c r="J15" s="167"/>
    </row>
    <row r="16" spans="1:21" ht="27" customHeight="1" thickTop="1">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c r="I17" s="148"/>
      <c r="J17" s="147"/>
    </row>
    <row r="18" spans="2:10">
      <c r="B18" s="17"/>
      <c r="C18" s="17"/>
      <c r="D18" s="17"/>
      <c r="E18" s="17"/>
    </row>
  </sheetData>
  <sheetProtection algorithmName="SHA-512" hashValue="dayp/j5mBPFy9ZTaj3lir05biZgnwmdYMH0bxlwhelO2D8/5Ls012O0z5TPBtkaBbwWvo8O+2A1NT33I+b08bQ==" saltValue="DViqERXZMK56vjclMYGVHw==" spinCount="100000" sheet="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sheetPr codeName="Sheet8"/>
  <dimension ref="A3:J46"/>
  <sheetViews>
    <sheetView tabSelected="1" topLeftCell="A21" zoomScaleNormal="100" zoomScaleSheetLayoutView="100" workbookViewId="0">
      <selection activeCell="A18" sqref="A18:D18"/>
    </sheetView>
  </sheetViews>
  <sheetFormatPr defaultColWidth="0" defaultRowHeight="14.25"/>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c r="A3" s="339" t="s">
        <v>10</v>
      </c>
      <c r="B3" s="246" t="str">
        <f>'Start Here'!B4:D4</f>
        <v>Pinole</v>
      </c>
      <c r="C3" s="340"/>
    </row>
    <row r="4" spans="1:3" ht="18" customHeight="1">
      <c r="A4" s="341" t="s">
        <v>36</v>
      </c>
      <c r="B4" s="245">
        <f>'Start Here'!B5</f>
        <v>2018</v>
      </c>
      <c r="C4" s="342" t="s">
        <v>52</v>
      </c>
    </row>
    <row r="7" spans="1:3" ht="16.5" thickBot="1">
      <c r="A7" s="494"/>
      <c r="B7" s="494"/>
      <c r="C7" s="494"/>
    </row>
    <row r="8" spans="1:3" ht="15" customHeight="1">
      <c r="A8" s="501" t="s">
        <v>89</v>
      </c>
      <c r="B8" s="502"/>
      <c r="C8" s="503"/>
    </row>
    <row r="9" spans="1:3">
      <c r="A9" s="504" t="s">
        <v>15</v>
      </c>
      <c r="B9" s="505"/>
      <c r="C9" s="98" t="s">
        <v>60</v>
      </c>
    </row>
    <row r="10" spans="1:3">
      <c r="A10" s="506" t="s">
        <v>16</v>
      </c>
      <c r="B10" s="248" t="s">
        <v>5</v>
      </c>
      <c r="C10" s="99">
        <f>'Table A2'!H12</f>
        <v>0</v>
      </c>
    </row>
    <row r="11" spans="1:3" ht="25.5">
      <c r="A11" s="506"/>
      <c r="B11" s="248" t="s">
        <v>20</v>
      </c>
      <c r="C11" s="99">
        <f>'Table A2'!I12</f>
        <v>0</v>
      </c>
    </row>
    <row r="12" spans="1:3">
      <c r="A12" s="506" t="s">
        <v>17</v>
      </c>
      <c r="B12" s="248" t="s">
        <v>5</v>
      </c>
      <c r="C12" s="99">
        <f>'Table A2'!J12</f>
        <v>0</v>
      </c>
    </row>
    <row r="13" spans="1:3" ht="25.5">
      <c r="A13" s="506"/>
      <c r="B13" s="248" t="s">
        <v>20</v>
      </c>
      <c r="C13" s="99">
        <f>'Table A2'!K12</f>
        <v>0</v>
      </c>
    </row>
    <row r="14" spans="1:3">
      <c r="A14" s="506" t="s">
        <v>18</v>
      </c>
      <c r="B14" s="248" t="s">
        <v>5</v>
      </c>
      <c r="C14" s="99">
        <f>'Table A2'!L12</f>
        <v>0</v>
      </c>
    </row>
    <row r="15" spans="1:3" ht="25.5">
      <c r="A15" s="506"/>
      <c r="B15" s="248" t="s">
        <v>20</v>
      </c>
      <c r="C15" s="99">
        <f>'Table A2'!M12</f>
        <v>0</v>
      </c>
    </row>
    <row r="16" spans="1:3" ht="28.5" customHeight="1" thickBot="1">
      <c r="A16" s="249" t="s">
        <v>19</v>
      </c>
      <c r="B16" s="250"/>
      <c r="C16" s="100">
        <f>'Table A2'!N12</f>
        <v>9</v>
      </c>
    </row>
    <row r="17" spans="1:9" ht="15.75" thickTop="1" thickBot="1">
      <c r="A17" s="507" t="s">
        <v>1377</v>
      </c>
      <c r="B17" s="508"/>
      <c r="C17" s="101">
        <f>SUM(C10:C16)</f>
        <v>9</v>
      </c>
    </row>
    <row r="18" spans="1:9" ht="29.25" customHeight="1">
      <c r="A18" s="512" t="s">
        <v>79</v>
      </c>
      <c r="B18" s="512"/>
      <c r="C18" s="512"/>
      <c r="D18" s="512"/>
    </row>
    <row r="20" spans="1:9" ht="15" thickBot="1"/>
    <row r="21" spans="1:9" ht="15" customHeight="1">
      <c r="A21" s="509" t="s">
        <v>70</v>
      </c>
      <c r="B21" s="510"/>
      <c r="C21" s="510"/>
      <c r="D21" s="221"/>
    </row>
    <row r="22" spans="1:9" ht="15" customHeight="1">
      <c r="A22" s="492" t="s">
        <v>88</v>
      </c>
      <c r="B22" s="497"/>
      <c r="C22" s="498"/>
      <c r="D22" s="251">
        <f>COUNTIF('Table A'!P13:P1000,"&gt;0")</f>
        <v>4</v>
      </c>
    </row>
    <row r="23" spans="1:9" ht="17.25" customHeight="1">
      <c r="A23" s="492" t="s">
        <v>71</v>
      </c>
      <c r="B23" s="497"/>
      <c r="C23" s="498"/>
      <c r="D23" s="251">
        <f>'Table A'!P12</f>
        <v>4</v>
      </c>
    </row>
    <row r="24" spans="1:9" ht="15" customHeight="1">
      <c r="A24" s="492" t="s">
        <v>72</v>
      </c>
      <c r="B24" s="497"/>
      <c r="C24" s="498"/>
      <c r="D24" s="251">
        <f>'Table A'!Q12</f>
        <v>4</v>
      </c>
    </row>
    <row r="25" spans="1:9" ht="15.75" customHeight="1" thickBot="1">
      <c r="A25" s="495" t="s">
        <v>73</v>
      </c>
      <c r="B25" s="499"/>
      <c r="C25" s="500"/>
      <c r="D25" s="252">
        <f>'Table A'!R12</f>
        <v>0</v>
      </c>
    </row>
    <row r="26" spans="1:9" ht="15">
      <c r="A26" s="253"/>
      <c r="B26" s="253"/>
    </row>
    <row r="27" spans="1:9" ht="15.75" thickBot="1">
      <c r="A27" s="253"/>
      <c r="B27" s="253"/>
      <c r="G27" s="102"/>
      <c r="H27" s="102"/>
      <c r="I27" s="102"/>
    </row>
    <row r="28" spans="1:9" ht="15" customHeight="1">
      <c r="A28" s="509" t="s">
        <v>74</v>
      </c>
      <c r="B28" s="510"/>
      <c r="C28" s="510"/>
      <c r="D28" s="511"/>
      <c r="G28" s="102"/>
      <c r="H28" s="102"/>
      <c r="I28" s="102"/>
    </row>
    <row r="29" spans="1:9">
      <c r="A29" s="492" t="s">
        <v>75</v>
      </c>
      <c r="B29" s="493"/>
      <c r="C29" s="493"/>
      <c r="D29" s="254">
        <f>(COUNTIFS('Table A'!S:S,"Yes-but no action taken"))+(COUNTIF('Table A'!S:S,"Yes-Approved"))+(COUNTIF('Table A'!S:S,"Yes-Denied"))</f>
        <v>0</v>
      </c>
    </row>
    <row r="30" spans="1:9">
      <c r="A30" s="492" t="s">
        <v>76</v>
      </c>
      <c r="B30" s="493"/>
      <c r="C30" s="493"/>
      <c r="D30" s="254">
        <f>SUMIF('Table A'!S:S, "Yes-Approved",'Table A'!Q:Q )</f>
        <v>0</v>
      </c>
    </row>
    <row r="31" spans="1:9">
      <c r="A31" s="492" t="s">
        <v>77</v>
      </c>
      <c r="B31" s="493"/>
      <c r="C31" s="493"/>
      <c r="D31" s="255">
        <f>COUNTIF('Table A'!S:S, "Yes-Approved")</f>
        <v>0</v>
      </c>
    </row>
    <row r="32" spans="1:9" ht="15" thickBot="1">
      <c r="A32" s="495" t="s">
        <v>78</v>
      </c>
      <c r="B32" s="496"/>
      <c r="C32" s="496"/>
      <c r="D32" s="252">
        <f>SUMIF('Table A2'!AJ:AJ, "Y",'Table A2'!AH:AH)</f>
        <v>0</v>
      </c>
    </row>
    <row r="34" spans="1:5" ht="21" thickBot="1">
      <c r="A34" s="103"/>
      <c r="B34" s="256"/>
      <c r="C34" s="256"/>
      <c r="D34" s="94"/>
      <c r="E34" s="94"/>
    </row>
    <row r="35" spans="1:5" ht="15" customHeight="1">
      <c r="A35" s="489" t="s">
        <v>113</v>
      </c>
      <c r="B35" s="490"/>
      <c r="C35" s="490"/>
      <c r="D35" s="491"/>
      <c r="E35" s="104"/>
    </row>
    <row r="36" spans="1:5">
      <c r="A36" s="219" t="s">
        <v>109</v>
      </c>
      <c r="B36" s="220" t="s">
        <v>110</v>
      </c>
      <c r="C36" s="220" t="s">
        <v>111</v>
      </c>
      <c r="D36" s="98" t="s">
        <v>112</v>
      </c>
    </row>
    <row r="37" spans="1:5">
      <c r="A37" s="182" t="s">
        <v>16</v>
      </c>
      <c r="B37" s="105">
        <f>(SUMIFS('Table A2'!Q:Q,'Table A2'!$AJ:$AJ,"Y",'Table A2'!$G:$G,"R"))+(SUMIFS('Table A2'!R:R,'Table A2'!$AJ:$AJ,"Y",'Table A2'!$G:$G,"R"))</f>
        <v>0</v>
      </c>
      <c r="C37" s="105">
        <f>(SUMIFS('Table A2'!Q:Q,'Table A2'!AJ:AJ,"Y",'Table A2'!G:G,"O"))+(SUMIFS('Table A2'!R:R,'Table A2'!AJ:AJ,"Y",'Table A2'!G:G,"O"))</f>
        <v>0</v>
      </c>
      <c r="D37" s="99">
        <f>SUM(B37:C37)</f>
        <v>0</v>
      </c>
    </row>
    <row r="38" spans="1:5">
      <c r="A38" s="182" t="s">
        <v>17</v>
      </c>
      <c r="B38" s="105">
        <f>(SUMIFS('Table A2'!S:S,'Table A2'!$AJ:$AJ,"Y",'Table A2'!$G:$G,"R"))+(SUMIFS('Table A2'!T:T,'Table A2'!$AJ:$AJ,"Y",'Table A2'!$G:$G,"R"))</f>
        <v>0</v>
      </c>
      <c r="C38" s="105">
        <f>(SUMIFS('Table A2'!S:S,'Table A2'!$AJ:$AJ,"Y",'Table A2'!$G:$G,"O"))+(SUMIFS('Table A2'!T:T,'Table A2'!$AJ:$AJ,"Y",'Table A2'!$G:$G,"O"))</f>
        <v>0</v>
      </c>
      <c r="D38" s="99">
        <f>SUM(B38:C38)</f>
        <v>0</v>
      </c>
    </row>
    <row r="39" spans="1:5">
      <c r="A39" s="182" t="s">
        <v>18</v>
      </c>
      <c r="B39" s="105">
        <f>(SUMIFS('Table A2'!U:U,'Table A2'!$AJ:$AJ,"Y",'Table A2'!$G:$G,"R"))+(SUMIFS('Table A2'!V:V,'Table A2'!$AJ:$AJ,"Y",'Table A2'!$G:$G,"R"))</f>
        <v>0</v>
      </c>
      <c r="C39" s="105">
        <f>(SUMIFS('Table A2'!U:U,'Table A2'!$AJ:$AJ,"Y",'Table A2'!$G:$G,"O"))+(SUMIFS('Table A2'!V:V,'Table A2'!$AJ:$AJ,"Y",'Table A2'!$G:$G,"O"))</f>
        <v>0</v>
      </c>
      <c r="D39" s="99">
        <f>SUM(B39:C39)</f>
        <v>0</v>
      </c>
    </row>
    <row r="40" spans="1:5">
      <c r="A40" s="182" t="s">
        <v>19</v>
      </c>
      <c r="B40" s="105">
        <f>(SUMIFS('Table A2'!W:W,'Table A2'!$AJ:$AJ,"Y",'Table A2'!G:G,"R"))</f>
        <v>0</v>
      </c>
      <c r="C40" s="105">
        <f>(SUMIFS('Table A2'!W:W,'Table A2'!$AJ:$AJ,"Y",'Table A2'!G:G,"O"))</f>
        <v>0</v>
      </c>
      <c r="D40" s="99">
        <f>SUM(B40:C40)</f>
        <v>0</v>
      </c>
    </row>
    <row r="41" spans="1:5" ht="15" thickBot="1">
      <c r="A41" s="183" t="s">
        <v>112</v>
      </c>
      <c r="B41" s="184">
        <f>SUM(B37:B40)</f>
        <v>0</v>
      </c>
      <c r="C41" s="184">
        <f>SUM(C37:C40)</f>
        <v>0</v>
      </c>
      <c r="D41" s="185">
        <f>SUM(B41:C41)</f>
        <v>0</v>
      </c>
    </row>
    <row r="42" spans="1:5">
      <c r="B42" s="257"/>
      <c r="C42" s="257"/>
    </row>
    <row r="43" spans="1:5">
      <c r="A43" s="97" t="s">
        <v>108</v>
      </c>
    </row>
    <row r="46" spans="1:5" ht="33" customHeight="1">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3C72351-D49E-4306-8744-2940EBDFC102}"/>
</file>

<file path=customXml/itemProps2.xml><?xml version="1.0" encoding="utf-8"?>
<ds:datastoreItem xmlns:ds="http://schemas.openxmlformats.org/officeDocument/2006/customXml" ds:itemID="{D8E3129A-26A1-4677-AC7F-4DFCC952E9C2}"/>
</file>

<file path=customXml/itemProps3.xml><?xml version="1.0" encoding="utf-8"?>
<ds:datastoreItem xmlns:ds="http://schemas.openxmlformats.org/officeDocument/2006/customXml" ds:itemID="{B282149A-4D98-4DC7-8F28-7A9D8D9647C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Winston Rhodes</cp:lastModifiedBy>
  <cp:lastPrinted>2019-02-13T00:58:12Z</cp:lastPrinted>
  <dcterms:created xsi:type="dcterms:W3CDTF">2018-09-27T21:13:30Z</dcterms:created>
  <dcterms:modified xsi:type="dcterms:W3CDTF">2019-03-22T18:31:56Z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