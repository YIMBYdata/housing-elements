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leigha.schmidt\AppData\Local\Microsoft\Windows\INetCache\Content.Outlook\JFMT8LFJ\"/>
    </mc:Choice>
  </mc:AlternateContent>
  <xr:revisionPtr revIDLastSave="0" documentId="13_ncr:1_{294EF2F4-33C4-4635-A6A3-3455A03CBBEF}" xr6:coauthVersionLast="41" xr6:coauthVersionMax="41"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9040" windowHeight="158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8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s="1"/>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s="1"/>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s="1"/>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s="1"/>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s="1"/>
  <c r="H395" i="15"/>
  <c r="I395" i="15"/>
  <c r="L395" i="15"/>
  <c r="M395" i="15"/>
  <c r="E396" i="15"/>
  <c r="H396" i="15"/>
  <c r="I396" i="15"/>
  <c r="L396" i="15"/>
  <c r="M396" i="15"/>
  <c r="E397" i="15"/>
  <c r="H397" i="15"/>
  <c r="I397" i="15"/>
  <c r="L397" i="15"/>
  <c r="M397" i="15"/>
  <c r="A398" i="15"/>
  <c r="E398" i="15" s="1"/>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s="1"/>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s="1"/>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s="1"/>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s="1"/>
  <c r="H490" i="15"/>
  <c r="I490" i="15"/>
  <c r="L490" i="15"/>
  <c r="M490" i="15"/>
  <c r="E491" i="15"/>
  <c r="H491" i="15"/>
  <c r="I491" i="15"/>
  <c r="L491" i="15"/>
  <c r="M491" i="15"/>
  <c r="E492" i="15"/>
  <c r="H492" i="15"/>
  <c r="I492" i="15"/>
  <c r="L492" i="15"/>
  <c r="M492" i="15"/>
  <c r="A493" i="15"/>
  <c r="E493" i="15" s="1"/>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s="1"/>
  <c r="P1000" i="2"/>
  <c r="R1000" i="2"/>
  <c r="P999" i="2"/>
  <c r="R999" i="2" s="1"/>
  <c r="P998" i="2"/>
  <c r="R998" i="2"/>
  <c r="P997" i="2"/>
  <c r="R997" i="2" s="1"/>
  <c r="P996" i="2"/>
  <c r="R996" i="2"/>
  <c r="P995" i="2"/>
  <c r="R995" i="2" s="1"/>
  <c r="P994" i="2"/>
  <c r="R994" i="2"/>
  <c r="P993" i="2"/>
  <c r="R993" i="2" s="1"/>
  <c r="P992" i="2"/>
  <c r="R992" i="2"/>
  <c r="P991" i="2"/>
  <c r="R991" i="2" s="1"/>
  <c r="P990" i="2"/>
  <c r="R990" i="2"/>
  <c r="P989" i="2"/>
  <c r="R989" i="2" s="1"/>
  <c r="P988" i="2"/>
  <c r="R988" i="2"/>
  <c r="P987" i="2"/>
  <c r="R987" i="2" s="1"/>
  <c r="P986" i="2"/>
  <c r="R986" i="2"/>
  <c r="P985" i="2"/>
  <c r="R985" i="2" s="1"/>
  <c r="P984" i="2"/>
  <c r="R984" i="2"/>
  <c r="P983" i="2"/>
  <c r="R983" i="2" s="1"/>
  <c r="P982" i="2"/>
  <c r="R982" i="2"/>
  <c r="P981" i="2"/>
  <c r="R981" i="2" s="1"/>
  <c r="P980" i="2"/>
  <c r="R980" i="2"/>
  <c r="P979" i="2"/>
  <c r="R979" i="2" s="1"/>
  <c r="P978" i="2"/>
  <c r="R978" i="2"/>
  <c r="P977" i="2"/>
  <c r="R977" i="2" s="1"/>
  <c r="P976" i="2"/>
  <c r="R976" i="2"/>
  <c r="P975" i="2"/>
  <c r="R975" i="2" s="1"/>
  <c r="P974" i="2"/>
  <c r="R974" i="2"/>
  <c r="P973" i="2"/>
  <c r="R973" i="2" s="1"/>
  <c r="P972" i="2"/>
  <c r="R972" i="2"/>
  <c r="P971" i="2"/>
  <c r="R971" i="2" s="1"/>
  <c r="P970" i="2"/>
  <c r="R970" i="2"/>
  <c r="P969" i="2"/>
  <c r="R969" i="2" s="1"/>
  <c r="P968" i="2"/>
  <c r="R968" i="2"/>
  <c r="P967" i="2"/>
  <c r="R967" i="2" s="1"/>
  <c r="P966" i="2"/>
  <c r="R966" i="2"/>
  <c r="P965" i="2"/>
  <c r="R965" i="2" s="1"/>
  <c r="P964" i="2"/>
  <c r="R964" i="2"/>
  <c r="P963" i="2"/>
  <c r="R963" i="2" s="1"/>
  <c r="P962" i="2"/>
  <c r="R962" i="2"/>
  <c r="P961" i="2"/>
  <c r="R961" i="2" s="1"/>
  <c r="P960" i="2"/>
  <c r="R960" i="2"/>
  <c r="P959" i="2"/>
  <c r="R959" i="2" s="1"/>
  <c r="P958" i="2"/>
  <c r="R958" i="2"/>
  <c r="P957" i="2"/>
  <c r="R957" i="2" s="1"/>
  <c r="P956" i="2"/>
  <c r="R956" i="2"/>
  <c r="P955" i="2"/>
  <c r="R955" i="2" s="1"/>
  <c r="P954" i="2"/>
  <c r="R954" i="2"/>
  <c r="P953" i="2"/>
  <c r="R953" i="2" s="1"/>
  <c r="P952" i="2"/>
  <c r="R952" i="2"/>
  <c r="P951" i="2"/>
  <c r="R951" i="2" s="1"/>
  <c r="P950" i="2"/>
  <c r="R950" i="2"/>
  <c r="P949" i="2"/>
  <c r="R949" i="2" s="1"/>
  <c r="P948" i="2"/>
  <c r="R948" i="2"/>
  <c r="P947" i="2"/>
  <c r="R947" i="2" s="1"/>
  <c r="P946" i="2"/>
  <c r="R946" i="2"/>
  <c r="P945" i="2"/>
  <c r="R945" i="2" s="1"/>
  <c r="P944" i="2"/>
  <c r="R944" i="2"/>
  <c r="P943" i="2"/>
  <c r="R943" i="2" s="1"/>
  <c r="P942" i="2"/>
  <c r="R942" i="2"/>
  <c r="P941" i="2"/>
  <c r="R941" i="2" s="1"/>
  <c r="P940" i="2"/>
  <c r="R940" i="2"/>
  <c r="P939" i="2"/>
  <c r="R939" i="2" s="1"/>
  <c r="P938" i="2"/>
  <c r="R938" i="2"/>
  <c r="P937" i="2"/>
  <c r="R937" i="2" s="1"/>
  <c r="P936" i="2"/>
  <c r="R936" i="2"/>
  <c r="P935" i="2"/>
  <c r="R935" i="2" s="1"/>
  <c r="P934" i="2"/>
  <c r="R934" i="2"/>
  <c r="P933" i="2"/>
  <c r="R933" i="2" s="1"/>
  <c r="P932" i="2"/>
  <c r="R932" i="2"/>
  <c r="P931" i="2"/>
  <c r="R931" i="2" s="1"/>
  <c r="P930" i="2"/>
  <c r="R930" i="2"/>
  <c r="P929" i="2"/>
  <c r="R929" i="2" s="1"/>
  <c r="P928" i="2"/>
  <c r="R928" i="2"/>
  <c r="P927" i="2"/>
  <c r="R927" i="2" s="1"/>
  <c r="P926" i="2"/>
  <c r="R926" i="2"/>
  <c r="P925" i="2"/>
  <c r="R925" i="2" s="1"/>
  <c r="P924" i="2"/>
  <c r="R924" i="2"/>
  <c r="P923" i="2"/>
  <c r="R923" i="2" s="1"/>
  <c r="P922" i="2"/>
  <c r="R922" i="2"/>
  <c r="P921" i="2"/>
  <c r="R921" i="2" s="1"/>
  <c r="P920" i="2"/>
  <c r="R920" i="2"/>
  <c r="P919" i="2"/>
  <c r="R919" i="2" s="1"/>
  <c r="P918" i="2"/>
  <c r="R918" i="2"/>
  <c r="P917" i="2"/>
  <c r="R917" i="2" s="1"/>
  <c r="P916" i="2"/>
  <c r="R916" i="2"/>
  <c r="P915" i="2"/>
  <c r="R915" i="2" s="1"/>
  <c r="P914" i="2"/>
  <c r="R914" i="2"/>
  <c r="P913" i="2"/>
  <c r="R913" i="2" s="1"/>
  <c r="P912" i="2"/>
  <c r="R912" i="2"/>
  <c r="P911" i="2"/>
  <c r="R911" i="2" s="1"/>
  <c r="P910" i="2"/>
  <c r="R910" i="2"/>
  <c r="P909" i="2"/>
  <c r="R909" i="2" s="1"/>
  <c r="P908" i="2"/>
  <c r="R908" i="2"/>
  <c r="P907" i="2"/>
  <c r="R907" i="2" s="1"/>
  <c r="P906" i="2"/>
  <c r="R906" i="2"/>
  <c r="P905" i="2"/>
  <c r="R905" i="2" s="1"/>
  <c r="P904" i="2"/>
  <c r="R904" i="2"/>
  <c r="P903" i="2"/>
  <c r="R903" i="2" s="1"/>
  <c r="P902" i="2"/>
  <c r="R902" i="2" s="1"/>
  <c r="P901" i="2"/>
  <c r="R901" i="2" s="1"/>
  <c r="P900" i="2"/>
  <c r="R900" i="2" s="1"/>
  <c r="P899" i="2"/>
  <c r="R899" i="2" s="1"/>
  <c r="P898" i="2"/>
  <c r="R898" i="2" s="1"/>
  <c r="P897" i="2"/>
  <c r="R897" i="2" s="1"/>
  <c r="P896" i="2"/>
  <c r="R896" i="2"/>
  <c r="P895" i="2"/>
  <c r="R895" i="2" s="1"/>
  <c r="P894" i="2"/>
  <c r="R894" i="2" s="1"/>
  <c r="P893" i="2"/>
  <c r="R893" i="2" s="1"/>
  <c r="P892" i="2"/>
  <c r="R892" i="2" s="1"/>
  <c r="P891" i="2"/>
  <c r="R891" i="2" s="1"/>
  <c r="P890" i="2"/>
  <c r="R890" i="2"/>
  <c r="P889" i="2"/>
  <c r="R889" i="2" s="1"/>
  <c r="P888" i="2"/>
  <c r="R888" i="2"/>
  <c r="P887" i="2"/>
  <c r="R887" i="2" s="1"/>
  <c r="P886" i="2"/>
  <c r="R886" i="2" s="1"/>
  <c r="P885" i="2"/>
  <c r="R885" i="2" s="1"/>
  <c r="P884" i="2"/>
  <c r="R884" i="2" s="1"/>
  <c r="P883" i="2"/>
  <c r="R883" i="2" s="1"/>
  <c r="P882" i="2"/>
  <c r="R882" i="2" s="1"/>
  <c r="P881" i="2"/>
  <c r="R881" i="2" s="1"/>
  <c r="P880" i="2"/>
  <c r="R880" i="2"/>
  <c r="P879" i="2"/>
  <c r="R879" i="2" s="1"/>
  <c r="P878" i="2"/>
  <c r="R878" i="2" s="1"/>
  <c r="P877" i="2"/>
  <c r="R877" i="2" s="1"/>
  <c r="P876" i="2"/>
  <c r="R876" i="2" s="1"/>
  <c r="P875" i="2"/>
  <c r="R875" i="2" s="1"/>
  <c r="P874" i="2"/>
  <c r="R874" i="2"/>
  <c r="P873" i="2"/>
  <c r="R873" i="2" s="1"/>
  <c r="P872" i="2"/>
  <c r="R872" i="2"/>
  <c r="P871" i="2"/>
  <c r="R871" i="2" s="1"/>
  <c r="P870" i="2"/>
  <c r="R870" i="2" s="1"/>
  <c r="P869" i="2"/>
  <c r="R869" i="2" s="1"/>
  <c r="P868" i="2"/>
  <c r="R868" i="2" s="1"/>
  <c r="P867" i="2"/>
  <c r="R867" i="2"/>
  <c r="P866" i="2"/>
  <c r="R866" i="2" s="1"/>
  <c r="P865" i="2"/>
  <c r="R865" i="2"/>
  <c r="P864" i="2"/>
  <c r="R864" i="2" s="1"/>
  <c r="P863" i="2"/>
  <c r="R863" i="2"/>
  <c r="P862" i="2"/>
  <c r="R862" i="2" s="1"/>
  <c r="P861" i="2"/>
  <c r="R861" i="2"/>
  <c r="P860" i="2"/>
  <c r="R860" i="2" s="1"/>
  <c r="P859" i="2"/>
  <c r="R859" i="2"/>
  <c r="P858" i="2"/>
  <c r="R858" i="2" s="1"/>
  <c r="P857" i="2"/>
  <c r="R857" i="2"/>
  <c r="P856" i="2"/>
  <c r="R856" i="2" s="1"/>
  <c r="P855" i="2"/>
  <c r="R855" i="2"/>
  <c r="P854" i="2"/>
  <c r="R854" i="2" s="1"/>
  <c r="P853" i="2"/>
  <c r="R853" i="2"/>
  <c r="P852" i="2"/>
  <c r="R852" i="2" s="1"/>
  <c r="P851" i="2"/>
  <c r="R851" i="2"/>
  <c r="P850" i="2"/>
  <c r="R850" i="2" s="1"/>
  <c r="P849" i="2"/>
  <c r="R849" i="2"/>
  <c r="P848" i="2"/>
  <c r="R848" i="2" s="1"/>
  <c r="P847" i="2"/>
  <c r="R847" i="2"/>
  <c r="P846" i="2"/>
  <c r="R846" i="2" s="1"/>
  <c r="P845" i="2"/>
  <c r="R845" i="2"/>
  <c r="P844" i="2"/>
  <c r="R844" i="2" s="1"/>
  <c r="P843" i="2"/>
  <c r="R843" i="2"/>
  <c r="P842" i="2"/>
  <c r="R842" i="2" s="1"/>
  <c r="P841" i="2"/>
  <c r="R841" i="2"/>
  <c r="P840" i="2"/>
  <c r="R840" i="2" s="1"/>
  <c r="P839" i="2"/>
  <c r="R839" i="2"/>
  <c r="P838" i="2"/>
  <c r="R838" i="2" s="1"/>
  <c r="P837" i="2"/>
  <c r="R837" i="2"/>
  <c r="P836" i="2"/>
  <c r="R836" i="2" s="1"/>
  <c r="P835" i="2"/>
  <c r="R835" i="2"/>
  <c r="P834" i="2"/>
  <c r="R834" i="2" s="1"/>
  <c r="P833" i="2"/>
  <c r="R833" i="2"/>
  <c r="P832" i="2"/>
  <c r="R832" i="2" s="1"/>
  <c r="P831" i="2"/>
  <c r="R831" i="2"/>
  <c r="P830" i="2"/>
  <c r="R830" i="2" s="1"/>
  <c r="P829" i="2"/>
  <c r="R829" i="2"/>
  <c r="P828" i="2"/>
  <c r="R828" i="2" s="1"/>
  <c r="P827" i="2"/>
  <c r="R827" i="2"/>
  <c r="P826" i="2"/>
  <c r="R826" i="2" s="1"/>
  <c r="P825" i="2"/>
  <c r="R825" i="2"/>
  <c r="P824" i="2"/>
  <c r="R824" i="2" s="1"/>
  <c r="P823" i="2"/>
  <c r="R823" i="2"/>
  <c r="P822" i="2"/>
  <c r="R822" i="2" s="1"/>
  <c r="P821" i="2"/>
  <c r="R821" i="2"/>
  <c r="P820" i="2"/>
  <c r="R820" i="2" s="1"/>
  <c r="P819" i="2"/>
  <c r="R819" i="2"/>
  <c r="P818" i="2"/>
  <c r="R818" i="2" s="1"/>
  <c r="P817" i="2"/>
  <c r="R817" i="2"/>
  <c r="P816" i="2"/>
  <c r="R816" i="2" s="1"/>
  <c r="P815" i="2"/>
  <c r="R815" i="2"/>
  <c r="P814" i="2"/>
  <c r="R814" i="2" s="1"/>
  <c r="P813" i="2"/>
  <c r="R813" i="2"/>
  <c r="P812" i="2"/>
  <c r="R812" i="2" s="1"/>
  <c r="P811" i="2"/>
  <c r="R811" i="2"/>
  <c r="P810" i="2"/>
  <c r="R810" i="2" s="1"/>
  <c r="P809" i="2"/>
  <c r="R809" i="2"/>
  <c r="P808" i="2"/>
  <c r="R808" i="2" s="1"/>
  <c r="P807" i="2"/>
  <c r="R807" i="2"/>
  <c r="P806" i="2"/>
  <c r="R806" i="2" s="1"/>
  <c r="P805" i="2"/>
  <c r="R805" i="2"/>
  <c r="P804" i="2"/>
  <c r="R804" i="2" s="1"/>
  <c r="P803" i="2"/>
  <c r="R803" i="2"/>
  <c r="P802" i="2"/>
  <c r="R802" i="2" s="1"/>
  <c r="P801" i="2"/>
  <c r="R801" i="2"/>
  <c r="P800" i="2"/>
  <c r="R800" i="2" s="1"/>
  <c r="P799" i="2"/>
  <c r="R799" i="2"/>
  <c r="P798" i="2"/>
  <c r="R798" i="2" s="1"/>
  <c r="P797" i="2"/>
  <c r="R797" i="2"/>
  <c r="P796" i="2"/>
  <c r="R796" i="2" s="1"/>
  <c r="P795" i="2"/>
  <c r="R795" i="2"/>
  <c r="P794" i="2"/>
  <c r="R794" i="2" s="1"/>
  <c r="P793" i="2"/>
  <c r="R793" i="2"/>
  <c r="P792" i="2"/>
  <c r="R792" i="2" s="1"/>
  <c r="P791" i="2"/>
  <c r="R791" i="2"/>
  <c r="P790" i="2"/>
  <c r="R790" i="2" s="1"/>
  <c r="P789" i="2"/>
  <c r="R789" i="2"/>
  <c r="P788" i="2"/>
  <c r="R788" i="2" s="1"/>
  <c r="P787" i="2"/>
  <c r="R787" i="2"/>
  <c r="P786" i="2"/>
  <c r="R786" i="2" s="1"/>
  <c r="P785" i="2"/>
  <c r="R785" i="2"/>
  <c r="P784" i="2"/>
  <c r="R784" i="2" s="1"/>
  <c r="P783" i="2"/>
  <c r="R783" i="2"/>
  <c r="P782" i="2"/>
  <c r="R782" i="2" s="1"/>
  <c r="P781" i="2"/>
  <c r="R781" i="2"/>
  <c r="P780" i="2"/>
  <c r="R780" i="2" s="1"/>
  <c r="P779" i="2"/>
  <c r="R779" i="2"/>
  <c r="P778" i="2"/>
  <c r="R778" i="2" s="1"/>
  <c r="P777" i="2"/>
  <c r="R777" i="2"/>
  <c r="P776" i="2"/>
  <c r="R776" i="2" s="1"/>
  <c r="P775" i="2"/>
  <c r="R775" i="2"/>
  <c r="P774" i="2"/>
  <c r="R774" i="2" s="1"/>
  <c r="P773" i="2"/>
  <c r="R773" i="2"/>
  <c r="P772" i="2"/>
  <c r="R772" i="2" s="1"/>
  <c r="P771" i="2"/>
  <c r="R771" i="2"/>
  <c r="P770" i="2"/>
  <c r="R770" i="2" s="1"/>
  <c r="P769" i="2"/>
  <c r="R769" i="2"/>
  <c r="P768" i="2"/>
  <c r="R768" i="2" s="1"/>
  <c r="P767" i="2"/>
  <c r="R767" i="2"/>
  <c r="P766" i="2"/>
  <c r="R766" i="2" s="1"/>
  <c r="P765" i="2"/>
  <c r="R765" i="2"/>
  <c r="P764" i="2"/>
  <c r="R764" i="2" s="1"/>
  <c r="P763" i="2"/>
  <c r="R763" i="2"/>
  <c r="P762" i="2"/>
  <c r="R762" i="2" s="1"/>
  <c r="P761" i="2"/>
  <c r="R761" i="2"/>
  <c r="P760" i="2"/>
  <c r="R760" i="2" s="1"/>
  <c r="P759" i="2"/>
  <c r="R759" i="2"/>
  <c r="P758" i="2"/>
  <c r="R758" i="2" s="1"/>
  <c r="P757" i="2"/>
  <c r="R757" i="2"/>
  <c r="P756" i="2"/>
  <c r="R756" i="2" s="1"/>
  <c r="P755" i="2"/>
  <c r="R755" i="2"/>
  <c r="P754" i="2"/>
  <c r="R754" i="2" s="1"/>
  <c r="P753" i="2"/>
  <c r="R753" i="2"/>
  <c r="P752" i="2"/>
  <c r="R752" i="2" s="1"/>
  <c r="P751" i="2"/>
  <c r="R751" i="2"/>
  <c r="P750" i="2"/>
  <c r="R750" i="2" s="1"/>
  <c r="P749" i="2"/>
  <c r="R749" i="2"/>
  <c r="P748" i="2"/>
  <c r="R748" i="2" s="1"/>
  <c r="P747" i="2"/>
  <c r="R747" i="2"/>
  <c r="P746" i="2"/>
  <c r="R746" i="2" s="1"/>
  <c r="P745" i="2"/>
  <c r="R745" i="2"/>
  <c r="P744" i="2"/>
  <c r="R744" i="2" s="1"/>
  <c r="P743" i="2"/>
  <c r="R743" i="2"/>
  <c r="P742" i="2"/>
  <c r="R742" i="2" s="1"/>
  <c r="P741" i="2"/>
  <c r="R741" i="2"/>
  <c r="P740" i="2"/>
  <c r="R740" i="2" s="1"/>
  <c r="P739" i="2"/>
  <c r="R739" i="2"/>
  <c r="P738" i="2"/>
  <c r="R738" i="2" s="1"/>
  <c r="P737" i="2"/>
  <c r="R737" i="2"/>
  <c r="P736" i="2"/>
  <c r="R736" i="2" s="1"/>
  <c r="P735" i="2"/>
  <c r="R735" i="2"/>
  <c r="P734" i="2"/>
  <c r="R734" i="2" s="1"/>
  <c r="P733" i="2"/>
  <c r="R733" i="2"/>
  <c r="P732" i="2"/>
  <c r="R732" i="2" s="1"/>
  <c r="P731" i="2"/>
  <c r="R731" i="2"/>
  <c r="P730" i="2"/>
  <c r="R730" i="2" s="1"/>
  <c r="P729" i="2"/>
  <c r="R729" i="2"/>
  <c r="P728" i="2"/>
  <c r="R728" i="2" s="1"/>
  <c r="P727" i="2"/>
  <c r="R727" i="2"/>
  <c r="P726" i="2"/>
  <c r="R726" i="2" s="1"/>
  <c r="P725" i="2"/>
  <c r="R725" i="2"/>
  <c r="P724" i="2"/>
  <c r="R724" i="2" s="1"/>
  <c r="P723" i="2"/>
  <c r="R723" i="2"/>
  <c r="P722" i="2"/>
  <c r="R722" i="2" s="1"/>
  <c r="P721" i="2"/>
  <c r="R721" i="2"/>
  <c r="P720" i="2"/>
  <c r="R720" i="2" s="1"/>
  <c r="P719" i="2"/>
  <c r="R719" i="2"/>
  <c r="P718" i="2"/>
  <c r="R718" i="2" s="1"/>
  <c r="P717" i="2"/>
  <c r="R717" i="2"/>
  <c r="P716" i="2"/>
  <c r="R716" i="2" s="1"/>
  <c r="P715" i="2"/>
  <c r="R715" i="2"/>
  <c r="P714" i="2"/>
  <c r="R714" i="2" s="1"/>
  <c r="P713" i="2"/>
  <c r="R713" i="2"/>
  <c r="P712" i="2"/>
  <c r="R712" i="2" s="1"/>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29"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C15" i="11" s="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2" i="1" s="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3" i="11"/>
  <c r="C12" i="11"/>
  <c r="C10" i="11"/>
  <c r="C2" i="16"/>
  <c r="C3" i="16"/>
  <c r="C4" i="16"/>
  <c r="C16" i="13" s="1"/>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c r="P495" i="2"/>
  <c r="R495" i="2" s="1"/>
  <c r="P494" i="2"/>
  <c r="R494" i="2"/>
  <c r="P493" i="2"/>
  <c r="R493" i="2" s="1"/>
  <c r="P492" i="2"/>
  <c r="R492" i="2"/>
  <c r="P491" i="2"/>
  <c r="R491" i="2" s="1"/>
  <c r="P490" i="2"/>
  <c r="R490" i="2"/>
  <c r="P489" i="2"/>
  <c r="R489" i="2" s="1"/>
  <c r="P488" i="2"/>
  <c r="R488" i="2"/>
  <c r="P487" i="2"/>
  <c r="R487" i="2" s="1"/>
  <c r="P486" i="2"/>
  <c r="R486" i="2"/>
  <c r="P485" i="2"/>
  <c r="R485" i="2" s="1"/>
  <c r="P484" i="2"/>
  <c r="R484" i="2"/>
  <c r="P483" i="2"/>
  <c r="R483" i="2" s="1"/>
  <c r="P482" i="2"/>
  <c r="R482" i="2"/>
  <c r="P481" i="2"/>
  <c r="R481" i="2" s="1"/>
  <c r="P480" i="2"/>
  <c r="R480" i="2"/>
  <c r="P479" i="2"/>
  <c r="R479" i="2" s="1"/>
  <c r="P478" i="2"/>
  <c r="R478" i="2"/>
  <c r="P477" i="2"/>
  <c r="R477" i="2" s="1"/>
  <c r="P476" i="2"/>
  <c r="R476" i="2"/>
  <c r="P475" i="2"/>
  <c r="R475" i="2" s="1"/>
  <c r="P474" i="2"/>
  <c r="R474" i="2"/>
  <c r="P473" i="2"/>
  <c r="R473" i="2" s="1"/>
  <c r="P472" i="2"/>
  <c r="R472" i="2"/>
  <c r="P471" i="2"/>
  <c r="R471" i="2" s="1"/>
  <c r="P470" i="2"/>
  <c r="R470" i="2"/>
  <c r="P469" i="2"/>
  <c r="R469" i="2" s="1"/>
  <c r="P468" i="2"/>
  <c r="R468" i="2"/>
  <c r="P467" i="2"/>
  <c r="R467" i="2" s="1"/>
  <c r="P466" i="2"/>
  <c r="R466" i="2"/>
  <c r="P465" i="2"/>
  <c r="R465" i="2" s="1"/>
  <c r="P464" i="2"/>
  <c r="R464" i="2"/>
  <c r="P463" i="2"/>
  <c r="R463" i="2" s="1"/>
  <c r="P462" i="2"/>
  <c r="R462" i="2"/>
  <c r="P461" i="2"/>
  <c r="R461" i="2" s="1"/>
  <c r="P460" i="2"/>
  <c r="R460" i="2"/>
  <c r="P459" i="2"/>
  <c r="R459" i="2" s="1"/>
  <c r="P458" i="2"/>
  <c r="R458" i="2"/>
  <c r="P457" i="2"/>
  <c r="R457" i="2" s="1"/>
  <c r="P456" i="2"/>
  <c r="R456" i="2"/>
  <c r="P455" i="2"/>
  <c r="R455" i="2" s="1"/>
  <c r="P454" i="2"/>
  <c r="R454" i="2"/>
  <c r="P453" i="2"/>
  <c r="R453" i="2" s="1"/>
  <c r="P452" i="2"/>
  <c r="R452" i="2"/>
  <c r="P451" i="2"/>
  <c r="R451" i="2" s="1"/>
  <c r="P450" i="2"/>
  <c r="R450" i="2"/>
  <c r="P449" i="2"/>
  <c r="R449" i="2" s="1"/>
  <c r="P448" i="2"/>
  <c r="R448" i="2"/>
  <c r="P447" i="2"/>
  <c r="R447" i="2" s="1"/>
  <c r="P446" i="2"/>
  <c r="R446" i="2"/>
  <c r="P445" i="2"/>
  <c r="R445" i="2" s="1"/>
  <c r="P444" i="2"/>
  <c r="R444" i="2"/>
  <c r="P443" i="2"/>
  <c r="R443" i="2" s="1"/>
  <c r="P442" i="2"/>
  <c r="R442" i="2"/>
  <c r="P441" i="2"/>
  <c r="R441" i="2" s="1"/>
  <c r="P440" i="2"/>
  <c r="R440" i="2"/>
  <c r="P439" i="2"/>
  <c r="R439" i="2" s="1"/>
  <c r="P438" i="2"/>
  <c r="R438" i="2"/>
  <c r="P437" i="2"/>
  <c r="R437" i="2" s="1"/>
  <c r="P436" i="2"/>
  <c r="R436" i="2"/>
  <c r="P435" i="2"/>
  <c r="R435" i="2" s="1"/>
  <c r="P434" i="2"/>
  <c r="R434" i="2"/>
  <c r="P433" i="2"/>
  <c r="R433" i="2" s="1"/>
  <c r="P432" i="2"/>
  <c r="R432" i="2"/>
  <c r="P431" i="2"/>
  <c r="R431" i="2" s="1"/>
  <c r="P430" i="2"/>
  <c r="R430" i="2"/>
  <c r="P429" i="2"/>
  <c r="R429" i="2" s="1"/>
  <c r="P428" i="2"/>
  <c r="R428" i="2"/>
  <c r="P427" i="2"/>
  <c r="R427" i="2" s="1"/>
  <c r="P426" i="2"/>
  <c r="R426" i="2"/>
  <c r="P425" i="2"/>
  <c r="R425" i="2" s="1"/>
  <c r="P424" i="2"/>
  <c r="R424" i="2"/>
  <c r="P423" i="2"/>
  <c r="R423" i="2" s="1"/>
  <c r="P422" i="2"/>
  <c r="R422" i="2"/>
  <c r="P421" i="2"/>
  <c r="R421" i="2" s="1"/>
  <c r="P420" i="2"/>
  <c r="R420" i="2"/>
  <c r="P419" i="2"/>
  <c r="R419" i="2" s="1"/>
  <c r="P418" i="2"/>
  <c r="R418" i="2"/>
  <c r="P417" i="2"/>
  <c r="R417" i="2" s="1"/>
  <c r="P416" i="2"/>
  <c r="R416" i="2"/>
  <c r="P415" i="2"/>
  <c r="R415" i="2" s="1"/>
  <c r="P414" i="2"/>
  <c r="R414" i="2"/>
  <c r="P413" i="2"/>
  <c r="R413" i="2" s="1"/>
  <c r="P412" i="2"/>
  <c r="R412" i="2"/>
  <c r="P411" i="2"/>
  <c r="R411" i="2" s="1"/>
  <c r="P410" i="2"/>
  <c r="R410" i="2"/>
  <c r="P409" i="2"/>
  <c r="R409" i="2" s="1"/>
  <c r="P408" i="2"/>
  <c r="R408" i="2"/>
  <c r="P407" i="2"/>
  <c r="R407" i="2" s="1"/>
  <c r="P406" i="2"/>
  <c r="R406" i="2"/>
  <c r="P405" i="2"/>
  <c r="R405" i="2" s="1"/>
  <c r="P404" i="2"/>
  <c r="R404" i="2"/>
  <c r="P403" i="2"/>
  <c r="R403" i="2" s="1"/>
  <c r="P402" i="2"/>
  <c r="R402" i="2"/>
  <c r="P401" i="2"/>
  <c r="R401" i="2" s="1"/>
  <c r="P400" i="2"/>
  <c r="R400" i="2"/>
  <c r="P399" i="2"/>
  <c r="R399" i="2" s="1"/>
  <c r="P398" i="2"/>
  <c r="R398" i="2"/>
  <c r="P397" i="2"/>
  <c r="R397" i="2" s="1"/>
  <c r="P396" i="2"/>
  <c r="R396" i="2"/>
  <c r="P395" i="2"/>
  <c r="R395" i="2" s="1"/>
  <c r="P394" i="2"/>
  <c r="R394" i="2"/>
  <c r="P393" i="2"/>
  <c r="R393" i="2" s="1"/>
  <c r="P392" i="2"/>
  <c r="R392" i="2"/>
  <c r="P391" i="2"/>
  <c r="R391" i="2" s="1"/>
  <c r="P390" i="2"/>
  <c r="R390" i="2"/>
  <c r="P389" i="2"/>
  <c r="R389" i="2" s="1"/>
  <c r="P388" i="2"/>
  <c r="R388" i="2"/>
  <c r="P387" i="2"/>
  <c r="R387" i="2" s="1"/>
  <c r="P386" i="2"/>
  <c r="R386" i="2"/>
  <c r="P385" i="2"/>
  <c r="R385" i="2" s="1"/>
  <c r="P384" i="2"/>
  <c r="R384" i="2"/>
  <c r="P383" i="2"/>
  <c r="R383" i="2" s="1"/>
  <c r="P382" i="2"/>
  <c r="R382" i="2"/>
  <c r="P381" i="2"/>
  <c r="R381" i="2" s="1"/>
  <c r="P380" i="2"/>
  <c r="R380" i="2"/>
  <c r="P379" i="2"/>
  <c r="R379" i="2" s="1"/>
  <c r="P378" i="2"/>
  <c r="R378" i="2"/>
  <c r="P377" i="2"/>
  <c r="R377" i="2" s="1"/>
  <c r="P376" i="2"/>
  <c r="R376" i="2"/>
  <c r="P375" i="2"/>
  <c r="R375" i="2" s="1"/>
  <c r="P374" i="2"/>
  <c r="R374" i="2"/>
  <c r="P373" i="2"/>
  <c r="R373" i="2" s="1"/>
  <c r="P372" i="2"/>
  <c r="R372" i="2"/>
  <c r="P371" i="2"/>
  <c r="R371" i="2" s="1"/>
  <c r="P370" i="2"/>
  <c r="R370" i="2"/>
  <c r="P369" i="2"/>
  <c r="R369" i="2" s="1"/>
  <c r="P368" i="2"/>
  <c r="R368" i="2"/>
  <c r="P367" i="2"/>
  <c r="R367" i="2" s="1"/>
  <c r="P366" i="2"/>
  <c r="R366" i="2"/>
  <c r="P365" i="2"/>
  <c r="R365" i="2" s="1"/>
  <c r="P364" i="2"/>
  <c r="R364" i="2"/>
  <c r="P363" i="2"/>
  <c r="R363" i="2" s="1"/>
  <c r="P362" i="2"/>
  <c r="R362" i="2"/>
  <c r="P361" i="2"/>
  <c r="R361" i="2" s="1"/>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P90" i="2"/>
  <c r="R90" i="2" s="1"/>
  <c r="P89" i="2"/>
  <c r="P88" i="2"/>
  <c r="P87" i="2"/>
  <c r="R87" i="2" s="1"/>
  <c r="P86" i="2"/>
  <c r="R86" i="2" s="1"/>
  <c r="P85" i="2"/>
  <c r="R85" i="2" s="1"/>
  <c r="P84" i="2"/>
  <c r="R84" i="2" s="1"/>
  <c r="P83" i="2"/>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P59" i="2"/>
  <c r="R59" i="2" s="1"/>
  <c r="P58" i="2"/>
  <c r="P57" i="2"/>
  <c r="P56" i="2"/>
  <c r="P55" i="2"/>
  <c r="P54" i="2"/>
  <c r="R54" i="2" s="1"/>
  <c r="P53" i="2"/>
  <c r="R53" i="2" s="1"/>
  <c r="P52" i="2"/>
  <c r="P51" i="2"/>
  <c r="R51" i="2" s="1"/>
  <c r="P50" i="2"/>
  <c r="R50" i="2" s="1"/>
  <c r="P49" i="2"/>
  <c r="R49" i="2" s="1"/>
  <c r="P48" i="2"/>
  <c r="R48" i="2" s="1"/>
  <c r="P47" i="2"/>
  <c r="R47" i="2" s="1"/>
  <c r="P46" i="2"/>
  <c r="R46" i="2" s="1"/>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P26" i="2"/>
  <c r="R26" i="2" s="1"/>
  <c r="P25" i="2"/>
  <c r="R25" i="2" s="1"/>
  <c r="P24" i="2"/>
  <c r="R24" i="2" s="1"/>
  <c r="P23" i="2"/>
  <c r="R23" i="2" s="1"/>
  <c r="P22" i="2"/>
  <c r="R22" i="2" s="1"/>
  <c r="P21" i="2"/>
  <c r="R21" i="2"/>
  <c r="P20" i="2"/>
  <c r="R20" i="2" s="1"/>
  <c r="P19" i="2"/>
  <c r="P18" i="2"/>
  <c r="R18" i="2" s="1"/>
  <c r="R17" i="2"/>
  <c r="R16" i="2"/>
  <c r="P15" i="2"/>
  <c r="D24" i="11"/>
  <c r="C5" i="2"/>
  <c r="C5" i="13" s="1"/>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8" i="13"/>
  <c r="C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AH12" i="1" l="1"/>
  <c r="D32" i="11"/>
  <c r="C38" i="11"/>
  <c r="C40" i="11"/>
  <c r="B37" i="11"/>
  <c r="C14" i="13"/>
  <c r="B39" i="11"/>
  <c r="D39" i="11" s="1"/>
  <c r="B40" i="11"/>
  <c r="D40" i="11" s="1"/>
  <c r="C39" i="11"/>
  <c r="C41" i="11" s="1"/>
  <c r="C12" i="13"/>
  <c r="B38" i="11"/>
  <c r="D38" i="11" s="1"/>
  <c r="I16" i="7"/>
  <c r="C17" i="11"/>
  <c r="E16" i="7"/>
  <c r="Y12" i="1"/>
  <c r="P12" i="2"/>
  <c r="D23" i="11" s="1"/>
  <c r="D11" i="13"/>
  <c r="D14" i="13" s="1"/>
  <c r="D37" i="11"/>
  <c r="D31" i="11"/>
  <c r="D30" i="11"/>
  <c r="R13" i="2"/>
  <c r="R12" i="2" s="1"/>
  <c r="D25" i="11" s="1"/>
  <c r="C19" i="13"/>
  <c r="E11" i="13"/>
  <c r="D17" i="13"/>
  <c r="D13" i="13"/>
  <c r="D18" i="13"/>
  <c r="D16" i="13" l="1"/>
  <c r="D12" i="13"/>
  <c r="D20" i="13" s="1"/>
  <c r="B41" i="11"/>
  <c r="D41" i="11" s="1"/>
  <c r="D15" i="13"/>
  <c r="E14" i="13"/>
  <c r="E12" i="13"/>
  <c r="E18" i="13"/>
  <c r="E17" i="13"/>
  <c r="F11" i="13"/>
  <c r="E15" i="13"/>
  <c r="E13" i="13"/>
  <c r="E16" i="13"/>
  <c r="F18" i="13" l="1"/>
  <c r="F14" i="13"/>
  <c r="F16" i="13"/>
  <c r="G11" i="13"/>
  <c r="F15" i="13"/>
  <c r="F13" i="13"/>
  <c r="F12" i="13"/>
  <c r="F17" i="13"/>
  <c r="E20" i="13"/>
  <c r="G18" i="13" l="1"/>
  <c r="G15" i="13"/>
  <c r="G17" i="13"/>
  <c r="G12" i="13"/>
  <c r="H11" i="13"/>
  <c r="G14" i="13"/>
  <c r="G16" i="13"/>
  <c r="G13" i="13"/>
  <c r="F20" i="13"/>
  <c r="G20" i="13" l="1"/>
  <c r="H18" i="13"/>
  <c r="I11" i="13"/>
  <c r="H13" i="13"/>
  <c r="H15" i="13"/>
  <c r="H17" i="13"/>
  <c r="H12" i="13"/>
  <c r="H14" i="13"/>
  <c r="H16" i="13"/>
  <c r="I18" i="13" l="1"/>
  <c r="J11" i="13"/>
  <c r="I13" i="13"/>
  <c r="I15" i="13"/>
  <c r="I17" i="13"/>
  <c r="I14" i="13"/>
  <c r="I12" i="13"/>
  <c r="I16" i="13"/>
  <c r="H20" i="13"/>
  <c r="I20" i="13" l="1"/>
  <c r="J18" i="13"/>
  <c r="J14" i="13"/>
  <c r="J16" i="13"/>
  <c r="J13" i="13"/>
  <c r="J17" i="13"/>
  <c r="J12" i="13"/>
  <c r="K11" i="13"/>
  <c r="J15" i="13"/>
  <c r="J20" i="13" l="1"/>
  <c r="K18" i="13"/>
  <c r="K15" i="13"/>
  <c r="K17" i="13"/>
  <c r="K12" i="13"/>
  <c r="L11" i="13"/>
  <c r="K14" i="13"/>
  <c r="K16" i="13"/>
  <c r="K13" i="13"/>
  <c r="K20" i="13" l="1"/>
  <c r="L18" i="13"/>
  <c r="M18" i="13" s="1"/>
  <c r="N18" i="13" s="1"/>
  <c r="L13" i="13"/>
  <c r="L15" i="13"/>
  <c r="L17" i="13"/>
  <c r="L12" i="13"/>
  <c r="L16" i="13"/>
  <c r="M16" i="13" s="1"/>
  <c r="N16" i="13" s="1"/>
  <c r="L14" i="13"/>
  <c r="M14" i="13" s="1"/>
  <c r="N14" i="13" s="1"/>
  <c r="M12" i="13" l="1"/>
  <c r="N12" i="13" s="1"/>
  <c r="N20" i="13" s="1"/>
  <c r="L20" i="13"/>
  <c r="M20" i="13" l="1"/>
</calcChain>
</file>

<file path=xl/sharedStrings.xml><?xml version="1.0" encoding="utf-8"?>
<sst xmlns="http://schemas.openxmlformats.org/spreadsheetml/2006/main" count="9413" uniqueCount="2551">
  <si>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</si>
  <si>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</si>
  <si>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</si>
  <si>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</si>
  <si>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</si>
  <si>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</si>
  <si>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</si>
  <si>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</si>
  <si>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</si>
  <si>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</si>
  <si>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</si>
  <si>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</si>
  <si>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</si>
  <si>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</si>
  <si>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</si>
  <si>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</si>
  <si>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</si>
  <si>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</si>
  <si>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</si>
  <si>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</si>
  <si>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</si>
  <si>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</si>
  <si>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</si>
  <si>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</si>
  <si>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</si>
  <si>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</si>
  <si>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</si>
  <si>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</si>
  <si>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</si>
  <si>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</si>
  <si>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</si>
  <si>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</si>
  <si>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</si>
  <si>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</si>
  <si>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</si>
  <si>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</si>
  <si>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</si>
  <si>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</si>
  <si>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</si>
  <si>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</si>
  <si>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</si>
  <si>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</si>
  <si>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</si>
  <si>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</si>
  <si>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</si>
  <si>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</si>
  <si>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</si>
  <si>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</si>
  <si>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</si>
  <si>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</si>
  <si>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</si>
  <si>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</si>
  <si>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</si>
  <si>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</si>
  <si>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</si>
  <si>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</si>
  <si>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</si>
  <si>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</si>
  <si>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</si>
  <si>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</si>
  <si>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</si>
  <si>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</si>
  <si>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</si>
  <si>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</si>
  <si>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</si>
  <si>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</si>
  <si>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</si>
  <si>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</si>
  <si>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</si>
  <si>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</si>
  <si>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</si>
  <si>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</si>
  <si>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</si>
  <si>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</si>
  <si>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</si>
  <si>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</si>
  <si>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</si>
  <si>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</si>
  <si>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</si>
  <si>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</si>
  <si>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</si>
  <si>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</si>
  <si>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</si>
  <si>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</si>
  <si>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</si>
  <si>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</si>
  <si>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</si>
  <si>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</si>
  <si>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</si>
  <si>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</si>
  <si>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</si>
  <si>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</si>
  <si>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</si>
  <si>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</si>
  <si>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</si>
  <si>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</si>
  <si>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</si>
  <si>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</si>
  <si>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</si>
  <si>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</si>
  <si>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</si>
  <si>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</si>
  <si>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</si>
  <si>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</si>
  <si>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</si>
  <si>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</si>
  <si>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</si>
  <si>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</si>
  <si>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</si>
  <si>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</si>
  <si>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</si>
  <si>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</si>
  <si>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</si>
  <si>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</si>
  <si>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</si>
  <si>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</si>
  <si>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</si>
  <si>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</si>
  <si>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</si>
  <si>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</si>
  <si>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</si>
  <si>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</si>
  <si>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</si>
  <si>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</si>
  <si>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</si>
  <si>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</si>
  <si>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</si>
  <si>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</si>
  <si>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</si>
  <si>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</si>
  <si>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</si>
  <si>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</si>
  <si>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</si>
  <si>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</si>
  <si>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</si>
  <si>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</si>
  <si>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</si>
  <si>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</si>
  <si>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</si>
  <si>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</si>
  <si>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</si>
  <si>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</si>
  <si>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</si>
  <si>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</si>
  <si>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</si>
  <si>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</si>
  <si>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</si>
  <si>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</si>
  <si>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</si>
  <si>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</si>
  <si>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</si>
  <si>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</si>
  <si>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</si>
  <si>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</si>
  <si>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</si>
  <si>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</si>
  <si>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</si>
  <si>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</si>
  <si>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</si>
  <si>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</si>
  <si>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</si>
  <si>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</si>
  <si>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</si>
  <si>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</si>
  <si>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</si>
  <si>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</si>
  <si>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</si>
  <si>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</si>
  <si>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</si>
  <si>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</si>
  <si>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</si>
  <si>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</si>
  <si>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</si>
  <si>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</si>
  <si>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</si>
  <si>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</si>
  <si>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</si>
  <si>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</si>
  <si>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</si>
  <si>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</si>
  <si>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</si>
  <si>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</si>
  <si>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</si>
  <si>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</si>
  <si>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</si>
  <si>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</si>
  <si>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</si>
  <si>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</si>
  <si>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</si>
  <si>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</si>
  <si>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</si>
  <si>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</si>
  <si>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</si>
  <si>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</si>
  <si>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</si>
  <si>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</si>
  <si>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</si>
  <si>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</si>
  <si>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</si>
  <si>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</si>
  <si>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</si>
  <si>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</si>
  <si>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</si>
  <si>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</si>
  <si>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</si>
  <si>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</si>
  <si>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</si>
  <si>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</si>
  <si>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</si>
  <si>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</si>
  <si>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</si>
  <si>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</si>
  <si>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</si>
  <si>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</si>
  <si>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</si>
  <si>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</si>
  <si>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</si>
  <si>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</si>
  <si>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</si>
  <si>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</si>
  <si>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</si>
  <si>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</si>
  <si>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</si>
  <si>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</si>
  <si>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</si>
  <si>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</si>
  <si>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</si>
  <si>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</si>
  <si>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</si>
  <si>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</si>
  <si>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</si>
  <si>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</si>
  <si>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</si>
  <si>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</si>
  <si>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</si>
  <si>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</si>
  <si>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</si>
  <si>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</si>
  <si>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</si>
  <si>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</si>
  <si>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</si>
  <si>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</si>
  <si>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</si>
  <si>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</si>
  <si>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</si>
  <si>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</si>
  <si>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</si>
  <si>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</si>
  <si>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</si>
  <si>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</si>
  <si>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</si>
  <si>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</si>
  <si>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</si>
  <si>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</si>
  <si>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</si>
  <si>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</si>
  <si>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</si>
  <si>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</si>
  <si>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</si>
  <si>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</si>
  <si>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</si>
  <si>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</si>
  <si>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</si>
  <si>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</si>
  <si>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</si>
  <si>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</si>
  <si>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</si>
  <si>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</si>
  <si>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</si>
  <si>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</si>
  <si>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</si>
  <si>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</si>
  <si>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</si>
  <si>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</si>
  <si>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</si>
  <si>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</si>
  <si>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</si>
  <si>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</si>
  <si>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</si>
  <si>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</si>
  <si>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</si>
  <si>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</si>
  <si>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</si>
  <si>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</si>
  <si>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</si>
  <si>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</si>
  <si>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</si>
  <si>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</si>
  <si>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</si>
  <si>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</si>
  <si>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</si>
  <si>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</si>
  <si>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</si>
  <si>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</si>
  <si>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</si>
  <si>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</si>
  <si>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</si>
  <si>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</si>
  <si>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</si>
  <si>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</si>
  <si>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</si>
  <si>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</si>
  <si>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</si>
  <si>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</si>
  <si>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</si>
  <si>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</si>
  <si>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</si>
  <si>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</si>
  <si>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</si>
  <si>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</si>
  <si>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</si>
  <si>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</si>
  <si>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</si>
  <si>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</si>
  <si>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</si>
  <si>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</si>
  <si>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</si>
  <si>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</si>
  <si>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</si>
  <si>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</si>
  <si>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</si>
  <si>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</si>
  <si>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</si>
  <si>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</si>
  <si>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</si>
  <si>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</si>
  <si>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</si>
  <si>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</si>
  <si>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</si>
  <si>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</si>
  <si>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</si>
  <si>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</si>
  <si>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</si>
  <si>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</si>
  <si>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</si>
  <si>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</si>
  <si>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</si>
  <si>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</si>
  <si>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</si>
  <si>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</si>
  <si>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</si>
  <si>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</si>
  <si>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</si>
  <si>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</si>
  <si>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</si>
  <si>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</si>
  <si>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</si>
  <si>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</si>
  <si>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</si>
  <si>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</si>
  <si>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</si>
  <si>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</si>
  <si>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</si>
  <si>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</si>
  <si>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</si>
  <si>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</si>
  <si>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</si>
  <si>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</si>
  <si>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</si>
  <si>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</si>
  <si>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</si>
  <si>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</si>
  <si>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</si>
  <si>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</si>
  <si>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</si>
  <si>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</si>
  <si>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</si>
  <si>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</si>
  <si>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</si>
  <si>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</si>
  <si>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</si>
  <si>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</si>
  <si>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</si>
  <si>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</si>
  <si>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</si>
  <si>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</si>
  <si>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</si>
  <si>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</si>
  <si>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</si>
  <si>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</si>
  <si>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</si>
  <si>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</si>
  <si>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</si>
  <si>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</si>
  <si>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</si>
  <si>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</si>
  <si>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</si>
  <si>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</si>
  <si>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</si>
  <si>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</si>
  <si>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</si>
  <si>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</si>
  <si>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</si>
  <si>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</si>
  <si>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</si>
  <si>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</si>
  <si>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</si>
  <si>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</si>
  <si>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</si>
  <si>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</si>
  <si>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</si>
  <si>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</si>
  <si>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</si>
  <si>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</si>
  <si>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</si>
  <si>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</si>
  <si>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</si>
  <si>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</si>
  <si>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</si>
  <si>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</si>
  <si>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</si>
  <si>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</si>
  <si>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</si>
  <si>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</si>
  <si>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</si>
  <si>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</si>
  <si>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</si>
  <si>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</si>
  <si>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</si>
  <si>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</si>
  <si>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</si>
  <si>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</si>
  <si>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</si>
  <si>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</si>
  <si>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</si>
  <si>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</si>
  <si>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</si>
  <si>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</si>
  <si>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</si>
  <si>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</si>
  <si>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</si>
  <si>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</si>
  <si>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</si>
  <si>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</si>
  <si>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</si>
  <si>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</si>
  <si>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</si>
  <si>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</si>
  <si>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</si>
  <si>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</si>
  <si>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</si>
  <si>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</si>
  <si>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</si>
  <si>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</si>
  <si>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</si>
  <si>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</si>
  <si>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</si>
  <si>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</si>
  <si>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</si>
  <si>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</si>
  <si>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</si>
  <si>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</si>
  <si>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</si>
  <si>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</si>
  <si>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</si>
  <si>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</si>
  <si>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</si>
  <si>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</si>
  <si>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</si>
  <si>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</si>
  <si>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</si>
  <si>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</si>
  <si>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</si>
  <si>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</si>
  <si>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</si>
  <si>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</si>
  <si>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</si>
  <si>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</si>
  <si>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</si>
  <si>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</si>
  <si>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</si>
  <si>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</si>
  <si>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</si>
  <si>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</si>
  <si>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</si>
  <si>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</si>
  <si>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</si>
  <si>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</si>
  <si>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</si>
  <si>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</si>
  <si>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</si>
  <si>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</si>
  <si>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</si>
  <si>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</si>
  <si>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</si>
  <si>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</si>
  <si>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</si>
  <si>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</si>
  <si>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</si>
  <si>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</si>
  <si>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</si>
  <si>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</si>
  <si>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</si>
  <si>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</si>
  <si>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</si>
  <si>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</si>
  <si>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</si>
  <si>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</si>
  <si>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</si>
  <si>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</si>
  <si>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</si>
  <si>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</si>
  <si>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</si>
  <si>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</si>
  <si>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</si>
  <si>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</si>
  <si>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</si>
  <si>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</si>
  <si>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</si>
  <si>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</si>
  <si>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</si>
  <si>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</si>
  <si>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</si>
  <si>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</si>
  <si>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</si>
  <si>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</si>
  <si>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</si>
  <si>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</si>
  <si>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</si>
  <si>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</si>
  <si>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</si>
  <si>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</si>
  <si>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</si>
  <si>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</si>
  <si>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</si>
  <si>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</si>
  <si>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</si>
  <si>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</si>
  <si>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</si>
  <si>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</si>
  <si>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</si>
  <si>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</si>
  <si>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</si>
  <si>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</si>
  <si>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</si>
  <si>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</si>
  <si>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</si>
  <si>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</si>
  <si>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</si>
  <si>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</si>
  <si>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</si>
  <si>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</si>
  <si>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</si>
  <si>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</si>
  <si>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</si>
  <si>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</si>
  <si>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</si>
  <si>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</si>
  <si>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</si>
  <si>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</si>
  <si>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</si>
  <si>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</si>
  <si>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</si>
  <si>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</si>
  <si>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</si>
  <si>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</si>
  <si>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</si>
  <si>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</si>
  <si>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</si>
  <si>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</si>
  <si>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</si>
  <si>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</si>
  <si>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</si>
  <si>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</si>
  <si>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</si>
  <si>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</si>
  <si>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</si>
  <si>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</si>
  <si>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</si>
  <si>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</si>
  <si>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</si>
  <si>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</si>
  <si>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</si>
  <si>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</si>
  <si>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</si>
  <si>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</si>
  <si>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</si>
  <si>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</si>
  <si>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</si>
  <si>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</si>
  <si>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</si>
  <si>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</si>
  <si>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</si>
  <si>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</si>
  <si>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</si>
  <si>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</si>
  <si>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</si>
  <si>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</si>
  <si>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</si>
  <si>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</si>
  <si>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</si>
  <si>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</si>
  <si>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</si>
  <si>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</si>
  <si>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</si>
  <si>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</si>
  <si>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</si>
  <si>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</si>
  <si>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</si>
  <si>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</si>
  <si>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</si>
  <si>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</si>
  <si>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</si>
  <si>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</si>
  <si>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</si>
  <si>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</si>
  <si>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</si>
  <si>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</si>
  <si>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</si>
  <si>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</si>
  <si>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</si>
  <si>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</si>
  <si>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</si>
  <si>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</si>
  <si>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</si>
  <si>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</si>
  <si>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</si>
  <si>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</si>
  <si>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</si>
  <si>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</si>
  <si>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</si>
  <si>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</si>
  <si>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</si>
  <si>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</si>
  <si>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</si>
  <si>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</si>
  <si>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</si>
  <si>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</si>
  <si>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</si>
  <si>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</si>
  <si>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</si>
  <si>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</si>
  <si>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</si>
  <si>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</si>
  <si>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</si>
  <si>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</si>
  <si>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</si>
  <si>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</si>
  <si>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</si>
  <si>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</si>
  <si>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</si>
  <si>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</si>
  <si>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</si>
  <si>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</si>
  <si>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</si>
  <si>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</si>
  <si>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</si>
  <si>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</si>
  <si>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</si>
  <si>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</si>
  <si>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</si>
  <si>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</si>
  <si>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</si>
  <si>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</si>
  <si>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</si>
  <si>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</si>
  <si>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</si>
  <si>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</si>
  <si>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</si>
  <si>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</si>
  <si>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</si>
  <si>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</si>
  <si>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</si>
  <si>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</si>
  <si>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</si>
  <si>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</si>
  <si>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</si>
  <si>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</si>
  <si>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</si>
  <si>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</si>
  <si>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</si>
  <si>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</si>
  <si>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</si>
  <si>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</si>
  <si>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</si>
  <si>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</si>
  <si>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</si>
  <si>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</si>
  <si>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</si>
  <si>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</si>
  <si>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</si>
  <si>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</si>
  <si>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</si>
  <si>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</si>
  <si>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</si>
  <si>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</si>
  <si>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</si>
  <si>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</si>
  <si>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</si>
  <si>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</si>
  <si>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</si>
  <si>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</si>
  <si>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</si>
  <si>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</si>
  <si>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</si>
  <si>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</si>
  <si>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</si>
  <si>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</si>
  <si>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</si>
  <si>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</si>
  <si>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</si>
  <si>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</si>
  <si>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</si>
  <si>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</si>
  <si>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</si>
  <si>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</si>
  <si>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</si>
  <si>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</si>
  <si>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</si>
  <si>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</si>
  <si>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</si>
  <si>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</si>
  <si>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</si>
  <si>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</si>
  <si>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</si>
  <si>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</si>
  <si>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</si>
  <si>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</si>
  <si>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</si>
  <si>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</si>
  <si>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</si>
  <si>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</si>
  <si>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</si>
  <si>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</si>
  <si>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</si>
  <si>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</si>
  <si>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</si>
  <si>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</si>
  <si>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</si>
  <si>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</si>
  <si>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</si>
  <si>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</si>
  <si>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</si>
  <si>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</si>
  <si>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</si>
  <si>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</si>
  <si>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</si>
  <si>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</si>
  <si>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</si>
  <si>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</si>
  <si>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</si>
  <si>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</si>
  <si>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</si>
  <si>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</si>
  <si>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</si>
  <si>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</si>
  <si>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</si>
  <si>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</si>
  <si>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</si>
  <si>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</si>
  <si>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</si>
  <si>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</si>
  <si>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</si>
  <si>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</si>
  <si>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</si>
  <si>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</si>
  <si>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</si>
  <si>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</si>
  <si>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</si>
  <si>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</si>
  <si>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</si>
  <si>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</si>
  <si>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</si>
  <si>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</si>
  <si>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</si>
  <si>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</si>
  <si>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</si>
  <si>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</si>
  <si>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</si>
  <si>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</si>
  <si>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</si>
  <si>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</si>
  <si>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</si>
  <si>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</si>
  <si>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</si>
  <si>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</si>
  <si>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</si>
  <si>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</si>
  <si>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</si>
  <si>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</si>
  <si>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</si>
  <si>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</si>
  <si>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</si>
  <si>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</si>
  <si>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</si>
  <si>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</si>
  <si>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</si>
  <si>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</si>
  <si>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</si>
  <si>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</si>
  <si>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</si>
  <si>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</si>
  <si>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</si>
  <si>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</si>
  <si>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</si>
  <si>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</si>
  <si>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</si>
  <si>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</si>
  <si>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</si>
  <si>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</si>
  <si>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</si>
  <si>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</si>
  <si>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</si>
  <si>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</si>
  <si>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</si>
  <si>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</si>
  <si>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</si>
  <si>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</si>
  <si>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</si>
  <si>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</si>
  <si>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</si>
  <si>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</si>
  <si>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</si>
  <si>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</si>
  <si>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</si>
  <si>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</si>
  <si>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</si>
  <si>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</si>
  <si>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</si>
  <si>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</si>
  <si>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</si>
  <si>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</si>
  <si>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</si>
  <si>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</si>
  <si>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</si>
  <si>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</si>
  <si>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</si>
  <si>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</si>
  <si>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</si>
  <si>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</si>
  <si>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</si>
  <si>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</si>
  <si>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</si>
  <si>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</si>
  <si>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</si>
  <si>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</si>
  <si>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</si>
  <si>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</si>
  <si>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</si>
  <si>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</si>
  <si>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</si>
  <si>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</si>
  <si>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</si>
  <si>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</si>
  <si>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</si>
  <si>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</si>
  <si>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</si>
  <si>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</si>
  <si>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</si>
  <si>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</si>
  <si>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</si>
  <si>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</si>
  <si>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</si>
  <si>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</si>
  <si>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</si>
  <si>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</si>
  <si>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</si>
  <si>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</si>
  <si>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</si>
  <si>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</si>
  <si>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</si>
  <si>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</si>
  <si>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</si>
  <si>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</si>
  <si>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</si>
  <si>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</si>
  <si>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</si>
  <si>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</si>
  <si>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</si>
  <si>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</si>
  <si>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</si>
  <si>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</si>
  <si>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</si>
  <si>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</si>
  <si>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</si>
  <si>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</si>
  <si>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</si>
  <si>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</si>
  <si>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</si>
  <si>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</si>
  <si>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</si>
  <si>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</si>
  <si>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</si>
  <si>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</si>
  <si>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</si>
  <si>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</si>
  <si>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</si>
  <si>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</si>
  <si>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</si>
  <si>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</si>
  <si>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</si>
  <si>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</si>
  <si>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</si>
  <si>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</si>
  <si>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</si>
  <si>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</si>
  <si>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</si>
  <si>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</si>
  <si>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</si>
  <si>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</si>
  <si>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</si>
  <si>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</si>
  <si>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</si>
  <si>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</si>
  <si>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</si>
  <si>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</si>
  <si>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</si>
  <si>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</si>
  <si>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</si>
  <si>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</si>
  <si>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</si>
  <si>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</si>
  <si>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</si>
  <si>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</si>
  <si>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</si>
  <si>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</si>
  <si>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</si>
  <si>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</si>
  <si>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</si>
  <si>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</si>
  <si>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</si>
  <si>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</si>
  <si>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</si>
  <si>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</si>
  <si>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</si>
  <si>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</si>
  <si>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</si>
  <si>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</si>
  <si>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</si>
  <si>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</si>
  <si>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</si>
  <si>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</si>
  <si>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</si>
  <si>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</si>
  <si>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</si>
  <si>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</si>
  <si>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</si>
  <si>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</si>
  <si>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</si>
  <si>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</si>
  <si>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</si>
  <si>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</si>
  <si>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</si>
  <si>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</si>
  <si>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</si>
  <si>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</si>
  <si>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</si>
  <si>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</si>
  <si>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</si>
  <si>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</si>
  <si>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</si>
  <si>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</si>
  <si>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</si>
  <si>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</si>
  <si>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</si>
  <si>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</si>
  <si>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</si>
  <si>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</si>
  <si>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</si>
  <si>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</si>
  <si>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</si>
  <si>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</si>
  <si>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</si>
  <si>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</si>
  <si>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</si>
  <si>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</si>
  <si>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</si>
  <si>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</si>
  <si>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</si>
  <si>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</si>
  <si>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</si>
  <si>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</si>
  <si>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</si>
  <si>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</si>
  <si>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</si>
  <si>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</si>
  <si>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</si>
  <si>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</si>
  <si>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</si>
  <si>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</si>
  <si>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</si>
  <si>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</si>
  <si>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</si>
  <si>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</si>
  <si>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</si>
  <si>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</si>
  <si>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</si>
  <si>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</si>
  <si>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</si>
  <si>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</si>
  <si>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</si>
  <si>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</si>
  <si>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</si>
  <si>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</si>
  <si>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</si>
  <si>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</si>
  <si>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</si>
  <si>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</si>
  <si>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</si>
  <si>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</si>
  <si>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</si>
  <si>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</si>
  <si>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</si>
  <si>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</si>
  <si>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</si>
  <si>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</si>
  <si>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</si>
  <si>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</si>
  <si>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</si>
  <si>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</si>
  <si>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</si>
  <si>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</si>
  <si>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</si>
  <si>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</si>
  <si>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</si>
  <si>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</si>
  <si>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</si>
  <si>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</si>
  <si>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</si>
  <si>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</si>
  <si>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</si>
  <si>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</si>
  <si>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</si>
  <si>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</si>
  <si>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</si>
  <si>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</si>
  <si>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</si>
  <si>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</si>
  <si>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</si>
  <si>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</si>
  <si>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</si>
  <si>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</si>
  <si>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</si>
  <si>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</si>
  <si>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</si>
  <si>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</si>
  <si>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</si>
  <si>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</si>
  <si>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</si>
  <si>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</si>
  <si>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</si>
  <si>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</si>
  <si>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</si>
  <si>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</si>
  <si>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</si>
  <si>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</si>
  <si>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</si>
  <si>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</si>
  <si>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</si>
  <si>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</si>
  <si>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</si>
  <si>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</si>
  <si>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</si>
  <si>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</si>
  <si>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</si>
  <si>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</si>
  <si>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</si>
  <si>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</si>
  <si>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</si>
  <si>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</si>
  <si>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</si>
  <si>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</si>
  <si>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</si>
  <si>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</si>
  <si>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</si>
  <si>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</si>
  <si>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</si>
  <si>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</si>
  <si>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</si>
  <si>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</si>
  <si>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</si>
  <si>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</si>
  <si>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</si>
  <si>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</si>
  <si>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</si>
  <si>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</si>
  <si>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</si>
  <si>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</si>
  <si>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</si>
  <si>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</si>
  <si>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</si>
  <si>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</si>
  <si>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</si>
  <si>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</si>
  <si>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</si>
  <si>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</si>
  <si>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</si>
  <si>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</si>
  <si>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</si>
  <si>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</si>
  <si>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</si>
  <si>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</si>
  <si>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</si>
  <si>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</si>
  <si>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</si>
  <si>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</si>
  <si>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</si>
  <si>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</si>
  <si>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</si>
  <si>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</si>
  <si>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</si>
  <si>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</si>
  <si>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</si>
  <si>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</si>
  <si>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</si>
  <si>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</si>
  <si>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</si>
  <si>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</si>
  <si>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</si>
  <si>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</si>
  <si>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</si>
  <si>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</si>
  <si>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</si>
  <si>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</si>
  <si>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</si>
  <si>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</si>
  <si>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</si>
  <si>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</si>
  <si>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</si>
  <si>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</si>
  <si>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</si>
  <si>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</si>
  <si>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</si>
  <si>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</si>
  <si>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</si>
  <si>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</si>
  <si>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</si>
  <si>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</si>
  <si>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</si>
  <si>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</si>
  <si>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</si>
  <si>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</si>
  <si>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</si>
  <si>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</si>
  <si>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</si>
  <si>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</si>
  <si>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</si>
  <si>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</si>
  <si>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</si>
  <si>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</si>
  <si>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</si>
  <si>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</si>
  <si>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</si>
  <si>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</si>
  <si>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</si>
  <si>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</si>
  <si>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</si>
  <si>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</si>
  <si>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</si>
  <si>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</si>
  <si>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</si>
  <si>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</si>
  <si>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</si>
  <si>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</si>
  <si>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</si>
  <si>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</si>
  <si>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</si>
  <si>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</si>
  <si>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</si>
  <si>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</si>
  <si>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</si>
  <si>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</si>
  <si>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</si>
  <si>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</si>
  <si>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</si>
  <si>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</si>
  <si>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</si>
  <si>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</si>
  <si>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</si>
  <si>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</si>
  <si>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</si>
  <si>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</si>
  <si>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</si>
  <si>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</si>
  <si>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</si>
  <si>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</si>
  <si>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</si>
  <si>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</si>
  <si>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</si>
  <si>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</si>
  <si>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</si>
  <si>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</si>
  <si>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</si>
  <si>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</si>
  <si>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</si>
  <si>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</si>
  <si>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</si>
  <si>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</si>
  <si>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</si>
  <si>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</si>
  <si>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</si>
  <si>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</si>
  <si>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</si>
  <si>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</si>
  <si>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</si>
  <si>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</si>
  <si>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</si>
  <si>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</si>
  <si>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</si>
  <si>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</si>
  <si>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</si>
  <si>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</si>
  <si>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</si>
  <si>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</si>
  <si>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</si>
  <si>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</si>
  <si>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</si>
  <si>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</si>
  <si>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</si>
  <si>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</si>
  <si>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</si>
  <si>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</si>
  <si>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</si>
  <si>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</si>
  <si>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</si>
  <si>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</si>
  <si>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</si>
  <si>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</si>
  <si>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</si>
  <si>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</si>
  <si>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</si>
  <si>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</si>
  <si>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</si>
  <si>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</si>
  <si>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</si>
  <si>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</si>
  <si>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</si>
  <si>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</si>
  <si>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</si>
  <si>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</si>
  <si>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</si>
  <si>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</si>
  <si>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</si>
  <si>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</si>
  <si>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</si>
  <si>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</si>
  <si>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</si>
  <si>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</si>
  <si>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</si>
  <si>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</si>
  <si>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</si>
  <si>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</si>
  <si>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</si>
  <si>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</si>
  <si>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</si>
  <si>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</si>
  <si>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</si>
  <si>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</si>
  <si>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</si>
  <si>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</si>
  <si>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</si>
  <si>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</si>
  <si>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</si>
  <si>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</si>
  <si>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</si>
  <si>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</si>
  <si>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</si>
  <si>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</si>
  <si>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</si>
  <si>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</si>
  <si>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</si>
  <si>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</si>
  <si>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</si>
  <si>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</si>
  <si>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</si>
  <si>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</si>
  <si>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</si>
  <si>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</si>
  <si>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</si>
  <si>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</si>
  <si>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</si>
  <si>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</si>
  <si>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</si>
  <si>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</si>
  <si>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</si>
  <si>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</si>
  <si>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</si>
  <si>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</si>
  <si>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</si>
  <si>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</si>
  <si>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</si>
  <si>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</si>
  <si>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</si>
  <si>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</si>
  <si>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</si>
  <si>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</si>
  <si>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</si>
  <si>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</si>
  <si>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</si>
  <si>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</si>
  <si>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</si>
  <si>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</si>
  <si>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</si>
  <si>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</si>
  <si>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</si>
  <si>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</si>
  <si>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</si>
  <si>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</si>
  <si>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</si>
  <si>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</si>
  <si>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</si>
  <si>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</si>
  <si>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</si>
  <si>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</si>
  <si>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</si>
  <si>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</si>
  <si>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</si>
  <si>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</si>
  <si>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</si>
  <si>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</si>
  <si>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</si>
  <si>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</si>
  <si>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</si>
  <si>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</si>
  <si>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</si>
  <si>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</si>
  <si>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</si>
  <si>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</si>
  <si>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</si>
  <si>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</si>
  <si>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</si>
  <si>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</si>
  <si>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</si>
  <si>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</si>
  <si>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</si>
  <si>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</si>
  <si>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</si>
  <si>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</si>
  <si>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</si>
  <si>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</si>
  <si>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</si>
  <si>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</si>
  <si>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</si>
  <si>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</si>
  <si>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</si>
  <si>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</si>
  <si>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</si>
  <si>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</si>
  <si>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</si>
  <si>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</si>
  <si>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</si>
  <si>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</si>
  <si>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</si>
  <si>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</si>
  <si>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</si>
  <si>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</si>
  <si>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</si>
  <si>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</si>
  <si>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</si>
  <si>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</si>
  <si>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</si>
  <si>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</si>
  <si>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</si>
  <si>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</si>
  <si>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</si>
  <si>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</si>
  <si>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</si>
  <si>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</si>
  <si>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</si>
  <si>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</si>
  <si>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</si>
  <si>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</si>
  <si>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</si>
  <si>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</si>
  <si>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</si>
  <si>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</si>
  <si>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</si>
  <si>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</si>
  <si>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</si>
  <si>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</si>
  <si>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</si>
  <si>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</si>
  <si>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</si>
  <si>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</si>
  <si>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</si>
  <si>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</si>
  <si>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</si>
  <si>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</si>
  <si>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</si>
  <si>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</si>
  <si>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</si>
  <si>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</si>
  <si>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 xml:space="preserve">Leigha </t>
  </si>
  <si>
    <t>Schmidt</t>
  </si>
  <si>
    <t>Senior Planner</t>
  </si>
  <si>
    <t>leigha.schmidt@hayward-ca.gov</t>
  </si>
  <si>
    <t>777 B Street</t>
  </si>
  <si>
    <t>455-0032-037-00</t>
  </si>
  <si>
    <t>1619 Ashbury Ln</t>
  </si>
  <si>
    <t>ACCESSORY DWELLING UNIT</t>
  </si>
  <si>
    <t>201800194</t>
  </si>
  <si>
    <t>ADU</t>
  </si>
  <si>
    <t>R</t>
  </si>
  <si>
    <t>427-0041-047-00</t>
  </si>
  <si>
    <t>1422 D St</t>
  </si>
  <si>
    <t>201800377</t>
  </si>
  <si>
    <t>432-0032-040-00</t>
  </si>
  <si>
    <t>22096 Victory Dr</t>
  </si>
  <si>
    <t>201800722</t>
  </si>
  <si>
    <t>464-0095-011-05</t>
  </si>
  <si>
    <t>29333 Ruus Rd</t>
  </si>
  <si>
    <t>201800817</t>
  </si>
  <si>
    <t>201800822</t>
  </si>
  <si>
    <t>445-0170-039-12</t>
  </si>
  <si>
    <t>1109 Palisade St</t>
  </si>
  <si>
    <t>SITE PLAN REVIEW</t>
  </si>
  <si>
    <t>SFD</t>
  </si>
  <si>
    <t>O</t>
  </si>
  <si>
    <t>415-0170-019-00</t>
  </si>
  <si>
    <t>21339 Oak St</t>
  </si>
  <si>
    <t>TENTATIVE PARCEL MAP-RES W/SUB</t>
  </si>
  <si>
    <t>SFA</t>
  </si>
  <si>
    <t>464-0035-007-00</t>
  </si>
  <si>
    <t>28291 Tampa Ave</t>
  </si>
  <si>
    <t>201801447</t>
  </si>
  <si>
    <t>454-0075-058-00</t>
  </si>
  <si>
    <t>27448 Lyford St</t>
  </si>
  <si>
    <t>201801597</t>
  </si>
  <si>
    <t>454-0015-033-00</t>
  </si>
  <si>
    <t>25871 Stanwood Ave</t>
  </si>
  <si>
    <t>201801698</t>
  </si>
  <si>
    <t>441-0080-006-02</t>
  </si>
  <si>
    <t>1643 West St</t>
  </si>
  <si>
    <t>078G-2934-012-00</t>
  </si>
  <si>
    <t>505 Mildred Pl</t>
  </si>
  <si>
    <t>201801896</t>
  </si>
  <si>
    <t>454-0065-043-00</t>
  </si>
  <si>
    <t>1388 Sheridan Ln</t>
  </si>
  <si>
    <t>201801898</t>
  </si>
  <si>
    <t>432-0032-027-00</t>
  </si>
  <si>
    <t>22308 Victory Dr</t>
  </si>
  <si>
    <t>201802152</t>
  </si>
  <si>
    <t>445-0170-039-13</t>
  </si>
  <si>
    <t>25036 Carlos Bee Blvd</t>
  </si>
  <si>
    <t>TENTATIVE TRACT MAP</t>
  </si>
  <si>
    <t>201802159</t>
  </si>
  <si>
    <t>444-0039-093-00</t>
  </si>
  <si>
    <t>24732 Joyce St</t>
  </si>
  <si>
    <t>201802294</t>
  </si>
  <si>
    <t>428-0001-090-00</t>
  </si>
  <si>
    <t>21692 Westfield Ave</t>
  </si>
  <si>
    <t>201802608</t>
  </si>
  <si>
    <t>445-0220-084-02</t>
  </si>
  <si>
    <t>25299 Spring Dr</t>
  </si>
  <si>
    <t>201802706</t>
  </si>
  <si>
    <t>455-0068-001-02</t>
  </si>
  <si>
    <t>27501 Loyola Ave</t>
  </si>
  <si>
    <t>201802866</t>
  </si>
  <si>
    <t>463-0003-034-00</t>
  </si>
  <si>
    <t>1858 Elder Ct</t>
  </si>
  <si>
    <t>201802867</t>
  </si>
  <si>
    <t>455-0020-068-00</t>
  </si>
  <si>
    <t>26734 Contessa St</t>
  </si>
  <si>
    <t>201802905</t>
  </si>
  <si>
    <t>453-0090-091-00</t>
  </si>
  <si>
    <t>27667 Baldwin St</t>
  </si>
  <si>
    <t>201803114</t>
  </si>
  <si>
    <t>432-0068-036-00</t>
  </si>
  <si>
    <t>998 Sueirro St</t>
  </si>
  <si>
    <t>201803408</t>
  </si>
  <si>
    <t>078C-0647-001-02</t>
  </si>
  <si>
    <t>900 Calhoun St</t>
  </si>
  <si>
    <t>201803526</t>
  </si>
  <si>
    <t>445-0210-074-03</t>
  </si>
  <si>
    <t>1019 Central Blvd</t>
  </si>
  <si>
    <t>201803578</t>
  </si>
  <si>
    <t>431-0076-053-00</t>
  </si>
  <si>
    <t>407 Holly Ln</t>
  </si>
  <si>
    <t>201803802</t>
  </si>
  <si>
    <t>456-0005-028-00</t>
  </si>
  <si>
    <t>2724 Sleepy Hollow Ave</t>
  </si>
  <si>
    <t>201804005</t>
  </si>
  <si>
    <t>431-0092-010-00</t>
  </si>
  <si>
    <t>22585 Sonoma St</t>
  </si>
  <si>
    <t>201804185</t>
  </si>
  <si>
    <t>456-0048-004-02</t>
  </si>
  <si>
    <t>Arf Ave</t>
  </si>
  <si>
    <t>432-0064-142-00</t>
  </si>
  <si>
    <t>931 Cottonwood Ave</t>
  </si>
  <si>
    <t>201804504</t>
  </si>
  <si>
    <t>432-0064-113-00</t>
  </si>
  <si>
    <t>995 Leonardo Way</t>
  </si>
  <si>
    <t>201804774</t>
  </si>
  <si>
    <t>456-0050-048-00</t>
  </si>
  <si>
    <t>28323 Cabrini Dr</t>
  </si>
  <si>
    <t>201804898</t>
  </si>
  <si>
    <t>455-0020-075-00</t>
  </si>
  <si>
    <t>26768 Contessa St</t>
  </si>
  <si>
    <t>201804927</t>
  </si>
  <si>
    <t>432-0048-100-00</t>
  </si>
  <si>
    <t>23126 Nevada Rd</t>
  </si>
  <si>
    <t>201804953</t>
  </si>
  <si>
    <t>445-0210-025-01</t>
  </si>
  <si>
    <t>25105 Delmar Ave</t>
  </si>
  <si>
    <t>201805172</t>
  </si>
  <si>
    <t>078G-2773-006-00</t>
  </si>
  <si>
    <t>393 Lafayette Ave</t>
  </si>
  <si>
    <t>201805269</t>
  </si>
  <si>
    <t>455-0072-030-00</t>
  </si>
  <si>
    <t>27764 Loyola Ave</t>
  </si>
  <si>
    <t>201805332</t>
  </si>
  <si>
    <t>445-0170-017-05</t>
  </si>
  <si>
    <t>1198 Overlook Ave</t>
  </si>
  <si>
    <t>201805353</t>
  </si>
  <si>
    <t>456-0063-039-00</t>
  </si>
  <si>
    <t>27434 Capri Ave</t>
  </si>
  <si>
    <t>201805654</t>
  </si>
  <si>
    <t>445-0230-009-00</t>
  </si>
  <si>
    <t>25835 Bel Aire Dr</t>
  </si>
  <si>
    <t>201805903</t>
  </si>
  <si>
    <t>078G-2748-006-00</t>
  </si>
  <si>
    <t>32143 Carroll Ave</t>
  </si>
  <si>
    <t>201806193</t>
  </si>
  <si>
    <t>464-0080-020-00</t>
  </si>
  <si>
    <t>1135 Thiel Rd</t>
  </si>
  <si>
    <t>201806208</t>
  </si>
  <si>
    <t>078C-0455-001-04</t>
  </si>
  <si>
    <t>29212 Mission Blvd</t>
  </si>
  <si>
    <t>ZONING MAP AMENDMENT</t>
  </si>
  <si>
    <t>201806355</t>
  </si>
  <si>
    <t>078C-0438-013-06</t>
  </si>
  <si>
    <t>29497 Mission Blvd</t>
  </si>
  <si>
    <t>5+</t>
  </si>
  <si>
    <t>456-0046-048-00</t>
  </si>
  <si>
    <t>2529 Cabrillo Dr</t>
  </si>
  <si>
    <t>201806655</t>
  </si>
  <si>
    <t>441-0077-003-04</t>
  </si>
  <si>
    <t>24763 Mohr Dr</t>
  </si>
  <si>
    <t>No</t>
  </si>
  <si>
    <t>New single family home with ADU</t>
  </si>
  <si>
    <t>445-0100-094-00</t>
  </si>
  <si>
    <t>1926 Highland Blvd</t>
  </si>
  <si>
    <t>N/A</t>
  </si>
  <si>
    <t>078C-0626-006-01</t>
  </si>
  <si>
    <t>28000 Mission</t>
  </si>
  <si>
    <t>Mission Paradise (Tract 8378)</t>
  </si>
  <si>
    <t>078C-0626-001-20</t>
  </si>
  <si>
    <t>28168-28244 Mission Blvd</t>
  </si>
  <si>
    <t xml:space="preserve">Campways </t>
  </si>
  <si>
    <t>444-0051-116-00</t>
  </si>
  <si>
    <t>25000 Muir Street</t>
  </si>
  <si>
    <t>Muir Street Subdivision (Tract 8392)</t>
  </si>
  <si>
    <t>078C-0438-019-01</t>
  </si>
  <si>
    <t>Mission Blvd/Valle Vista/Dixon Street/Industrial Pkwy</t>
  </si>
  <si>
    <t>Sohay (Tract 8428)</t>
  </si>
  <si>
    <t>454-0020-062-02</t>
  </si>
  <si>
    <t>25941 Gading Rd</t>
  </si>
  <si>
    <t>Gading II (Tract 8319)</t>
  </si>
  <si>
    <t>085A-6442-003-00</t>
  </si>
  <si>
    <t>158 Benmore Drive</t>
  </si>
  <si>
    <t>Stonebrae Village C (Tract 8356)</t>
  </si>
  <si>
    <t>441-0012-062-02</t>
  </si>
  <si>
    <t>24765 Hesperian Blvd</t>
  </si>
  <si>
    <t>Hesperian Subdivision (Tract 8359)</t>
  </si>
  <si>
    <t>427-0036-055-20</t>
  </si>
  <si>
    <t>22626 4th Street</t>
  </si>
  <si>
    <t>4th and B Development (Tract 8427)</t>
  </si>
  <si>
    <t>428-0076-027-05</t>
  </si>
  <si>
    <t>Ersted (Tract 8439)</t>
  </si>
  <si>
    <t>1109 Palisade Street</t>
  </si>
  <si>
    <t>081D-1665-026-00</t>
  </si>
  <si>
    <t>Call Avenue SFR</t>
  </si>
  <si>
    <t>425-0410-024-00</t>
  </si>
  <si>
    <t>2383 Rainbow Court</t>
  </si>
  <si>
    <t>425-0410-026-00</t>
  </si>
  <si>
    <t>2367 Rainbow Court</t>
  </si>
  <si>
    <t>452-0080-042-00</t>
  </si>
  <si>
    <t>28049 Mission Blvd</t>
  </si>
  <si>
    <t>431-0008-020-00</t>
  </si>
  <si>
    <t>420 Smalley Avenue</t>
  </si>
  <si>
    <t>455-0068-126-00</t>
  </si>
  <si>
    <t>27501 Loyola Avenue</t>
  </si>
  <si>
    <t>444-0060-019-04</t>
  </si>
  <si>
    <t>25501 Mission Blvd</t>
  </si>
  <si>
    <t>Mission Crossings</t>
  </si>
  <si>
    <t>New single family 2 story residence.</t>
  </si>
  <si>
    <t>NEW SINGLE FAMILY HOME</t>
  </si>
  <si>
    <t>29234 HUB Ln</t>
  </si>
  <si>
    <t>SoHay(8428)PA1- 13-Plex-Type 2-Bldg 1-Model- Unit 11-Plan 1</t>
  </si>
  <si>
    <t>499 Valle Vista Ave</t>
  </si>
  <si>
    <t>SoHay(8428)PA1- 13-Plex-Type 2-Bldg 1-Model- Unit 1-Plan 3</t>
  </si>
  <si>
    <t>083-0478-096-00</t>
  </si>
  <si>
    <t>30025 Mountain View Dr</t>
  </si>
  <si>
    <t>Tract 7620 - New SFD Lot 89 Plan 3ALT Elevation B</t>
  </si>
  <si>
    <t>083-0478-099-00</t>
  </si>
  <si>
    <t>30013 Mountain View Dr</t>
  </si>
  <si>
    <t>Tract 7620 - New SFD Lot 92 Plan 3ALT Elevation A</t>
  </si>
  <si>
    <t>083-0479-006-00</t>
  </si>
  <si>
    <t>30049 Mountain View Dr</t>
  </si>
  <si>
    <t>Tract 7620 - New SFD Lot 97 Plan 2ALT Elevation A</t>
  </si>
  <si>
    <t>083-0478-017-00</t>
  </si>
  <si>
    <t>28731 Vista Grande Dr</t>
  </si>
  <si>
    <t>Tract 7620 New SFR Lot 10 Plan 3-ALT Elevation C 2997 sq.ft.</t>
  </si>
  <si>
    <t>083-0478-019-00</t>
  </si>
  <si>
    <t>28719 Vista Grande Dr</t>
  </si>
  <si>
    <t>Tract 7620 New SFR Lot 12 Plan 3-ALT Elevation B 2997 sq.ft.</t>
  </si>
  <si>
    <t>083-0478-020-00</t>
  </si>
  <si>
    <t>28715 Vista Grande Dr</t>
  </si>
  <si>
    <t>Tract 7620 New SFR Lot 13 Plan 4 Elevation A 3150 sq.ft.</t>
  </si>
  <si>
    <t>083-0478-021-00</t>
  </si>
  <si>
    <t>28700 Vista Grande Dr</t>
  </si>
  <si>
    <t>Tract 7620 New SFR Lot 14 Plan 1 Elevation C 2566 sq.ft.</t>
  </si>
  <si>
    <t>083-0478-022-00</t>
  </si>
  <si>
    <t>28704 Vista Grande Dr</t>
  </si>
  <si>
    <t>Tract 7620 New SFR Lot 15 Plan 3-ALT Elevation C 2997 sq.ft.</t>
  </si>
  <si>
    <t>083-0478-023-00</t>
  </si>
  <si>
    <t>28708 Vista Grande Dr</t>
  </si>
  <si>
    <t>Tract 7620 New SFR Lot 16 Plan 4 Elevation C 3150 sq.ft.</t>
  </si>
  <si>
    <t>083-0478-024-00</t>
  </si>
  <si>
    <t>28712 Vista Grande Dr</t>
  </si>
  <si>
    <t>Tract 7620 New SFR Lot 17 Plan 3-ALT Elevation A 2997 sq.ft.</t>
  </si>
  <si>
    <t>083-0478-025-00</t>
  </si>
  <si>
    <t>28716 Vista Grande Dr</t>
  </si>
  <si>
    <t>Tract 7620 New SFR Lot 18 Plan 2-ALT Elevation A 2734 sq.ft.</t>
  </si>
  <si>
    <t>083-0478-026-00</t>
  </si>
  <si>
    <t>28720 Vista Grande Dr</t>
  </si>
  <si>
    <t>Tract 7620 New SFR Lot 19 Plan 4 Elevation B 3150 sq.ft.</t>
  </si>
  <si>
    <t>083-0478-027-00</t>
  </si>
  <si>
    <t>28724 Vista Grande Dr</t>
  </si>
  <si>
    <t>Tract 7620 New SFR Lot 20 Plan 2-ALT Elevation C 2734 sq.ft.</t>
  </si>
  <si>
    <t>083-0478-028-00</t>
  </si>
  <si>
    <t>28728 Vista Grande Dr</t>
  </si>
  <si>
    <t>Tract 7620 New SFR Lot 21 Plan 3-ALT Elevation B 2997 sq.ft.</t>
  </si>
  <si>
    <t>083-0478-029-00</t>
  </si>
  <si>
    <t>28732 Vista Grande Dr</t>
  </si>
  <si>
    <t>Tract 7620 New SFR Lot 22 Plan 4 Elevation C 3150 sq.ft.</t>
  </si>
  <si>
    <t>083-0478-030-00</t>
  </si>
  <si>
    <t>28736 Vista Grande Dr</t>
  </si>
  <si>
    <t>Tract 7620 New SFR Lot 23 Plan 2-ALT Elevation C 2734 sq.ft.</t>
  </si>
  <si>
    <t>083-0478-031-00</t>
  </si>
  <si>
    <t>28740 Vista Grande Dr</t>
  </si>
  <si>
    <t>Tract 7620 New SFR Lot 24 Plan 4 Elevation A</t>
  </si>
  <si>
    <t>083-0478-035-00</t>
  </si>
  <si>
    <t>28756 Vista Grande Dr</t>
  </si>
  <si>
    <t>Tract 7620 New SFR Lot 28 Plan 2-ALT Elevation A</t>
  </si>
  <si>
    <t>083-0478-048-00</t>
  </si>
  <si>
    <t>29779 Cantera Dr</t>
  </si>
  <si>
    <t>Tract 7620 New SFR Lot 41 Plan 2ALT Elevation C</t>
  </si>
  <si>
    <t>083-0478-049-00</t>
  </si>
  <si>
    <t>29773 Cantera Dr</t>
  </si>
  <si>
    <t>Tract 7620 New SFR Lot 42 Plan 3-ALT Elevation C 2997 sq.ft.</t>
  </si>
  <si>
    <t>083-0478-050-00</t>
  </si>
  <si>
    <t>29767 Cantera Dr</t>
  </si>
  <si>
    <t>Tract 7620 New SFR Lot 43 Plan 4 Elevation B 3150 sq.ft.</t>
  </si>
  <si>
    <t>083-0478-051-00</t>
  </si>
  <si>
    <t>29761 Cantera Dr</t>
  </si>
  <si>
    <t>Tract 7620 New SFR Lot 44 Plan 3-ALT Elevation A 2997 sq.ft.</t>
  </si>
  <si>
    <t>083-0478-013-00</t>
  </si>
  <si>
    <t>28751 Vista Grande Dr</t>
  </si>
  <si>
    <t>Tract 7620 New SFR Lot 6 Plan 4 Elevation B</t>
  </si>
  <si>
    <t>083-0478-014-00</t>
  </si>
  <si>
    <t>28747 Vista Grande Dr</t>
  </si>
  <si>
    <t>Tract 7620 New SFR Lot 7 Plan 3-ALT Elevation B</t>
  </si>
  <si>
    <t>083-0478-081-00</t>
  </si>
  <si>
    <t>29772 Cantera Dr</t>
  </si>
  <si>
    <t>Tract 7620 New SFR Lot 74 Plan 3-ALT Elevation A 2997 sq.ft.</t>
  </si>
  <si>
    <t>083-0478-082-00</t>
  </si>
  <si>
    <t>29776 Cantera Dr</t>
  </si>
  <si>
    <t>Tract 7620 New SFR Lot 75 Plan 2-ALT Elevation B 2734 sq.ft.</t>
  </si>
  <si>
    <t>083-0478-083-00</t>
  </si>
  <si>
    <t>29780 Cantera Dr</t>
  </si>
  <si>
    <t>Tract 7620 New SFR Lot 76 Plan 4 Elevation C</t>
  </si>
  <si>
    <t>083-0478-015-00</t>
  </si>
  <si>
    <t>28743 Vista Grande Dr</t>
  </si>
  <si>
    <t>Tract 7620 New SFR Lot 8 Plan 2-ALT Elevation A</t>
  </si>
  <si>
    <t>083-0478-016-00</t>
  </si>
  <si>
    <t>28739 Vista Grande Dr</t>
  </si>
  <si>
    <t>Tract 7620 New SFR Lot 9 Plan 4 Elevation B 3150 sq.ft.</t>
  </si>
  <si>
    <t>445-0050-001-11</t>
  </si>
  <si>
    <t>24131 Amaranth Loop</t>
  </si>
  <si>
    <t>Tract 8233   Lot 17Plan 1B, 3-bed/3.5bath</t>
  </si>
  <si>
    <t>1302 Antonella Pl</t>
  </si>
  <si>
    <t>Tract 8233   Lot 18 Plan 2A, 3-bed/3.5bath</t>
  </si>
  <si>
    <t>1305 Antonella Pl</t>
  </si>
  <si>
    <t>Tract 8233   Lot 42 Plan 2C, 3-bed/3.5bath</t>
  </si>
  <si>
    <t>1303 Antonella Pl</t>
  </si>
  <si>
    <t>Tract 8233   Lot 43 Plan 2B, 3-bed/3.5bath</t>
  </si>
  <si>
    <t>1301 Antonella Pl</t>
  </si>
  <si>
    <t>Tract 8233   Lot 44 Plan 2A, 3-bed/3.5bath</t>
  </si>
  <si>
    <t>24133 Amaranth Loop</t>
  </si>
  <si>
    <t>Tract 8233   Lot 45 Plan 1A, 3-bed/3.5bath</t>
  </si>
  <si>
    <t>24119 Amaranth Loop</t>
  </si>
  <si>
    <t>Tract 8233  Lot 11 Plan 1B, 3-bed/3.5bath</t>
  </si>
  <si>
    <t>24125 Amaranth Loop</t>
  </si>
  <si>
    <t>Tract 8233  Lot 16 Plan 1A, 3bed/3.5bath</t>
  </si>
  <si>
    <t>445-0040-011-03</t>
  </si>
  <si>
    <t>1271 Walpert St</t>
  </si>
  <si>
    <t>Tract 8233  MODEL HOME Lot 2 Plan 2B, 3-bed/3.5bath</t>
  </si>
  <si>
    <t>1275 Walpert St</t>
  </si>
  <si>
    <t>Tract 8233  MODEL HOME Lot 3 Plan 1C, 3-bed/3.5bath</t>
  </si>
  <si>
    <t>24113 Amaranth Loop</t>
  </si>
  <si>
    <t>Tract 8233  New SFR Lot 10 Plan 1C, 3-bed/3.5bath</t>
  </si>
  <si>
    <t>24121 Amaranth Loop</t>
  </si>
  <si>
    <t>Tract 8233  New SFR Lot 12 Plan 2A, 3-bed/3.5bath</t>
  </si>
  <si>
    <t>24123 Amaranth Loop</t>
  </si>
  <si>
    <t>Tract 8233  New SFR Lot 13 Plan 4C-ALT, 5-bed/4-bath</t>
  </si>
  <si>
    <t>24129 Amaranth Loop</t>
  </si>
  <si>
    <t>Tract 8233  New SFR Lot 14 Plan 4B-ALT, 5-bed/4-bath</t>
  </si>
  <si>
    <t>24127 Amaranth Loop</t>
  </si>
  <si>
    <t>Tract 8233  New SFR Lot 15 Plan 2C 3-bed/3.5-bath</t>
  </si>
  <si>
    <t>24109 Amaranth Loop</t>
  </si>
  <si>
    <t>Tract 8233  New SFR Lot 7 Plan 1A, 3-bed/3.5bath</t>
  </si>
  <si>
    <t>24111 Amaranth Loop</t>
  </si>
  <si>
    <t>Tract 8233  New SFR Lot 8 Plan 1C, 3-bed/3.5bath</t>
  </si>
  <si>
    <t>24117 Amaranth Loop</t>
  </si>
  <si>
    <t>Tract 8233  New SFR Lot 9 Plan 2B, 3-bed/3.5bath</t>
  </si>
  <si>
    <t>444-0036-013-02</t>
  </si>
  <si>
    <t>24753 Oneil Ave</t>
  </si>
  <si>
    <t>Tract 8289 - New SFA Unit A1 - Plan Type A1, 4bd/4ba</t>
  </si>
  <si>
    <t>802 Maybeck Pl</t>
  </si>
  <si>
    <t>Tract 8289 - New SFA Unit A2 - Plan Type A2, 4bd/4ba</t>
  </si>
  <si>
    <t>806 Maybeck Pl</t>
  </si>
  <si>
    <t>Tract 8289 - New SFA Unit A3 - Plan Type A3, 4bd/4ba</t>
  </si>
  <si>
    <t>24757 Oneil Ave</t>
  </si>
  <si>
    <t>Tract 8289 - New SFA Unit B1 - Plan Type B1, 4bd/4ba</t>
  </si>
  <si>
    <t>803 Maybeck Pl</t>
  </si>
  <si>
    <t>Tract 8289 - New SFA Unit B2 - Plan Type B2, 4bd/4ba</t>
  </si>
  <si>
    <t>807 Maybeck Pl</t>
  </si>
  <si>
    <t>Tract 8289 - New SFA Unit B3 - Plan Type B3, 4bd/4ba</t>
  </si>
  <si>
    <t>810 Maybeck Pl</t>
  </si>
  <si>
    <t>Tract 8289 - New SFA Unit C1 - Plan Type C1, 4bd/4ba</t>
  </si>
  <si>
    <t>814 Maybeck Pl</t>
  </si>
  <si>
    <t>Tract 8289 - New SFA Unit C2 - Plan Type C, 4bd/4ba</t>
  </si>
  <si>
    <t>818 Maybeck Pl</t>
  </si>
  <si>
    <t>Tract 8289 - New SFA Unit C3 - Plan Type C3, 4bd/4ba</t>
  </si>
  <si>
    <t>811 Maybeck Pl</t>
  </si>
  <si>
    <t>Tract 8289 - New SFA Unit D1 - Plan Type D1, 4bd/4ba</t>
  </si>
  <si>
    <t>815 Maybeck Pl</t>
  </si>
  <si>
    <t>Tract 8289 - New SFA Unit D2- Plan Type D2, 4bd/4ba</t>
  </si>
  <si>
    <t>819 Maybeck Pl</t>
  </si>
  <si>
    <t>Tract 8289 - New SFA Unit D3- Plan Type D3, 4bd/4ba</t>
  </si>
  <si>
    <t>25442 Custom Dr</t>
  </si>
  <si>
    <t>Tract 8345- Bld 4-(N)SFA Unit 15 -Plan 4M, 4 Bd/3.5ba-Elev M</t>
  </si>
  <si>
    <t>25436 Custom Dr</t>
  </si>
  <si>
    <t>Tract 8345- Bld4-(N) SFA Unit 14 Plan 3A-R, 4Bd/3.5ba-Elev A</t>
  </si>
  <si>
    <t>444-0060-004-00</t>
  </si>
  <si>
    <t>25202 Parklane Dr</t>
  </si>
  <si>
    <t>Tract 8345-Bld 17 (N) SFA Unit 78,Plan 2R, 4 Bd/3.5ba-</t>
  </si>
  <si>
    <t>25208 Parklane Dr</t>
  </si>
  <si>
    <t>Tract 8345-Bld 17 (N)SFA Unit 81  Plan 4MR,4 Bd/3.5ba-Elev M</t>
  </si>
  <si>
    <t>25206 Parklane Dr</t>
  </si>
  <si>
    <t>Tract 8345-Bld 17(N) SFA Unit 80  Plan 1R, 2 Bd2.5ba-</t>
  </si>
  <si>
    <t>25212 Parklane Dr 82</t>
  </si>
  <si>
    <t>Tract 8345-Bld 18-New SFA Unit 82 Plan 4-R, 4 Bd/3.5ba-</t>
  </si>
  <si>
    <t>25214 Parklane Dr 83</t>
  </si>
  <si>
    <t>Tract 8345-Bld 18-New SFA Unit 83 Plan 2R, 4 Bd/3.5ba</t>
  </si>
  <si>
    <t>25216 Parklane Dr 84</t>
  </si>
  <si>
    <t>Tract 8345-Bld 18-New SFA Unit 84 Plan 1-R, 2 Bd/2.5ba</t>
  </si>
  <si>
    <t>25218 Parklane Dr 85</t>
  </si>
  <si>
    <t>Tract 8345-Bld 18-New SFA Unit 85 Plan 3A-R, 4 Bd/3.5ba</t>
  </si>
  <si>
    <t>25220 Parklane Dr 86</t>
  </si>
  <si>
    <t>Tract 8345-Bld 18-New SFA Unit 86 Plan 2-R, 4 Bd/3.5ba-</t>
  </si>
  <si>
    <t>25222 Parklane Dr 87</t>
  </si>
  <si>
    <t>Tract 8345-Bld 18-New SFA Unit 87 Plan 3M-R, 4 Bd/3.5ba-</t>
  </si>
  <si>
    <t>25230 Parklane Dr 88</t>
  </si>
  <si>
    <t>Tract 8345-Bld 19-New SFA Unit 88 Plan 4-R, 4 Bd/3.5ba-</t>
  </si>
  <si>
    <t>25232 Parklane Dr 89</t>
  </si>
  <si>
    <t>Tract 8345-Bld 19-New SFA Unit 89 Plan 2R, 4 Bd/3.5ba</t>
  </si>
  <si>
    <t>25234 Parklane Dr 90</t>
  </si>
  <si>
    <t>Tract 8345-Bld 19-New SFA Unit 90 Plan 1R, 2 Bd/2.5ba-</t>
  </si>
  <si>
    <t>25236 Parklane Dr 91</t>
  </si>
  <si>
    <t>Tract 8345-Bld 19-New SFA Unit 91 Plan 3A, 4 Bd/3.5ba-</t>
  </si>
  <si>
    <t>25238 Parklane Dr 92</t>
  </si>
  <si>
    <t>Tract 8345-Bld 19-New SFA Unit 92 Plan 2R, 4 Bd/3.5ba</t>
  </si>
  <si>
    <t>25240 Parklane Dr 93</t>
  </si>
  <si>
    <t>Tract 8345-Bld 19-New SFA Unit 93 Plan 3M-R, 4 Bd/3.5ba-</t>
  </si>
  <si>
    <t>25322 Parklane Dr 94</t>
  </si>
  <si>
    <t>Tract 8345-Bld 20-New SFA Unit 94 Plan 3M, 4 Bd/3.5ba-</t>
  </si>
  <si>
    <t>25330 Parklane Dr 95</t>
  </si>
  <si>
    <t>Tract 8345-Bld 20-New SFA Unit 95 Plan 2, 4 Bd/3.5ba</t>
  </si>
  <si>
    <t>25336 Parklane Dr 96</t>
  </si>
  <si>
    <t>Tract 8345-Bld 20-New SFA Unit 96 Plan 3A, 4 Bd/3.5ba</t>
  </si>
  <si>
    <t>25342 Parklane Dr 97</t>
  </si>
  <si>
    <t>Tract 8345-Bld 20-New SFA Unit 97 Plan 1, 2 Bd/2.5ba</t>
  </si>
  <si>
    <t>25350 Parklane Dr 98</t>
  </si>
  <si>
    <t>Tract 8345-Bld 20-New SFA Unit 98 Plan 2, 4 Bd/3.5ba</t>
  </si>
  <si>
    <t>25360 Parklane Dr 99</t>
  </si>
  <si>
    <t>Tract 8345-Bld 20-New SFA Unit 99 Plan 4R-4 Bd/3.5ba-</t>
  </si>
  <si>
    <t>25247 Parklane Dr 105</t>
  </si>
  <si>
    <t>Tract 8345-Bld 22-New SFA Unit 105 Plan 3M-R, 4 Bd/3.5ba-</t>
  </si>
  <si>
    <t>25253 Parklane Dr 106</t>
  </si>
  <si>
    <t>Tract 8345-Bld 22-New SFA Unit 106 Plan 2R, 4 Bd/3.5ba</t>
  </si>
  <si>
    <t>25259 Parklane Dr 107</t>
  </si>
  <si>
    <t>Tract 8345-Bld 22-New SFA Unit 107 Plan 3A-R, 4 Bd/3.5ba</t>
  </si>
  <si>
    <t>25265 Parklane Dr 108</t>
  </si>
  <si>
    <t>Tract 8345-Bld 22-New SFA Unit 108 Plan 1-R, 2 Bd/2.5ba</t>
  </si>
  <si>
    <t>25271 Parklane Dr 109</t>
  </si>
  <si>
    <t>Tract 8345-Bld 22-New SFA Unit 109 Plan 2R, 4 Bd/3.5ba</t>
  </si>
  <si>
    <t>25277 Parklane Dr 110</t>
  </si>
  <si>
    <t>Tract 8345-Bld 22-New SFA Unit 110 Plan 4 4 Bd/3.5ba-</t>
  </si>
  <si>
    <t>25295 Parklane Dr 112</t>
  </si>
  <si>
    <t>Tract 8345-Bld 22-New SFA Unit 112 Plan 2, 4 Bd/3.5ba</t>
  </si>
  <si>
    <t>25301 Parklane Dr 113</t>
  </si>
  <si>
    <t>Tract 8345-Bld 22-New SFA Unit 113 Plan 3A- 4 Bd/3.5ba</t>
  </si>
  <si>
    <t>25307 Parklane Dr 114</t>
  </si>
  <si>
    <t>Tract 8345-Bld 22-New SFA Unit 114 Plan 1-R, 2 Bd/2.5ba</t>
  </si>
  <si>
    <t>25313 Parklane Dr 115</t>
  </si>
  <si>
    <t>Tract 8345-Bld 22-New SFA Unit 115 Plan 2 4 Bd/3.5ba</t>
  </si>
  <si>
    <t>25319 Parklane Dr 116</t>
  </si>
  <si>
    <t>Tract 8345-Bld 22-New SFA Unit 116 Plan 4-R, 4 Bd/3.5ba-</t>
  </si>
  <si>
    <t>25289 Parklane Dr 111</t>
  </si>
  <si>
    <t>Tract 8345-Bld 23-New SFA Unit 111 Plan 3M 4 Bd/3.5ba-</t>
  </si>
  <si>
    <t>25325 Parklane Dr 117</t>
  </si>
  <si>
    <t>Tract 8345-Bld 24-New SFA Unit 117 Plan 3MR, 4 Bd/3.5ba-</t>
  </si>
  <si>
    <t>25331 Parklane Dr 118</t>
  </si>
  <si>
    <t>Tract 8345-Bld 24-New SFA Unit 118 Plan 2R 4 Bd/3.5ba</t>
  </si>
  <si>
    <t>25337 Parklane Dr 119</t>
  </si>
  <si>
    <t>Tract 8345-Bld 24-New SFA Unit 119 Plan 3AR 4 Bd/3.5ba</t>
  </si>
  <si>
    <t>25341 Parklane Dr 120</t>
  </si>
  <si>
    <t>Tract 8345-Bld 24-New SFA Unit 120 Plan 1, 2 Bd/2.5ba</t>
  </si>
  <si>
    <t>25347 Parklane Dr 121</t>
  </si>
  <si>
    <t>Tract 8345-Bld 24-New SFA Unit 121 Plan 2R, 4 Bd/3.5ba</t>
  </si>
  <si>
    <t>25353 Parklane Dr 122</t>
  </si>
  <si>
    <t>Tract 8345-Bld 24-New SFA Unit 122 Plan 4-4 Bd/3.5ba-</t>
  </si>
  <si>
    <t>25359 Parklane Dr 123</t>
  </si>
  <si>
    <t>Tract 8345-Bld 25-New SFA Unit 123 Plan 3M, 4 Bd/3.5ba-</t>
  </si>
  <si>
    <t>25363 Parklane Dr 124</t>
  </si>
  <si>
    <t>Tract 8345-Bld 25-New SFA Unit 124 Plan 2, 4 Bd/3.5ba</t>
  </si>
  <si>
    <t>25369 Parklane Dr 125</t>
  </si>
  <si>
    <t>Tract 8345-Bld 25-New SFA Unit 125 Plan 3A, 4 Bd/3.5ba</t>
  </si>
  <si>
    <t>25371 Parklane Dr 126</t>
  </si>
  <si>
    <t>Tract 8345-Bld 25-New SFA Unit 126 Plan 1R, 2 Bd/2.5ba</t>
  </si>
  <si>
    <t>25377 Parklane Dr 127</t>
  </si>
  <si>
    <t>Tract 8345-Bld 25-New SFA Unit 127 Plan 2, 4 Bd/3.5ba</t>
  </si>
  <si>
    <t>25383 Parklane Dr 128</t>
  </si>
  <si>
    <t>Tract 8345-Bld 25-New SFA Unit 128 Plan 4R-4bd/3.5ba-</t>
  </si>
  <si>
    <t>25430 Custom Dr</t>
  </si>
  <si>
    <t>Tract 8345-Bld 4-New SFA Unit 13 Plan 3B-R, 4 Bd/3.5ba-ElevB</t>
  </si>
  <si>
    <t>25204 Parklane Dr</t>
  </si>
  <si>
    <t>Tract 8345-Bldg 17 (N)SFA Unit 79  Plan 1-R, 2 Bd/2.5ba</t>
  </si>
  <si>
    <t>25200 Parklane Dr</t>
  </si>
  <si>
    <t>Tract 8345-Bldg 17(N)SFA Unit 77,Plan 3B-R, 4Bd/3.5ba-Elev B</t>
  </si>
  <si>
    <t>085A-6442-030-00</t>
  </si>
  <si>
    <t>252 Benmore Dr</t>
  </si>
  <si>
    <t>Tract 8356 Model Home Lot 20 Lucas Elev. A</t>
  </si>
  <si>
    <t>085A-6442-032-00</t>
  </si>
  <si>
    <t>258 Benmore Dr</t>
  </si>
  <si>
    <t>Tract 8356 Model Home Lot 22 Edison II Elev. C</t>
  </si>
  <si>
    <t>085A-6442-033-00</t>
  </si>
  <si>
    <t>260 Benmore Dr</t>
  </si>
  <si>
    <t>Tract 8356 Model Home Lot 23 Erikcon II Elev. A</t>
  </si>
  <si>
    <t>085A-6442-034-00</t>
  </si>
  <si>
    <t>262 Benmore Dr</t>
  </si>
  <si>
    <t>Tract 8356 Model Home Lot 24 Lucas Elev. C</t>
  </si>
  <si>
    <t>085A-6442-035-00</t>
  </si>
  <si>
    <t>266 Benmore Dr</t>
  </si>
  <si>
    <t>Tract 8356 Model Home Lot 25 Erikson Elev. B</t>
  </si>
  <si>
    <t>085A-6442-013-00</t>
  </si>
  <si>
    <t>196 Benmore Dr</t>
  </si>
  <si>
    <t>Tract 8356 Model Home Lot 3 Pascal Elev. C</t>
  </si>
  <si>
    <t>085A-6442-014-00</t>
  </si>
  <si>
    <t>198 Benmore Dr</t>
  </si>
  <si>
    <t>Tract 8356 Model Home Lot 4 Palmer Elev. A</t>
  </si>
  <si>
    <t>187 Sonas Dr</t>
  </si>
  <si>
    <t>Tract 8356 Model Home Lot 81 Edison II Elev. B</t>
  </si>
  <si>
    <t>189 Sonas Dr</t>
  </si>
  <si>
    <t>Tract 8356 Model Home Lot 82 Erickson Elev. C</t>
  </si>
  <si>
    <t>191 Sonas Dr</t>
  </si>
  <si>
    <t>Tract 8356 Model Home Lot 83 Lucas Elev. B</t>
  </si>
  <si>
    <t>085A-6442-031-00</t>
  </si>
  <si>
    <t>256 Benmore Dr</t>
  </si>
  <si>
    <t>Tract 8356 Production Home Lot 21 Erikson Elev. B</t>
  </si>
  <si>
    <t>085A-6442-055-00</t>
  </si>
  <si>
    <t>9 HARKNESS Cir</t>
  </si>
  <si>
    <t>Tract 8356 Production Home Lot 45 Perry Elev. B</t>
  </si>
  <si>
    <t>085A-6442-093-00</t>
  </si>
  <si>
    <t>185 Sonas Dr</t>
  </si>
  <si>
    <t>Tract 8356 Production Home Lot 80 Lucas Elev. A</t>
  </si>
  <si>
    <t>456-0101-013-06</t>
  </si>
  <si>
    <t>2653 Admiral Cir</t>
  </si>
  <si>
    <t>Tract 8434- Spindrift 2-Lot 23, Plan 3B,4Bed/3ba</t>
  </si>
  <si>
    <t>456-0101-012-00</t>
  </si>
  <si>
    <t>204 Riptide Way</t>
  </si>
  <si>
    <t>Tract 8434- Spindrift 2-Model Home-Lot 50, Plan 3C,4Bed/3a</t>
  </si>
  <si>
    <t>202 Riptide Way</t>
  </si>
  <si>
    <t>Tract 8434- Spindrift 2-Model Home-Lot 51, Plan 2A,4Bed/3a</t>
  </si>
  <si>
    <t>2571 Admiral Cir</t>
  </si>
  <si>
    <t>Tract 8434- Spindrift 2-Model Home-Lot 52,Plan 1B,3Bed/2.5ba</t>
  </si>
  <si>
    <t>2657 Admiral Cir</t>
  </si>
  <si>
    <t>Tract 8434- Spindrift Phase 2-Lot 21-PLan 1C</t>
  </si>
  <si>
    <t>2655 Admiral Cir</t>
  </si>
  <si>
    <t>Tract 8434- Spindrift Phase 2-Lot 22-Plan 2A</t>
  </si>
  <si>
    <t>2649 Admiral Cir</t>
  </si>
  <si>
    <t>Tract 8434- Spindrift Phase 2-Lot 24-Plan 2C</t>
  </si>
  <si>
    <t>2651 Admiral Cir</t>
  </si>
  <si>
    <t>Tract 8434- Spindrift Phase 2-Lot 25-Plan 2A-Alt</t>
  </si>
  <si>
    <t>2645 Admiral Cir</t>
  </si>
  <si>
    <t>Tract 8434- Spindrift Phase 2-Lot 26-PLan 1A</t>
  </si>
  <si>
    <t>2647 Admiral Cir</t>
  </si>
  <si>
    <t>Tract 8434- Spindrift Phase 2-Lot 27-Plan 2B</t>
  </si>
  <si>
    <t>2639 Admiral Cir</t>
  </si>
  <si>
    <t>Tract 8434- Spindrift Phase 2-Lot 28-Plan 3C 4Bed/3 Bath</t>
  </si>
  <si>
    <t>2641 Admiral Cir</t>
  </si>
  <si>
    <t>Tract 8434- Spindrift Phase 2-Lot 29-Plan 2A</t>
  </si>
  <si>
    <t>2643 Admiral Cir</t>
  </si>
  <si>
    <t>Tract 8434- Spindrift Phase 2-Lot 30-Plan 2C-Alt</t>
  </si>
  <si>
    <t>444-0033-082-00</t>
  </si>
  <si>
    <t>763 Ellen Ave</t>
  </si>
  <si>
    <t>22098 Victory Dr</t>
  </si>
  <si>
    <t>22310 Victory Dr</t>
  </si>
  <si>
    <t>2726 Sleepy Hollow Ave</t>
  </si>
  <si>
    <t>409 Holly Ln</t>
  </si>
  <si>
    <t>081D-2092-017-00</t>
  </si>
  <si>
    <t>2705 Tribune Ave</t>
  </si>
  <si>
    <t>new SFD lot 14 plan 3, 5bed &amp;  4bath, 3585 living</t>
  </si>
  <si>
    <t>441-0087-048-00</t>
  </si>
  <si>
    <t>1780 DE PINA Ln</t>
  </si>
  <si>
    <t>Tract 8226 SFR Lot 3 Plan 1A  4BD/2.5BA</t>
  </si>
  <si>
    <t>441-0087-049-00</t>
  </si>
  <si>
    <t>1776 DE PINA Ln</t>
  </si>
  <si>
    <t>Tract 8226 SFR Lot 4 Plan 2A  4BD/3BA</t>
  </si>
  <si>
    <t>441-0087-050-00</t>
  </si>
  <si>
    <t>1772 DE PINA Ln</t>
  </si>
  <si>
    <t>Tract 8226 SFR Lot 5 Plan 1B</t>
  </si>
  <si>
    <t>441-0087-051-00</t>
  </si>
  <si>
    <t>1768 DE PINA Ln</t>
  </si>
  <si>
    <t>Tract 8226 SFR Lot 6 Plan 2B</t>
  </si>
  <si>
    <t>441-0087-052-00</t>
  </si>
  <si>
    <t>1764 DE PINA Ln</t>
  </si>
  <si>
    <t>Tract 8226 SFR Lot 7 Plan 1C</t>
  </si>
  <si>
    <t>441-0087-053-00</t>
  </si>
  <si>
    <t>1760 DE PINA Ln</t>
  </si>
  <si>
    <t>Tract 8226 SFR Lot 8 Plan 2C</t>
  </si>
  <si>
    <t>441-0087-054-00</t>
  </si>
  <si>
    <t>1756 DE PINA Ln</t>
  </si>
  <si>
    <t>Tract 8226 SFR Lot 9 Plan 1B</t>
  </si>
  <si>
    <t>441-0087-055-00</t>
  </si>
  <si>
    <t>1757 DE PINA Ln</t>
  </si>
  <si>
    <t>Tract 8226 SFR Lot 10 Plan 1C</t>
  </si>
  <si>
    <t>441-0087-056-00</t>
  </si>
  <si>
    <t>1763 DE PINA Ln</t>
  </si>
  <si>
    <t>Tract 8226 SFR Lot 11 Plan 2A</t>
  </si>
  <si>
    <t>441-0087-057-00</t>
  </si>
  <si>
    <t>1767 DE PINA Ln</t>
  </si>
  <si>
    <t>Tract 8226 SFR Lot 12 Plan 1A</t>
  </si>
  <si>
    <t>441-0087-059-00</t>
  </si>
  <si>
    <t>1775 DE PINA Ln</t>
  </si>
  <si>
    <t>Tract 8226 SFR Lot 14 Plan 1B  4BD/2.5BA</t>
  </si>
  <si>
    <t>441-0087-061-00</t>
  </si>
  <si>
    <t>1783 DE PINA Ln</t>
  </si>
  <si>
    <t>Tract 8226 SFR Lot 16 Plan 1C  4BD/2.5BA</t>
  </si>
  <si>
    <t>441-0087-062-00</t>
  </si>
  <si>
    <t>1787 DE PINA Ln</t>
  </si>
  <si>
    <t>Tract 8226 SFR Lot 17 Plan 2A  4BD/3BA</t>
  </si>
  <si>
    <t>441-0087-063-00</t>
  </si>
  <si>
    <t>1791 DE PINA Ln</t>
  </si>
  <si>
    <t>Tract 8226 SFR Lot 18 Plan 1A  4BD/2.5BA</t>
  </si>
  <si>
    <t>443-0050-008-05</t>
  </si>
  <si>
    <t>200 SPRING HARVEST Rd</t>
  </si>
  <si>
    <t>Tract 8240 - Harvest Park SFA  Bldg C Unit 11</t>
  </si>
  <si>
    <t>216 SPRING HARVEST Rd</t>
  </si>
  <si>
    <t>Tract 8240 - Harvest Park SFA  Bldg C Unit 15</t>
  </si>
  <si>
    <t>220 SPRING HARVEST Rd</t>
  </si>
  <si>
    <t>Tract 8240 - Harvest Park SFA  Bldg C  Unit 16</t>
  </si>
  <si>
    <t>221 SPRING HARVEST Rd</t>
  </si>
  <si>
    <t>Tract 8240 - Harvest Park SFA  Bldg D Unit 21</t>
  </si>
  <si>
    <t>225 SPRING HARVEST Rd</t>
  </si>
  <si>
    <t>Tract 8240 - Harvest Park SFA  Bldg D Unit 22</t>
  </si>
  <si>
    <t>229 SPRING HARVEST Rd</t>
  </si>
  <si>
    <t>Tract 8240 - Harvest Park SFA  Bldg D  Unit 23</t>
  </si>
  <si>
    <t>081D-2092-008-00</t>
  </si>
  <si>
    <t>26540 Hayward Blvd</t>
  </si>
  <si>
    <t>Tract 7583 - Highland Villas SFR Lot 5</t>
  </si>
  <si>
    <t>081D-2092-007-00</t>
  </si>
  <si>
    <t>26530 Hayward Blvd</t>
  </si>
  <si>
    <t>Tract 7583 - Highland Villas SFR Lot 4</t>
  </si>
  <si>
    <t>081D-2092-006-00</t>
  </si>
  <si>
    <t>26520 Hayward Blvd</t>
  </si>
  <si>
    <t>Tract 7583 - Highland Villas SFR Lot 3</t>
  </si>
  <si>
    <t>081D-2092-004-00</t>
  </si>
  <si>
    <t>26500 Hayward Blvd</t>
  </si>
  <si>
    <t>Tract 7583 - Highland Villas SFR Lot 1</t>
  </si>
  <si>
    <t>081D-2092-015-00</t>
  </si>
  <si>
    <t>26506 Birchfield Ct</t>
  </si>
  <si>
    <t>Tract 7583 - Highland Villas SFR Lot 12</t>
  </si>
  <si>
    <t>456-0102-031-00</t>
  </si>
  <si>
    <t>2551 Admiral Cir</t>
  </si>
  <si>
    <t>Tract 8148 Spindrift New SFR Lot 1 Plan 2B(R)-Alt</t>
  </si>
  <si>
    <t>456-0102-032-00</t>
  </si>
  <si>
    <t>2549 Admiral Cir</t>
  </si>
  <si>
    <t>Tract 8148 Spindrift New SFR Lot 2 Plan 2A</t>
  </si>
  <si>
    <t>456-0102-033-00</t>
  </si>
  <si>
    <t>2547 Admiral Cir</t>
  </si>
  <si>
    <t>Tract 8148 Spindrift New SFR Lot 3 Plan 3C</t>
  </si>
  <si>
    <t>083-0478-100-00</t>
  </si>
  <si>
    <t>30009 Mountain View Dr</t>
  </si>
  <si>
    <t>Tract 7620 - New SFD Lot 93 Plan 4 Elevation B</t>
  </si>
  <si>
    <t>444-0081-024-00</t>
  </si>
  <si>
    <t>25933 Dollar St</t>
  </si>
  <si>
    <t>Tract 8188 - New SFA Building 1 Unit 5, Plan 3</t>
  </si>
  <si>
    <t>25935 Dollar St</t>
  </si>
  <si>
    <t>Tract 8188 - New SFA Building 1 Unit 6, Plan 2</t>
  </si>
  <si>
    <t>25937 Dollar St</t>
  </si>
  <si>
    <t>Tract 8188 - New SFA Building 1 Unit 7, Plan 1R</t>
  </si>
  <si>
    <t>25939 Dollar St</t>
  </si>
  <si>
    <t>Tract 8188 - New SFA Building 1 Unit 8, Plan 1R</t>
  </si>
  <si>
    <t>25941 Dollar St</t>
  </si>
  <si>
    <t>Tract 8188 - New SFA Building 1 Unit 9, Plan 2R</t>
  </si>
  <si>
    <t>25943 Dollar St</t>
  </si>
  <si>
    <t>Tract 8188 - New SFA Building 1 Unit 10, Plan 3R</t>
  </si>
  <si>
    <t>444-0078-111-07</t>
  </si>
  <si>
    <t>121 FANUNCIO Ln</t>
  </si>
  <si>
    <t>Tract 8301 - New SFA Building 5 Unit 20, Plan 3A</t>
  </si>
  <si>
    <t>117 FANUNCIO Ln</t>
  </si>
  <si>
    <t>Tract 8301 - New SFR Building 5 Unit 21, Plan 2A</t>
  </si>
  <si>
    <t>113 FANUNCIO Ln</t>
  </si>
  <si>
    <t>Tract 8301 - New SFA Building 5 Unit 22, Plan 1A-R</t>
  </si>
  <si>
    <t>111 FANUNCIO Ln</t>
  </si>
  <si>
    <t>Tract 8301 - New SFA Building 5 Unit 23, Plan 1A</t>
  </si>
  <si>
    <t>107 FANUNCIO Ln</t>
  </si>
  <si>
    <t>Tract 8301 - New SFA Building 5 Unit 24, Plan 2A-R</t>
  </si>
  <si>
    <t>103 FANUNCIO Ln</t>
  </si>
  <si>
    <t>Tract 8301 - New SFA Building 5 Unit 25, Plan 3A-R</t>
  </si>
  <si>
    <t>444-0081-118-00</t>
  </si>
  <si>
    <t>201 FANUNCIO Ln</t>
  </si>
  <si>
    <t>Tract 8301 - New SFA Building 6 Unit 26, Plan 3C</t>
  </si>
  <si>
    <t>203 FANUNCIO Ln</t>
  </si>
  <si>
    <t>Tract 8301 - New SFA Building 6  Unit 27, Plan 2C</t>
  </si>
  <si>
    <t>205 FANUNCIO Ln</t>
  </si>
  <si>
    <t>Tract 8301 - New SFA Building 6  Unit 28, Plan 1C-R</t>
  </si>
  <si>
    <t>207 FANUNCIO Ln</t>
  </si>
  <si>
    <t>Tract 8301 - New SFA Building 6  Unit 29, Plan 1C</t>
  </si>
  <si>
    <t>209 FANUNCIO Ln</t>
  </si>
  <si>
    <t>Tract 8301 - New SFA Building 6  Unit 30, Plan 2C-R</t>
  </si>
  <si>
    <t>211 FANUNCIO Ln</t>
  </si>
  <si>
    <t>Tract 8301 - New SFA Building 6 Unit 31, Plan 3C-R</t>
  </si>
  <si>
    <t>444-0081-092-00</t>
  </si>
  <si>
    <t>210 FANUNCIO Ln</t>
  </si>
  <si>
    <t>Tract 8301 - New SFA Building 7 Unit 32, Plan 3A</t>
  </si>
  <si>
    <t>208 FANUNCIO Ln</t>
  </si>
  <si>
    <t>Tract 8301 - New SFA Building 7 Unit 33, Plan 2A</t>
  </si>
  <si>
    <t>206 FANUNCIO Ln</t>
  </si>
  <si>
    <t>Tract 8301 - New SFA Building 7 Unit 34, Plan 1A-R</t>
  </si>
  <si>
    <t>204 FANUNCIO Ln</t>
  </si>
  <si>
    <t>Tract 8301 - New SFA Building 7 Unit 35, Plan 1A</t>
  </si>
  <si>
    <t>202 FANUNCIO Ln</t>
  </si>
  <si>
    <t>Tract 8301 - New SFA Building 7 Unit 36, Plan 2A-R</t>
  </si>
  <si>
    <t>200 FANUNCIO Ln</t>
  </si>
  <si>
    <t>Tract 8301 - New SFA Building 7 Unit 37, Plan 3A-R</t>
  </si>
  <si>
    <t>444-0081-098-00</t>
  </si>
  <si>
    <t>301 FANUNCIO Ln</t>
  </si>
  <si>
    <t>Tract 8301 - New SFA Building 8 Unit 38, Plan 3C</t>
  </si>
  <si>
    <t>303 FANUNCIO Ln</t>
  </si>
  <si>
    <t>Tract 8301 - New SFA Building 8 Unit 39, Plan 1C-R</t>
  </si>
  <si>
    <t>305 FANUNCIO Ln</t>
  </si>
  <si>
    <t>Tract 8301 - New SFA Building 8 Unit 40, Plan 2C-R</t>
  </si>
  <si>
    <t>307 FANUNCIO Ln</t>
  </si>
  <si>
    <t>Tract 8301 - New SFA Building 8 Unit 41, Plan 1C</t>
  </si>
  <si>
    <t>309 FANUNCIO Ln</t>
  </si>
  <si>
    <t>Tract 8301 - New SFA Building 8 Unit 42, Plan 3C-R</t>
  </si>
  <si>
    <t>444-0081-078-00</t>
  </si>
  <si>
    <t>25911 Dollar St</t>
  </si>
  <si>
    <t>Tract 8301 - New SFA  Lot 5, Plan 3C</t>
  </si>
  <si>
    <t>25915 Dollar St</t>
  </si>
  <si>
    <t>Tract 8301 - New SFA  Lot 7, Plan 2C</t>
  </si>
  <si>
    <t>25917 Dollar St</t>
  </si>
  <si>
    <t>Tract 8301 - New SFA  Lot 8, Plan 3C-R</t>
  </si>
  <si>
    <t>444-0081-085-00</t>
  </si>
  <si>
    <t>122 FANUNCIO Ln</t>
  </si>
  <si>
    <t>Tract 8301 - New SFA  Lot 10, Plan 2A</t>
  </si>
  <si>
    <t>120 FANUNCIO Ln</t>
  </si>
  <si>
    <t>Tract 8301 - New SFA Lot 11, Plan 1A-R</t>
  </si>
  <si>
    <t>118 FANUNCIO Ln</t>
  </si>
  <si>
    <t>Tract 8301 - New SFA Lot 12, Plan 1A</t>
  </si>
  <si>
    <t>116 FANUNCIO Ln</t>
  </si>
  <si>
    <t>Tract 8301 - New SFA Lot 13, Plan 2A-R</t>
  </si>
  <si>
    <t>444-0081-104-00</t>
  </si>
  <si>
    <t>108 FANUNCIO Ln</t>
  </si>
  <si>
    <t>Tract 8301 - New SFA Building 4 Unit 15, Plan 3C</t>
  </si>
  <si>
    <t>106 FANUNCIO Ln</t>
  </si>
  <si>
    <t>Tract 8301 - New SFA Building 4 Unit 16, Plan 1C-R</t>
  </si>
  <si>
    <t>104 FANUNCIO Ln</t>
  </si>
  <si>
    <t>Tract 8301 - New SFA Building 4 Unit 17, Plan 2C-R</t>
  </si>
  <si>
    <t>102 FANUNCIO Ln</t>
  </si>
  <si>
    <t>Tract 8301 - New SFA Building 4  Unit 18, Plan 1C</t>
  </si>
  <si>
    <t>100 FANUNCIO Ln</t>
  </si>
  <si>
    <t>Tract 8301 - New SFA Building 4 Unit 19, Plan 3C-R</t>
  </si>
  <si>
    <t>431-0120-198-00</t>
  </si>
  <si>
    <t>315 Moorpark Pl</t>
  </si>
  <si>
    <t>TRACT 7894 - New SFA Bldg 3 Unit 15 Plan 5C</t>
  </si>
  <si>
    <t>431-0120-197-00</t>
  </si>
  <si>
    <t>313 Moorpark Pl</t>
  </si>
  <si>
    <t>TRACT 7894 - New SFA Bldg 3 Unit 14 Plan 5B</t>
  </si>
  <si>
    <t>441-0106-003-00</t>
  </si>
  <si>
    <t>24204 Nora Cir</t>
  </si>
  <si>
    <t>Tract 8152 Prism @ Eden Garden SFR Plan 3B</t>
  </si>
  <si>
    <t>441-0106-004-00</t>
  </si>
  <si>
    <t>24208 Nora Cir</t>
  </si>
  <si>
    <t>Tract 8152 Prism @ Eden Garden SFR Plan 3C</t>
  </si>
  <si>
    <t>441-0106-005-00</t>
  </si>
  <si>
    <t>24212 Nora Cir</t>
  </si>
  <si>
    <t>441-0106-006-00</t>
  </si>
  <si>
    <t>24216 Nora Cir</t>
  </si>
  <si>
    <t>Tract 8152 Prism @ Eden Garden SFR Plan 3A</t>
  </si>
  <si>
    <t>441-0106-008-00</t>
  </si>
  <si>
    <t>24224 Nora Cir</t>
  </si>
  <si>
    <t>441-0106-009-00</t>
  </si>
  <si>
    <t>24228 Nora Cir</t>
  </si>
  <si>
    <t>Tract 8152 Prism SFR Plan 4B-R</t>
  </si>
  <si>
    <t>441-0106-010-00</t>
  </si>
  <si>
    <t>24232 Nora Cir</t>
  </si>
  <si>
    <t>Tract 8152 Prism SFR Plan 3B</t>
  </si>
  <si>
    <t>441-0106-011-00</t>
  </si>
  <si>
    <t>24236 Nora Cir</t>
  </si>
  <si>
    <t>Tract 8152 Prism SFR Plan 3C-R</t>
  </si>
  <si>
    <t>441-0106-012-00</t>
  </si>
  <si>
    <t>24240 Nora Cir</t>
  </si>
  <si>
    <t>441-0106-013-00</t>
  </si>
  <si>
    <t>24244 Nora Cir</t>
  </si>
  <si>
    <t>Tract 8152 Prism SFR Plan 3A-R</t>
  </si>
  <si>
    <t>441-0106-014-00</t>
  </si>
  <si>
    <t>24248 Nora Cir</t>
  </si>
  <si>
    <t>Tract 8152 Prism SFR Plan 3C</t>
  </si>
  <si>
    <t>441-0106-015-00</t>
  </si>
  <si>
    <t>24252 Nora Cir</t>
  </si>
  <si>
    <t>441-0106-016-00</t>
  </si>
  <si>
    <t>24256 Nora Cir</t>
  </si>
  <si>
    <t>Tract 8152 Prism SFR Plan 4B</t>
  </si>
  <si>
    <t>441-0106-017-00</t>
  </si>
  <si>
    <t>24260 Nora Cir</t>
  </si>
  <si>
    <t>Tract 8152 Prism SFR Plan 3A</t>
  </si>
  <si>
    <t>441-0106-018-00</t>
  </si>
  <si>
    <t>24264 Nora Cir</t>
  </si>
  <si>
    <t>441-0106-019-00</t>
  </si>
  <si>
    <t>24268 Nora Cir</t>
  </si>
  <si>
    <t>441-0106-020-00</t>
  </si>
  <si>
    <t>24253 Nora Cir</t>
  </si>
  <si>
    <t>Tract 8152 Prism SFR Plan 1A-Alt Reverse</t>
  </si>
  <si>
    <t>441-0106-022-00</t>
  </si>
  <si>
    <t>24243 Nora Cir</t>
  </si>
  <si>
    <t>Tract 8152 Prism SFR Plan 1B Reverse</t>
  </si>
  <si>
    <t>441-0106-023-00</t>
  </si>
  <si>
    <t>24239 Nora Cir</t>
  </si>
  <si>
    <t>Tract 8152 Prism SFR Plan 1C Reverse</t>
  </si>
  <si>
    <t>441-0106-024-00</t>
  </si>
  <si>
    <t>24235 Nora Cir</t>
  </si>
  <si>
    <t>441-0106-025-00</t>
  </si>
  <si>
    <t>24231 Nora Cir</t>
  </si>
  <si>
    <t>Tract 8152 Prism SFR Plan 1A-Alt</t>
  </si>
  <si>
    <t>441-0106-026-00</t>
  </si>
  <si>
    <t>24237 Nora Cir</t>
  </si>
  <si>
    <t>Tract 8152 Prism SFR Plan 1C</t>
  </si>
  <si>
    <t>441-0106-027-00</t>
  </si>
  <si>
    <t>24241 Nora Cir</t>
  </si>
  <si>
    <t>Tract 8152 Prism SFR Plan 1A</t>
  </si>
  <si>
    <t>441-0106-028-00</t>
  </si>
  <si>
    <t>24245 Nora Cir</t>
  </si>
  <si>
    <t>Tract 8152 Prism SFR Plan 1B</t>
  </si>
  <si>
    <t>441-0106-029-00</t>
  </si>
  <si>
    <t>24251 Nora Cir</t>
  </si>
  <si>
    <t>443-0092-008-00</t>
  </si>
  <si>
    <t>24981 Huntwood Ave</t>
  </si>
  <si>
    <t>Tract 8266 - New SFR Lot 1, Plan 2B-R</t>
  </si>
  <si>
    <t>443-0092-009-00</t>
  </si>
  <si>
    <t>24985 Huntwood Ave</t>
  </si>
  <si>
    <t>Tract 8266 - New SFR Lot 2, Plan 3C-R</t>
  </si>
  <si>
    <t>443-0092-010-00</t>
  </si>
  <si>
    <t>24987 Huntwood Ave</t>
  </si>
  <si>
    <t>Tract 8266 - New SFR  Lot 3, Plan 2A-R</t>
  </si>
  <si>
    <t>443-0092-011-00</t>
  </si>
  <si>
    <t>24989 Huntwood Ave</t>
  </si>
  <si>
    <t>Tract 8266 - New SFR  Lot 4, Plan 3B-R</t>
  </si>
  <si>
    <t>443-0092-012-00</t>
  </si>
  <si>
    <t>24991 Huntwood Ave</t>
  </si>
  <si>
    <t>Tract 8266 - New SFR Lot Unit 5, Plan 2A-R</t>
  </si>
  <si>
    <t>443-0092-013-00</t>
  </si>
  <si>
    <t>24993 Huntwood Ave</t>
  </si>
  <si>
    <t>Tract 8266 - New SFR  Lot 6, Plan 3C-R</t>
  </si>
  <si>
    <t>443-0092-014-00</t>
  </si>
  <si>
    <t>24995 Huntwood Ave</t>
  </si>
  <si>
    <t>Tract 8266 - New SFR  Lot 7, Plan 2B</t>
  </si>
  <si>
    <t>443-0092-015-00</t>
  </si>
  <si>
    <t>24997 Huntwood Ave</t>
  </si>
  <si>
    <t>Tract 8266 - New SFR Lot 8, Plan 1A</t>
  </si>
  <si>
    <t>443-0092-016-00</t>
  </si>
  <si>
    <t>33 Austin Ave</t>
  </si>
  <si>
    <t>Tract 8266 - New SFR Lot 9, Plan 3C</t>
  </si>
  <si>
    <t>443-0092-017-00</t>
  </si>
  <si>
    <t>45 Austin Ave</t>
  </si>
  <si>
    <t>Tract 8266 - New SFR Lot 10, Plan 2A</t>
  </si>
  <si>
    <t>443-0092-018-00</t>
  </si>
  <si>
    <t>51 Austin Ave</t>
  </si>
  <si>
    <t>Tract 8266 - New SFR  Lot 11, Plan 1B</t>
  </si>
  <si>
    <t>443-0092-019-00</t>
  </si>
  <si>
    <t>57 Austin Ave</t>
  </si>
  <si>
    <t>Tract 8266 - New SFR Lot 12, Plan 3A-R</t>
  </si>
  <si>
    <t>443-0092-020-00</t>
  </si>
  <si>
    <t>63 Austin Ave</t>
  </si>
  <si>
    <t>Tract 8266 - New SFR  Lot 13, Plan 2C-R</t>
  </si>
  <si>
    <t>443-0092-025-00</t>
  </si>
  <si>
    <t>3326 SPEROS Loop</t>
  </si>
  <si>
    <t>Tract 8266 - New SFA Lot 18, Plan 3C Duplex Unit</t>
  </si>
  <si>
    <t>443-0092-026-00</t>
  </si>
  <si>
    <t>3322 SPEROS Loop</t>
  </si>
  <si>
    <t>Tract 8266 - New SFA Lot 19, Plan 2C  Duplex Unit</t>
  </si>
  <si>
    <t>443-0092-027-00</t>
  </si>
  <si>
    <t>3318 SPEROS Loop</t>
  </si>
  <si>
    <t>Tract 8266 - New SFA  Lot 20, Plan 3B Duplex Unit</t>
  </si>
  <si>
    <t>443-0092-028-00</t>
  </si>
  <si>
    <t>3316 SPEROS Loop</t>
  </si>
  <si>
    <t>Tract 8266 - New SFA Lot 21, Plan 2B  Duplex Unit</t>
  </si>
  <si>
    <t>443-0092-029-00</t>
  </si>
  <si>
    <t>3315 ROSENBLATT St</t>
  </si>
  <si>
    <t>Tract 8266 - New SFA Lot 22, Plan 3A  Duplex Unit</t>
  </si>
  <si>
    <t>443-0092-030-00</t>
  </si>
  <si>
    <t>3317 ROSENBLATT St</t>
  </si>
  <si>
    <t>Tract 8266 - New SFA Lot 23, Plan 3A  Duplex Unit</t>
  </si>
  <si>
    <t>443-0092-034-00</t>
  </si>
  <si>
    <t>2228 ROSENBLATT St</t>
  </si>
  <si>
    <t>Tract 8266 - New SFR  Lot 27, Plan 1C</t>
  </si>
  <si>
    <t>443-0092-035-00</t>
  </si>
  <si>
    <t>2226 ROSENBLATT St</t>
  </si>
  <si>
    <t>Tract 8266 - New SFR  Lot 28, Plan 2A-R</t>
  </si>
  <si>
    <t>443-0092-037-00</t>
  </si>
  <si>
    <t>2214 ROSENBLATT St</t>
  </si>
  <si>
    <t>Tract 8266 - New SFA Lot 30, Plan 3C  Duplex Unit</t>
  </si>
  <si>
    <t>443-0092-038-00</t>
  </si>
  <si>
    <t>2208 ROSENBLATT St</t>
  </si>
  <si>
    <t>Tract 8266 - New SFA Lot 31, Plan 2C  Duplex Unit</t>
  </si>
  <si>
    <t>443-0092-039-00</t>
  </si>
  <si>
    <t>2207 SPEROS Ct</t>
  </si>
  <si>
    <t>Tract 8266 - New SFA Unit 32, Plan 2B-R</t>
  </si>
  <si>
    <t>443-0092-040-00</t>
  </si>
  <si>
    <t>2213 SPEROS Ct</t>
  </si>
  <si>
    <t>Tract 8266 - New SFA  Unit 33, Plan 3B-R</t>
  </si>
  <si>
    <t>443-0092-041-00</t>
  </si>
  <si>
    <t>2219 SPEROS Ct</t>
  </si>
  <si>
    <t>Tract 8266 - New SFD  Unit 34, Plan 3A</t>
  </si>
  <si>
    <t>443-0092-042-00</t>
  </si>
  <si>
    <t>1118 SPEROS Ct</t>
  </si>
  <si>
    <t>Tract 8266 - New SFD Unit 35, Plan 3C-R</t>
  </si>
  <si>
    <t>443-0092-043-00</t>
  </si>
  <si>
    <t>1110 SPEROS Ct</t>
  </si>
  <si>
    <t>Tract 8266 - New SFA  Unit 37, Plan 2A</t>
  </si>
  <si>
    <t>443-0092-044-00</t>
  </si>
  <si>
    <t>1114 SPEROS Ct</t>
  </si>
  <si>
    <t>Tract 8266 - New SFA Unit 36, Plan 3A</t>
  </si>
  <si>
    <t>443-0092-045-00</t>
  </si>
  <si>
    <t>1109 SPEROS Loop</t>
  </si>
  <si>
    <t>Tract 8266 - New SFA  Lot 38, Plan 2C-R Duplex unit</t>
  </si>
  <si>
    <t>443-0092-046-00</t>
  </si>
  <si>
    <t>1113 SPEROS Loop</t>
  </si>
  <si>
    <t>Tract 8266 - New SFA Lot 39, Plan 3C-R Duplex Unit</t>
  </si>
  <si>
    <t>443-0092-047-00</t>
  </si>
  <si>
    <t>1119 SPEROS Loop</t>
  </si>
  <si>
    <t>Tract 8266 - New SFR  Lot 40, Plan 2B</t>
  </si>
  <si>
    <t>443-0092-048-00</t>
  </si>
  <si>
    <t>1123 SPEROS Loop</t>
  </si>
  <si>
    <t>Tract 8266 - New SFR  Lot 41, Plan 3A</t>
  </si>
  <si>
    <t>081D-2092-010-00</t>
  </si>
  <si>
    <t>26528 Ashland Ct</t>
  </si>
  <si>
    <t>Tract 7583 - Highland Villas SFR Lot 7</t>
  </si>
  <si>
    <t>085A-6434-085-00</t>
  </si>
  <si>
    <t>9 Country Club Dr</t>
  </si>
  <si>
    <t>Tract 7737 Stonebrae New SFR Plan 6-R  Lot 62</t>
  </si>
  <si>
    <t>085A-6434-086-00</t>
  </si>
  <si>
    <t>7 Country Club Dr</t>
  </si>
  <si>
    <t>Tract 7737 Stonebrae New SFR Plan 7C-LT Lot 63</t>
  </si>
  <si>
    <t>085A-6434-087-00</t>
  </si>
  <si>
    <t>5 Country Club Dr</t>
  </si>
  <si>
    <t>Tract 7737 Stonebrae New SFR Plan 6B-RT Lot 64</t>
  </si>
  <si>
    <t>085A-6434-088-00</t>
  </si>
  <si>
    <t>3 Country Club Dr</t>
  </si>
  <si>
    <t>Tract 7737 Stonebrae New SFR Plan 5D-RT (ENH) Lot 65</t>
  </si>
  <si>
    <t>085A-6441-055-00</t>
  </si>
  <si>
    <t>91 Dunfirth Dr</t>
  </si>
  <si>
    <t>Tract 8231 Village D - New SFR Lot 45 Plan 6</t>
  </si>
  <si>
    <t>085A-6441-056-00</t>
  </si>
  <si>
    <t>93 Dunfirth Dr</t>
  </si>
  <si>
    <t>Tract 8231 Village D - New SFR Lot 46 Plan 7</t>
  </si>
  <si>
    <t>085A-6441-057-00</t>
  </si>
  <si>
    <t>95 Dunfirth Dr</t>
  </si>
  <si>
    <t>Tract 8231 Village D - New SFR Lot 47 Plan 6</t>
  </si>
  <si>
    <t>085A-6441-058-00</t>
  </si>
  <si>
    <t>97 Dunfirth Dr</t>
  </si>
  <si>
    <t>Tract 8231 Village D - New SFR Lot 48 Plan 5</t>
  </si>
  <si>
    <t>085A-6441-059-00</t>
  </si>
  <si>
    <t>99 Dunfirth Dr</t>
  </si>
  <si>
    <t>Tract 8231 Village D - New SFR Lot 49 Plan 7</t>
  </si>
  <si>
    <t>085A-6441-062-00</t>
  </si>
  <si>
    <t>105 Dunfirth Dr</t>
  </si>
  <si>
    <t>Tract 8231 Village D - New SFR Lot 52 Plan 7</t>
  </si>
  <si>
    <t>085A-6441-063-00</t>
  </si>
  <si>
    <t>107 Dunfirth Dr</t>
  </si>
  <si>
    <t>Tract 8231 Village D - New SFR Lot 53 Plan 5</t>
  </si>
  <si>
    <t>085A-6441-064-00</t>
  </si>
  <si>
    <t>109 Dunfirth Dr</t>
  </si>
  <si>
    <t>Tract 8231 Village D - New SFR Lot 54 Plan 7C-R</t>
  </si>
  <si>
    <t>085A-6441-065-00</t>
  </si>
  <si>
    <t>111 Dunfirth Dr</t>
  </si>
  <si>
    <t>Tract 8231 Village D - New SFR Lot 55 Plan 6A-R</t>
  </si>
  <si>
    <t>085A-6441-066-00</t>
  </si>
  <si>
    <t>113 Dunfirth Dr</t>
  </si>
  <si>
    <t>Tract 8231 Village D - New SFR Lot 56 Plan 5</t>
  </si>
  <si>
    <t>085A-6441-067-00</t>
  </si>
  <si>
    <t>132 Dunfirth Ct</t>
  </si>
  <si>
    <t>Tract 8231 - New SFR Lot 57 Plan 6 Elevation A</t>
  </si>
  <si>
    <t>085A-6441-068-00</t>
  </si>
  <si>
    <t>130 Dunfirth Ct</t>
  </si>
  <si>
    <t>Tract 8231 Village D - New SFR Lot 58 Plan 5</t>
  </si>
  <si>
    <t>085A-6441-069-00</t>
  </si>
  <si>
    <t>128 Dunfirth Ct</t>
  </si>
  <si>
    <t>Tract 8231 Village D - New SFR Lot 59 Plan 7</t>
  </si>
  <si>
    <t>085A-6441-070-00</t>
  </si>
  <si>
    <t>126 Dunfirth Ct</t>
  </si>
  <si>
    <t>Tract 8231 Village D - New SFR Lot 60 Plan 6</t>
  </si>
  <si>
    <t>085A-6441-072-00</t>
  </si>
  <si>
    <t>118 Dunfirth Dr</t>
  </si>
  <si>
    <t>Tract 8231 Village D - New SFR Lot 62 Plan 7</t>
  </si>
  <si>
    <t>085A-6441-073-00</t>
  </si>
  <si>
    <t>116 Dunfirth Dr</t>
  </si>
  <si>
    <t>Tract 8231 Village D - New SFR Lot 63 Plan 6</t>
  </si>
  <si>
    <t>085A-6441-074-00</t>
  </si>
  <si>
    <t>112 Dunfirth Dr</t>
  </si>
  <si>
    <t>Tract 8231 Village D - New SFR Lot 64 Plan 7</t>
  </si>
  <si>
    <t>085A-6441-075-00</t>
  </si>
  <si>
    <t>110 Dunfirth Dr</t>
  </si>
  <si>
    <t>Tract 8231 Village D - New SFR Lot 65 Plan 5</t>
  </si>
  <si>
    <t>085A-6441-076-00</t>
  </si>
  <si>
    <t>108 Dunfirth Dr</t>
  </si>
  <si>
    <t>Tract 8231 Village D - New SFR Lot 66 Plan 7</t>
  </si>
  <si>
    <t>085A-6441-077-00</t>
  </si>
  <si>
    <t>106 Dunfirth Dr</t>
  </si>
  <si>
    <t>Tract 8231 Village D - New SFR Lot 67 Plan 6</t>
  </si>
  <si>
    <t>085A-6441-078-00</t>
  </si>
  <si>
    <t>102 Dunfirth Dr</t>
  </si>
  <si>
    <t>Tract 8231 Village D - New SFR Lot 68 Plan 5</t>
  </si>
  <si>
    <t>085A-6441-079-00</t>
  </si>
  <si>
    <t>100 Dunfirth Dr</t>
  </si>
  <si>
    <t>Tract 8231 Village D - New SFR Lot 69 Plan 7</t>
  </si>
  <si>
    <t>085A-6441-080-00</t>
  </si>
  <si>
    <t>98 Dunfirth Dr</t>
  </si>
  <si>
    <t>Tract 8231 Village D - New SFR Lot 70 Plan 6</t>
  </si>
  <si>
    <t>085A-6441-081-00</t>
  </si>
  <si>
    <t>96 Dunfirth Dr</t>
  </si>
  <si>
    <t>Tract 8231 Village D - New SFR Lot 71 Plan 7</t>
  </si>
  <si>
    <t>085A-6441-082-00</t>
  </si>
  <si>
    <t>90 Dunfirth Dr</t>
  </si>
  <si>
    <t>Tract 8231 Village D - New SFR Lot 72 Plan 5</t>
  </si>
  <si>
    <t>085A-6442-085-00</t>
  </si>
  <si>
    <t>169 Sonas Dr</t>
  </si>
  <si>
    <t>Tract 8356 Model Home Lot 72 Perry Elev. B Italian</t>
  </si>
  <si>
    <t>085A-6442-086-00</t>
  </si>
  <si>
    <t>171 Sonas Dr</t>
  </si>
  <si>
    <t>Tract 8356 Model Home Lot 73 Pascal Elev. C Praire</t>
  </si>
  <si>
    <t>085A-6442-087-00</t>
  </si>
  <si>
    <t>173 Sonas Dr</t>
  </si>
  <si>
    <t>Tract 8356 Model Home Lot 74 Erickson II Elev. A Spanish</t>
  </si>
  <si>
    <t>083-0479-036-00</t>
  </si>
  <si>
    <t>29824 Cantera Dr</t>
  </si>
  <si>
    <t>Tract 7620 - New SFD Lot 127 Plan 2ALT Elevation C</t>
  </si>
  <si>
    <t>083-0479-037-00</t>
  </si>
  <si>
    <t>29820 Cantera Dr</t>
  </si>
  <si>
    <t>Tract 7620 - New SFD Lot 128 Plan 4 Elevation A</t>
  </si>
  <si>
    <t>083-0479-038-00</t>
  </si>
  <si>
    <t>29816 Cantera Dr</t>
  </si>
  <si>
    <t>Tract 7620 - New SFD Lot 129 Plan 1 Elevation B</t>
  </si>
  <si>
    <t>083-0478-092-00</t>
  </si>
  <si>
    <t>30041 Mountain View Dr</t>
  </si>
  <si>
    <t>Tract 7620 - New SFD Lot 85 Plan 1 Elevation B</t>
  </si>
  <si>
    <t>083-0478-093-00</t>
  </si>
  <si>
    <t>30037 Mountain View Dr</t>
  </si>
  <si>
    <t>Tract 7620 - New SFD Lot 86 Plan 3ALT Elevation C</t>
  </si>
  <si>
    <t>083-0478-094-00</t>
  </si>
  <si>
    <t>30033 Mountain View Dr</t>
  </si>
  <si>
    <t>Tract 7620 - New SFD Lot 87 Plan 2ALT Elevation C</t>
  </si>
  <si>
    <t>083-0478-095-00</t>
  </si>
  <si>
    <t>30029 Mountain View Dr</t>
  </si>
  <si>
    <t>Tract 7620 - New SFD Lot 88 Plan 4 Elevation A</t>
  </si>
  <si>
    <t>083-0478-097-00</t>
  </si>
  <si>
    <t>30021 Mountain View Dr</t>
  </si>
  <si>
    <t>Tract 7620 - New SFD Lot 90 Plan 2ALT Elevation B</t>
  </si>
  <si>
    <t>083-0478-098-00</t>
  </si>
  <si>
    <t>30017 Mountain View Dr</t>
  </si>
  <si>
    <t>Tract 7620 - New SFD Lot 91 Plan 4 Elevation C</t>
  </si>
  <si>
    <t>083-0478-101-00</t>
  </si>
  <si>
    <t>30005 Mountain View Dr</t>
  </si>
  <si>
    <t>Tract 7620 - New SFD Lot 94 Plan 2ALT Elevation A</t>
  </si>
  <si>
    <t>083-0478-102-00</t>
  </si>
  <si>
    <t>30001 Mountain View Dr</t>
  </si>
  <si>
    <t>Tract 7620 - New SFD Lot 95 Plan 4 Elevation A</t>
  </si>
  <si>
    <t>083-0479-005-00</t>
  </si>
  <si>
    <t>30045 Mountain View Dr</t>
  </si>
  <si>
    <t>Tract 7620 - New SFD Lot 96 Plan 1 Elevation C</t>
  </si>
  <si>
    <t>083-0479-007-00</t>
  </si>
  <si>
    <t>30053 Mountain View Dr</t>
  </si>
  <si>
    <t>Tract 7620 - New SFD Lot 98 Plan 3ALT Elevation A</t>
  </si>
  <si>
    <t>083-0479-008-00</t>
  </si>
  <si>
    <t>30057 Mountain View Dr</t>
  </si>
  <si>
    <t>Tract 7620 - New SFD Lot 99 Plan 4 Elevation B, bed 4 suite</t>
  </si>
  <si>
    <t>083-0478-008-00</t>
  </si>
  <si>
    <t>28771 Vista Grande Dr</t>
  </si>
  <si>
    <t>Tract 7620 New SFR Lot 1 Plan 1 Elevation B</t>
  </si>
  <si>
    <t>083-0478-009-00</t>
  </si>
  <si>
    <t>28767 Vista Grande Dr</t>
  </si>
  <si>
    <t>Tract 7620 New SFR Lot 2 Plan 2ALT Elevation A</t>
  </si>
  <si>
    <t>083-0478-039-00</t>
  </si>
  <si>
    <t>28772 Vista Grande Dr</t>
  </si>
  <si>
    <t>Tract 7620 New SFR Lot 32 Plan 1 Elevation A</t>
  </si>
  <si>
    <t>083-0478-040-00</t>
  </si>
  <si>
    <t>29811 Cantera Dr</t>
  </si>
  <si>
    <t>Tract 7620 New SFR Lot 33 Plan 1 Elevation C</t>
  </si>
  <si>
    <t>083-0478-041-00</t>
  </si>
  <si>
    <t>29807 Cantera Dr</t>
  </si>
  <si>
    <t>Tract 7620 New SFR Lot 34 Plan 3ALT Elevation B</t>
  </si>
  <si>
    <t>083-0478-042-00</t>
  </si>
  <si>
    <t>29803 Cantera Dr</t>
  </si>
  <si>
    <t>Tract 7620 New SFR Lot 35 Plan 2ALT Elevation C</t>
  </si>
  <si>
    <t>083-0478-043-00</t>
  </si>
  <si>
    <t>29799 Cantera Dr</t>
  </si>
  <si>
    <t>Tract 7620 New SFR Lot 36 Plan 4 Elevation A</t>
  </si>
  <si>
    <t>083-0478-044-00</t>
  </si>
  <si>
    <t>29795 Cantera Dr</t>
  </si>
  <si>
    <t>Tract 7620 New SFR Lot 37 Plan 3ALT Elevation C</t>
  </si>
  <si>
    <t>083-0478-045-00</t>
  </si>
  <si>
    <t>29791 Cantera Dr</t>
  </si>
  <si>
    <t>Tract 7620 New SFR Lot 38 Plan 2ALT Elevation B</t>
  </si>
  <si>
    <t>083-0478-046-00</t>
  </si>
  <si>
    <t>29787 Cantera Dr</t>
  </si>
  <si>
    <t>Tract 7620 New SFR Lot 39 Plan 4 Elevation C</t>
  </si>
  <si>
    <t>083-0478-047-00</t>
  </si>
  <si>
    <t>29783 Cantera Dr</t>
  </si>
  <si>
    <t>Tract 7620 New SFR Lot 40 Plan 3ALT Elevation A</t>
  </si>
  <si>
    <t>083-0478-084-00</t>
  </si>
  <si>
    <t>29784 Cantera Dr</t>
  </si>
  <si>
    <t>Tract 7620 New SFR Lot 77 Plan 2-ALT Elevation C</t>
  </si>
  <si>
    <t>083-0478-085-00</t>
  </si>
  <si>
    <t>29788 Cantera Dr</t>
  </si>
  <si>
    <t>Tract 7620 New SFR Lot 78 Plan 3ALT Elevation C</t>
  </si>
  <si>
    <t>083-0478-086-00</t>
  </si>
  <si>
    <t>29792 Cantera Dr</t>
  </si>
  <si>
    <t>Tract 7620 New SFR Lot 79 Plan 2ALT Elevation A</t>
  </si>
  <si>
    <t>083-0478-087-00</t>
  </si>
  <si>
    <t>29796 Cantera Dr</t>
  </si>
  <si>
    <t>Tract 7620 New SFR Lot 80 Plan 3ALT Elevation B</t>
  </si>
  <si>
    <t>083-0478-088-00</t>
  </si>
  <si>
    <t>29800 Cantera Dr</t>
  </si>
  <si>
    <t>Tract 7620 New SFR Lot 81 Plan 2ALT Elevation B</t>
  </si>
  <si>
    <t>083-0478-089-00</t>
  </si>
  <si>
    <t>29804 Cantera Dr</t>
  </si>
  <si>
    <t>Tract 7620 New SFR Lot 82 Plan 4 Elevation B</t>
  </si>
  <si>
    <t>083-0478-090-00</t>
  </si>
  <si>
    <t>29808 Cantera Dr</t>
  </si>
  <si>
    <t>Tract 7620 New SFR Lot 83 Plan 2ALT Elevation A</t>
  </si>
  <si>
    <t>083-0478-091-00</t>
  </si>
  <si>
    <t>29812 Cantera Dr</t>
  </si>
  <si>
    <t>Tract 7620 New SFR Lot 84 Plan 1 Elevation A</t>
  </si>
  <si>
    <t>24751 Oneil Ave</t>
  </si>
  <si>
    <t>DEMO (E) HOME  1100 SQ FT</t>
  </si>
  <si>
    <t>1277 Walpert St</t>
  </si>
  <si>
    <t>Demo existing duplex, J#5F073</t>
  </si>
  <si>
    <t>2-4</t>
  </si>
  <si>
    <t>428-0061-013-02</t>
  </si>
  <si>
    <t>22491 Maple Ct</t>
  </si>
  <si>
    <t>Demolish SFR, Garage, 2nd Unit and shed (1800 sq ft)</t>
  </si>
  <si>
    <t>441-0077-002-02</t>
  </si>
  <si>
    <t>24655 Mohr Dr</t>
  </si>
  <si>
    <t>Demolish structure- 900 SF house/1150 SF Garage</t>
  </si>
  <si>
    <t>24659 Mohr Dr</t>
  </si>
  <si>
    <t>Demolish structure- 900 SF house/850 SF shed</t>
  </si>
  <si>
    <t>441-0077-025-02</t>
  </si>
  <si>
    <t>24570 Eden Ave</t>
  </si>
  <si>
    <t>Demolish structure- 980 sf &amp; 330 sf garage</t>
  </si>
  <si>
    <t>415-0180-075-00</t>
  </si>
  <si>
    <t>1435 Grove Way</t>
  </si>
  <si>
    <t>Demolition of fire damaged structures including foundations</t>
  </si>
  <si>
    <t>453-0010-046-02</t>
  </si>
  <si>
    <t>26320 Gading Rd</t>
  </si>
  <si>
    <t>DEMO SINGLE FAMILY HOME - J# 5E109</t>
  </si>
  <si>
    <t>465-0070-002-02</t>
  </si>
  <si>
    <t>29238 Ruus Rd</t>
  </si>
  <si>
    <t>Demo single family home  J# 5C956 remove septic box</t>
  </si>
  <si>
    <t>416-0110-025-00</t>
  </si>
  <si>
    <t>1976 Wingate Way</t>
  </si>
  <si>
    <t>2570 sq ft, 420 SF garage,patio 1715 sf;</t>
  </si>
  <si>
    <t>452-0068-029-00</t>
  </si>
  <si>
    <t>27768 E 12th St</t>
  </si>
  <si>
    <t>demo existing SFD, three walls to remain, adding 763 to</t>
  </si>
  <si>
    <t>Demolished</t>
  </si>
  <si>
    <t>N</t>
  </si>
  <si>
    <t>Y</t>
  </si>
  <si>
    <t>Housing Rehabilitation Loan Program</t>
  </si>
  <si>
    <t xml:space="preserve">H-1.2 Preserve Affordable Single family Homes.  </t>
  </si>
  <si>
    <t>Ongoing</t>
  </si>
  <si>
    <t>Minor Home Repair Grant (MHRP)</t>
  </si>
  <si>
    <t>H-1.3 Residential Rehabilitation. Assist lower-income elderly and/or disabled homeowners to make minor home repairs in order to address health and safe issues, correct code violations, and address systems failures</t>
  </si>
  <si>
    <t>Ongoing subject to CDBG funding availability</t>
  </si>
  <si>
    <t>Residential Rental Inspection Program</t>
  </si>
  <si>
    <t>H-1.1 Code enforcement. Safeguard the stock of safe, sanitary rental units within the City and protect local residents through systematic inspection of rental housing throughout the City.</t>
  </si>
  <si>
    <t>Preservation of At-Risk Housing</t>
  </si>
  <si>
    <t>H-1.4 Preserve at-risk Units. Avoid the loss of assisted housing units and the resulting displacement of low income residents</t>
  </si>
  <si>
    <t>Foreclosure Prevention and Counseling</t>
  </si>
  <si>
    <t>H.1-5 Address foreclosures. To preserve homeownership and promote neighborhood stability.</t>
  </si>
  <si>
    <t>Mortgage Credit Certificate Program</t>
  </si>
  <si>
    <t>H-2.1 Homeownership Housing To assist tenants to become homeowners to reach a 60 percent ownership occupancy rate, within the parameters of federal and state housing laws</t>
  </si>
  <si>
    <t>Tenant-Based Rental Assistance for Emancipated Youth</t>
  </si>
  <si>
    <t>H-6.1 Address Special Housing Needs.  To promote housing, along with supportive services, for household with special needs, including seniors, persons with disabilities, single-parents, and the homeless</t>
  </si>
  <si>
    <t>Ongoing subject to availability of HOME fund</t>
  </si>
  <si>
    <t>Affordable Housing Development</t>
  </si>
  <si>
    <t>H-2.2 Provide Incentives for Affordable Housing. Assist in the provision of housing that meet the needs of all socioeconomic segments of the community</t>
  </si>
  <si>
    <t>2015-2017; Ongoing</t>
  </si>
  <si>
    <t>Density Bonus</t>
  </si>
  <si>
    <t>H-2.2 Provide Incentives for Affordable Housing. The City shall promote the use of density bonuses and other incentives to facilitate the development of new housing for extremely low, very low, and low-income households.  development</t>
  </si>
  <si>
    <t xml:space="preserve">In 2018, the City did not process any requests for a Density Bonus; however, the City is currently processing two applications for affordable housing developments with density bonuses. This policy supports the use of other incentives, one of which is flexibility in application of the City's Inclusionary Housing Ordinance. Specifically, Hayward Municipal Code (HMC) Section 10-17.230 allows developers to submit Additional Alternatives not described in the Affordbale Housing Ordinance if the alternative will provide a greater benefit to the City than the other options described in the Ordinance. In the case of the Sohay development which was approved on May 8, 2018, City staff worked with the developer to add a multi-family rental component to the mixed commercial/townhouse development and to set aside more low-income rental units that required by the Ordinance in exchange for flexibility in the percentage of the for sale inclusionary requirement for the townhome development. Specifically, the developer is required to deed restrict 27% of the rental units for low-income households where six percent would be required per the Ordinance, and to provide seven percent for sale units for moderate-income households where 10% would be required. </t>
  </si>
  <si>
    <t xml:space="preserve">No Net Loss Zoning </t>
  </si>
  <si>
    <t>H-3.10 No Net Loss Zoning. Consistent with Government Code 65863, the City shall consider the impacts of rezoning and General Plan Amendments of residential sites on the City's ability to meet its share of the regional housing need.  location, price, and tenure.</t>
  </si>
  <si>
    <t>Annual</t>
  </si>
  <si>
    <t xml:space="preserve">City Planning staff evaluates all development projects that include a rezoning component to determine if there will be a net loss related to rezoning property, and specifically any sites that were identified in the Housing Element. In 2018, the City did not adopt any General Plan amendments to the Land Use Element that would have resulted in a reduction in the amount of land that could be developed for residential purposes. This policy will continue to be implemented on an ongoing basis. </t>
  </si>
  <si>
    <t>Affordable Housing Development on Large Sites</t>
  </si>
  <si>
    <t>H3.1 Diversity of Housing Types.  Allow for a range of residential densities and housing types, prices, ownership, and size, including low-density single-family uses, moderate-density townhomes, and higher-density apartments, transit oriented developments, etc.</t>
  </si>
  <si>
    <t xml:space="preserve">Affordable housing on large sites is encouraged through early discussions with residential developers who are referred to the City's inventory of vacant and underutilized residential and mixed use sites that can accommodate the City's Regional Housing Needs Allocation (RHNA). </t>
  </si>
  <si>
    <t>Inclusionary Housing Ordinance</t>
  </si>
  <si>
    <t>H-2.3 Inclusionary Housing Assist in the provision of housing that meet the needs of all socioeconomic segments of the community.</t>
  </si>
  <si>
    <t>Funding for Emergency Shelters and Transitional Housing</t>
  </si>
  <si>
    <t>H-Goal 6. To provide housing choices that serve the needs of special needs populations, including seniors, homeless, female headed households, large families, and persons with disabilities, including developmental disabilities</t>
  </si>
  <si>
    <t>Fair Housing Services</t>
  </si>
  <si>
    <t>H-5.1 Fair Housing Services.  To support service and programs that eliminate housing discrimination</t>
  </si>
  <si>
    <t>Universal Design Principles</t>
  </si>
  <si>
    <t>H-6.1 Address Special Housing Needs and H-6.7 Range of Housing for Seniors. Provide housing choices that serve the needs of special needs populations, including seniors, homeless, female headed households, large families, and persons with disabilities, including developmental disabilities</t>
  </si>
  <si>
    <t xml:space="preserve">The City's Building Division follows the 2016 California Building Code Part 2, Volume 1, Chapters 11A, Housing Accessibility, and 11B, Accessibility to Public Buildings, Commercial Buildings and Public Housing when evaluating all proposed developments. These chapters apply to all new multi-family residential development and require that a certain percentage of units within a multi-family residential development be adaptable and accessible. This policy will continue to be implemented on a case by case basis. </t>
  </si>
  <si>
    <t>Small Lot Consolidation</t>
  </si>
  <si>
    <t>H-4.2 Clear Development Standards and Approval Procedures. Allow for a range of residential densities and housing types, prices, ownership, and size, including low-density single-family uses, moderate-density townhomes, and higher-density apartments, transit oriented developments, etc.</t>
  </si>
  <si>
    <t>In 2018, the City approved the Sohay development on an approximately 25-acre site that was composed of 21 seperate small parcels that were purchased and consolidated to create a large-scale, mixed use and mixed income development. The project consists of 472 residential units (72 multi-family homes and 400 townhomes) with 48 units available to low- and moderate-income hosueholds, and 20,000 square feet of ground floor retail along Mission Boulevard within one-half mile of the South Hayward BART Station. The City Planning Division provides site information to all interested developers and gap financing assistance, as available, to nonprofit housing developers. Lot consolidation is accomplished on a case by case basis depending on the development project.</t>
  </si>
  <si>
    <t>Boomerang Funds</t>
  </si>
  <si>
    <t>H-2.2 Provide Incentives for Affordable Housing.  Assist in the provision of housing that meet the needs of all socioeconomic segments of the community.</t>
  </si>
  <si>
    <t>2018-2020</t>
  </si>
  <si>
    <t>Exemptions of Transit Priority Projects from Environmental Review</t>
  </si>
  <si>
    <t>H-3.2 Transit oriented development.  Mitigate any potential constraints to housing production and affordability</t>
  </si>
  <si>
    <t xml:space="preserve">The City utilizes Class 32, Infill Exemptions for all projects that qualify and are consistent with General Plan and Zoning. In 2018, the City utilized CEQA Guidelines Appendix N, Infill Environmental Checklist to streamline development of the Smalley townhome project consisting of eight townhomes, one of which would be deed restricted for a moderate-income household. In 2018, the City also made strides in developing the Downtown Hayward Specific Plan and related Environmental Impact Report which is partially funded by the Alameda County Transportation Commission (ACTC). One of the main objectives of the  Downtown Specific Plan EIR is to allow projects consistent with the plan to tier off the EIR, and streamline environmental analysis. The plan is going to the City Council for adoption in April 2019. The City will continue to implement this policy on a case by case basis. </t>
  </si>
  <si>
    <t>Housing Choice Vouchers (HCV)</t>
  </si>
  <si>
    <t>H-2.4 Integration of Affordable Housing.  Assist in the provision of housing that meet the needs of all socioeconomic segments of the community.</t>
  </si>
  <si>
    <t>Outreach to Developmentally Disabled</t>
  </si>
  <si>
    <t>H-6.2 Housing and Supportive Services. To provide housing choices that serve the needs of special needs populations persons with disabilities, including developmental disabilities.</t>
  </si>
  <si>
    <t>The City allowed the recapitalization of the project in order to complete needed rehab and to cross collateralize stable affordable housing project with a naturally occuring affordable housing project that was in need of extensive rehabiliation and conversion to affordable housing</t>
  </si>
  <si>
    <t>City allowed the develoepr to leverage financial resources of a stable City assisted affordable housing project to fund the acquistion and rehabilitation of a 68 unit naturally occuring affordable housing project to convert the project to restricted affordable housing.</t>
  </si>
  <si>
    <t xml:space="preserve">During the reporting period, the City expanded its partnerships with nonprofit housing rehabilitation agency Habitat for Humanity ($150,000) to provide property rehabilitation assistance to targeted Hayward homeowners. Habitat for Humanity  leverages CDBG and Measure A1 funds to offer deferred loans to single-family homeowners whose properties require substantial rehabilitation. </t>
  </si>
  <si>
    <t xml:space="preserve">The City has 6,073 active rental properties with a total of 22,008 units (includes single-family, multi-family, apartments, condos, hotels, and motels) enrolled in the Rental Inspection Program. In 2018, the City opened 171 new rental cases for 657 units and conducted a minimum of one inspection and often more for each of those cases. This is an ongoing program. </t>
  </si>
  <si>
    <t>The City continues to provide assistance to at-risk homeowners through partnerships with HUD-approved non-profit counseling organizations. However, major outreach events have been discontinued due to significant decline in the rate of foreclosures and the recovery of the local real estate</t>
  </si>
  <si>
    <t>The City contributes towards the administration costs of the MCC program, which is administered by the Alameda County Housing and Community Development Department (HCD). The MCC program allows low- and moderate-income homebuyers to deduct 15% of their annual mortgage interest payments on their federal income tax returns, effectively lowering the dollar amount of their monthly mortgage payments. In 2018, three (3) Hayward homebuyers obtained an MCC allocation.</t>
  </si>
  <si>
    <t>Over $218,000 were provided to Project Independence, a program implemented by a non-profit organization that provides tenant-based rental assistance to emancipated youth.  Thirty-three (33) Hayward at-risk youth were housed through this program.</t>
  </si>
  <si>
    <t xml:space="preserve">In 2018 the City provided $54,000 to a local non-profit organization to conduct fair housing activities including annual audits, tests, investigation of complaints and fair housing workshops.  This organization also provided landlord-tenant mediation services, know-your rights workshops and other educational services to both tenants and landlords. </t>
  </si>
  <si>
    <t>The City continues to monitor all units considered at risk of conversion to market rate and assist property owners in maintaining affordability of these units.  The City supports and assists property owners in applying for State and Federal funding to preserve at-risk housing, and a as funding permits, shall provide financial assistance to nonprofit housing developers in the acquisition and rehabilitation of at-risk housing projects. In 2018, the City agreed to modify and subordinate the its regulatory agreement on Tennyson Gardens, a 96-unit multifamily housing complex, to secure funding for the rehabilitation of the property.  As a condition of the modification, the City extended the regulatory term 17 years to restart the 55-year term.  In addition to the the revitilization of the City funded project, the City allowed the the cross collateralization of the City funded project (Tennyson Gardens) with a 62-unit market rate development (Faith Manor) and as a result was converted all 62 units from market rate to very low and low income housing thereby preserving and rehabilitation naturally occuring affordable housing. The City will continue to proactively engage with owners of affordable housing to identify resources to maintain the units as affordable.  </t>
  </si>
  <si>
    <t xml:space="preserve">The City continues to partner with housing developers to identify affordable housing development opportunities with emphasis on promoting housing choices that serve the needs of special needs populations, including seniors, homeless, female-headed households, large families and persons with disabilities, including developmental disabilities. In 2018 the City issued a Notice of Funding Availability (NOFA) to use local housing funds to incentivize the development of affordable projects.  The City utilized Hayward Housing Authority Funds, Inclusionary Housing Funds, HOME funds, and Hayward's allocation of Measure A1 bond funds. Three projects were award funds totaling $28.6 million which will create 259 units of affordable housing. Two of the projects were provided matching funds to apply for Alameda County A1 Bond funds and were awarded almost $10 million from the County. As a result of the NOFA, two market rate projects (Matsya Villas entitled in 2017 and Mission Paradise entitled in 2018), were converted to 100% affordable projects. These projects will provide housing to households earning between 20% of the Area Median Income and 80% of the Area Median Income serving seniors, families, individuals, veterans and people experiencing homelessness. A fourth project was not awarded funds but continues to pursue other funding sources to develop 140 units of affordable housing.   </t>
  </si>
  <si>
    <t>In December 2017, the City Council amended the Affordable Housing Ordinance (AHO) and the results, in 2018, residential development projects were required to comply with the new requirements. All ownership and rental residential development proposals of 2 units or more are subject to the AHO. As required by the AHO, during 2017, the City council approved an increase of the per-sq.-ft.-affordable fees.  To increase housing diversity, developers have to option to, 1) pay in-lieu fee that will be used to support affordable housing, 2) include on-site affordable units, 3) construct off-site affordable units, or 4) propose additional alternatives for consideration. In 2018, the City entered into an Affordable Housing Agreement with one developer to provide 20 units of affordable rental housing to low-income households and 28 units of affordable ownership housing for moderate income households in a 472 unit project.  Additionally, the City has approved another project that will provide one moderate income ownership unit in an eight-unit townhouse project.  Additionally, there were 455 units approved that will generate revenue to incentivize the development of affordable housing which is advertised through the the City's Notice of Funding Availability (see additional info on NOFA under Affordable Housing Development Program H-2.2 above).</t>
  </si>
  <si>
    <t xml:space="preserve">The City has continued exploring different funding mechanisms to finance affordable housing.  However, the adoption of those mechanisms has been limited by the full recovery of the local economy.  Particularly, the City has not implemented a Boomerang funding program due to the City's ongoing deficit in the General Fund and the need to continue ongoing critical services to the community.  However, the City awarded $28.6 million in local houisng funds to incentivize the development of affordable housing (see additional info in Affordable Housing Development Program H-2.2 above). The City utilized Hayward Housing Authority Funds, Inclusionary Housing Funds, HOME funds, and Hayward's allocation of Alameda County's Measure A1 bond funds. </t>
  </si>
  <si>
    <t xml:space="preserve">The City has continued to participate in the Housing Choice Voucher Program, administered by the Housing Authority of the Alameda County.  There were a total 1,910 program participants utilizing vouchers and 44 utilizing certificates to reside in Hayward, for a total 1,954 households benefitting from the HCV program. </t>
  </si>
  <si>
    <t xml:space="preserve">The City awarded Measure B/BB transportation funds to local disability serving non-profits including: 
(1)  LIFE ElderCare: Same-day transportation through LYFT and UBER;  volunteer driver program for those with door-through-door needs
(2) Community Resources for Independent Living:  Travel Training and rental available wheelchair modified vehicles;
(3) Services Opportunities for Seniors:  in home meal delivery for homebound seniors. </t>
  </si>
  <si>
    <t>During the reporting period, the City expanded its partnerships with nonprofit housing rehabilitation agency Rebuilding Together Oakland/East Bay  ($150,000) to provide property rehabilitation assistance to targeted Hayward homeowners. Rebuilding Together expanded its minor home repair grants for safety assessments and modifications to single-family and mobile homeowners. A total of 23 properties were rehabilitated under this program in 2018. In addition, the City continues to operate Brace and Bolt, a seismic retrofit grant program available to qualified applicants.</t>
  </si>
  <si>
    <t xml:space="preserve">In 2018, the City funded the following organizations providing housing choices for special needs populations:
•	Ruby’s Place - Shelter for victims of domestic violence and human trafficking was given $34,000 and served 74 individuals in 2018.
•	FESCO - Shelter for homeless families and children was given $34,000 and served 54 individuals in 2018.
•	AC Impact and HOPE Outreach - Outreach to homeless to move individuals into permanent supportive housing was given $39,000 and served 15 individuals in 2018. 
Funding for shelters and housing totaled $107,000. </t>
  </si>
  <si>
    <t xml:space="preserve">Using a combination of CalHOME, CDBG and Inclusionary Housing Trust Funds. Restrictions will be combination of Inclusionary Housing depending on funding sources </t>
  </si>
  <si>
    <t>CalHOME, CDBG,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</si>
</sst>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m/d/yy;@"/>
    <numFmt numFmtId="165" formatCode="_(* #,##0_);_(* \(#,##0\);_(* &quot;-&quot;??_);_(@_)"/>
    <numFmt numFmtId="166" formatCode="[&lt;=9999999]###\-####;\(###\)\ ###\-####"/>
    <numFmt numFmtId="167" formatCode="00000"/>
    <numFmt numFmtId="168" formatCode="mm/dd/yyyy"/>
    <numFmt numFmtId="169" formatCode="yyyy\-mm\-dd"/>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u/>
      <sz val="10"/>
      <color rgb="FF0000FF"/>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thin">
        <color indexed="64"/>
      </right>
      <top style="thin">
        <color indexed="64"/>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43" fillId="0" borderId="0" xfId="7" applyFont="1" applyAlignment="1" applyProtection="1">
      <alignment horizontal="left"/>
      <protection locked="0"/>
    </xf>
    <xf numFmtId="168" fontId="3" fillId="0" borderId="0" xfId="0" applyNumberFormat="1" applyFont="1" applyProtection="1">
      <protection locked="0"/>
    </xf>
    <xf numFmtId="14" fontId="3" fillId="0" borderId="0" xfId="0" applyNumberFormat="1" applyFont="1" applyProtection="1">
      <protection locked="0"/>
    </xf>
    <xf numFmtId="0" fontId="3" fillId="0" borderId="27" xfId="0" applyFont="1" applyBorder="1" applyProtection="1">
      <protection locked="0"/>
    </xf>
    <xf numFmtId="0" fontId="3" fillId="0" borderId="55" xfId="0" applyFont="1" applyBorder="1" applyProtection="1">
      <protection locked="0"/>
    </xf>
    <xf numFmtId="0" fontId="33" fillId="0" borderId="0" xfId="0" applyFont="1" applyProtection="1">
      <protection locked="0"/>
    </xf>
    <xf numFmtId="1" fontId="33" fillId="0" borderId="0" xfId="0" applyNumberFormat="1" applyFont="1" applyProtection="1">
      <protection locked="0"/>
    </xf>
    <xf numFmtId="14" fontId="33" fillId="0" borderId="0" xfId="0" applyNumberFormat="1" applyFont="1" applyProtection="1">
      <protection locked="0"/>
    </xf>
    <xf numFmtId="169" fontId="33" fillId="0" borderId="0" xfId="0" applyNumberFormat="1" applyFont="1" applyProtection="1">
      <protection locked="0"/>
    </xf>
    <xf numFmtId="16" fontId="3" fillId="0" borderId="0" xfId="0" quotePrefix="1" applyNumberFormat="1" applyFont="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05" t="s">
        <v>130</v>
      </c>
      <c r="B1" s="306"/>
      <c r="C1" s="306"/>
      <c r="D1" s="306"/>
      <c r="E1" s="306"/>
      <c r="F1" s="307"/>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4" t="s">
        <v>51</v>
      </c>
      <c r="B3" s="315"/>
      <c r="C3" s="316"/>
      <c r="E3" s="308" t="s">
        <v>131</v>
      </c>
      <c r="F3" s="309"/>
    </row>
    <row r="4" spans="1:12" ht="21.6" customHeight="1" x14ac:dyDescent="0.25">
      <c r="A4" s="30" t="s">
        <v>125</v>
      </c>
      <c r="B4" s="319" t="s">
        <v>1237</v>
      </c>
      <c r="C4" s="320"/>
      <c r="D4" s="24"/>
      <c r="E4" s="310" t="s">
        <v>1377</v>
      </c>
      <c r="F4" s="311"/>
      <c r="L4" s="23"/>
    </row>
    <row r="5" spans="1:12" ht="21.6" customHeight="1" thickBot="1" x14ac:dyDescent="0.3">
      <c r="A5" s="31" t="s">
        <v>126</v>
      </c>
      <c r="B5" s="317">
        <v>2018</v>
      </c>
      <c r="C5" s="318"/>
      <c r="D5" s="23"/>
      <c r="E5" s="310"/>
      <c r="F5" s="311"/>
      <c r="G5" s="23"/>
      <c r="H5" s="23"/>
      <c r="I5" s="23"/>
      <c r="J5" s="23"/>
      <c r="K5" s="23"/>
      <c r="L5" s="23"/>
    </row>
    <row r="6" spans="1:12" ht="21.6" customHeight="1" x14ac:dyDescent="0.25">
      <c r="A6" s="321" t="s">
        <v>124</v>
      </c>
      <c r="B6" s="322"/>
      <c r="C6" s="323"/>
      <c r="D6" s="23"/>
      <c r="E6" s="310"/>
      <c r="F6" s="311"/>
      <c r="G6" s="23"/>
      <c r="H6" s="23"/>
      <c r="I6" s="23"/>
      <c r="J6" s="23"/>
      <c r="K6" s="23"/>
      <c r="L6" s="23"/>
    </row>
    <row r="7" spans="1:12" ht="21.6" customHeight="1" x14ac:dyDescent="0.25">
      <c r="A7" s="29" t="s">
        <v>121</v>
      </c>
      <c r="B7" s="324" t="s">
        <v>1382</v>
      </c>
      <c r="C7" s="325"/>
      <c r="D7" s="25"/>
      <c r="E7" s="310"/>
      <c r="F7" s="311"/>
      <c r="G7" s="23"/>
      <c r="H7" s="23"/>
      <c r="I7" s="23"/>
      <c r="J7" s="23"/>
      <c r="K7" s="23"/>
      <c r="L7" s="23"/>
    </row>
    <row r="8" spans="1:12" ht="21.6" customHeight="1" x14ac:dyDescent="0.25">
      <c r="A8" s="30" t="s">
        <v>122</v>
      </c>
      <c r="B8" s="324" t="s">
        <v>1383</v>
      </c>
      <c r="C8" s="325"/>
      <c r="D8" s="23"/>
      <c r="E8" s="310"/>
      <c r="F8" s="311"/>
      <c r="G8" s="23"/>
      <c r="H8" s="23"/>
      <c r="I8" s="23"/>
      <c r="J8" s="23"/>
      <c r="K8" s="23"/>
      <c r="L8" s="23"/>
    </row>
    <row r="9" spans="1:12" ht="21.6" customHeight="1" x14ac:dyDescent="0.25">
      <c r="A9" s="30" t="s">
        <v>127</v>
      </c>
      <c r="B9" s="324" t="s">
        <v>1384</v>
      </c>
      <c r="C9" s="325"/>
      <c r="D9" s="23"/>
      <c r="E9" s="310"/>
      <c r="F9" s="311"/>
      <c r="G9" s="23"/>
      <c r="H9" s="23"/>
      <c r="I9" s="23"/>
      <c r="J9" s="23"/>
      <c r="K9" s="23"/>
      <c r="L9" s="23"/>
    </row>
    <row r="10" spans="1:12" ht="21.6" customHeight="1" x14ac:dyDescent="0.25">
      <c r="A10" s="30" t="s">
        <v>128</v>
      </c>
      <c r="B10" s="326" t="s">
        <v>1385</v>
      </c>
      <c r="C10" s="325"/>
      <c r="D10" s="23"/>
      <c r="E10" s="310"/>
      <c r="F10" s="311"/>
      <c r="G10" s="23"/>
      <c r="H10" s="23"/>
      <c r="I10" s="23"/>
      <c r="J10" s="23"/>
      <c r="K10" s="23"/>
      <c r="L10" s="23"/>
    </row>
    <row r="11" spans="1:12" ht="21.6" customHeight="1" thickBot="1" x14ac:dyDescent="0.3">
      <c r="A11" s="32" t="s">
        <v>129</v>
      </c>
      <c r="B11" s="327">
        <v>5105834113</v>
      </c>
      <c r="C11" s="328"/>
      <c r="D11" s="23"/>
      <c r="E11" s="310"/>
      <c r="F11" s="311"/>
      <c r="G11" s="23"/>
      <c r="H11" s="23"/>
      <c r="I11" s="23"/>
      <c r="J11" s="23"/>
      <c r="K11" s="23"/>
      <c r="L11" s="23"/>
    </row>
    <row r="12" spans="1:12" ht="21.6" customHeight="1" x14ac:dyDescent="0.25">
      <c r="A12" s="329" t="s">
        <v>123</v>
      </c>
      <c r="B12" s="330"/>
      <c r="C12" s="331"/>
      <c r="D12" s="23"/>
      <c r="E12" s="310"/>
      <c r="F12" s="311"/>
      <c r="G12" s="23"/>
      <c r="H12" s="23"/>
      <c r="I12" s="23"/>
      <c r="J12" s="23"/>
      <c r="K12" s="23"/>
      <c r="L12" s="23"/>
    </row>
    <row r="13" spans="1:12" ht="21.6" customHeight="1" x14ac:dyDescent="0.25">
      <c r="A13" s="28" t="s">
        <v>2</v>
      </c>
      <c r="B13" s="301" t="s">
        <v>1386</v>
      </c>
      <c r="C13" s="302"/>
      <c r="D13" s="26"/>
      <c r="E13" s="310"/>
      <c r="F13" s="311"/>
      <c r="G13" s="26"/>
      <c r="H13" s="26"/>
      <c r="I13" s="26"/>
      <c r="J13" s="26"/>
      <c r="K13" s="26"/>
      <c r="L13" s="23"/>
    </row>
    <row r="14" spans="1:12" ht="21.6" customHeight="1" x14ac:dyDescent="0.25">
      <c r="A14" s="27" t="s">
        <v>119</v>
      </c>
      <c r="B14" s="303" t="s">
        <v>1237</v>
      </c>
      <c r="C14" s="303"/>
      <c r="D14" s="23"/>
      <c r="E14" s="310"/>
      <c r="F14" s="311"/>
      <c r="G14" s="23"/>
      <c r="H14" s="23"/>
      <c r="I14" s="23"/>
      <c r="J14" s="23"/>
      <c r="K14" s="23"/>
      <c r="L14" s="23"/>
    </row>
    <row r="15" spans="1:12" ht="21.6" customHeight="1" thickBot="1" x14ac:dyDescent="0.3">
      <c r="A15" s="27" t="s">
        <v>120</v>
      </c>
      <c r="B15" s="304">
        <v>94541</v>
      </c>
      <c r="C15" s="304"/>
      <c r="D15" s="24"/>
      <c r="E15" s="312"/>
      <c r="F15" s="313"/>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C56" sqref="C56"/>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44" t="s">
        <v>8</v>
      </c>
      <c r="B1" s="344"/>
      <c r="C1" s="344"/>
      <c r="D1" s="344"/>
      <c r="E1" s="344"/>
      <c r="F1" s="344"/>
      <c r="G1" s="344"/>
      <c r="H1" s="344"/>
      <c r="I1" s="344"/>
      <c r="J1" s="344"/>
      <c r="K1" s="344"/>
      <c r="L1" s="344"/>
      <c r="M1" s="344"/>
      <c r="N1" s="344"/>
      <c r="O1" s="344"/>
      <c r="P1" s="344"/>
      <c r="Q1" s="344"/>
      <c r="R1" s="344"/>
      <c r="S1" s="344"/>
      <c r="T1" s="344"/>
      <c r="U1" s="3"/>
      <c r="V1" s="3"/>
      <c r="W1" s="3"/>
    </row>
    <row r="2" spans="1:23" s="217" customFormat="1" ht="23.25" x14ac:dyDescent="0.35">
      <c r="A2" s="344" t="s">
        <v>9</v>
      </c>
      <c r="B2" s="344"/>
      <c r="C2" s="344"/>
      <c r="D2" s="344"/>
      <c r="E2" s="344"/>
      <c r="F2" s="344"/>
      <c r="G2" s="344"/>
      <c r="H2" s="344"/>
      <c r="I2" s="344"/>
      <c r="J2" s="344"/>
      <c r="K2" s="344"/>
      <c r="L2" s="344"/>
      <c r="M2" s="344"/>
      <c r="N2" s="344"/>
      <c r="O2" s="344"/>
      <c r="P2" s="344"/>
      <c r="Q2" s="344"/>
      <c r="R2" s="344"/>
      <c r="S2" s="344"/>
      <c r="T2" s="344"/>
      <c r="U2" s="4"/>
      <c r="V2" s="4"/>
      <c r="W2" s="4"/>
    </row>
    <row r="3" spans="1:23" s="217" customFormat="1" ht="15.75" customHeight="1" x14ac:dyDescent="0.2">
      <c r="A3" s="345" t="s">
        <v>1375</v>
      </c>
      <c r="B3" s="345"/>
      <c r="C3" s="345"/>
      <c r="D3" s="345"/>
      <c r="E3" s="345"/>
      <c r="F3" s="345"/>
      <c r="G3" s="345"/>
      <c r="H3" s="345"/>
      <c r="I3" s="345"/>
      <c r="J3" s="345"/>
      <c r="K3" s="345"/>
      <c r="L3" s="345"/>
      <c r="M3" s="345"/>
      <c r="N3" s="345"/>
      <c r="O3" s="345"/>
      <c r="P3" s="345"/>
      <c r="Q3" s="345"/>
      <c r="R3" s="345"/>
      <c r="S3" s="345"/>
      <c r="T3" s="345"/>
      <c r="U3" s="21"/>
      <c r="V3" s="21"/>
      <c r="W3" s="21"/>
    </row>
    <row r="4" spans="1:23" s="2" customFormat="1" ht="12.75" x14ac:dyDescent="0.2">
      <c r="A4" s="256" t="s">
        <v>10</v>
      </c>
      <c r="B4" s="201" t="str">
        <f>'Start Here'!B4:D4</f>
        <v>Hayward</v>
      </c>
      <c r="C4" s="257"/>
      <c r="L4" s="338" t="s">
        <v>1374</v>
      </c>
      <c r="M4" s="339"/>
      <c r="N4" s="339"/>
      <c r="O4" s="340"/>
    </row>
    <row r="5" spans="1:23" s="2" customFormat="1" ht="12.75" x14ac:dyDescent="0.2">
      <c r="A5" s="258" t="s">
        <v>36</v>
      </c>
      <c r="B5" s="202">
        <f>'Start Here'!B5</f>
        <v>2018</v>
      </c>
      <c r="C5" s="260" t="str">
        <f>'Table A2'!C5</f>
        <v>(Jan. 1 - Dec. 31)</v>
      </c>
      <c r="D5" s="7"/>
      <c r="L5" s="341" t="s">
        <v>106</v>
      </c>
      <c r="M5" s="342"/>
      <c r="N5" s="342"/>
      <c r="O5" s="343"/>
    </row>
    <row r="6" spans="1:23" s="217" customFormat="1" x14ac:dyDescent="0.2"/>
    <row r="7" spans="1:23" s="16" customFormat="1" ht="18" x14ac:dyDescent="0.25">
      <c r="A7" s="335" t="s">
        <v>0</v>
      </c>
      <c r="B7" s="336"/>
      <c r="C7" s="336"/>
      <c r="D7" s="336"/>
      <c r="E7" s="336"/>
      <c r="F7" s="336"/>
      <c r="G7" s="336"/>
      <c r="H7" s="336"/>
      <c r="I7" s="336"/>
      <c r="J7" s="336"/>
      <c r="K7" s="336"/>
      <c r="L7" s="336"/>
      <c r="M7" s="336"/>
      <c r="N7" s="336"/>
      <c r="O7" s="336"/>
      <c r="P7" s="336"/>
      <c r="Q7" s="336"/>
      <c r="R7" s="336"/>
      <c r="S7" s="336"/>
      <c r="T7" s="337"/>
    </row>
    <row r="8" spans="1:23" s="16" customFormat="1" ht="18" x14ac:dyDescent="0.2">
      <c r="A8" s="332" t="s">
        <v>64</v>
      </c>
      <c r="B8" s="333"/>
      <c r="C8" s="333"/>
      <c r="D8" s="333"/>
      <c r="E8" s="333"/>
      <c r="F8" s="333"/>
      <c r="G8" s="333"/>
      <c r="H8" s="333"/>
      <c r="I8" s="333"/>
      <c r="J8" s="333"/>
      <c r="K8" s="333"/>
      <c r="L8" s="333"/>
      <c r="M8" s="333"/>
      <c r="N8" s="333"/>
      <c r="O8" s="333"/>
      <c r="P8" s="333"/>
      <c r="Q8" s="333"/>
      <c r="R8" s="333"/>
      <c r="S8" s="333"/>
      <c r="T8" s="334"/>
    </row>
    <row r="9" spans="1:23" s="16" customFormat="1" ht="63" x14ac:dyDescent="0.2">
      <c r="A9" s="351" t="s">
        <v>43</v>
      </c>
      <c r="B9" s="352"/>
      <c r="C9" s="352"/>
      <c r="D9" s="352"/>
      <c r="E9" s="353"/>
      <c r="F9" s="351" t="s">
        <v>112</v>
      </c>
      <c r="G9" s="353"/>
      <c r="H9" s="192" t="s">
        <v>63</v>
      </c>
      <c r="I9" s="351" t="s">
        <v>1363</v>
      </c>
      <c r="J9" s="354"/>
      <c r="K9" s="354"/>
      <c r="L9" s="354"/>
      <c r="M9" s="354"/>
      <c r="N9" s="354"/>
      <c r="O9" s="354"/>
      <c r="P9" s="355"/>
      <c r="Q9" s="192" t="s">
        <v>1364</v>
      </c>
      <c r="R9" s="192" t="s">
        <v>1365</v>
      </c>
      <c r="S9" s="192" t="s">
        <v>113</v>
      </c>
      <c r="T9" s="192" t="s">
        <v>58</v>
      </c>
    </row>
    <row r="10" spans="1:23" s="17" customFormat="1" x14ac:dyDescent="0.2">
      <c r="A10" s="347">
        <v>1</v>
      </c>
      <c r="B10" s="348"/>
      <c r="C10" s="348"/>
      <c r="D10" s="349"/>
      <c r="E10" s="350"/>
      <c r="F10" s="183">
        <v>2</v>
      </c>
      <c r="G10" s="179">
        <v>3</v>
      </c>
      <c r="H10" s="179">
        <v>4</v>
      </c>
      <c r="I10" s="346">
        <v>5</v>
      </c>
      <c r="J10" s="346"/>
      <c r="K10" s="346"/>
      <c r="L10" s="346"/>
      <c r="M10" s="346"/>
      <c r="N10" s="346"/>
      <c r="O10" s="346"/>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0</v>
      </c>
      <c r="J12" s="279">
        <f t="shared" si="0"/>
        <v>0</v>
      </c>
      <c r="K12" s="279">
        <f t="shared" si="0"/>
        <v>14</v>
      </c>
      <c r="L12" s="279">
        <f t="shared" si="0"/>
        <v>0</v>
      </c>
      <c r="M12" s="279">
        <f t="shared" si="0"/>
        <v>23</v>
      </c>
      <c r="N12" s="279">
        <f t="shared" si="0"/>
        <v>0</v>
      </c>
      <c r="O12" s="279">
        <f t="shared" si="0"/>
        <v>403</v>
      </c>
      <c r="P12" s="279">
        <f>SUM(P13:P1000)</f>
        <v>440</v>
      </c>
      <c r="Q12" s="279">
        <f>SUM(Q13:Q1000)</f>
        <v>51</v>
      </c>
      <c r="R12" s="279">
        <f>SUM(R13:R1000)</f>
        <v>0</v>
      </c>
      <c r="S12" s="280">
        <f>COUNTIF(S13:S1000,"*Yes*")</f>
        <v>0</v>
      </c>
      <c r="T12" s="281"/>
    </row>
    <row r="13" spans="1:23" x14ac:dyDescent="0.2">
      <c r="A13" s="146"/>
      <c r="B13" s="242" t="s">
        <v>1387</v>
      </c>
      <c r="C13" s="242" t="s">
        <v>1388</v>
      </c>
      <c r="D13" s="242" t="s">
        <v>1389</v>
      </c>
      <c r="E13" s="291" t="s">
        <v>1390</v>
      </c>
      <c r="F13" s="146" t="s">
        <v>1391</v>
      </c>
      <c r="G13" s="146" t="s">
        <v>1392</v>
      </c>
      <c r="H13" s="292">
        <v>43111</v>
      </c>
      <c r="I13" s="146"/>
      <c r="J13" s="146"/>
      <c r="K13" s="146"/>
      <c r="L13" s="146"/>
      <c r="M13" s="146"/>
      <c r="N13" s="146"/>
      <c r="O13" s="146">
        <v>1</v>
      </c>
      <c r="P13" s="273">
        <f t="shared" ref="P13:P76" si="1">SUM(I13:O13)</f>
        <v>1</v>
      </c>
      <c r="Q13" s="146">
        <v>1</v>
      </c>
      <c r="R13" s="146">
        <f>P13-Q13</f>
        <v>0</v>
      </c>
      <c r="S13" s="146" t="s">
        <v>1528</v>
      </c>
      <c r="T13" s="270"/>
    </row>
    <row r="14" spans="1:23" x14ac:dyDescent="0.2">
      <c r="A14" s="146"/>
      <c r="B14" s="242" t="s">
        <v>1393</v>
      </c>
      <c r="C14" s="242" t="s">
        <v>1394</v>
      </c>
      <c r="D14" s="242" t="s">
        <v>1389</v>
      </c>
      <c r="E14" s="291" t="s">
        <v>1395</v>
      </c>
      <c r="F14" s="146" t="s">
        <v>1391</v>
      </c>
      <c r="G14" s="146" t="s">
        <v>1392</v>
      </c>
      <c r="H14" s="292">
        <v>43124</v>
      </c>
      <c r="I14" s="146"/>
      <c r="J14" s="146"/>
      <c r="K14" s="146"/>
      <c r="L14" s="146"/>
      <c r="M14" s="146"/>
      <c r="N14" s="146"/>
      <c r="O14" s="146">
        <v>1</v>
      </c>
      <c r="P14" s="273">
        <f>SUM(I14:O14)</f>
        <v>1</v>
      </c>
      <c r="Q14" s="146">
        <v>1</v>
      </c>
      <c r="R14" s="146">
        <f t="shared" ref="R14:R22" si="2">P14-Q14</f>
        <v>0</v>
      </c>
      <c r="S14" s="146" t="s">
        <v>1528</v>
      </c>
      <c r="T14" s="270"/>
    </row>
    <row r="15" spans="1:23" x14ac:dyDescent="0.2">
      <c r="A15" s="146"/>
      <c r="B15" s="242" t="s">
        <v>1396</v>
      </c>
      <c r="C15" s="242" t="s">
        <v>1397</v>
      </c>
      <c r="D15" s="242" t="s">
        <v>1389</v>
      </c>
      <c r="E15" s="291" t="s">
        <v>1398</v>
      </c>
      <c r="F15" s="146" t="s">
        <v>1391</v>
      </c>
      <c r="G15" s="146" t="s">
        <v>1392</v>
      </c>
      <c r="H15" s="292">
        <v>43139</v>
      </c>
      <c r="I15" s="146"/>
      <c r="J15" s="146"/>
      <c r="K15" s="146"/>
      <c r="L15" s="146"/>
      <c r="M15" s="146"/>
      <c r="N15" s="146"/>
      <c r="O15" s="146">
        <v>1</v>
      </c>
      <c r="P15" s="273">
        <f>SUM(I15:O15)</f>
        <v>1</v>
      </c>
      <c r="Q15" s="146">
        <v>1</v>
      </c>
      <c r="R15" s="146">
        <f t="shared" si="2"/>
        <v>0</v>
      </c>
      <c r="S15" s="146" t="s">
        <v>1528</v>
      </c>
      <c r="T15" s="270"/>
    </row>
    <row r="16" spans="1:23" x14ac:dyDescent="0.2">
      <c r="A16" s="146"/>
      <c r="B16" s="242" t="s">
        <v>1399</v>
      </c>
      <c r="C16" s="242" t="s">
        <v>1400</v>
      </c>
      <c r="D16" s="242" t="s">
        <v>1389</v>
      </c>
      <c r="E16" s="291" t="s">
        <v>1401</v>
      </c>
      <c r="F16" s="146" t="s">
        <v>1391</v>
      </c>
      <c r="G16" s="146" t="s">
        <v>1392</v>
      </c>
      <c r="H16" s="292">
        <v>43145</v>
      </c>
      <c r="I16" s="146"/>
      <c r="J16" s="146"/>
      <c r="K16" s="146"/>
      <c r="L16" s="146"/>
      <c r="M16" s="146"/>
      <c r="N16" s="146"/>
      <c r="O16" s="146">
        <v>1</v>
      </c>
      <c r="P16" s="273">
        <f t="shared" si="1"/>
        <v>1</v>
      </c>
      <c r="Q16" s="146">
        <v>1</v>
      </c>
      <c r="R16" s="146">
        <f t="shared" si="2"/>
        <v>0</v>
      </c>
      <c r="S16" s="146" t="s">
        <v>1528</v>
      </c>
      <c r="T16" s="270"/>
    </row>
    <row r="17" spans="1:20" x14ac:dyDescent="0.2">
      <c r="A17" s="146"/>
      <c r="B17" s="242" t="s">
        <v>1399</v>
      </c>
      <c r="C17" s="242" t="s">
        <v>1400</v>
      </c>
      <c r="D17" s="242" t="s">
        <v>1389</v>
      </c>
      <c r="E17" s="291" t="s">
        <v>1402</v>
      </c>
      <c r="F17" s="146" t="s">
        <v>1391</v>
      </c>
      <c r="G17" s="146" t="s">
        <v>1392</v>
      </c>
      <c r="H17" s="292">
        <v>43145</v>
      </c>
      <c r="I17" s="146"/>
      <c r="J17" s="146"/>
      <c r="K17" s="146"/>
      <c r="L17" s="146"/>
      <c r="M17" s="146"/>
      <c r="N17" s="146"/>
      <c r="O17" s="146">
        <v>1</v>
      </c>
      <c r="P17" s="273">
        <f t="shared" si="1"/>
        <v>1</v>
      </c>
      <c r="Q17" s="146">
        <v>1</v>
      </c>
      <c r="R17" s="146">
        <f t="shared" si="2"/>
        <v>0</v>
      </c>
      <c r="S17" s="146" t="s">
        <v>1528</v>
      </c>
      <c r="T17" s="270"/>
    </row>
    <row r="18" spans="1:20" x14ac:dyDescent="0.2">
      <c r="A18" s="146"/>
      <c r="B18" s="242" t="s">
        <v>1403</v>
      </c>
      <c r="C18" s="242" t="s">
        <v>1404</v>
      </c>
      <c r="D18" s="242" t="s">
        <v>1405</v>
      </c>
      <c r="E18" s="291">
        <v>201800826</v>
      </c>
      <c r="F18" s="146" t="s">
        <v>1406</v>
      </c>
      <c r="G18" s="146" t="s">
        <v>1407</v>
      </c>
      <c r="H18" s="292">
        <v>43145</v>
      </c>
      <c r="I18" s="146"/>
      <c r="J18" s="146"/>
      <c r="K18" s="146"/>
      <c r="L18" s="146"/>
      <c r="M18" s="146"/>
      <c r="N18" s="146"/>
      <c r="O18" s="146">
        <v>1</v>
      </c>
      <c r="P18" s="273">
        <f t="shared" si="1"/>
        <v>1</v>
      </c>
      <c r="Q18" s="146">
        <v>1</v>
      </c>
      <c r="R18" s="146">
        <f t="shared" si="2"/>
        <v>0</v>
      </c>
      <c r="S18" s="146" t="s">
        <v>1528</v>
      </c>
      <c r="T18" s="270"/>
    </row>
    <row r="19" spans="1:20" x14ac:dyDescent="0.2">
      <c r="A19" s="146"/>
      <c r="B19" s="242" t="s">
        <v>1408</v>
      </c>
      <c r="C19" s="242" t="s">
        <v>1409</v>
      </c>
      <c r="D19" s="242" t="s">
        <v>1410</v>
      </c>
      <c r="E19" s="291">
        <v>201800932</v>
      </c>
      <c r="F19" s="146" t="s">
        <v>1411</v>
      </c>
      <c r="G19" s="146" t="s">
        <v>1407</v>
      </c>
      <c r="H19" s="292">
        <v>43151</v>
      </c>
      <c r="I19" s="146"/>
      <c r="J19" s="146"/>
      <c r="K19" s="146"/>
      <c r="L19" s="146"/>
      <c r="M19" s="146">
        <v>4</v>
      </c>
      <c r="N19" s="146"/>
      <c r="O19" s="146">
        <v>36</v>
      </c>
      <c r="P19" s="273">
        <f t="shared" si="1"/>
        <v>40</v>
      </c>
      <c r="Q19" s="146"/>
      <c r="R19" s="146"/>
      <c r="S19" s="146" t="s">
        <v>1528</v>
      </c>
      <c r="T19" s="270"/>
    </row>
    <row r="20" spans="1:20" x14ac:dyDescent="0.2">
      <c r="A20" s="146"/>
      <c r="B20" s="242" t="s">
        <v>1412</v>
      </c>
      <c r="C20" s="242" t="s">
        <v>1413</v>
      </c>
      <c r="D20" s="242" t="s">
        <v>1389</v>
      </c>
      <c r="E20" s="291" t="s">
        <v>1414</v>
      </c>
      <c r="F20" s="146" t="s">
        <v>1391</v>
      </c>
      <c r="G20" s="146" t="s">
        <v>1392</v>
      </c>
      <c r="H20" s="292">
        <v>43179</v>
      </c>
      <c r="I20" s="146"/>
      <c r="J20" s="146"/>
      <c r="K20" s="146"/>
      <c r="L20" s="146"/>
      <c r="M20" s="146"/>
      <c r="N20" s="146"/>
      <c r="O20" s="146">
        <v>1</v>
      </c>
      <c r="P20" s="273">
        <f t="shared" si="1"/>
        <v>1</v>
      </c>
      <c r="Q20" s="146">
        <v>1</v>
      </c>
      <c r="R20" s="146">
        <f t="shared" si="2"/>
        <v>0</v>
      </c>
      <c r="S20" s="146" t="s">
        <v>1528</v>
      </c>
      <c r="T20" s="270"/>
    </row>
    <row r="21" spans="1:20" x14ac:dyDescent="0.2">
      <c r="A21" s="146"/>
      <c r="B21" s="242" t="s">
        <v>1415</v>
      </c>
      <c r="C21" s="242" t="s">
        <v>1416</v>
      </c>
      <c r="D21" s="242" t="s">
        <v>1389</v>
      </c>
      <c r="E21" s="291" t="s">
        <v>1417</v>
      </c>
      <c r="F21" s="146" t="s">
        <v>1391</v>
      </c>
      <c r="G21" s="146" t="s">
        <v>1392</v>
      </c>
      <c r="H21" s="292">
        <v>43187</v>
      </c>
      <c r="I21" s="146"/>
      <c r="J21" s="146"/>
      <c r="K21" s="146"/>
      <c r="L21" s="146"/>
      <c r="M21" s="146"/>
      <c r="N21" s="146"/>
      <c r="O21" s="146">
        <v>1</v>
      </c>
      <c r="P21" s="273">
        <f t="shared" si="1"/>
        <v>1</v>
      </c>
      <c r="Q21" s="146">
        <v>1</v>
      </c>
      <c r="R21" s="146">
        <f t="shared" si="2"/>
        <v>0</v>
      </c>
      <c r="S21" s="146" t="s">
        <v>1528</v>
      </c>
      <c r="T21" s="270"/>
    </row>
    <row r="22" spans="1:20" x14ac:dyDescent="0.2">
      <c r="A22" s="146"/>
      <c r="B22" s="242" t="s">
        <v>1418</v>
      </c>
      <c r="C22" s="242" t="s">
        <v>1419</v>
      </c>
      <c r="D22" s="242" t="s">
        <v>1389</v>
      </c>
      <c r="E22" s="291" t="s">
        <v>1420</v>
      </c>
      <c r="F22" s="146" t="s">
        <v>1391</v>
      </c>
      <c r="G22" s="146" t="s">
        <v>1392</v>
      </c>
      <c r="H22" s="292">
        <v>43193</v>
      </c>
      <c r="I22" s="146"/>
      <c r="J22" s="146"/>
      <c r="K22" s="146"/>
      <c r="L22" s="146"/>
      <c r="M22" s="146"/>
      <c r="N22" s="146"/>
      <c r="O22" s="146">
        <v>1</v>
      </c>
      <c r="P22" s="273">
        <f t="shared" si="1"/>
        <v>1</v>
      </c>
      <c r="Q22" s="146">
        <v>1</v>
      </c>
      <c r="R22" s="146">
        <f t="shared" si="2"/>
        <v>0</v>
      </c>
      <c r="S22" s="146" t="s">
        <v>1528</v>
      </c>
      <c r="T22" s="270"/>
    </row>
    <row r="23" spans="1:20" x14ac:dyDescent="0.2">
      <c r="A23" s="146"/>
      <c r="B23" s="242" t="s">
        <v>1421</v>
      </c>
      <c r="C23" s="242" t="s">
        <v>1422</v>
      </c>
      <c r="D23" s="242" t="s">
        <v>1405</v>
      </c>
      <c r="E23" s="291">
        <v>201801783</v>
      </c>
      <c r="F23" s="146" t="s">
        <v>1406</v>
      </c>
      <c r="G23" s="146" t="s">
        <v>1407</v>
      </c>
      <c r="H23" s="292">
        <v>43199</v>
      </c>
      <c r="I23" s="146"/>
      <c r="J23" s="146"/>
      <c r="K23" s="146"/>
      <c r="L23" s="146"/>
      <c r="M23" s="146"/>
      <c r="N23" s="146"/>
      <c r="O23" s="146">
        <v>1</v>
      </c>
      <c r="P23" s="273">
        <f t="shared" si="1"/>
        <v>1</v>
      </c>
      <c r="Q23" s="146">
        <v>1</v>
      </c>
      <c r="R23" s="146">
        <f t="shared" ref="R23:R45" si="3">P23-Q23</f>
        <v>0</v>
      </c>
      <c r="S23" s="146" t="s">
        <v>1528</v>
      </c>
      <c r="T23" s="270" t="s">
        <v>1529</v>
      </c>
    </row>
    <row r="24" spans="1:20" x14ac:dyDescent="0.2">
      <c r="A24" s="146"/>
      <c r="B24" s="242" t="s">
        <v>1423</v>
      </c>
      <c r="C24" s="242" t="s">
        <v>1424</v>
      </c>
      <c r="D24" s="242" t="s">
        <v>1389</v>
      </c>
      <c r="E24" s="291" t="s">
        <v>1425</v>
      </c>
      <c r="F24" s="146" t="s">
        <v>1391</v>
      </c>
      <c r="G24" s="146" t="s">
        <v>1392</v>
      </c>
      <c r="H24" s="292">
        <v>43202</v>
      </c>
      <c r="I24" s="146"/>
      <c r="J24" s="146"/>
      <c r="K24" s="146"/>
      <c r="L24" s="146"/>
      <c r="M24" s="146"/>
      <c r="N24" s="146"/>
      <c r="O24" s="146">
        <v>1</v>
      </c>
      <c r="P24" s="273">
        <f t="shared" si="1"/>
        <v>1</v>
      </c>
      <c r="Q24" s="146">
        <v>1</v>
      </c>
      <c r="R24" s="146">
        <f t="shared" si="3"/>
        <v>0</v>
      </c>
      <c r="S24" s="146" t="s">
        <v>1528</v>
      </c>
      <c r="T24" s="270"/>
    </row>
    <row r="25" spans="1:20" x14ac:dyDescent="0.2">
      <c r="A25" s="146"/>
      <c r="B25" s="242" t="s">
        <v>1426</v>
      </c>
      <c r="C25" s="242" t="s">
        <v>1427</v>
      </c>
      <c r="D25" s="242" t="s">
        <v>1389</v>
      </c>
      <c r="E25" s="291" t="s">
        <v>1428</v>
      </c>
      <c r="F25" s="146" t="s">
        <v>1391</v>
      </c>
      <c r="G25" s="146" t="s">
        <v>1392</v>
      </c>
      <c r="H25" s="292">
        <v>43202</v>
      </c>
      <c r="I25" s="146"/>
      <c r="J25" s="146"/>
      <c r="K25" s="146"/>
      <c r="L25" s="146"/>
      <c r="M25" s="146"/>
      <c r="N25" s="146"/>
      <c r="O25" s="146">
        <v>1</v>
      </c>
      <c r="P25" s="273">
        <f t="shared" si="1"/>
        <v>1</v>
      </c>
      <c r="Q25" s="146">
        <v>1</v>
      </c>
      <c r="R25" s="146">
        <f t="shared" si="3"/>
        <v>0</v>
      </c>
      <c r="S25" s="146" t="s">
        <v>1528</v>
      </c>
      <c r="T25" s="270"/>
    </row>
    <row r="26" spans="1:20" x14ac:dyDescent="0.2">
      <c r="A26" s="146"/>
      <c r="B26" s="242" t="s">
        <v>1429</v>
      </c>
      <c r="C26" s="242" t="s">
        <v>1430</v>
      </c>
      <c r="D26" s="242" t="s">
        <v>1389</v>
      </c>
      <c r="E26" s="291" t="s">
        <v>1431</v>
      </c>
      <c r="F26" s="146" t="s">
        <v>1391</v>
      </c>
      <c r="G26" s="146" t="s">
        <v>1392</v>
      </c>
      <c r="H26" s="292">
        <v>43216</v>
      </c>
      <c r="I26" s="146"/>
      <c r="J26" s="146"/>
      <c r="K26" s="146"/>
      <c r="L26" s="146"/>
      <c r="M26" s="146"/>
      <c r="N26" s="146"/>
      <c r="O26" s="146">
        <v>1</v>
      </c>
      <c r="P26" s="273">
        <f t="shared" si="1"/>
        <v>1</v>
      </c>
      <c r="Q26" s="146">
        <v>1</v>
      </c>
      <c r="R26" s="146">
        <f t="shared" si="3"/>
        <v>0</v>
      </c>
      <c r="S26" s="146" t="s">
        <v>1528</v>
      </c>
      <c r="T26" s="270"/>
    </row>
    <row r="27" spans="1:20" x14ac:dyDescent="0.2">
      <c r="A27" s="146"/>
      <c r="B27" s="242" t="s">
        <v>1432</v>
      </c>
      <c r="C27" s="242" t="s">
        <v>1433</v>
      </c>
      <c r="D27" s="242" t="s">
        <v>1434</v>
      </c>
      <c r="E27" s="291" t="s">
        <v>1435</v>
      </c>
      <c r="F27" s="146" t="s">
        <v>1406</v>
      </c>
      <c r="G27" s="146" t="s">
        <v>1407</v>
      </c>
      <c r="H27" s="292">
        <v>43216</v>
      </c>
      <c r="I27" s="146"/>
      <c r="J27" s="146"/>
      <c r="K27" s="146"/>
      <c r="L27" s="146"/>
      <c r="M27" s="146"/>
      <c r="N27" s="146"/>
      <c r="O27" s="146">
        <v>14</v>
      </c>
      <c r="P27" s="273">
        <f t="shared" si="1"/>
        <v>14</v>
      </c>
      <c r="Q27" s="146"/>
      <c r="R27" s="146"/>
      <c r="S27" s="146" t="s">
        <v>1528</v>
      </c>
      <c r="T27" s="270"/>
    </row>
    <row r="28" spans="1:20" x14ac:dyDescent="0.2">
      <c r="A28" s="146"/>
      <c r="B28" s="242" t="s">
        <v>1436</v>
      </c>
      <c r="C28" s="242" t="s">
        <v>1437</v>
      </c>
      <c r="D28" s="242" t="s">
        <v>1389</v>
      </c>
      <c r="E28" s="291" t="s">
        <v>1438</v>
      </c>
      <c r="F28" s="146" t="s">
        <v>1391</v>
      </c>
      <c r="G28" s="146" t="s">
        <v>1392</v>
      </c>
      <c r="H28" s="292">
        <v>43222</v>
      </c>
      <c r="I28" s="146"/>
      <c r="J28" s="146"/>
      <c r="K28" s="146"/>
      <c r="L28" s="146"/>
      <c r="M28" s="146"/>
      <c r="N28" s="146"/>
      <c r="O28" s="146">
        <v>1</v>
      </c>
      <c r="P28" s="273">
        <f t="shared" si="1"/>
        <v>1</v>
      </c>
      <c r="Q28" s="146">
        <v>1</v>
      </c>
      <c r="R28" s="146">
        <f t="shared" si="3"/>
        <v>0</v>
      </c>
      <c r="S28" s="146" t="s">
        <v>1528</v>
      </c>
      <c r="T28" s="270"/>
    </row>
    <row r="29" spans="1:20" x14ac:dyDescent="0.2">
      <c r="A29" s="146"/>
      <c r="B29" s="242" t="s">
        <v>1439</v>
      </c>
      <c r="C29" s="242" t="s">
        <v>1440</v>
      </c>
      <c r="D29" s="242" t="s">
        <v>1389</v>
      </c>
      <c r="E29" s="291" t="s">
        <v>1441</v>
      </c>
      <c r="F29" s="146" t="s">
        <v>1391</v>
      </c>
      <c r="G29" s="146" t="s">
        <v>1392</v>
      </c>
      <c r="H29" s="292">
        <v>43237</v>
      </c>
      <c r="I29" s="146"/>
      <c r="J29" s="146"/>
      <c r="K29" s="146"/>
      <c r="L29" s="146"/>
      <c r="M29" s="146"/>
      <c r="N29" s="146"/>
      <c r="O29" s="146">
        <v>1</v>
      </c>
      <c r="P29" s="273">
        <f t="shared" si="1"/>
        <v>1</v>
      </c>
      <c r="Q29" s="146">
        <v>1</v>
      </c>
      <c r="R29" s="146">
        <f t="shared" si="3"/>
        <v>0</v>
      </c>
      <c r="S29" s="146" t="s">
        <v>1528</v>
      </c>
      <c r="T29" s="270"/>
    </row>
    <row r="30" spans="1:20" x14ac:dyDescent="0.2">
      <c r="A30" s="146"/>
      <c r="B30" s="242" t="s">
        <v>1442</v>
      </c>
      <c r="C30" s="242" t="s">
        <v>1443</v>
      </c>
      <c r="D30" s="242" t="s">
        <v>1389</v>
      </c>
      <c r="E30" s="291" t="s">
        <v>1444</v>
      </c>
      <c r="F30" s="146" t="s">
        <v>1391</v>
      </c>
      <c r="G30" s="146" t="s">
        <v>1392</v>
      </c>
      <c r="H30" s="292">
        <v>43242</v>
      </c>
      <c r="I30" s="146"/>
      <c r="J30" s="146"/>
      <c r="K30" s="146"/>
      <c r="L30" s="146"/>
      <c r="M30" s="146"/>
      <c r="N30" s="146"/>
      <c r="O30" s="146">
        <v>1</v>
      </c>
      <c r="P30" s="273">
        <f t="shared" si="1"/>
        <v>1</v>
      </c>
      <c r="Q30" s="146">
        <v>1</v>
      </c>
      <c r="R30" s="146">
        <f t="shared" si="3"/>
        <v>0</v>
      </c>
      <c r="S30" s="146" t="s">
        <v>1528</v>
      </c>
      <c r="T30" s="270"/>
    </row>
    <row r="31" spans="1:20" x14ac:dyDescent="0.2">
      <c r="A31" s="146"/>
      <c r="B31" s="242" t="s">
        <v>1445</v>
      </c>
      <c r="C31" s="242" t="s">
        <v>1446</v>
      </c>
      <c r="D31" s="242" t="s">
        <v>1405</v>
      </c>
      <c r="E31" s="291" t="s">
        <v>1447</v>
      </c>
      <c r="F31" s="146" t="s">
        <v>1411</v>
      </c>
      <c r="G31" s="146" t="s">
        <v>1407</v>
      </c>
      <c r="H31" s="292">
        <v>43251</v>
      </c>
      <c r="I31" s="146"/>
      <c r="J31" s="146"/>
      <c r="K31" s="146"/>
      <c r="L31" s="146"/>
      <c r="M31" s="146"/>
      <c r="N31" s="146"/>
      <c r="O31" s="146">
        <v>2</v>
      </c>
      <c r="P31" s="273">
        <f t="shared" si="1"/>
        <v>2</v>
      </c>
      <c r="Q31" s="146">
        <v>2</v>
      </c>
      <c r="R31" s="146">
        <f t="shared" si="3"/>
        <v>0</v>
      </c>
      <c r="S31" s="146" t="s">
        <v>1528</v>
      </c>
      <c r="T31" s="270"/>
    </row>
    <row r="32" spans="1:20" x14ac:dyDescent="0.2">
      <c r="A32" s="146"/>
      <c r="B32" s="242" t="s">
        <v>1448</v>
      </c>
      <c r="C32" s="242" t="s">
        <v>1449</v>
      </c>
      <c r="D32" s="242" t="s">
        <v>1389</v>
      </c>
      <c r="E32" s="291" t="s">
        <v>1450</v>
      </c>
      <c r="F32" s="146" t="s">
        <v>1391</v>
      </c>
      <c r="G32" s="146" t="s">
        <v>1392</v>
      </c>
      <c r="H32" s="292">
        <v>43251</v>
      </c>
      <c r="I32" s="146"/>
      <c r="J32" s="146"/>
      <c r="K32" s="146"/>
      <c r="L32" s="146"/>
      <c r="M32" s="146"/>
      <c r="N32" s="146"/>
      <c r="O32" s="146">
        <v>1</v>
      </c>
      <c r="P32" s="273">
        <f t="shared" si="1"/>
        <v>1</v>
      </c>
      <c r="Q32" s="146">
        <v>1</v>
      </c>
      <c r="R32" s="146">
        <f t="shared" si="3"/>
        <v>0</v>
      </c>
      <c r="S32" s="146" t="s">
        <v>1528</v>
      </c>
      <c r="T32" s="270"/>
    </row>
    <row r="33" spans="1:20" x14ac:dyDescent="0.2">
      <c r="A33" s="146"/>
      <c r="B33" s="242" t="s">
        <v>1451</v>
      </c>
      <c r="C33" s="242" t="s">
        <v>1452</v>
      </c>
      <c r="D33" s="242" t="s">
        <v>1389</v>
      </c>
      <c r="E33" s="291" t="s">
        <v>1453</v>
      </c>
      <c r="F33" s="146" t="s">
        <v>1391</v>
      </c>
      <c r="G33" s="146" t="s">
        <v>1392</v>
      </c>
      <c r="H33" s="292">
        <v>43255</v>
      </c>
      <c r="I33" s="146"/>
      <c r="J33" s="146"/>
      <c r="K33" s="146"/>
      <c r="L33" s="146"/>
      <c r="M33" s="146"/>
      <c r="N33" s="146"/>
      <c r="O33" s="146">
        <v>1</v>
      </c>
      <c r="P33" s="273">
        <f t="shared" si="1"/>
        <v>1</v>
      </c>
      <c r="Q33" s="146">
        <v>1</v>
      </c>
      <c r="R33" s="146">
        <f t="shared" si="3"/>
        <v>0</v>
      </c>
      <c r="S33" s="146" t="s">
        <v>1528</v>
      </c>
      <c r="T33" s="270"/>
    </row>
    <row r="34" spans="1:20" x14ac:dyDescent="0.2">
      <c r="A34" s="146"/>
      <c r="B34" s="242" t="s">
        <v>1454</v>
      </c>
      <c r="C34" s="242" t="s">
        <v>1455</v>
      </c>
      <c r="D34" s="242" t="s">
        <v>1389</v>
      </c>
      <c r="E34" s="291" t="s">
        <v>1456</v>
      </c>
      <c r="F34" s="146" t="s">
        <v>1391</v>
      </c>
      <c r="G34" s="146" t="s">
        <v>1392</v>
      </c>
      <c r="H34" s="292">
        <v>43265</v>
      </c>
      <c r="I34" s="146"/>
      <c r="J34" s="146"/>
      <c r="K34" s="146"/>
      <c r="L34" s="146"/>
      <c r="M34" s="146"/>
      <c r="N34" s="146"/>
      <c r="O34" s="146">
        <v>1</v>
      </c>
      <c r="P34" s="273">
        <f t="shared" si="1"/>
        <v>1</v>
      </c>
      <c r="Q34" s="146">
        <v>1</v>
      </c>
      <c r="R34" s="146">
        <f t="shared" si="3"/>
        <v>0</v>
      </c>
      <c r="S34" s="146" t="s">
        <v>1528</v>
      </c>
      <c r="T34" s="270"/>
    </row>
    <row r="35" spans="1:20" x14ac:dyDescent="0.2">
      <c r="A35" s="146"/>
      <c r="B35" s="242" t="s">
        <v>1457</v>
      </c>
      <c r="C35" s="242" t="s">
        <v>1458</v>
      </c>
      <c r="D35" s="242" t="s">
        <v>1389</v>
      </c>
      <c r="E35" s="291" t="s">
        <v>1459</v>
      </c>
      <c r="F35" s="146" t="s">
        <v>1391</v>
      </c>
      <c r="G35" s="146" t="s">
        <v>1392</v>
      </c>
      <c r="H35" s="292">
        <v>43283</v>
      </c>
      <c r="I35" s="146"/>
      <c r="J35" s="146"/>
      <c r="K35" s="146"/>
      <c r="L35" s="146"/>
      <c r="M35" s="146"/>
      <c r="N35" s="146"/>
      <c r="O35" s="146">
        <v>1</v>
      </c>
      <c r="P35" s="273">
        <f t="shared" si="1"/>
        <v>1</v>
      </c>
      <c r="Q35" s="146">
        <v>1</v>
      </c>
      <c r="R35" s="146">
        <f t="shared" si="3"/>
        <v>0</v>
      </c>
      <c r="S35" s="146" t="s">
        <v>1528</v>
      </c>
      <c r="T35" s="270"/>
    </row>
    <row r="36" spans="1:20" x14ac:dyDescent="0.2">
      <c r="A36" s="146"/>
      <c r="B36" s="242" t="s">
        <v>1460</v>
      </c>
      <c r="C36" s="242" t="s">
        <v>1461</v>
      </c>
      <c r="D36" s="242" t="s">
        <v>1389</v>
      </c>
      <c r="E36" s="291" t="s">
        <v>1462</v>
      </c>
      <c r="F36" s="146" t="s">
        <v>1391</v>
      </c>
      <c r="G36" s="146" t="s">
        <v>1392</v>
      </c>
      <c r="H36" s="292">
        <v>43291</v>
      </c>
      <c r="I36" s="146"/>
      <c r="J36" s="146"/>
      <c r="K36" s="146"/>
      <c r="L36" s="146"/>
      <c r="M36" s="146"/>
      <c r="N36" s="146"/>
      <c r="O36" s="146">
        <v>1</v>
      </c>
      <c r="P36" s="273">
        <f t="shared" si="1"/>
        <v>1</v>
      </c>
      <c r="Q36" s="146">
        <v>1</v>
      </c>
      <c r="R36" s="146">
        <f t="shared" si="3"/>
        <v>0</v>
      </c>
      <c r="S36" s="146" t="s">
        <v>1528</v>
      </c>
      <c r="T36" s="270"/>
    </row>
    <row r="37" spans="1:20" x14ac:dyDescent="0.2">
      <c r="A37" s="240"/>
      <c r="B37" s="242" t="s">
        <v>1463</v>
      </c>
      <c r="C37" s="242" t="s">
        <v>1464</v>
      </c>
      <c r="D37" s="242" t="s">
        <v>1389</v>
      </c>
      <c r="E37" s="291" t="s">
        <v>1465</v>
      </c>
      <c r="F37" s="240" t="s">
        <v>1391</v>
      </c>
      <c r="G37" s="240" t="s">
        <v>1392</v>
      </c>
      <c r="H37" s="292">
        <v>43293</v>
      </c>
      <c r="I37" s="240"/>
      <c r="J37" s="240"/>
      <c r="K37" s="240"/>
      <c r="L37" s="240"/>
      <c r="M37" s="240"/>
      <c r="N37" s="240"/>
      <c r="O37" s="240">
        <v>1</v>
      </c>
      <c r="P37" s="273">
        <f t="shared" si="1"/>
        <v>1</v>
      </c>
      <c r="Q37" s="240">
        <v>1</v>
      </c>
      <c r="R37" s="146">
        <f t="shared" si="3"/>
        <v>0</v>
      </c>
      <c r="S37" s="240" t="s">
        <v>1528</v>
      </c>
      <c r="T37" s="270"/>
    </row>
    <row r="38" spans="1:20" x14ac:dyDescent="0.2">
      <c r="A38" s="240"/>
      <c r="B38" s="242" t="s">
        <v>1466</v>
      </c>
      <c r="C38" s="242" t="s">
        <v>1467</v>
      </c>
      <c r="D38" s="242" t="s">
        <v>1389</v>
      </c>
      <c r="E38" s="291" t="s">
        <v>1468</v>
      </c>
      <c r="F38" s="240" t="s">
        <v>1391</v>
      </c>
      <c r="G38" s="240" t="s">
        <v>1392</v>
      </c>
      <c r="H38" s="292">
        <v>43305</v>
      </c>
      <c r="I38" s="240"/>
      <c r="J38" s="240"/>
      <c r="K38" s="240"/>
      <c r="L38" s="240"/>
      <c r="M38" s="240"/>
      <c r="N38" s="240"/>
      <c r="O38" s="240">
        <v>1</v>
      </c>
      <c r="P38" s="273">
        <f t="shared" si="1"/>
        <v>1</v>
      </c>
      <c r="Q38" s="240">
        <v>1</v>
      </c>
      <c r="R38" s="146">
        <f t="shared" si="3"/>
        <v>0</v>
      </c>
      <c r="S38" s="240" t="s">
        <v>1528</v>
      </c>
      <c r="T38" s="270"/>
    </row>
    <row r="39" spans="1:20" x14ac:dyDescent="0.2">
      <c r="A39" s="240"/>
      <c r="B39" s="242" t="s">
        <v>1469</v>
      </c>
      <c r="C39" s="242" t="s">
        <v>1470</v>
      </c>
      <c r="D39" s="242" t="s">
        <v>1389</v>
      </c>
      <c r="E39" s="291" t="s">
        <v>1471</v>
      </c>
      <c r="F39" s="240" t="s">
        <v>1391</v>
      </c>
      <c r="G39" s="240" t="s">
        <v>1392</v>
      </c>
      <c r="H39" s="292">
        <v>43314</v>
      </c>
      <c r="I39" s="240"/>
      <c r="J39" s="240"/>
      <c r="K39" s="240"/>
      <c r="L39" s="240"/>
      <c r="M39" s="240"/>
      <c r="N39" s="240"/>
      <c r="O39" s="240">
        <v>1</v>
      </c>
      <c r="P39" s="273">
        <f t="shared" si="1"/>
        <v>1</v>
      </c>
      <c r="Q39" s="240">
        <v>1</v>
      </c>
      <c r="R39" s="146">
        <f t="shared" si="3"/>
        <v>0</v>
      </c>
      <c r="S39" s="240" t="s">
        <v>1528</v>
      </c>
      <c r="T39" s="270"/>
    </row>
    <row r="40" spans="1:20" x14ac:dyDescent="0.2">
      <c r="A40" s="240"/>
      <c r="B40" s="242" t="s">
        <v>1472</v>
      </c>
      <c r="C40" s="242" t="s">
        <v>1473</v>
      </c>
      <c r="D40" s="242" t="s">
        <v>1389</v>
      </c>
      <c r="E40" s="291" t="s">
        <v>1474</v>
      </c>
      <c r="F40" s="240" t="s">
        <v>1391</v>
      </c>
      <c r="G40" s="240" t="s">
        <v>1392</v>
      </c>
      <c r="H40" s="292">
        <v>43325</v>
      </c>
      <c r="I40" s="240"/>
      <c r="J40" s="240"/>
      <c r="K40" s="240"/>
      <c r="L40" s="240"/>
      <c r="M40" s="240"/>
      <c r="N40" s="240"/>
      <c r="O40" s="240">
        <v>1</v>
      </c>
      <c r="P40" s="273">
        <f t="shared" si="1"/>
        <v>1</v>
      </c>
      <c r="Q40" s="240">
        <v>1</v>
      </c>
      <c r="R40" s="146">
        <f t="shared" si="3"/>
        <v>0</v>
      </c>
      <c r="S40" s="240" t="s">
        <v>1528</v>
      </c>
      <c r="T40" s="270"/>
    </row>
    <row r="41" spans="1:20" x14ac:dyDescent="0.2">
      <c r="A41" s="240"/>
      <c r="B41" s="242" t="s">
        <v>1475</v>
      </c>
      <c r="C41" s="242" t="s">
        <v>1476</v>
      </c>
      <c r="D41" s="242" t="s">
        <v>1405</v>
      </c>
      <c r="E41" s="291">
        <v>201804339</v>
      </c>
      <c r="F41" s="240" t="s">
        <v>1406</v>
      </c>
      <c r="G41" s="240" t="s">
        <v>1407</v>
      </c>
      <c r="H41" s="292">
        <v>43333</v>
      </c>
      <c r="I41" s="240"/>
      <c r="J41" s="240"/>
      <c r="K41" s="240"/>
      <c r="L41" s="240"/>
      <c r="M41" s="240"/>
      <c r="N41" s="240"/>
      <c r="O41" s="240">
        <v>9</v>
      </c>
      <c r="P41" s="273">
        <f t="shared" si="1"/>
        <v>9</v>
      </c>
      <c r="Q41" s="240">
        <v>9</v>
      </c>
      <c r="R41" s="146">
        <f t="shared" si="3"/>
        <v>0</v>
      </c>
      <c r="S41" s="240" t="s">
        <v>1528</v>
      </c>
      <c r="T41" s="270"/>
    </row>
    <row r="42" spans="1:20" x14ac:dyDescent="0.2">
      <c r="A42" s="240"/>
      <c r="B42" s="242" t="s">
        <v>1477</v>
      </c>
      <c r="C42" s="242" t="s">
        <v>1478</v>
      </c>
      <c r="D42" s="242" t="s">
        <v>1389</v>
      </c>
      <c r="E42" s="291" t="s">
        <v>1479</v>
      </c>
      <c r="F42" s="240" t="s">
        <v>1391</v>
      </c>
      <c r="G42" s="240" t="s">
        <v>1407</v>
      </c>
      <c r="H42" s="292">
        <v>43340</v>
      </c>
      <c r="I42" s="240"/>
      <c r="J42" s="240"/>
      <c r="K42" s="240"/>
      <c r="L42" s="240"/>
      <c r="M42" s="240"/>
      <c r="N42" s="240"/>
      <c r="O42" s="240">
        <v>1</v>
      </c>
      <c r="P42" s="273">
        <f t="shared" si="1"/>
        <v>1</v>
      </c>
      <c r="Q42" s="240">
        <v>1</v>
      </c>
      <c r="R42" s="146">
        <f t="shared" si="3"/>
        <v>0</v>
      </c>
      <c r="S42" s="240" t="s">
        <v>1528</v>
      </c>
      <c r="T42" s="270"/>
    </row>
    <row r="43" spans="1:20" x14ac:dyDescent="0.2">
      <c r="A43" s="240"/>
      <c r="B43" s="242" t="s">
        <v>1480</v>
      </c>
      <c r="C43" s="242" t="s">
        <v>1481</v>
      </c>
      <c r="D43" s="242" t="s">
        <v>1389</v>
      </c>
      <c r="E43" s="291" t="s">
        <v>1482</v>
      </c>
      <c r="F43" s="240" t="s">
        <v>1391</v>
      </c>
      <c r="G43" s="240" t="s">
        <v>1392</v>
      </c>
      <c r="H43" s="292">
        <v>43360</v>
      </c>
      <c r="I43" s="240"/>
      <c r="J43" s="240"/>
      <c r="K43" s="240"/>
      <c r="L43" s="240"/>
      <c r="M43" s="240"/>
      <c r="N43" s="240"/>
      <c r="O43" s="240">
        <v>1</v>
      </c>
      <c r="P43" s="273">
        <f t="shared" si="1"/>
        <v>1</v>
      </c>
      <c r="Q43" s="240">
        <v>1</v>
      </c>
      <c r="R43" s="146">
        <f t="shared" si="3"/>
        <v>0</v>
      </c>
      <c r="S43" s="240" t="s">
        <v>1528</v>
      </c>
      <c r="T43" s="270"/>
    </row>
    <row r="44" spans="1:20" x14ac:dyDescent="0.2">
      <c r="A44" s="240"/>
      <c r="B44" s="242" t="s">
        <v>1483</v>
      </c>
      <c r="C44" s="242" t="s">
        <v>1484</v>
      </c>
      <c r="D44" s="242" t="s">
        <v>1389</v>
      </c>
      <c r="E44" s="291" t="s">
        <v>1485</v>
      </c>
      <c r="F44" s="240" t="s">
        <v>1391</v>
      </c>
      <c r="G44" s="240" t="s">
        <v>1392</v>
      </c>
      <c r="H44" s="292">
        <v>43363</v>
      </c>
      <c r="I44" s="240"/>
      <c r="J44" s="240"/>
      <c r="K44" s="240"/>
      <c r="L44" s="240"/>
      <c r="M44" s="240"/>
      <c r="N44" s="240"/>
      <c r="O44" s="240">
        <v>1</v>
      </c>
      <c r="P44" s="273">
        <f t="shared" si="1"/>
        <v>1</v>
      </c>
      <c r="Q44" s="240">
        <v>1</v>
      </c>
      <c r="R44" s="146">
        <f t="shared" si="3"/>
        <v>0</v>
      </c>
      <c r="S44" s="240" t="s">
        <v>1528</v>
      </c>
      <c r="T44" s="270"/>
    </row>
    <row r="45" spans="1:20" x14ac:dyDescent="0.2">
      <c r="A45" s="240"/>
      <c r="B45" s="242" t="s">
        <v>1486</v>
      </c>
      <c r="C45" s="242" t="s">
        <v>1487</v>
      </c>
      <c r="D45" s="242" t="s">
        <v>1389</v>
      </c>
      <c r="E45" s="291" t="s">
        <v>1488</v>
      </c>
      <c r="F45" s="240" t="s">
        <v>1391</v>
      </c>
      <c r="G45" s="240" t="s">
        <v>1392</v>
      </c>
      <c r="H45" s="292">
        <v>43363</v>
      </c>
      <c r="I45" s="240"/>
      <c r="J45" s="240"/>
      <c r="K45" s="240"/>
      <c r="L45" s="240"/>
      <c r="M45" s="240"/>
      <c r="N45" s="240"/>
      <c r="O45" s="240">
        <v>1</v>
      </c>
      <c r="P45" s="273">
        <f t="shared" si="1"/>
        <v>1</v>
      </c>
      <c r="Q45" s="240">
        <v>1</v>
      </c>
      <c r="R45" s="146">
        <f t="shared" si="3"/>
        <v>0</v>
      </c>
      <c r="S45" s="240" t="s">
        <v>1528</v>
      </c>
      <c r="T45" s="270"/>
    </row>
    <row r="46" spans="1:20" x14ac:dyDescent="0.2">
      <c r="A46" s="240"/>
      <c r="B46" s="242" t="s">
        <v>1489</v>
      </c>
      <c r="C46" s="242" t="s">
        <v>1490</v>
      </c>
      <c r="D46" s="242" t="s">
        <v>1389</v>
      </c>
      <c r="E46" s="291" t="s">
        <v>1491</v>
      </c>
      <c r="F46" s="240" t="s">
        <v>1391</v>
      </c>
      <c r="G46" s="240" t="s">
        <v>1392</v>
      </c>
      <c r="H46" s="292">
        <v>43367</v>
      </c>
      <c r="I46" s="240"/>
      <c r="J46" s="240"/>
      <c r="K46" s="240"/>
      <c r="L46" s="240"/>
      <c r="M46" s="240"/>
      <c r="N46" s="240"/>
      <c r="O46" s="240">
        <v>1</v>
      </c>
      <c r="P46" s="273">
        <f t="shared" si="1"/>
        <v>1</v>
      </c>
      <c r="Q46" s="240">
        <v>1</v>
      </c>
      <c r="R46" s="146">
        <f>P46-Q46</f>
        <v>0</v>
      </c>
      <c r="S46" s="240" t="s">
        <v>1528</v>
      </c>
      <c r="T46" s="270"/>
    </row>
    <row r="47" spans="1:20" x14ac:dyDescent="0.2">
      <c r="A47" s="240"/>
      <c r="B47" s="242" t="s">
        <v>1492</v>
      </c>
      <c r="C47" s="242" t="s">
        <v>1493</v>
      </c>
      <c r="D47" s="242" t="s">
        <v>1405</v>
      </c>
      <c r="E47" s="291" t="s">
        <v>1494</v>
      </c>
      <c r="F47" s="240" t="s">
        <v>1406</v>
      </c>
      <c r="G47" s="240" t="s">
        <v>1407</v>
      </c>
      <c r="H47" s="292">
        <v>43376</v>
      </c>
      <c r="I47" s="240"/>
      <c r="J47" s="240"/>
      <c r="K47" s="240"/>
      <c r="L47" s="240"/>
      <c r="M47" s="240"/>
      <c r="N47" s="240"/>
      <c r="O47" s="240">
        <v>1</v>
      </c>
      <c r="P47" s="273">
        <f t="shared" si="1"/>
        <v>1</v>
      </c>
      <c r="Q47" s="240">
        <v>1</v>
      </c>
      <c r="R47" s="146">
        <f t="shared" ref="R47:R90" si="4">P47-Q47</f>
        <v>0</v>
      </c>
      <c r="S47" s="240" t="s">
        <v>1528</v>
      </c>
      <c r="T47" s="270"/>
    </row>
    <row r="48" spans="1:20" x14ac:dyDescent="0.2">
      <c r="A48" s="240"/>
      <c r="B48" s="242" t="s">
        <v>1495</v>
      </c>
      <c r="C48" s="242" t="s">
        <v>1496</v>
      </c>
      <c r="D48" s="242" t="s">
        <v>1389</v>
      </c>
      <c r="E48" s="291" t="s">
        <v>1497</v>
      </c>
      <c r="F48" s="240" t="s">
        <v>1391</v>
      </c>
      <c r="G48" s="240" t="s">
        <v>1407</v>
      </c>
      <c r="H48" s="292">
        <v>43383</v>
      </c>
      <c r="I48" s="240"/>
      <c r="J48" s="240"/>
      <c r="K48" s="240"/>
      <c r="L48" s="240"/>
      <c r="M48" s="240"/>
      <c r="N48" s="240"/>
      <c r="O48" s="240">
        <v>1</v>
      </c>
      <c r="P48" s="273">
        <f t="shared" si="1"/>
        <v>1</v>
      </c>
      <c r="Q48" s="240">
        <v>1</v>
      </c>
      <c r="R48" s="146">
        <f t="shared" si="4"/>
        <v>0</v>
      </c>
      <c r="S48" s="240" t="s">
        <v>1528</v>
      </c>
      <c r="T48" s="270"/>
    </row>
    <row r="49" spans="1:20" x14ac:dyDescent="0.2">
      <c r="A49" s="240"/>
      <c r="B49" s="242" t="s">
        <v>1498</v>
      </c>
      <c r="C49" s="242" t="s">
        <v>1499</v>
      </c>
      <c r="D49" s="242" t="s">
        <v>1389</v>
      </c>
      <c r="E49" s="291" t="s">
        <v>1500</v>
      </c>
      <c r="F49" s="240" t="s">
        <v>1391</v>
      </c>
      <c r="G49" s="240" t="s">
        <v>1392</v>
      </c>
      <c r="H49" s="292">
        <v>43384</v>
      </c>
      <c r="I49" s="240"/>
      <c r="J49" s="240"/>
      <c r="K49" s="240"/>
      <c r="L49" s="240"/>
      <c r="M49" s="240"/>
      <c r="N49" s="240"/>
      <c r="O49" s="240">
        <v>1</v>
      </c>
      <c r="P49" s="273">
        <f t="shared" si="1"/>
        <v>1</v>
      </c>
      <c r="Q49" s="240">
        <v>1</v>
      </c>
      <c r="R49" s="146">
        <f t="shared" si="4"/>
        <v>0</v>
      </c>
      <c r="S49" s="240" t="s">
        <v>1528</v>
      </c>
      <c r="T49" s="270"/>
    </row>
    <row r="50" spans="1:20" x14ac:dyDescent="0.2">
      <c r="A50" s="240"/>
      <c r="B50" s="242" t="s">
        <v>1501</v>
      </c>
      <c r="C50" s="242" t="s">
        <v>1502</v>
      </c>
      <c r="D50" s="242" t="s">
        <v>1405</v>
      </c>
      <c r="E50" s="291" t="s">
        <v>1503</v>
      </c>
      <c r="F50" s="240" t="s">
        <v>1406</v>
      </c>
      <c r="G50" s="240" t="s">
        <v>1407</v>
      </c>
      <c r="H50" s="292">
        <v>43388</v>
      </c>
      <c r="I50" s="240"/>
      <c r="J50" s="240"/>
      <c r="K50" s="240"/>
      <c r="L50" s="240"/>
      <c r="M50" s="240"/>
      <c r="N50" s="240"/>
      <c r="O50" s="240">
        <v>2</v>
      </c>
      <c r="P50" s="273">
        <f t="shared" si="1"/>
        <v>2</v>
      </c>
      <c r="Q50" s="240">
        <v>2</v>
      </c>
      <c r="R50" s="146">
        <f t="shared" si="4"/>
        <v>0</v>
      </c>
      <c r="S50" s="240" t="s">
        <v>1528</v>
      </c>
      <c r="T50" s="270" t="s">
        <v>1529</v>
      </c>
    </row>
    <row r="51" spans="1:20" x14ac:dyDescent="0.2">
      <c r="A51" s="240"/>
      <c r="B51" s="242" t="s">
        <v>1504</v>
      </c>
      <c r="C51" s="242" t="s">
        <v>1505</v>
      </c>
      <c r="D51" s="242" t="s">
        <v>1389</v>
      </c>
      <c r="E51" s="291" t="s">
        <v>1506</v>
      </c>
      <c r="F51" s="240" t="s">
        <v>1391</v>
      </c>
      <c r="G51" s="240" t="s">
        <v>1392</v>
      </c>
      <c r="H51" s="292">
        <v>43402</v>
      </c>
      <c r="I51" s="240"/>
      <c r="J51" s="240"/>
      <c r="K51" s="240"/>
      <c r="L51" s="240"/>
      <c r="M51" s="240"/>
      <c r="N51" s="240"/>
      <c r="O51" s="240">
        <v>1</v>
      </c>
      <c r="P51" s="273">
        <f t="shared" si="1"/>
        <v>1</v>
      </c>
      <c r="Q51" s="240">
        <v>1</v>
      </c>
      <c r="R51" s="146">
        <f t="shared" si="4"/>
        <v>0</v>
      </c>
      <c r="S51" s="240" t="s">
        <v>1528</v>
      </c>
      <c r="T51" s="270"/>
    </row>
    <row r="52" spans="1:20" x14ac:dyDescent="0.2">
      <c r="A52" s="240"/>
      <c r="B52" s="242" t="s">
        <v>1507</v>
      </c>
      <c r="C52" s="242" t="s">
        <v>1508</v>
      </c>
      <c r="D52" s="242" t="s">
        <v>1389</v>
      </c>
      <c r="E52" s="291" t="s">
        <v>1509</v>
      </c>
      <c r="F52" s="240" t="s">
        <v>1391</v>
      </c>
      <c r="G52" s="240" t="s">
        <v>1392</v>
      </c>
      <c r="H52" s="292">
        <v>43412</v>
      </c>
      <c r="I52" s="240"/>
      <c r="J52" s="240"/>
      <c r="K52" s="240"/>
      <c r="L52" s="240"/>
      <c r="M52" s="240"/>
      <c r="N52" s="240"/>
      <c r="O52" s="240">
        <v>1</v>
      </c>
      <c r="P52" s="273">
        <f t="shared" si="1"/>
        <v>1</v>
      </c>
      <c r="Q52" s="240">
        <v>1</v>
      </c>
      <c r="R52" s="146"/>
      <c r="S52" s="240" t="s">
        <v>1528</v>
      </c>
      <c r="T52" s="270"/>
    </row>
    <row r="53" spans="1:20" x14ac:dyDescent="0.2">
      <c r="A53" s="240"/>
      <c r="B53" s="242" t="s">
        <v>1510</v>
      </c>
      <c r="C53" s="242" t="s">
        <v>1511</v>
      </c>
      <c r="D53" s="242" t="s">
        <v>1389</v>
      </c>
      <c r="E53" s="291" t="s">
        <v>1512</v>
      </c>
      <c r="F53" s="240" t="s">
        <v>1391</v>
      </c>
      <c r="G53" s="240" t="s">
        <v>1392</v>
      </c>
      <c r="H53" s="292">
        <v>43431</v>
      </c>
      <c r="I53" s="240"/>
      <c r="J53" s="240"/>
      <c r="K53" s="240"/>
      <c r="L53" s="240"/>
      <c r="M53" s="240"/>
      <c r="N53" s="240"/>
      <c r="O53" s="240">
        <v>1</v>
      </c>
      <c r="P53" s="273">
        <f t="shared" si="1"/>
        <v>1</v>
      </c>
      <c r="Q53" s="240">
        <v>1</v>
      </c>
      <c r="R53" s="146">
        <f t="shared" si="4"/>
        <v>0</v>
      </c>
      <c r="S53" s="240" t="s">
        <v>1528</v>
      </c>
      <c r="T53" s="270"/>
    </row>
    <row r="54" spans="1:20" x14ac:dyDescent="0.2">
      <c r="A54" s="240"/>
      <c r="B54" s="242" t="s">
        <v>1513</v>
      </c>
      <c r="C54" s="242" t="s">
        <v>1514</v>
      </c>
      <c r="D54" s="242" t="s">
        <v>1389</v>
      </c>
      <c r="E54" s="291" t="s">
        <v>1515</v>
      </c>
      <c r="F54" s="240" t="s">
        <v>1391</v>
      </c>
      <c r="G54" s="240" t="s">
        <v>1392</v>
      </c>
      <c r="H54" s="292">
        <v>43431</v>
      </c>
      <c r="I54" s="240"/>
      <c r="J54" s="240"/>
      <c r="K54" s="240"/>
      <c r="L54" s="240"/>
      <c r="M54" s="240"/>
      <c r="N54" s="240"/>
      <c r="O54" s="240">
        <v>1</v>
      </c>
      <c r="P54" s="273">
        <f t="shared" si="1"/>
        <v>1</v>
      </c>
      <c r="Q54" s="240">
        <v>1</v>
      </c>
      <c r="R54" s="146">
        <f t="shared" si="4"/>
        <v>0</v>
      </c>
      <c r="S54" s="240" t="s">
        <v>1528</v>
      </c>
      <c r="T54" s="270"/>
    </row>
    <row r="55" spans="1:20" x14ac:dyDescent="0.2">
      <c r="A55" s="240"/>
      <c r="B55" s="242" t="s">
        <v>1516</v>
      </c>
      <c r="C55" s="242" t="s">
        <v>1517</v>
      </c>
      <c r="D55" s="242" t="s">
        <v>1518</v>
      </c>
      <c r="E55" s="291" t="s">
        <v>1519</v>
      </c>
      <c r="F55" s="240" t="s">
        <v>1411</v>
      </c>
      <c r="G55" s="240" t="s">
        <v>1407</v>
      </c>
      <c r="H55" s="292">
        <v>43437</v>
      </c>
      <c r="I55" s="240"/>
      <c r="J55" s="240"/>
      <c r="K55" s="240"/>
      <c r="L55" s="240"/>
      <c r="M55" s="240">
        <v>19</v>
      </c>
      <c r="N55" s="240"/>
      <c r="O55" s="240">
        <v>171</v>
      </c>
      <c r="P55" s="273">
        <f t="shared" si="1"/>
        <v>190</v>
      </c>
      <c r="Q55" s="240"/>
      <c r="R55" s="146"/>
      <c r="S55" s="240" t="s">
        <v>1528</v>
      </c>
      <c r="T55" s="270"/>
    </row>
    <row r="56" spans="1:20" x14ac:dyDescent="0.2">
      <c r="A56" s="240"/>
      <c r="B56" s="242" t="s">
        <v>1520</v>
      </c>
      <c r="C56" s="242" t="s">
        <v>1521</v>
      </c>
      <c r="D56" s="242" t="s">
        <v>1405</v>
      </c>
      <c r="E56" s="291">
        <v>201806620</v>
      </c>
      <c r="F56" s="240" t="s">
        <v>1522</v>
      </c>
      <c r="G56" s="240" t="s">
        <v>1392</v>
      </c>
      <c r="H56" s="292">
        <v>43446</v>
      </c>
      <c r="I56" s="240"/>
      <c r="J56" s="240"/>
      <c r="K56" s="240">
        <v>14</v>
      </c>
      <c r="L56" s="240"/>
      <c r="M56" s="240"/>
      <c r="N56" s="240"/>
      <c r="O56" s="240">
        <v>126</v>
      </c>
      <c r="P56" s="273">
        <f t="shared" si="1"/>
        <v>140</v>
      </c>
      <c r="Q56" s="240"/>
      <c r="R56" s="146"/>
      <c r="S56" s="240" t="s">
        <v>1528</v>
      </c>
      <c r="T56" s="270"/>
    </row>
    <row r="57" spans="1:20" x14ac:dyDescent="0.2">
      <c r="A57" s="240"/>
      <c r="B57" s="242" t="s">
        <v>1523</v>
      </c>
      <c r="C57" s="242" t="s">
        <v>1524</v>
      </c>
      <c r="D57" s="242" t="s">
        <v>1389</v>
      </c>
      <c r="E57" s="291" t="s">
        <v>1525</v>
      </c>
      <c r="F57" s="240" t="s">
        <v>1391</v>
      </c>
      <c r="G57" s="240" t="s">
        <v>1392</v>
      </c>
      <c r="H57" s="292">
        <v>43451</v>
      </c>
      <c r="I57" s="240"/>
      <c r="J57" s="240"/>
      <c r="K57" s="240"/>
      <c r="L57" s="240"/>
      <c r="M57" s="240"/>
      <c r="N57" s="240"/>
      <c r="O57" s="240">
        <v>1</v>
      </c>
      <c r="P57" s="273">
        <f t="shared" si="1"/>
        <v>1</v>
      </c>
      <c r="Q57" s="240">
        <v>1</v>
      </c>
      <c r="R57" s="146"/>
      <c r="S57" s="240" t="s">
        <v>1528</v>
      </c>
      <c r="T57" s="270"/>
    </row>
    <row r="58" spans="1:20" x14ac:dyDescent="0.2">
      <c r="A58" s="240"/>
      <c r="B58" s="242" t="s">
        <v>1526</v>
      </c>
      <c r="C58" s="242" t="s">
        <v>1527</v>
      </c>
      <c r="D58" s="242" t="s">
        <v>1518</v>
      </c>
      <c r="E58" s="291">
        <v>201806740</v>
      </c>
      <c r="F58" s="240" t="s">
        <v>1406</v>
      </c>
      <c r="G58" s="240" t="s">
        <v>1392</v>
      </c>
      <c r="H58" s="293">
        <v>43818</v>
      </c>
      <c r="I58" s="240"/>
      <c r="J58" s="240"/>
      <c r="K58" s="240"/>
      <c r="L58" s="240"/>
      <c r="M58" s="240"/>
      <c r="N58" s="240"/>
      <c r="O58" s="240">
        <v>5</v>
      </c>
      <c r="P58" s="273">
        <f t="shared" si="1"/>
        <v>5</v>
      </c>
      <c r="Q58" s="240"/>
      <c r="R58" s="146"/>
      <c r="S58" s="240" t="s">
        <v>1528</v>
      </c>
      <c r="T58" s="270"/>
    </row>
    <row r="59" spans="1:20" x14ac:dyDescent="0.2">
      <c r="A59" s="240"/>
      <c r="B59" s="240"/>
      <c r="C59" s="240"/>
      <c r="D59" s="240"/>
      <c r="E59" s="240"/>
      <c r="F59" s="240"/>
      <c r="G59" s="240"/>
      <c r="H59" s="269"/>
      <c r="I59" s="240"/>
      <c r="J59" s="240"/>
      <c r="K59" s="240"/>
      <c r="L59" s="240"/>
      <c r="M59" s="240"/>
      <c r="N59" s="240"/>
      <c r="O59" s="240"/>
      <c r="P59" s="273">
        <f t="shared" si="1"/>
        <v>0</v>
      </c>
      <c r="Q59" s="146"/>
      <c r="R59" s="146">
        <f t="shared" si="4"/>
        <v>0</v>
      </c>
      <c r="T59" s="270"/>
    </row>
    <row r="60" spans="1:20" x14ac:dyDescent="0.2">
      <c r="A60" s="240"/>
      <c r="B60" s="240"/>
      <c r="C60" s="240"/>
      <c r="D60" s="240"/>
      <c r="E60" s="240"/>
      <c r="F60" s="240"/>
      <c r="G60" s="240"/>
      <c r="H60" s="269"/>
      <c r="I60" s="240"/>
      <c r="J60" s="240"/>
      <c r="K60" s="240"/>
      <c r="L60" s="240"/>
      <c r="M60" s="240"/>
      <c r="N60" s="240"/>
      <c r="O60" s="240"/>
      <c r="P60" s="273">
        <f t="shared" si="1"/>
        <v>0</v>
      </c>
      <c r="Q60" s="146"/>
      <c r="R60" s="146"/>
      <c r="T60" s="270"/>
    </row>
    <row r="61" spans="1:20" x14ac:dyDescent="0.2">
      <c r="A61" s="240"/>
      <c r="B61" s="240"/>
      <c r="C61" s="240"/>
      <c r="D61" s="240"/>
      <c r="E61" s="240"/>
      <c r="F61" s="240"/>
      <c r="G61" s="240"/>
      <c r="H61" s="269"/>
      <c r="I61" s="240"/>
      <c r="J61" s="240"/>
      <c r="K61" s="240"/>
      <c r="L61" s="240"/>
      <c r="M61" s="240"/>
      <c r="N61" s="240"/>
      <c r="O61" s="240"/>
      <c r="P61" s="273">
        <f t="shared" si="1"/>
        <v>0</v>
      </c>
      <c r="Q61" s="146"/>
      <c r="R61" s="146">
        <f t="shared" si="4"/>
        <v>0</v>
      </c>
      <c r="T61" s="270"/>
    </row>
    <row r="62" spans="1:20" x14ac:dyDescent="0.2">
      <c r="A62" s="240"/>
      <c r="B62" s="240"/>
      <c r="C62" s="240"/>
      <c r="D62" s="240"/>
      <c r="E62" s="240"/>
      <c r="F62" s="240"/>
      <c r="G62" s="240"/>
      <c r="H62" s="269"/>
      <c r="I62" s="240"/>
      <c r="J62" s="240"/>
      <c r="K62" s="240"/>
      <c r="L62" s="240"/>
      <c r="M62" s="240"/>
      <c r="N62" s="240"/>
      <c r="O62" s="240"/>
      <c r="P62" s="273">
        <f t="shared" si="1"/>
        <v>0</v>
      </c>
      <c r="Q62" s="146"/>
      <c r="R62" s="146">
        <f t="shared" si="4"/>
        <v>0</v>
      </c>
      <c r="T62" s="270"/>
    </row>
    <row r="63" spans="1:20" x14ac:dyDescent="0.2">
      <c r="A63" s="240"/>
      <c r="B63" s="240"/>
      <c r="C63" s="240"/>
      <c r="D63" s="240"/>
      <c r="E63" s="240"/>
      <c r="F63" s="240"/>
      <c r="G63" s="240"/>
      <c r="H63" s="269"/>
      <c r="I63" s="240"/>
      <c r="J63" s="240"/>
      <c r="K63" s="240"/>
      <c r="L63" s="240"/>
      <c r="M63" s="240"/>
      <c r="N63" s="240"/>
      <c r="O63" s="240"/>
      <c r="P63" s="273">
        <f t="shared" si="1"/>
        <v>0</v>
      </c>
      <c r="Q63" s="146"/>
      <c r="R63" s="146">
        <f t="shared" si="4"/>
        <v>0</v>
      </c>
      <c r="T63" s="270"/>
    </row>
    <row r="64" spans="1:20" x14ac:dyDescent="0.2">
      <c r="A64" s="240"/>
      <c r="B64" s="240"/>
      <c r="C64" s="240"/>
      <c r="D64" s="240"/>
      <c r="E64" s="240"/>
      <c r="F64" s="240"/>
      <c r="G64" s="240"/>
      <c r="H64" s="269"/>
      <c r="I64" s="240"/>
      <c r="J64" s="240"/>
      <c r="K64" s="240"/>
      <c r="L64" s="240"/>
      <c r="M64" s="240"/>
      <c r="N64" s="240"/>
      <c r="O64" s="240"/>
      <c r="P64" s="273">
        <f t="shared" si="1"/>
        <v>0</v>
      </c>
      <c r="Q64" s="146"/>
      <c r="R64" s="146">
        <f t="shared" si="4"/>
        <v>0</v>
      </c>
      <c r="T64" s="270"/>
    </row>
    <row r="65" spans="1:20" x14ac:dyDescent="0.2">
      <c r="A65" s="240"/>
      <c r="B65" s="240"/>
      <c r="C65" s="240"/>
      <c r="D65" s="240"/>
      <c r="E65" s="240"/>
      <c r="F65" s="240"/>
      <c r="G65" s="240"/>
      <c r="H65" s="269"/>
      <c r="I65" s="240"/>
      <c r="J65" s="240"/>
      <c r="K65" s="240"/>
      <c r="L65" s="240"/>
      <c r="M65" s="240"/>
      <c r="N65" s="240"/>
      <c r="O65" s="240"/>
      <c r="P65" s="273">
        <f t="shared" si="1"/>
        <v>0</v>
      </c>
      <c r="Q65" s="146"/>
      <c r="R65" s="146">
        <f t="shared" si="4"/>
        <v>0</v>
      </c>
      <c r="T65" s="270"/>
    </row>
    <row r="66" spans="1:20" x14ac:dyDescent="0.2">
      <c r="A66" s="240"/>
      <c r="B66" s="240"/>
      <c r="C66" s="240"/>
      <c r="D66" s="240"/>
      <c r="E66" s="240"/>
      <c r="F66" s="240"/>
      <c r="G66" s="240"/>
      <c r="H66" s="269"/>
      <c r="I66" s="240"/>
      <c r="J66" s="240"/>
      <c r="K66" s="240"/>
      <c r="L66" s="240"/>
      <c r="M66" s="240"/>
      <c r="N66" s="240"/>
      <c r="O66" s="240"/>
      <c r="P66" s="273">
        <f t="shared" si="1"/>
        <v>0</v>
      </c>
      <c r="Q66" s="146"/>
      <c r="R66" s="146">
        <f t="shared" si="4"/>
        <v>0</v>
      </c>
      <c r="T66" s="270"/>
    </row>
    <row r="67" spans="1:20" x14ac:dyDescent="0.2">
      <c r="A67" s="240"/>
      <c r="B67" s="240"/>
      <c r="C67" s="240"/>
      <c r="D67" s="240"/>
      <c r="E67" s="240"/>
      <c r="F67" s="240"/>
      <c r="G67" s="240"/>
      <c r="H67" s="269"/>
      <c r="I67" s="240"/>
      <c r="J67" s="240"/>
      <c r="K67" s="240"/>
      <c r="L67" s="240"/>
      <c r="M67" s="240"/>
      <c r="N67" s="240"/>
      <c r="O67" s="240"/>
      <c r="P67" s="273">
        <f t="shared" si="1"/>
        <v>0</v>
      </c>
      <c r="Q67" s="146"/>
      <c r="R67" s="146">
        <f t="shared" si="4"/>
        <v>0</v>
      </c>
      <c r="T67" s="270"/>
    </row>
    <row r="68" spans="1:20" x14ac:dyDescent="0.2">
      <c r="A68" s="240"/>
      <c r="B68" s="240"/>
      <c r="C68" s="240"/>
      <c r="D68" s="240"/>
      <c r="E68" s="240"/>
      <c r="F68" s="240"/>
      <c r="G68" s="240"/>
      <c r="H68" s="269"/>
      <c r="I68" s="240"/>
      <c r="J68" s="240"/>
      <c r="K68" s="240"/>
      <c r="L68" s="240"/>
      <c r="M68" s="240"/>
      <c r="N68" s="240"/>
      <c r="O68" s="240"/>
      <c r="P68" s="273">
        <f t="shared" si="1"/>
        <v>0</v>
      </c>
      <c r="Q68" s="146"/>
      <c r="R68" s="146">
        <f t="shared" si="4"/>
        <v>0</v>
      </c>
      <c r="T68" s="270"/>
    </row>
    <row r="69" spans="1:20" x14ac:dyDescent="0.2">
      <c r="A69" s="240"/>
      <c r="B69" s="240"/>
      <c r="C69" s="240"/>
      <c r="D69" s="240"/>
      <c r="E69" s="240"/>
      <c r="F69" s="240"/>
      <c r="G69" s="240"/>
      <c r="H69" s="269"/>
      <c r="I69" s="240"/>
      <c r="J69" s="240"/>
      <c r="K69" s="240"/>
      <c r="L69" s="240"/>
      <c r="M69" s="240"/>
      <c r="N69" s="240"/>
      <c r="O69" s="240"/>
      <c r="P69" s="273">
        <f t="shared" si="1"/>
        <v>0</v>
      </c>
      <c r="Q69" s="146"/>
      <c r="R69" s="146">
        <f t="shared" si="4"/>
        <v>0</v>
      </c>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4"/>
        <v>0</v>
      </c>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4"/>
        <v>0</v>
      </c>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4"/>
        <v>0</v>
      </c>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4"/>
        <v>0</v>
      </c>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4"/>
        <v>0</v>
      </c>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4"/>
        <v>0</v>
      </c>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4"/>
        <v>0</v>
      </c>
      <c r="T76" s="270"/>
    </row>
    <row r="77" spans="1:20" x14ac:dyDescent="0.2">
      <c r="A77" s="240"/>
      <c r="B77" s="240"/>
      <c r="C77" s="240"/>
      <c r="D77" s="240"/>
      <c r="E77" s="240"/>
      <c r="F77" s="240"/>
      <c r="G77" s="240"/>
      <c r="H77" s="269"/>
      <c r="I77" s="240"/>
      <c r="J77" s="240"/>
      <c r="K77" s="240"/>
      <c r="L77" s="240"/>
      <c r="M77" s="240"/>
      <c r="N77" s="240"/>
      <c r="O77" s="240"/>
      <c r="P77" s="273">
        <f t="shared" ref="P77:P140" si="5">SUM(I77:O77)</f>
        <v>0</v>
      </c>
      <c r="Q77" s="240"/>
      <c r="R77" s="146">
        <f t="shared" si="4"/>
        <v>0</v>
      </c>
      <c r="T77" s="270"/>
    </row>
    <row r="78" spans="1:20" x14ac:dyDescent="0.2">
      <c r="A78" s="240"/>
      <c r="B78" s="240"/>
      <c r="C78" s="240"/>
      <c r="D78" s="240"/>
      <c r="E78" s="240"/>
      <c r="F78" s="240"/>
      <c r="G78" s="240"/>
      <c r="H78" s="269"/>
      <c r="I78" s="240"/>
      <c r="J78" s="240"/>
      <c r="K78" s="240"/>
      <c r="L78" s="240"/>
      <c r="M78" s="240"/>
      <c r="N78" s="240"/>
      <c r="O78" s="240"/>
      <c r="P78" s="273">
        <f t="shared" si="5"/>
        <v>0</v>
      </c>
      <c r="Q78" s="240"/>
      <c r="R78" s="146">
        <f t="shared" si="4"/>
        <v>0</v>
      </c>
      <c r="T78" s="270"/>
    </row>
    <row r="79" spans="1:20" x14ac:dyDescent="0.2">
      <c r="A79" s="240"/>
      <c r="B79" s="240"/>
      <c r="C79" s="240"/>
      <c r="D79" s="240"/>
      <c r="E79" s="240"/>
      <c r="F79" s="240"/>
      <c r="G79" s="240"/>
      <c r="H79" s="269"/>
      <c r="I79" s="240"/>
      <c r="J79" s="240"/>
      <c r="K79" s="240"/>
      <c r="L79" s="240"/>
      <c r="M79" s="240"/>
      <c r="N79" s="240"/>
      <c r="O79" s="240"/>
      <c r="P79" s="273">
        <f t="shared" si="5"/>
        <v>0</v>
      </c>
      <c r="Q79" s="240"/>
      <c r="R79" s="146">
        <f t="shared" si="4"/>
        <v>0</v>
      </c>
      <c r="T79" s="270"/>
    </row>
    <row r="80" spans="1:20" x14ac:dyDescent="0.2">
      <c r="A80" s="240"/>
      <c r="B80" s="240"/>
      <c r="C80" s="240"/>
      <c r="D80" s="240"/>
      <c r="E80" s="240"/>
      <c r="F80" s="240"/>
      <c r="G80" s="240"/>
      <c r="H80" s="269"/>
      <c r="I80" s="240"/>
      <c r="J80" s="240"/>
      <c r="K80" s="240"/>
      <c r="L80" s="240"/>
      <c r="M80" s="240"/>
      <c r="N80" s="240"/>
      <c r="O80" s="240"/>
      <c r="P80" s="273">
        <f t="shared" si="5"/>
        <v>0</v>
      </c>
      <c r="Q80" s="240"/>
      <c r="R80" s="146">
        <f t="shared" si="4"/>
        <v>0</v>
      </c>
      <c r="T80" s="270"/>
    </row>
    <row r="81" spans="1:20" x14ac:dyDescent="0.2">
      <c r="A81" s="240"/>
      <c r="B81" s="240"/>
      <c r="C81" s="240"/>
      <c r="D81" s="240"/>
      <c r="E81" s="240"/>
      <c r="F81" s="240"/>
      <c r="G81" s="240"/>
      <c r="H81" s="269"/>
      <c r="I81" s="240"/>
      <c r="J81" s="240"/>
      <c r="K81" s="240"/>
      <c r="L81" s="240"/>
      <c r="M81" s="240"/>
      <c r="N81" s="240"/>
      <c r="O81" s="240"/>
      <c r="P81" s="273">
        <f t="shared" si="5"/>
        <v>0</v>
      </c>
      <c r="Q81" s="240"/>
      <c r="R81" s="146">
        <f t="shared" si="4"/>
        <v>0</v>
      </c>
      <c r="T81" s="270"/>
    </row>
    <row r="82" spans="1:20" x14ac:dyDescent="0.2">
      <c r="A82" s="240"/>
      <c r="B82" s="240"/>
      <c r="C82" s="240"/>
      <c r="D82" s="240"/>
      <c r="E82" s="240"/>
      <c r="F82" s="240"/>
      <c r="G82" s="240"/>
      <c r="H82" s="269"/>
      <c r="I82" s="240"/>
      <c r="J82" s="240"/>
      <c r="K82" s="240"/>
      <c r="L82" s="240"/>
      <c r="M82" s="240"/>
      <c r="N82" s="240"/>
      <c r="O82" s="240"/>
      <c r="P82" s="273">
        <f t="shared" si="5"/>
        <v>0</v>
      </c>
      <c r="Q82" s="240"/>
      <c r="R82" s="146">
        <f t="shared" si="4"/>
        <v>0</v>
      </c>
      <c r="T82" s="270"/>
    </row>
    <row r="83" spans="1:20" x14ac:dyDescent="0.2">
      <c r="A83" s="240"/>
      <c r="B83" s="240"/>
      <c r="C83" s="240"/>
      <c r="D83" s="240"/>
      <c r="E83" s="240"/>
      <c r="F83" s="240"/>
      <c r="G83" s="240"/>
      <c r="H83" s="269"/>
      <c r="I83" s="240"/>
      <c r="J83" s="240"/>
      <c r="K83" s="240"/>
      <c r="L83" s="240"/>
      <c r="M83" s="240"/>
      <c r="N83" s="240"/>
      <c r="O83" s="240"/>
      <c r="P83" s="273">
        <f t="shared" si="5"/>
        <v>0</v>
      </c>
      <c r="Q83" s="240"/>
      <c r="R83" s="146"/>
      <c r="T83" s="270"/>
    </row>
    <row r="84" spans="1:20" x14ac:dyDescent="0.2">
      <c r="A84" s="240"/>
      <c r="B84" s="240"/>
      <c r="C84" s="240"/>
      <c r="D84" s="240"/>
      <c r="E84" s="240"/>
      <c r="F84" s="240"/>
      <c r="G84" s="240"/>
      <c r="H84" s="269"/>
      <c r="I84" s="240"/>
      <c r="J84" s="240"/>
      <c r="K84" s="240"/>
      <c r="L84" s="240"/>
      <c r="M84" s="240"/>
      <c r="N84" s="240"/>
      <c r="O84" s="240"/>
      <c r="P84" s="273">
        <f t="shared" si="5"/>
        <v>0</v>
      </c>
      <c r="Q84" s="240"/>
      <c r="R84" s="146">
        <f t="shared" si="4"/>
        <v>0</v>
      </c>
      <c r="T84" s="270"/>
    </row>
    <row r="85" spans="1:20" x14ac:dyDescent="0.2">
      <c r="A85" s="240"/>
      <c r="B85" s="240"/>
      <c r="C85" s="240"/>
      <c r="D85" s="240"/>
      <c r="E85" s="240"/>
      <c r="F85" s="240"/>
      <c r="G85" s="240"/>
      <c r="H85" s="269"/>
      <c r="I85" s="240"/>
      <c r="J85" s="240"/>
      <c r="K85" s="240"/>
      <c r="L85" s="240"/>
      <c r="M85" s="240"/>
      <c r="N85" s="240"/>
      <c r="O85" s="240"/>
      <c r="P85" s="273">
        <f t="shared" si="5"/>
        <v>0</v>
      </c>
      <c r="Q85" s="240"/>
      <c r="R85" s="146">
        <f t="shared" si="4"/>
        <v>0</v>
      </c>
      <c r="T85" s="270"/>
    </row>
    <row r="86" spans="1:20" x14ac:dyDescent="0.2">
      <c r="A86" s="240"/>
      <c r="B86" s="240"/>
      <c r="C86" s="240"/>
      <c r="D86" s="240"/>
      <c r="E86" s="240"/>
      <c r="F86" s="240"/>
      <c r="G86" s="240"/>
      <c r="H86" s="269"/>
      <c r="I86" s="240"/>
      <c r="J86" s="240"/>
      <c r="K86" s="240"/>
      <c r="L86" s="240"/>
      <c r="M86" s="240"/>
      <c r="N86" s="240"/>
      <c r="O86" s="240"/>
      <c r="P86" s="273">
        <f t="shared" si="5"/>
        <v>0</v>
      </c>
      <c r="Q86" s="240"/>
      <c r="R86" s="146">
        <f t="shared" si="4"/>
        <v>0</v>
      </c>
      <c r="T86" s="270"/>
    </row>
    <row r="87" spans="1:20" x14ac:dyDescent="0.2">
      <c r="A87" s="240"/>
      <c r="B87" s="240"/>
      <c r="C87" s="240"/>
      <c r="D87" s="240"/>
      <c r="E87" s="240"/>
      <c r="F87" s="240"/>
      <c r="G87" s="240"/>
      <c r="H87" s="269"/>
      <c r="I87" s="240"/>
      <c r="J87" s="240"/>
      <c r="K87" s="240"/>
      <c r="L87" s="240"/>
      <c r="M87" s="240"/>
      <c r="N87" s="240"/>
      <c r="O87" s="240"/>
      <c r="P87" s="273">
        <f t="shared" si="5"/>
        <v>0</v>
      </c>
      <c r="Q87" s="240"/>
      <c r="R87" s="146">
        <f t="shared" si="4"/>
        <v>0</v>
      </c>
      <c r="T87" s="270"/>
    </row>
    <row r="88" spans="1:20" x14ac:dyDescent="0.2">
      <c r="A88" s="240"/>
      <c r="B88" s="240"/>
      <c r="C88" s="240"/>
      <c r="D88" s="240"/>
      <c r="E88" s="240"/>
      <c r="F88" s="240"/>
      <c r="G88" s="240"/>
      <c r="H88" s="269"/>
      <c r="I88" s="240"/>
      <c r="J88" s="240"/>
      <c r="K88" s="240"/>
      <c r="L88" s="240"/>
      <c r="M88" s="240"/>
      <c r="N88" s="240"/>
      <c r="O88" s="240"/>
      <c r="P88" s="273">
        <f t="shared" si="5"/>
        <v>0</v>
      </c>
      <c r="Q88" s="240"/>
      <c r="R88" s="146"/>
      <c r="T88" s="270"/>
    </row>
    <row r="89" spans="1:20" x14ac:dyDescent="0.2">
      <c r="A89" s="240"/>
      <c r="B89" s="240"/>
      <c r="C89" s="240"/>
      <c r="D89" s="240"/>
      <c r="E89" s="240"/>
      <c r="F89" s="240"/>
      <c r="G89" s="240"/>
      <c r="H89" s="269"/>
      <c r="I89" s="240"/>
      <c r="J89" s="240"/>
      <c r="K89" s="240"/>
      <c r="L89" s="240"/>
      <c r="M89" s="240"/>
      <c r="N89" s="240"/>
      <c r="O89" s="240"/>
      <c r="P89" s="273">
        <f t="shared" si="5"/>
        <v>0</v>
      </c>
      <c r="Q89" s="240"/>
      <c r="R89" s="146"/>
      <c r="T89" s="270"/>
    </row>
    <row r="90" spans="1:20" x14ac:dyDescent="0.2">
      <c r="A90" s="240"/>
      <c r="B90" s="240"/>
      <c r="C90" s="240"/>
      <c r="D90" s="240"/>
      <c r="E90" s="240"/>
      <c r="F90" s="240"/>
      <c r="G90" s="240"/>
      <c r="H90" s="269"/>
      <c r="I90" s="240"/>
      <c r="J90" s="240"/>
      <c r="K90" s="240"/>
      <c r="L90" s="240"/>
      <c r="M90" s="240"/>
      <c r="N90" s="240"/>
      <c r="O90" s="240"/>
      <c r="P90" s="273">
        <f t="shared" si="5"/>
        <v>0</v>
      </c>
      <c r="Q90" s="240"/>
      <c r="R90" s="146">
        <f t="shared" si="4"/>
        <v>0</v>
      </c>
      <c r="T90" s="270"/>
    </row>
    <row r="91" spans="1:20" x14ac:dyDescent="0.2">
      <c r="A91" s="240"/>
      <c r="B91" s="240"/>
      <c r="C91" s="240"/>
      <c r="D91" s="240"/>
      <c r="E91" s="240"/>
      <c r="F91" s="240"/>
      <c r="G91" s="240"/>
      <c r="H91" s="269"/>
      <c r="I91" s="240"/>
      <c r="J91" s="240"/>
      <c r="K91" s="240"/>
      <c r="L91" s="240"/>
      <c r="M91" s="240"/>
      <c r="N91" s="240"/>
      <c r="O91" s="240"/>
      <c r="P91" s="273">
        <f t="shared" si="5"/>
        <v>0</v>
      </c>
      <c r="Q91" s="240"/>
      <c r="R91" s="146"/>
      <c r="T91" s="270"/>
    </row>
    <row r="92" spans="1:20" x14ac:dyDescent="0.2">
      <c r="A92" s="240"/>
      <c r="B92" s="240"/>
      <c r="C92" s="240"/>
      <c r="D92" s="240"/>
      <c r="E92" s="240"/>
      <c r="F92" s="240"/>
      <c r="G92" s="240"/>
      <c r="H92" s="269"/>
      <c r="I92" s="240"/>
      <c r="J92" s="240"/>
      <c r="K92" s="240"/>
      <c r="L92" s="240"/>
      <c r="M92" s="240"/>
      <c r="N92" s="240"/>
      <c r="O92" s="240"/>
      <c r="P92" s="273">
        <f t="shared" si="5"/>
        <v>0</v>
      </c>
      <c r="Q92" s="240"/>
      <c r="R92" s="146">
        <f t="shared" ref="R92:R153" si="6">P92-Q92</f>
        <v>0</v>
      </c>
      <c r="S92" s="240"/>
      <c r="T92" s="270"/>
    </row>
    <row r="93" spans="1:20" x14ac:dyDescent="0.2">
      <c r="A93" s="240"/>
      <c r="B93" s="240"/>
      <c r="C93" s="240"/>
      <c r="D93" s="240"/>
      <c r="E93" s="240"/>
      <c r="F93" s="240"/>
      <c r="G93" s="240"/>
      <c r="H93" s="269"/>
      <c r="I93" s="240"/>
      <c r="J93" s="240"/>
      <c r="K93" s="240"/>
      <c r="L93" s="240"/>
      <c r="M93" s="240"/>
      <c r="N93" s="240"/>
      <c r="O93" s="240"/>
      <c r="P93" s="273">
        <f t="shared" si="5"/>
        <v>0</v>
      </c>
      <c r="Q93" s="240"/>
      <c r="R93" s="146">
        <f t="shared" si="6"/>
        <v>0</v>
      </c>
      <c r="S93" s="240"/>
      <c r="T93" s="270"/>
    </row>
    <row r="94" spans="1:20" x14ac:dyDescent="0.2">
      <c r="A94" s="240"/>
      <c r="B94" s="240"/>
      <c r="C94" s="240"/>
      <c r="D94" s="240"/>
      <c r="E94" s="240"/>
      <c r="F94" s="240"/>
      <c r="G94" s="240"/>
      <c r="H94" s="269"/>
      <c r="I94" s="240"/>
      <c r="J94" s="240"/>
      <c r="K94" s="240"/>
      <c r="L94" s="240"/>
      <c r="M94" s="240"/>
      <c r="N94" s="240"/>
      <c r="O94" s="240"/>
      <c r="P94" s="273">
        <f t="shared" si="5"/>
        <v>0</v>
      </c>
      <c r="Q94" s="240"/>
      <c r="R94" s="146">
        <f t="shared" si="6"/>
        <v>0</v>
      </c>
      <c r="S94" s="240"/>
      <c r="T94" s="270"/>
    </row>
    <row r="95" spans="1:20" x14ac:dyDescent="0.2">
      <c r="A95" s="240"/>
      <c r="B95" s="240"/>
      <c r="C95" s="240"/>
      <c r="D95" s="240"/>
      <c r="E95" s="240"/>
      <c r="F95" s="240"/>
      <c r="G95" s="240"/>
      <c r="H95" s="269"/>
      <c r="I95" s="240"/>
      <c r="J95" s="240"/>
      <c r="K95" s="240"/>
      <c r="L95" s="240"/>
      <c r="M95" s="240"/>
      <c r="N95" s="240"/>
      <c r="O95" s="240"/>
      <c r="P95" s="273">
        <f t="shared" si="5"/>
        <v>0</v>
      </c>
      <c r="Q95" s="240"/>
      <c r="R95" s="146">
        <f t="shared" si="6"/>
        <v>0</v>
      </c>
      <c r="S95" s="240"/>
      <c r="T95" s="270"/>
    </row>
    <row r="96" spans="1:20" x14ac:dyDescent="0.2">
      <c r="A96" s="240"/>
      <c r="B96" s="240"/>
      <c r="C96" s="240"/>
      <c r="D96" s="240"/>
      <c r="E96" s="240"/>
      <c r="F96" s="240"/>
      <c r="G96" s="240"/>
      <c r="H96" s="269"/>
      <c r="I96" s="240"/>
      <c r="J96" s="240"/>
      <c r="K96" s="240"/>
      <c r="L96" s="240"/>
      <c r="M96" s="240"/>
      <c r="N96" s="240"/>
      <c r="O96" s="240"/>
      <c r="P96" s="273">
        <f t="shared" si="5"/>
        <v>0</v>
      </c>
      <c r="Q96" s="240"/>
      <c r="R96" s="146">
        <f t="shared" si="6"/>
        <v>0</v>
      </c>
      <c r="S96" s="240"/>
      <c r="T96" s="270"/>
    </row>
    <row r="97" spans="1:20" x14ac:dyDescent="0.2">
      <c r="A97" s="240"/>
      <c r="B97" s="240"/>
      <c r="C97" s="240"/>
      <c r="D97" s="240"/>
      <c r="E97" s="240"/>
      <c r="F97" s="240"/>
      <c r="G97" s="240"/>
      <c r="H97" s="269"/>
      <c r="I97" s="240"/>
      <c r="J97" s="240"/>
      <c r="K97" s="240"/>
      <c r="L97" s="240"/>
      <c r="M97" s="240"/>
      <c r="N97" s="240"/>
      <c r="O97" s="240"/>
      <c r="P97" s="273">
        <f t="shared" si="5"/>
        <v>0</v>
      </c>
      <c r="Q97" s="240"/>
      <c r="R97" s="146">
        <f t="shared" si="6"/>
        <v>0</v>
      </c>
      <c r="S97" s="240"/>
      <c r="T97" s="270"/>
    </row>
    <row r="98" spans="1:20" x14ac:dyDescent="0.2">
      <c r="A98" s="240"/>
      <c r="B98" s="240"/>
      <c r="C98" s="240"/>
      <c r="D98" s="240"/>
      <c r="E98" s="240"/>
      <c r="F98" s="240"/>
      <c r="G98" s="240"/>
      <c r="H98" s="269"/>
      <c r="I98" s="240"/>
      <c r="J98" s="240"/>
      <c r="K98" s="240"/>
      <c r="L98" s="240"/>
      <c r="M98" s="240"/>
      <c r="N98" s="240"/>
      <c r="O98" s="240"/>
      <c r="P98" s="273">
        <f t="shared" si="5"/>
        <v>0</v>
      </c>
      <c r="Q98" s="240"/>
      <c r="R98" s="146">
        <f t="shared" si="6"/>
        <v>0</v>
      </c>
      <c r="S98" s="240"/>
      <c r="T98" s="270"/>
    </row>
    <row r="99" spans="1:20" x14ac:dyDescent="0.2">
      <c r="A99" s="240"/>
      <c r="B99" s="240"/>
      <c r="C99" s="240"/>
      <c r="D99" s="240"/>
      <c r="E99" s="240"/>
      <c r="F99" s="240"/>
      <c r="G99" s="240"/>
      <c r="H99" s="269"/>
      <c r="I99" s="240"/>
      <c r="J99" s="240"/>
      <c r="K99" s="240"/>
      <c r="L99" s="240"/>
      <c r="M99" s="240"/>
      <c r="N99" s="240"/>
      <c r="O99" s="240"/>
      <c r="P99" s="273">
        <f t="shared" si="5"/>
        <v>0</v>
      </c>
      <c r="Q99" s="240"/>
      <c r="R99" s="146">
        <f t="shared" si="6"/>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5"/>
        <v>0</v>
      </c>
      <c r="Q100" s="240"/>
      <c r="R100" s="146">
        <f t="shared" si="6"/>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5"/>
        <v>0</v>
      </c>
      <c r="Q101" s="240"/>
      <c r="R101" s="146">
        <f t="shared" si="6"/>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5"/>
        <v>0</v>
      </c>
      <c r="Q102" s="240"/>
      <c r="R102" s="146">
        <f t="shared" si="6"/>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5"/>
        <v>0</v>
      </c>
      <c r="Q103" s="240"/>
      <c r="R103" s="146">
        <f t="shared" si="6"/>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5"/>
        <v>0</v>
      </c>
      <c r="Q104" s="240"/>
      <c r="R104" s="146">
        <f t="shared" si="6"/>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5"/>
        <v>0</v>
      </c>
      <c r="Q105" s="240"/>
      <c r="R105" s="146">
        <f t="shared" si="6"/>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5"/>
        <v>0</v>
      </c>
      <c r="Q106" s="240"/>
      <c r="R106" s="146">
        <f t="shared" si="6"/>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5"/>
        <v>0</v>
      </c>
      <c r="Q107" s="240"/>
      <c r="R107" s="146">
        <f t="shared" si="6"/>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5"/>
        <v>0</v>
      </c>
      <c r="Q108" s="240"/>
      <c r="R108" s="146">
        <f t="shared" si="6"/>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5"/>
        <v>0</v>
      </c>
      <c r="Q109" s="240"/>
      <c r="R109" s="146">
        <f t="shared" si="6"/>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5"/>
        <v>0</v>
      </c>
      <c r="Q110" s="240"/>
      <c r="R110" s="146">
        <f t="shared" si="6"/>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5"/>
        <v>0</v>
      </c>
      <c r="Q111" s="240"/>
      <c r="R111" s="146">
        <f t="shared" si="6"/>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5"/>
        <v>0</v>
      </c>
      <c r="Q112" s="240"/>
      <c r="R112" s="146">
        <f t="shared" si="6"/>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5"/>
        <v>0</v>
      </c>
      <c r="Q113" s="240"/>
      <c r="R113" s="146">
        <f t="shared" si="6"/>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5"/>
        <v>0</v>
      </c>
      <c r="Q114" s="240"/>
      <c r="R114" s="146">
        <f t="shared" si="6"/>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5"/>
        <v>0</v>
      </c>
      <c r="Q115" s="240"/>
      <c r="R115" s="146">
        <f t="shared" si="6"/>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5"/>
        <v>0</v>
      </c>
      <c r="Q116" s="240"/>
      <c r="R116" s="146">
        <f t="shared" si="6"/>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5"/>
        <v>0</v>
      </c>
      <c r="Q117" s="240"/>
      <c r="R117" s="146">
        <f t="shared" si="6"/>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5"/>
        <v>0</v>
      </c>
      <c r="Q118" s="240"/>
      <c r="R118" s="146">
        <f t="shared" si="6"/>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5"/>
        <v>0</v>
      </c>
      <c r="Q119" s="240"/>
      <c r="R119" s="146">
        <f t="shared" si="6"/>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5"/>
        <v>0</v>
      </c>
      <c r="Q120" s="240"/>
      <c r="R120" s="146">
        <f t="shared" si="6"/>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5"/>
        <v>0</v>
      </c>
      <c r="Q121" s="240"/>
      <c r="R121" s="146">
        <f t="shared" si="6"/>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5"/>
        <v>0</v>
      </c>
      <c r="Q122" s="240"/>
      <c r="R122" s="146">
        <f t="shared" si="6"/>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5"/>
        <v>0</v>
      </c>
      <c r="Q123" s="240"/>
      <c r="R123" s="146">
        <f t="shared" si="6"/>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5"/>
        <v>0</v>
      </c>
      <c r="Q124" s="240"/>
      <c r="R124" s="146">
        <f t="shared" si="6"/>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5"/>
        <v>0</v>
      </c>
      <c r="Q125" s="240"/>
      <c r="R125" s="146">
        <f t="shared" si="6"/>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5"/>
        <v>0</v>
      </c>
      <c r="Q126" s="240"/>
      <c r="R126" s="146">
        <f t="shared" si="6"/>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5"/>
        <v>0</v>
      </c>
      <c r="Q127" s="240"/>
      <c r="R127" s="146">
        <f t="shared" si="6"/>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5"/>
        <v>0</v>
      </c>
      <c r="Q128" s="240"/>
      <c r="R128" s="146">
        <f t="shared" si="6"/>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5"/>
        <v>0</v>
      </c>
      <c r="Q129" s="240"/>
      <c r="R129" s="146">
        <f t="shared" si="6"/>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5"/>
        <v>0</v>
      </c>
      <c r="Q130" s="240"/>
      <c r="R130" s="146">
        <f t="shared" si="6"/>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5"/>
        <v>0</v>
      </c>
      <c r="Q131" s="240"/>
      <c r="R131" s="146">
        <f t="shared" si="6"/>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5"/>
        <v>0</v>
      </c>
      <c r="Q132" s="240"/>
      <c r="R132" s="146">
        <f t="shared" si="6"/>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5"/>
        <v>0</v>
      </c>
      <c r="Q133" s="240"/>
      <c r="R133" s="146">
        <f t="shared" si="6"/>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5"/>
        <v>0</v>
      </c>
      <c r="Q134" s="240"/>
      <c r="R134" s="146">
        <f t="shared" si="6"/>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5"/>
        <v>0</v>
      </c>
      <c r="Q135" s="240"/>
      <c r="R135" s="146">
        <f t="shared" si="6"/>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5"/>
        <v>0</v>
      </c>
      <c r="Q136" s="240"/>
      <c r="R136" s="146">
        <f t="shared" si="6"/>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5"/>
        <v>0</v>
      </c>
      <c r="Q137" s="240"/>
      <c r="R137" s="146">
        <f t="shared" si="6"/>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5"/>
        <v>0</v>
      </c>
      <c r="Q138" s="240"/>
      <c r="R138" s="146">
        <f t="shared" si="6"/>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5"/>
        <v>0</v>
      </c>
      <c r="Q139" s="240"/>
      <c r="R139" s="146">
        <f t="shared" si="6"/>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5"/>
        <v>0</v>
      </c>
      <c r="Q140" s="240"/>
      <c r="R140" s="146">
        <f t="shared" si="6"/>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7">SUM(I141:O141)</f>
        <v>0</v>
      </c>
      <c r="Q141" s="240"/>
      <c r="R141" s="146">
        <f t="shared" si="6"/>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7"/>
        <v>0</v>
      </c>
      <c r="Q142" s="240"/>
      <c r="R142" s="146">
        <f t="shared" si="6"/>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7"/>
        <v>0</v>
      </c>
      <c r="Q143" s="240"/>
      <c r="R143" s="146">
        <f t="shared" si="6"/>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7"/>
        <v>0</v>
      </c>
      <c r="Q144" s="240"/>
      <c r="R144" s="146">
        <f t="shared" si="6"/>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7"/>
        <v>0</v>
      </c>
      <c r="Q145" s="240"/>
      <c r="R145" s="146">
        <f t="shared" si="6"/>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7"/>
        <v>0</v>
      </c>
      <c r="Q146" s="240"/>
      <c r="R146" s="146">
        <f t="shared" si="6"/>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7"/>
        <v>0</v>
      </c>
      <c r="Q147" s="240"/>
      <c r="R147" s="146">
        <f t="shared" si="6"/>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7"/>
        <v>0</v>
      </c>
      <c r="Q148" s="240"/>
      <c r="R148" s="146">
        <f t="shared" si="6"/>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7"/>
        <v>0</v>
      </c>
      <c r="Q149" s="240"/>
      <c r="R149" s="146">
        <f t="shared" si="6"/>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7"/>
        <v>0</v>
      </c>
      <c r="Q150" s="240"/>
      <c r="R150" s="146">
        <f t="shared" si="6"/>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7"/>
        <v>0</v>
      </c>
      <c r="Q151" s="240"/>
      <c r="R151" s="146">
        <f t="shared" si="6"/>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7"/>
        <v>0</v>
      </c>
      <c r="Q152" s="240"/>
      <c r="R152" s="146">
        <f t="shared" si="6"/>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7"/>
        <v>0</v>
      </c>
      <c r="Q153" s="240"/>
      <c r="R153" s="146">
        <f t="shared" si="6"/>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7"/>
        <v>0</v>
      </c>
      <c r="Q154" s="240"/>
      <c r="R154" s="146">
        <f t="shared" ref="R154:R217" si="8">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7"/>
        <v>0</v>
      </c>
      <c r="Q155" s="240"/>
      <c r="R155" s="146">
        <f t="shared" si="8"/>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7"/>
        <v>0</v>
      </c>
      <c r="Q156" s="240"/>
      <c r="R156" s="146">
        <f t="shared" si="8"/>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7"/>
        <v>0</v>
      </c>
      <c r="Q157" s="240"/>
      <c r="R157" s="146">
        <f t="shared" si="8"/>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7"/>
        <v>0</v>
      </c>
      <c r="Q158" s="240"/>
      <c r="R158" s="146">
        <f t="shared" si="8"/>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7"/>
        <v>0</v>
      </c>
      <c r="Q159" s="240"/>
      <c r="R159" s="146">
        <f t="shared" si="8"/>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7"/>
        <v>0</v>
      </c>
      <c r="Q160" s="240"/>
      <c r="R160" s="146">
        <f t="shared" si="8"/>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7"/>
        <v>0</v>
      </c>
      <c r="Q161" s="240"/>
      <c r="R161" s="146">
        <f t="shared" si="8"/>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7"/>
        <v>0</v>
      </c>
      <c r="Q162" s="240"/>
      <c r="R162" s="146">
        <f t="shared" si="8"/>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7"/>
        <v>0</v>
      </c>
      <c r="Q163" s="240"/>
      <c r="R163" s="146">
        <f t="shared" si="8"/>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7"/>
        <v>0</v>
      </c>
      <c r="Q164" s="240"/>
      <c r="R164" s="146">
        <f t="shared" si="8"/>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7"/>
        <v>0</v>
      </c>
      <c r="Q165" s="240"/>
      <c r="R165" s="146">
        <f t="shared" si="8"/>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7"/>
        <v>0</v>
      </c>
      <c r="Q166" s="240"/>
      <c r="R166" s="146">
        <f t="shared" si="8"/>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7"/>
        <v>0</v>
      </c>
      <c r="Q167" s="240"/>
      <c r="R167" s="146">
        <f t="shared" si="8"/>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7"/>
        <v>0</v>
      </c>
      <c r="Q168" s="240"/>
      <c r="R168" s="146">
        <f t="shared" si="8"/>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7"/>
        <v>0</v>
      </c>
      <c r="Q169" s="240"/>
      <c r="R169" s="146">
        <f t="shared" si="8"/>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7"/>
        <v>0</v>
      </c>
      <c r="Q170" s="240"/>
      <c r="R170" s="146">
        <f t="shared" si="8"/>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7"/>
        <v>0</v>
      </c>
      <c r="Q171" s="240"/>
      <c r="R171" s="146">
        <f t="shared" si="8"/>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7"/>
        <v>0</v>
      </c>
      <c r="Q172" s="240"/>
      <c r="R172" s="146">
        <f t="shared" si="8"/>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7"/>
        <v>0</v>
      </c>
      <c r="Q173" s="240"/>
      <c r="R173" s="146">
        <f t="shared" si="8"/>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7"/>
        <v>0</v>
      </c>
      <c r="Q174" s="240"/>
      <c r="R174" s="146">
        <f t="shared" si="8"/>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7"/>
        <v>0</v>
      </c>
      <c r="Q175" s="240"/>
      <c r="R175" s="146">
        <f t="shared" si="8"/>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7"/>
        <v>0</v>
      </c>
      <c r="Q176" s="240"/>
      <c r="R176" s="146">
        <f t="shared" si="8"/>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7"/>
        <v>0</v>
      </c>
      <c r="Q177" s="240"/>
      <c r="R177" s="146">
        <f t="shared" si="8"/>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7"/>
        <v>0</v>
      </c>
      <c r="Q178" s="240"/>
      <c r="R178" s="146">
        <f t="shared" si="8"/>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7"/>
        <v>0</v>
      </c>
      <c r="Q179" s="240"/>
      <c r="R179" s="146">
        <f t="shared" si="8"/>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7"/>
        <v>0</v>
      </c>
      <c r="Q180" s="240"/>
      <c r="R180" s="146">
        <f t="shared" si="8"/>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7"/>
        <v>0</v>
      </c>
      <c r="Q181" s="240"/>
      <c r="R181" s="146">
        <f t="shared" si="8"/>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7"/>
        <v>0</v>
      </c>
      <c r="Q182" s="240"/>
      <c r="R182" s="146">
        <f t="shared" si="8"/>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7"/>
        <v>0</v>
      </c>
      <c r="Q183" s="240"/>
      <c r="R183" s="146">
        <f t="shared" si="8"/>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7"/>
        <v>0</v>
      </c>
      <c r="Q184" s="240"/>
      <c r="R184" s="146">
        <f t="shared" si="8"/>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7"/>
        <v>0</v>
      </c>
      <c r="Q185" s="240"/>
      <c r="R185" s="146">
        <f t="shared" si="8"/>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7"/>
        <v>0</v>
      </c>
      <c r="Q186" s="240"/>
      <c r="R186" s="146">
        <f t="shared" si="8"/>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7"/>
        <v>0</v>
      </c>
      <c r="Q187" s="240"/>
      <c r="R187" s="146">
        <f t="shared" si="8"/>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7"/>
        <v>0</v>
      </c>
      <c r="Q188" s="240"/>
      <c r="R188" s="146">
        <f t="shared" si="8"/>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7"/>
        <v>0</v>
      </c>
      <c r="Q189" s="240"/>
      <c r="R189" s="146">
        <f t="shared" si="8"/>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7"/>
        <v>0</v>
      </c>
      <c r="Q190" s="240"/>
      <c r="R190" s="146">
        <f t="shared" si="8"/>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7"/>
        <v>0</v>
      </c>
      <c r="Q191" s="240"/>
      <c r="R191" s="146">
        <f t="shared" si="8"/>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7"/>
        <v>0</v>
      </c>
      <c r="Q192" s="240"/>
      <c r="R192" s="146">
        <f t="shared" si="8"/>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7"/>
        <v>0</v>
      </c>
      <c r="Q193" s="240"/>
      <c r="R193" s="146">
        <f t="shared" si="8"/>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7"/>
        <v>0</v>
      </c>
      <c r="Q194" s="240"/>
      <c r="R194" s="146">
        <f t="shared" si="8"/>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7"/>
        <v>0</v>
      </c>
      <c r="Q195" s="240"/>
      <c r="R195" s="146">
        <f t="shared" si="8"/>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7"/>
        <v>0</v>
      </c>
      <c r="Q196" s="240"/>
      <c r="R196" s="146">
        <f t="shared" si="8"/>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7"/>
        <v>0</v>
      </c>
      <c r="Q197" s="240"/>
      <c r="R197" s="146">
        <f t="shared" si="8"/>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7"/>
        <v>0</v>
      </c>
      <c r="Q198" s="240"/>
      <c r="R198" s="146">
        <f t="shared" si="8"/>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7"/>
        <v>0</v>
      </c>
      <c r="Q199" s="240"/>
      <c r="R199" s="146">
        <f t="shared" si="8"/>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7"/>
        <v>0</v>
      </c>
      <c r="Q200" s="240"/>
      <c r="R200" s="146">
        <f t="shared" si="8"/>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7"/>
        <v>0</v>
      </c>
      <c r="Q201" s="240"/>
      <c r="R201" s="146">
        <f t="shared" si="8"/>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7"/>
        <v>0</v>
      </c>
      <c r="Q202" s="240"/>
      <c r="R202" s="146">
        <f t="shared" si="8"/>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7"/>
        <v>0</v>
      </c>
      <c r="Q203" s="240"/>
      <c r="R203" s="146">
        <f t="shared" si="8"/>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7"/>
        <v>0</v>
      </c>
      <c r="Q204" s="240"/>
      <c r="R204" s="146">
        <f t="shared" si="8"/>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9">SUM(I205:O205)</f>
        <v>0</v>
      </c>
      <c r="Q205" s="240"/>
      <c r="R205" s="146">
        <f t="shared" si="8"/>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9"/>
        <v>0</v>
      </c>
      <c r="Q206" s="240"/>
      <c r="R206" s="146">
        <f t="shared" si="8"/>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9"/>
        <v>0</v>
      </c>
      <c r="Q207" s="240"/>
      <c r="R207" s="146">
        <f t="shared" si="8"/>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9"/>
        <v>0</v>
      </c>
      <c r="Q208" s="240"/>
      <c r="R208" s="146">
        <f t="shared" si="8"/>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9"/>
        <v>0</v>
      </c>
      <c r="Q209" s="240"/>
      <c r="R209" s="146">
        <f t="shared" si="8"/>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9"/>
        <v>0</v>
      </c>
      <c r="Q210" s="240"/>
      <c r="R210" s="146">
        <f t="shared" si="8"/>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9"/>
        <v>0</v>
      </c>
      <c r="Q211" s="240"/>
      <c r="R211" s="146">
        <f t="shared" si="8"/>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9"/>
        <v>0</v>
      </c>
      <c r="Q212" s="240"/>
      <c r="R212" s="146">
        <f t="shared" si="8"/>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9"/>
        <v>0</v>
      </c>
      <c r="Q213" s="240"/>
      <c r="R213" s="146">
        <f t="shared" si="8"/>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9"/>
        <v>0</v>
      </c>
      <c r="Q214" s="240"/>
      <c r="R214" s="146">
        <f t="shared" si="8"/>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9"/>
        <v>0</v>
      </c>
      <c r="Q215" s="240"/>
      <c r="R215" s="146">
        <f t="shared" si="8"/>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9"/>
        <v>0</v>
      </c>
      <c r="Q216" s="240"/>
      <c r="R216" s="146">
        <f t="shared" si="8"/>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9"/>
        <v>0</v>
      </c>
      <c r="Q217" s="240"/>
      <c r="R217" s="146">
        <f t="shared" si="8"/>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9"/>
        <v>0</v>
      </c>
      <c r="Q218" s="240"/>
      <c r="R218" s="146">
        <f t="shared" ref="R218:R281" si="10">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9"/>
        <v>0</v>
      </c>
      <c r="Q219" s="240"/>
      <c r="R219" s="146">
        <f t="shared" si="10"/>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9"/>
        <v>0</v>
      </c>
      <c r="Q220" s="240"/>
      <c r="R220" s="146">
        <f t="shared" si="10"/>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9"/>
        <v>0</v>
      </c>
      <c r="Q221" s="240"/>
      <c r="R221" s="146">
        <f t="shared" si="10"/>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9"/>
        <v>0</v>
      </c>
      <c r="Q222" s="240"/>
      <c r="R222" s="146">
        <f t="shared" si="10"/>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9"/>
        <v>0</v>
      </c>
      <c r="Q223" s="240"/>
      <c r="R223" s="146">
        <f t="shared" si="10"/>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9"/>
        <v>0</v>
      </c>
      <c r="Q224" s="240"/>
      <c r="R224" s="146">
        <f t="shared" si="10"/>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9"/>
        <v>0</v>
      </c>
      <c r="Q225" s="240"/>
      <c r="R225" s="146">
        <f t="shared" si="10"/>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9"/>
        <v>0</v>
      </c>
      <c r="Q226" s="240"/>
      <c r="R226" s="146">
        <f t="shared" si="10"/>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9"/>
        <v>0</v>
      </c>
      <c r="Q227" s="240"/>
      <c r="R227" s="146">
        <f t="shared" si="10"/>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9"/>
        <v>0</v>
      </c>
      <c r="Q228" s="240"/>
      <c r="R228" s="146">
        <f t="shared" si="10"/>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9"/>
        <v>0</v>
      </c>
      <c r="Q229" s="240"/>
      <c r="R229" s="146">
        <f t="shared" si="10"/>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9"/>
        <v>0</v>
      </c>
      <c r="Q230" s="240"/>
      <c r="R230" s="146">
        <f t="shared" si="10"/>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9"/>
        <v>0</v>
      </c>
      <c r="Q231" s="240"/>
      <c r="R231" s="146">
        <f t="shared" si="10"/>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9"/>
        <v>0</v>
      </c>
      <c r="Q232" s="240"/>
      <c r="R232" s="146">
        <f t="shared" si="10"/>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9"/>
        <v>0</v>
      </c>
      <c r="Q233" s="240"/>
      <c r="R233" s="146">
        <f t="shared" si="10"/>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9"/>
        <v>0</v>
      </c>
      <c r="Q234" s="240"/>
      <c r="R234" s="146">
        <f t="shared" si="10"/>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9"/>
        <v>0</v>
      </c>
      <c r="Q235" s="240"/>
      <c r="R235" s="146">
        <f t="shared" si="10"/>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9"/>
        <v>0</v>
      </c>
      <c r="Q236" s="240"/>
      <c r="R236" s="146">
        <f t="shared" si="10"/>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9"/>
        <v>0</v>
      </c>
      <c r="Q237" s="240"/>
      <c r="R237" s="146">
        <f t="shared" si="10"/>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9"/>
        <v>0</v>
      </c>
      <c r="Q238" s="240"/>
      <c r="R238" s="146">
        <f t="shared" si="10"/>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9"/>
        <v>0</v>
      </c>
      <c r="Q239" s="240"/>
      <c r="R239" s="146">
        <f t="shared" si="10"/>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9"/>
        <v>0</v>
      </c>
      <c r="Q240" s="240"/>
      <c r="R240" s="146">
        <f t="shared" si="10"/>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9"/>
        <v>0</v>
      </c>
      <c r="Q241" s="240"/>
      <c r="R241" s="146">
        <f t="shared" si="10"/>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9"/>
        <v>0</v>
      </c>
      <c r="Q242" s="240"/>
      <c r="R242" s="146">
        <f t="shared" si="10"/>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9"/>
        <v>0</v>
      </c>
      <c r="Q243" s="240"/>
      <c r="R243" s="146">
        <f t="shared" si="10"/>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9"/>
        <v>0</v>
      </c>
      <c r="Q244" s="240"/>
      <c r="R244" s="146">
        <f t="shared" si="10"/>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9"/>
        <v>0</v>
      </c>
      <c r="Q245" s="240"/>
      <c r="R245" s="146">
        <f t="shared" si="10"/>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9"/>
        <v>0</v>
      </c>
      <c r="Q246" s="240"/>
      <c r="R246" s="146">
        <f t="shared" si="10"/>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9"/>
        <v>0</v>
      </c>
      <c r="Q247" s="240"/>
      <c r="R247" s="146">
        <f t="shared" si="10"/>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9"/>
        <v>0</v>
      </c>
      <c r="Q248" s="240"/>
      <c r="R248" s="146">
        <f t="shared" si="10"/>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9"/>
        <v>0</v>
      </c>
      <c r="Q249" s="240"/>
      <c r="R249" s="146">
        <f t="shared" si="10"/>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9"/>
        <v>0</v>
      </c>
      <c r="Q250" s="240"/>
      <c r="R250" s="146">
        <f t="shared" si="10"/>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9"/>
        <v>0</v>
      </c>
      <c r="Q251" s="240"/>
      <c r="R251" s="146">
        <f t="shared" si="10"/>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9"/>
        <v>0</v>
      </c>
      <c r="Q252" s="240"/>
      <c r="R252" s="146">
        <f t="shared" si="10"/>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9"/>
        <v>0</v>
      </c>
      <c r="Q253" s="240"/>
      <c r="R253" s="146">
        <f t="shared" si="10"/>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9"/>
        <v>0</v>
      </c>
      <c r="Q254" s="240"/>
      <c r="R254" s="146">
        <f t="shared" si="10"/>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9"/>
        <v>0</v>
      </c>
      <c r="Q255" s="240"/>
      <c r="R255" s="146">
        <f t="shared" si="10"/>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9"/>
        <v>0</v>
      </c>
      <c r="Q256" s="240"/>
      <c r="R256" s="146">
        <f t="shared" si="10"/>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9"/>
        <v>0</v>
      </c>
      <c r="Q257" s="240"/>
      <c r="R257" s="146">
        <f t="shared" si="10"/>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9"/>
        <v>0</v>
      </c>
      <c r="Q258" s="240"/>
      <c r="R258" s="146">
        <f t="shared" si="10"/>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9"/>
        <v>0</v>
      </c>
      <c r="Q259" s="240"/>
      <c r="R259" s="146">
        <f t="shared" si="10"/>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9"/>
        <v>0</v>
      </c>
      <c r="Q260" s="240"/>
      <c r="R260" s="146">
        <f t="shared" si="10"/>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9"/>
        <v>0</v>
      </c>
      <c r="Q261" s="240"/>
      <c r="R261" s="146">
        <f t="shared" si="10"/>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9"/>
        <v>0</v>
      </c>
      <c r="Q262" s="240"/>
      <c r="R262" s="146">
        <f t="shared" si="10"/>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9"/>
        <v>0</v>
      </c>
      <c r="Q263" s="240"/>
      <c r="R263" s="146">
        <f t="shared" si="10"/>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9"/>
        <v>0</v>
      </c>
      <c r="Q264" s="240"/>
      <c r="R264" s="146">
        <f t="shared" si="10"/>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9"/>
        <v>0</v>
      </c>
      <c r="Q265" s="240"/>
      <c r="R265" s="146">
        <f t="shared" si="10"/>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9"/>
        <v>0</v>
      </c>
      <c r="Q266" s="240"/>
      <c r="R266" s="146">
        <f t="shared" si="10"/>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9"/>
        <v>0</v>
      </c>
      <c r="Q267" s="240"/>
      <c r="R267" s="146">
        <f t="shared" si="10"/>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9"/>
        <v>0</v>
      </c>
      <c r="Q268" s="240"/>
      <c r="R268" s="146">
        <f t="shared" si="10"/>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1">SUM(I269:O269)</f>
        <v>0</v>
      </c>
      <c r="Q269" s="240"/>
      <c r="R269" s="146">
        <f t="shared" si="10"/>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1"/>
        <v>0</v>
      </c>
      <c r="Q270" s="240"/>
      <c r="R270" s="146">
        <f t="shared" si="10"/>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1"/>
        <v>0</v>
      </c>
      <c r="Q271" s="240"/>
      <c r="R271" s="146">
        <f t="shared" si="10"/>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1"/>
        <v>0</v>
      </c>
      <c r="Q272" s="240"/>
      <c r="R272" s="146">
        <f t="shared" si="10"/>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1"/>
        <v>0</v>
      </c>
      <c r="Q273" s="240"/>
      <c r="R273" s="146">
        <f t="shared" si="10"/>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1"/>
        <v>0</v>
      </c>
      <c r="Q274" s="240"/>
      <c r="R274" s="146">
        <f t="shared" si="10"/>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1"/>
        <v>0</v>
      </c>
      <c r="Q275" s="240"/>
      <c r="R275" s="146">
        <f t="shared" si="10"/>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1"/>
        <v>0</v>
      </c>
      <c r="Q276" s="240"/>
      <c r="R276" s="146">
        <f t="shared" si="10"/>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1"/>
        <v>0</v>
      </c>
      <c r="Q277" s="240"/>
      <c r="R277" s="146">
        <f t="shared" si="10"/>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1"/>
        <v>0</v>
      </c>
      <c r="Q278" s="240"/>
      <c r="R278" s="146">
        <f t="shared" si="10"/>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1"/>
        <v>0</v>
      </c>
      <c r="Q279" s="240"/>
      <c r="R279" s="146">
        <f t="shared" si="10"/>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1"/>
        <v>0</v>
      </c>
      <c r="Q280" s="240"/>
      <c r="R280" s="146">
        <f t="shared" si="10"/>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1"/>
        <v>0</v>
      </c>
      <c r="Q281" s="240"/>
      <c r="R281" s="146">
        <f t="shared" si="10"/>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1"/>
        <v>0</v>
      </c>
      <c r="Q282" s="240"/>
      <c r="R282" s="146">
        <f t="shared" ref="R282:R345" si="12">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1"/>
        <v>0</v>
      </c>
      <c r="Q283" s="240"/>
      <c r="R283" s="146">
        <f t="shared" si="12"/>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1"/>
        <v>0</v>
      </c>
      <c r="Q284" s="240"/>
      <c r="R284" s="146">
        <f t="shared" si="12"/>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1"/>
        <v>0</v>
      </c>
      <c r="Q285" s="240"/>
      <c r="R285" s="146">
        <f t="shared" si="12"/>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1"/>
        <v>0</v>
      </c>
      <c r="Q286" s="240"/>
      <c r="R286" s="146">
        <f t="shared" si="12"/>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1"/>
        <v>0</v>
      </c>
      <c r="Q287" s="240"/>
      <c r="R287" s="146">
        <f t="shared" si="12"/>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1"/>
        <v>0</v>
      </c>
      <c r="Q288" s="240"/>
      <c r="R288" s="146">
        <f t="shared" si="12"/>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1"/>
        <v>0</v>
      </c>
      <c r="Q289" s="240"/>
      <c r="R289" s="146">
        <f t="shared" si="12"/>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1"/>
        <v>0</v>
      </c>
      <c r="Q290" s="240"/>
      <c r="R290" s="146">
        <f t="shared" si="12"/>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1"/>
        <v>0</v>
      </c>
      <c r="Q291" s="240"/>
      <c r="R291" s="146">
        <f t="shared" si="12"/>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1"/>
        <v>0</v>
      </c>
      <c r="Q292" s="240"/>
      <c r="R292" s="146">
        <f t="shared" si="12"/>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1"/>
        <v>0</v>
      </c>
      <c r="Q293" s="240"/>
      <c r="R293" s="146">
        <f t="shared" si="12"/>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1"/>
        <v>0</v>
      </c>
      <c r="Q294" s="240"/>
      <c r="R294" s="146">
        <f t="shared" si="12"/>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1"/>
        <v>0</v>
      </c>
      <c r="Q295" s="240"/>
      <c r="R295" s="146">
        <f t="shared" si="12"/>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1"/>
        <v>0</v>
      </c>
      <c r="Q296" s="240"/>
      <c r="R296" s="146">
        <f t="shared" si="12"/>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1"/>
        <v>0</v>
      </c>
      <c r="Q297" s="240"/>
      <c r="R297" s="146">
        <f t="shared" si="12"/>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1"/>
        <v>0</v>
      </c>
      <c r="Q298" s="240"/>
      <c r="R298" s="146">
        <f t="shared" si="12"/>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1"/>
        <v>0</v>
      </c>
      <c r="Q299" s="240"/>
      <c r="R299" s="146">
        <f t="shared" si="12"/>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1"/>
        <v>0</v>
      </c>
      <c r="Q300" s="240"/>
      <c r="R300" s="146">
        <f t="shared" si="12"/>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1"/>
        <v>0</v>
      </c>
      <c r="Q301" s="240"/>
      <c r="R301" s="146">
        <f t="shared" si="12"/>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1"/>
        <v>0</v>
      </c>
      <c r="Q302" s="240"/>
      <c r="R302" s="146">
        <f t="shared" si="12"/>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1"/>
        <v>0</v>
      </c>
      <c r="Q303" s="240"/>
      <c r="R303" s="146">
        <f t="shared" si="12"/>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1"/>
        <v>0</v>
      </c>
      <c r="Q304" s="240"/>
      <c r="R304" s="146">
        <f t="shared" si="12"/>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1"/>
        <v>0</v>
      </c>
      <c r="Q305" s="240"/>
      <c r="R305" s="146">
        <f t="shared" si="12"/>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1"/>
        <v>0</v>
      </c>
      <c r="Q306" s="240"/>
      <c r="R306" s="146">
        <f t="shared" si="12"/>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1"/>
        <v>0</v>
      </c>
      <c r="Q307" s="240"/>
      <c r="R307" s="146">
        <f t="shared" si="12"/>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1"/>
        <v>0</v>
      </c>
      <c r="Q308" s="240"/>
      <c r="R308" s="146">
        <f t="shared" si="12"/>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1"/>
        <v>0</v>
      </c>
      <c r="Q309" s="240"/>
      <c r="R309" s="146">
        <f t="shared" si="12"/>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1"/>
        <v>0</v>
      </c>
      <c r="Q310" s="240"/>
      <c r="R310" s="146">
        <f t="shared" si="12"/>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1"/>
        <v>0</v>
      </c>
      <c r="Q311" s="240"/>
      <c r="R311" s="146">
        <f t="shared" si="12"/>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1"/>
        <v>0</v>
      </c>
      <c r="Q312" s="240"/>
      <c r="R312" s="146">
        <f t="shared" si="12"/>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1"/>
        <v>0</v>
      </c>
      <c r="Q313" s="240"/>
      <c r="R313" s="146">
        <f t="shared" si="12"/>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1"/>
        <v>0</v>
      </c>
      <c r="Q314" s="240"/>
      <c r="R314" s="146">
        <f t="shared" si="12"/>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1"/>
        <v>0</v>
      </c>
      <c r="Q315" s="240"/>
      <c r="R315" s="146">
        <f t="shared" si="12"/>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1"/>
        <v>0</v>
      </c>
      <c r="Q316" s="240"/>
      <c r="R316" s="146">
        <f t="shared" si="12"/>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1"/>
        <v>0</v>
      </c>
      <c r="Q317" s="240"/>
      <c r="R317" s="146">
        <f t="shared" si="12"/>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1"/>
        <v>0</v>
      </c>
      <c r="Q318" s="240"/>
      <c r="R318" s="146">
        <f t="shared" si="12"/>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1"/>
        <v>0</v>
      </c>
      <c r="Q319" s="240"/>
      <c r="R319" s="146">
        <f t="shared" si="12"/>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1"/>
        <v>0</v>
      </c>
      <c r="Q320" s="240"/>
      <c r="R320" s="146">
        <f t="shared" si="12"/>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1"/>
        <v>0</v>
      </c>
      <c r="Q321" s="240"/>
      <c r="R321" s="146">
        <f t="shared" si="12"/>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1"/>
        <v>0</v>
      </c>
      <c r="Q322" s="240"/>
      <c r="R322" s="146">
        <f t="shared" si="12"/>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1"/>
        <v>0</v>
      </c>
      <c r="Q323" s="240"/>
      <c r="R323" s="146">
        <f t="shared" si="12"/>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1"/>
        <v>0</v>
      </c>
      <c r="Q324" s="240"/>
      <c r="R324" s="146">
        <f t="shared" si="12"/>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1"/>
        <v>0</v>
      </c>
      <c r="Q325" s="240"/>
      <c r="R325" s="146">
        <f t="shared" si="12"/>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1"/>
        <v>0</v>
      </c>
      <c r="Q326" s="240"/>
      <c r="R326" s="146">
        <f t="shared" si="12"/>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1"/>
        <v>0</v>
      </c>
      <c r="Q327" s="240"/>
      <c r="R327" s="146">
        <f t="shared" si="12"/>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1"/>
        <v>0</v>
      </c>
      <c r="Q328" s="240"/>
      <c r="R328" s="146">
        <f t="shared" si="12"/>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1"/>
        <v>0</v>
      </c>
      <c r="Q329" s="240"/>
      <c r="R329" s="146">
        <f t="shared" si="12"/>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1"/>
        <v>0</v>
      </c>
      <c r="Q330" s="240"/>
      <c r="R330" s="146">
        <f t="shared" si="12"/>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1"/>
        <v>0</v>
      </c>
      <c r="Q331" s="240"/>
      <c r="R331" s="146">
        <f t="shared" si="12"/>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1"/>
        <v>0</v>
      </c>
      <c r="Q332" s="240"/>
      <c r="R332" s="146">
        <f t="shared" si="12"/>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3">SUM(I333:O333)</f>
        <v>0</v>
      </c>
      <c r="Q333" s="240"/>
      <c r="R333" s="146">
        <f t="shared" si="12"/>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3"/>
        <v>0</v>
      </c>
      <c r="Q334" s="240"/>
      <c r="R334" s="146">
        <f t="shared" si="12"/>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3"/>
        <v>0</v>
      </c>
      <c r="Q335" s="240"/>
      <c r="R335" s="146">
        <f t="shared" si="12"/>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3"/>
        <v>0</v>
      </c>
      <c r="Q336" s="240"/>
      <c r="R336" s="146">
        <f t="shared" si="12"/>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3"/>
        <v>0</v>
      </c>
      <c r="Q337" s="240"/>
      <c r="R337" s="146">
        <f t="shared" si="12"/>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3"/>
        <v>0</v>
      </c>
      <c r="Q338" s="240"/>
      <c r="R338" s="146">
        <f t="shared" si="12"/>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3"/>
        <v>0</v>
      </c>
      <c r="Q339" s="240"/>
      <c r="R339" s="146">
        <f t="shared" si="12"/>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3"/>
        <v>0</v>
      </c>
      <c r="Q340" s="240"/>
      <c r="R340" s="146">
        <f t="shared" si="12"/>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3"/>
        <v>0</v>
      </c>
      <c r="Q341" s="240"/>
      <c r="R341" s="146">
        <f t="shared" si="12"/>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3"/>
        <v>0</v>
      </c>
      <c r="Q342" s="240"/>
      <c r="R342" s="146">
        <f t="shared" si="12"/>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3"/>
        <v>0</v>
      </c>
      <c r="Q343" s="240"/>
      <c r="R343" s="146">
        <f t="shared" si="12"/>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3"/>
        <v>0</v>
      </c>
      <c r="Q344" s="240"/>
      <c r="R344" s="146">
        <f t="shared" si="12"/>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3"/>
        <v>0</v>
      </c>
      <c r="Q345" s="240"/>
      <c r="R345" s="146">
        <f t="shared" si="12"/>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3"/>
        <v>0</v>
      </c>
      <c r="Q346" s="240"/>
      <c r="R346" s="146">
        <f t="shared" ref="R346:R409" si="14">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3"/>
        <v>0</v>
      </c>
      <c r="Q347" s="240"/>
      <c r="R347" s="146">
        <f t="shared" si="14"/>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3"/>
        <v>0</v>
      </c>
      <c r="Q348" s="240"/>
      <c r="R348" s="146">
        <f t="shared" si="14"/>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3"/>
        <v>0</v>
      </c>
      <c r="Q349" s="240"/>
      <c r="R349" s="146">
        <f t="shared" si="14"/>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3"/>
        <v>0</v>
      </c>
      <c r="Q350" s="240"/>
      <c r="R350" s="146">
        <f t="shared" si="14"/>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3"/>
        <v>0</v>
      </c>
      <c r="Q351" s="240"/>
      <c r="R351" s="146">
        <f t="shared" si="14"/>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3"/>
        <v>0</v>
      </c>
      <c r="Q352" s="240"/>
      <c r="R352" s="146">
        <f t="shared" si="14"/>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3"/>
        <v>0</v>
      </c>
      <c r="Q353" s="240"/>
      <c r="R353" s="146">
        <f t="shared" si="14"/>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3"/>
        <v>0</v>
      </c>
      <c r="Q354" s="240"/>
      <c r="R354" s="146">
        <f t="shared" si="14"/>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3"/>
        <v>0</v>
      </c>
      <c r="Q355" s="240"/>
      <c r="R355" s="146">
        <f t="shared" si="14"/>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3"/>
        <v>0</v>
      </c>
      <c r="Q356" s="240"/>
      <c r="R356" s="146">
        <f t="shared" si="14"/>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3"/>
        <v>0</v>
      </c>
      <c r="Q357" s="240"/>
      <c r="R357" s="146">
        <f t="shared" si="14"/>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3"/>
        <v>0</v>
      </c>
      <c r="Q358" s="240"/>
      <c r="R358" s="146">
        <f t="shared" si="14"/>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3"/>
        <v>0</v>
      </c>
      <c r="Q359" s="240"/>
      <c r="R359" s="146">
        <f t="shared" si="14"/>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3"/>
        <v>0</v>
      </c>
      <c r="Q360" s="240"/>
      <c r="R360" s="146">
        <f t="shared" si="14"/>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3"/>
        <v>0</v>
      </c>
      <c r="Q361" s="240"/>
      <c r="R361" s="146">
        <f t="shared" si="14"/>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3"/>
        <v>0</v>
      </c>
      <c r="Q362" s="240"/>
      <c r="R362" s="146">
        <f t="shared" si="14"/>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3"/>
        <v>0</v>
      </c>
      <c r="Q363" s="240"/>
      <c r="R363" s="146">
        <f t="shared" si="14"/>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3"/>
        <v>0</v>
      </c>
      <c r="Q364" s="240"/>
      <c r="R364" s="146">
        <f t="shared" si="14"/>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3"/>
        <v>0</v>
      </c>
      <c r="Q365" s="240"/>
      <c r="R365" s="146">
        <f t="shared" si="14"/>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3"/>
        <v>0</v>
      </c>
      <c r="Q366" s="240"/>
      <c r="R366" s="146">
        <f t="shared" si="14"/>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3"/>
        <v>0</v>
      </c>
      <c r="Q367" s="240"/>
      <c r="R367" s="146">
        <f t="shared" si="14"/>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3"/>
        <v>0</v>
      </c>
      <c r="Q368" s="240"/>
      <c r="R368" s="146">
        <f t="shared" si="14"/>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3"/>
        <v>0</v>
      </c>
      <c r="Q369" s="240"/>
      <c r="R369" s="146">
        <f t="shared" si="14"/>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3"/>
        <v>0</v>
      </c>
      <c r="Q370" s="240"/>
      <c r="R370" s="146">
        <f t="shared" si="14"/>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3"/>
        <v>0</v>
      </c>
      <c r="Q371" s="240"/>
      <c r="R371" s="146">
        <f t="shared" si="14"/>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3"/>
        <v>0</v>
      </c>
      <c r="Q372" s="240"/>
      <c r="R372" s="146">
        <f t="shared" si="14"/>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3"/>
        <v>0</v>
      </c>
      <c r="Q373" s="240"/>
      <c r="R373" s="146">
        <f t="shared" si="14"/>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3"/>
        <v>0</v>
      </c>
      <c r="Q374" s="240"/>
      <c r="R374" s="146">
        <f t="shared" si="14"/>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3"/>
        <v>0</v>
      </c>
      <c r="Q375" s="240"/>
      <c r="R375" s="146">
        <f t="shared" si="14"/>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3"/>
        <v>0</v>
      </c>
      <c r="Q376" s="240"/>
      <c r="R376" s="146">
        <f t="shared" si="14"/>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3"/>
        <v>0</v>
      </c>
      <c r="Q377" s="240"/>
      <c r="R377" s="146">
        <f t="shared" si="14"/>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3"/>
        <v>0</v>
      </c>
      <c r="Q378" s="240"/>
      <c r="R378" s="146">
        <f t="shared" si="14"/>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3"/>
        <v>0</v>
      </c>
      <c r="Q379" s="240"/>
      <c r="R379" s="146">
        <f t="shared" si="14"/>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3"/>
        <v>0</v>
      </c>
      <c r="Q380" s="240"/>
      <c r="R380" s="146">
        <f t="shared" si="14"/>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3"/>
        <v>0</v>
      </c>
      <c r="Q381" s="240"/>
      <c r="R381" s="146">
        <f t="shared" si="14"/>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3"/>
        <v>0</v>
      </c>
      <c r="Q382" s="240"/>
      <c r="R382" s="146">
        <f t="shared" si="14"/>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3"/>
        <v>0</v>
      </c>
      <c r="Q383" s="240"/>
      <c r="R383" s="146">
        <f t="shared" si="14"/>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3"/>
        <v>0</v>
      </c>
      <c r="Q384" s="240"/>
      <c r="R384" s="146">
        <f t="shared" si="14"/>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3"/>
        <v>0</v>
      </c>
      <c r="Q385" s="240"/>
      <c r="R385" s="146">
        <f t="shared" si="14"/>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3"/>
        <v>0</v>
      </c>
      <c r="Q386" s="240"/>
      <c r="R386" s="146">
        <f t="shared" si="14"/>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3"/>
        <v>0</v>
      </c>
      <c r="Q387" s="240"/>
      <c r="R387" s="146">
        <f t="shared" si="14"/>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3"/>
        <v>0</v>
      </c>
      <c r="Q388" s="240"/>
      <c r="R388" s="146">
        <f t="shared" si="14"/>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3"/>
        <v>0</v>
      </c>
      <c r="Q389" s="240"/>
      <c r="R389" s="146">
        <f t="shared" si="14"/>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3"/>
        <v>0</v>
      </c>
      <c r="Q390" s="240"/>
      <c r="R390" s="146">
        <f t="shared" si="14"/>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3"/>
        <v>0</v>
      </c>
      <c r="Q391" s="240"/>
      <c r="R391" s="146">
        <f t="shared" si="14"/>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3"/>
        <v>0</v>
      </c>
      <c r="Q392" s="240"/>
      <c r="R392" s="146">
        <f t="shared" si="14"/>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3"/>
        <v>0</v>
      </c>
      <c r="Q393" s="240"/>
      <c r="R393" s="146">
        <f t="shared" si="14"/>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3"/>
        <v>0</v>
      </c>
      <c r="Q394" s="240"/>
      <c r="R394" s="146">
        <f t="shared" si="14"/>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3"/>
        <v>0</v>
      </c>
      <c r="Q395" s="240"/>
      <c r="R395" s="146">
        <f t="shared" si="14"/>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3"/>
        <v>0</v>
      </c>
      <c r="Q396" s="240"/>
      <c r="R396" s="146">
        <f t="shared" si="14"/>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5">SUM(I397:O397)</f>
        <v>0</v>
      </c>
      <c r="Q397" s="240"/>
      <c r="R397" s="146">
        <f t="shared" si="14"/>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5"/>
        <v>0</v>
      </c>
      <c r="Q398" s="240"/>
      <c r="R398" s="146">
        <f t="shared" si="14"/>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5"/>
        <v>0</v>
      </c>
      <c r="Q399" s="240"/>
      <c r="R399" s="146">
        <f t="shared" si="14"/>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5"/>
        <v>0</v>
      </c>
      <c r="Q400" s="240"/>
      <c r="R400" s="146">
        <f t="shared" si="14"/>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5"/>
        <v>0</v>
      </c>
      <c r="Q401" s="240"/>
      <c r="R401" s="146">
        <f t="shared" si="14"/>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5"/>
        <v>0</v>
      </c>
      <c r="Q402" s="240"/>
      <c r="R402" s="146">
        <f t="shared" si="14"/>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5"/>
        <v>0</v>
      </c>
      <c r="Q403" s="240"/>
      <c r="R403" s="146">
        <f t="shared" si="14"/>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5"/>
        <v>0</v>
      </c>
      <c r="Q404" s="240"/>
      <c r="R404" s="146">
        <f t="shared" si="14"/>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5"/>
        <v>0</v>
      </c>
      <c r="Q405" s="240"/>
      <c r="R405" s="146">
        <f t="shared" si="14"/>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5"/>
        <v>0</v>
      </c>
      <c r="Q406" s="240"/>
      <c r="R406" s="146">
        <f t="shared" si="14"/>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5"/>
        <v>0</v>
      </c>
      <c r="Q407" s="240"/>
      <c r="R407" s="146">
        <f t="shared" si="14"/>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5"/>
        <v>0</v>
      </c>
      <c r="Q408" s="240"/>
      <c r="R408" s="146">
        <f t="shared" si="14"/>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5"/>
        <v>0</v>
      </c>
      <c r="Q409" s="240"/>
      <c r="R409" s="146">
        <f t="shared" si="14"/>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5"/>
        <v>0</v>
      </c>
      <c r="Q410" s="240"/>
      <c r="R410" s="146">
        <f t="shared" ref="R410:R473" si="16">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5"/>
        <v>0</v>
      </c>
      <c r="Q411" s="240"/>
      <c r="R411" s="146">
        <f t="shared" si="16"/>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5"/>
        <v>0</v>
      </c>
      <c r="Q412" s="240"/>
      <c r="R412" s="146">
        <f t="shared" si="16"/>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5"/>
        <v>0</v>
      </c>
      <c r="Q413" s="240"/>
      <c r="R413" s="146">
        <f t="shared" si="16"/>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5"/>
        <v>0</v>
      </c>
      <c r="Q414" s="240"/>
      <c r="R414" s="146">
        <f t="shared" si="16"/>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5"/>
        <v>0</v>
      </c>
      <c r="Q415" s="240"/>
      <c r="R415" s="146">
        <f t="shared" si="16"/>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5"/>
        <v>0</v>
      </c>
      <c r="Q416" s="240"/>
      <c r="R416" s="146">
        <f t="shared" si="16"/>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5"/>
        <v>0</v>
      </c>
      <c r="Q417" s="240"/>
      <c r="R417" s="146">
        <f t="shared" si="16"/>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5"/>
        <v>0</v>
      </c>
      <c r="Q418" s="240"/>
      <c r="R418" s="146">
        <f t="shared" si="16"/>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5"/>
        <v>0</v>
      </c>
      <c r="Q419" s="240"/>
      <c r="R419" s="146">
        <f t="shared" si="16"/>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5"/>
        <v>0</v>
      </c>
      <c r="Q420" s="240"/>
      <c r="R420" s="146">
        <f t="shared" si="16"/>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5"/>
        <v>0</v>
      </c>
      <c r="Q421" s="240"/>
      <c r="R421" s="146">
        <f t="shared" si="16"/>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5"/>
        <v>0</v>
      </c>
      <c r="Q422" s="240"/>
      <c r="R422" s="146">
        <f t="shared" si="16"/>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5"/>
        <v>0</v>
      </c>
      <c r="Q423" s="240"/>
      <c r="R423" s="146">
        <f t="shared" si="16"/>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5"/>
        <v>0</v>
      </c>
      <c r="Q424" s="240"/>
      <c r="R424" s="146">
        <f t="shared" si="16"/>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5"/>
        <v>0</v>
      </c>
      <c r="Q425" s="240"/>
      <c r="R425" s="146">
        <f t="shared" si="16"/>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5"/>
        <v>0</v>
      </c>
      <c r="Q426" s="240"/>
      <c r="R426" s="146">
        <f t="shared" si="16"/>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5"/>
        <v>0</v>
      </c>
      <c r="Q427" s="240"/>
      <c r="R427" s="146">
        <f t="shared" si="16"/>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5"/>
        <v>0</v>
      </c>
      <c r="Q428" s="240"/>
      <c r="R428" s="146">
        <f t="shared" si="16"/>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5"/>
        <v>0</v>
      </c>
      <c r="Q429" s="240"/>
      <c r="R429" s="146">
        <f t="shared" si="16"/>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5"/>
        <v>0</v>
      </c>
      <c r="Q430" s="240"/>
      <c r="R430" s="146">
        <f t="shared" si="16"/>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5"/>
        <v>0</v>
      </c>
      <c r="Q431" s="240"/>
      <c r="R431" s="146">
        <f t="shared" si="16"/>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5"/>
        <v>0</v>
      </c>
      <c r="Q432" s="240"/>
      <c r="R432" s="146">
        <f t="shared" si="16"/>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5"/>
        <v>0</v>
      </c>
      <c r="Q433" s="240"/>
      <c r="R433" s="146">
        <f t="shared" si="16"/>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5"/>
        <v>0</v>
      </c>
      <c r="Q434" s="240"/>
      <c r="R434" s="146">
        <f t="shared" si="16"/>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5"/>
        <v>0</v>
      </c>
      <c r="Q435" s="240"/>
      <c r="R435" s="146">
        <f t="shared" si="16"/>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5"/>
        <v>0</v>
      </c>
      <c r="Q436" s="240"/>
      <c r="R436" s="146">
        <f t="shared" si="16"/>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5"/>
        <v>0</v>
      </c>
      <c r="Q437" s="240"/>
      <c r="R437" s="146">
        <f t="shared" si="16"/>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5"/>
        <v>0</v>
      </c>
      <c r="Q438" s="240"/>
      <c r="R438" s="146">
        <f t="shared" si="16"/>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5"/>
        <v>0</v>
      </c>
      <c r="Q439" s="240"/>
      <c r="R439" s="146">
        <f t="shared" si="16"/>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5"/>
        <v>0</v>
      </c>
      <c r="Q440" s="240"/>
      <c r="R440" s="146">
        <f t="shared" si="16"/>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5"/>
        <v>0</v>
      </c>
      <c r="Q441" s="240"/>
      <c r="R441" s="146">
        <f t="shared" si="16"/>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5"/>
        <v>0</v>
      </c>
      <c r="Q442" s="240"/>
      <c r="R442" s="146">
        <f t="shared" si="16"/>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5"/>
        <v>0</v>
      </c>
      <c r="Q443" s="240"/>
      <c r="R443" s="146">
        <f t="shared" si="16"/>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5"/>
        <v>0</v>
      </c>
      <c r="Q444" s="240"/>
      <c r="R444" s="146">
        <f t="shared" si="16"/>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5"/>
        <v>0</v>
      </c>
      <c r="Q445" s="240"/>
      <c r="R445" s="146">
        <f t="shared" si="16"/>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5"/>
        <v>0</v>
      </c>
      <c r="Q446" s="240"/>
      <c r="R446" s="146">
        <f t="shared" si="16"/>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5"/>
        <v>0</v>
      </c>
      <c r="Q447" s="240"/>
      <c r="R447" s="146">
        <f t="shared" si="16"/>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5"/>
        <v>0</v>
      </c>
      <c r="Q448" s="240"/>
      <c r="R448" s="146">
        <f t="shared" si="16"/>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5"/>
        <v>0</v>
      </c>
      <c r="Q449" s="240"/>
      <c r="R449" s="146">
        <f t="shared" si="16"/>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5"/>
        <v>0</v>
      </c>
      <c r="Q450" s="240"/>
      <c r="R450" s="146">
        <f t="shared" si="16"/>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5"/>
        <v>0</v>
      </c>
      <c r="Q451" s="240"/>
      <c r="R451" s="146">
        <f t="shared" si="16"/>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5"/>
        <v>0</v>
      </c>
      <c r="Q452" s="240"/>
      <c r="R452" s="146">
        <f t="shared" si="16"/>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5"/>
        <v>0</v>
      </c>
      <c r="Q453" s="240"/>
      <c r="R453" s="146">
        <f t="shared" si="16"/>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5"/>
        <v>0</v>
      </c>
      <c r="Q454" s="240"/>
      <c r="R454" s="146">
        <f t="shared" si="16"/>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5"/>
        <v>0</v>
      </c>
      <c r="Q455" s="240"/>
      <c r="R455" s="146">
        <f t="shared" si="16"/>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5"/>
        <v>0</v>
      </c>
      <c r="Q456" s="240"/>
      <c r="R456" s="146">
        <f t="shared" si="16"/>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5"/>
        <v>0</v>
      </c>
      <c r="Q457" s="240"/>
      <c r="R457" s="146">
        <f t="shared" si="16"/>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5"/>
        <v>0</v>
      </c>
      <c r="Q458" s="240"/>
      <c r="R458" s="146">
        <f t="shared" si="16"/>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5"/>
        <v>0</v>
      </c>
      <c r="Q459" s="240"/>
      <c r="R459" s="146">
        <f t="shared" si="16"/>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5"/>
        <v>0</v>
      </c>
      <c r="Q460" s="240"/>
      <c r="R460" s="146">
        <f t="shared" si="16"/>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7">SUM(I461:O461)</f>
        <v>0</v>
      </c>
      <c r="Q461" s="240"/>
      <c r="R461" s="146">
        <f t="shared" si="16"/>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7"/>
        <v>0</v>
      </c>
      <c r="Q462" s="240"/>
      <c r="R462" s="146">
        <f t="shared" si="16"/>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7"/>
        <v>0</v>
      </c>
      <c r="Q463" s="240"/>
      <c r="R463" s="146">
        <f t="shared" si="16"/>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7"/>
        <v>0</v>
      </c>
      <c r="Q464" s="240"/>
      <c r="R464" s="146">
        <f t="shared" si="16"/>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7"/>
        <v>0</v>
      </c>
      <c r="Q465" s="240"/>
      <c r="R465" s="146">
        <f t="shared" si="16"/>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7"/>
        <v>0</v>
      </c>
      <c r="Q466" s="240"/>
      <c r="R466" s="146">
        <f t="shared" si="16"/>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7"/>
        <v>0</v>
      </c>
      <c r="Q467" s="240"/>
      <c r="R467" s="146">
        <f t="shared" si="16"/>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7"/>
        <v>0</v>
      </c>
      <c r="Q468" s="240"/>
      <c r="R468" s="146">
        <f t="shared" si="16"/>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7"/>
        <v>0</v>
      </c>
      <c r="Q469" s="240"/>
      <c r="R469" s="146">
        <f t="shared" si="16"/>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7"/>
        <v>0</v>
      </c>
      <c r="Q470" s="240"/>
      <c r="R470" s="146">
        <f t="shared" si="16"/>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7"/>
        <v>0</v>
      </c>
      <c r="Q471" s="240"/>
      <c r="R471" s="146">
        <f t="shared" si="16"/>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7"/>
        <v>0</v>
      </c>
      <c r="Q472" s="240"/>
      <c r="R472" s="146">
        <f t="shared" si="16"/>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7"/>
        <v>0</v>
      </c>
      <c r="Q473" s="240"/>
      <c r="R473" s="146">
        <f t="shared" si="16"/>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7"/>
        <v>0</v>
      </c>
      <c r="Q474" s="240"/>
      <c r="R474" s="146">
        <f t="shared" ref="R474:R537" si="18">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7"/>
        <v>0</v>
      </c>
      <c r="Q475" s="240"/>
      <c r="R475" s="146">
        <f t="shared" si="18"/>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7"/>
        <v>0</v>
      </c>
      <c r="Q476" s="240"/>
      <c r="R476" s="146">
        <f t="shared" si="18"/>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7"/>
        <v>0</v>
      </c>
      <c r="Q477" s="240"/>
      <c r="R477" s="146">
        <f t="shared" si="18"/>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7"/>
        <v>0</v>
      </c>
      <c r="Q478" s="240"/>
      <c r="R478" s="146">
        <f t="shared" si="18"/>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7"/>
        <v>0</v>
      </c>
      <c r="Q479" s="240"/>
      <c r="R479" s="146">
        <f t="shared" si="18"/>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7"/>
        <v>0</v>
      </c>
      <c r="Q480" s="240"/>
      <c r="R480" s="146">
        <f t="shared" si="18"/>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7"/>
        <v>0</v>
      </c>
      <c r="Q481" s="240"/>
      <c r="R481" s="146">
        <f t="shared" si="18"/>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7"/>
        <v>0</v>
      </c>
      <c r="Q482" s="240"/>
      <c r="R482" s="146">
        <f t="shared" si="18"/>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7"/>
        <v>0</v>
      </c>
      <c r="Q483" s="240"/>
      <c r="R483" s="146">
        <f t="shared" si="18"/>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7"/>
        <v>0</v>
      </c>
      <c r="Q484" s="240"/>
      <c r="R484" s="146">
        <f t="shared" si="18"/>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7"/>
        <v>0</v>
      </c>
      <c r="Q485" s="240"/>
      <c r="R485" s="146">
        <f t="shared" si="18"/>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7"/>
        <v>0</v>
      </c>
      <c r="Q486" s="240"/>
      <c r="R486" s="146">
        <f t="shared" si="18"/>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7"/>
        <v>0</v>
      </c>
      <c r="Q487" s="240"/>
      <c r="R487" s="146">
        <f t="shared" si="18"/>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7"/>
        <v>0</v>
      </c>
      <c r="Q488" s="240"/>
      <c r="R488" s="146">
        <f t="shared" si="18"/>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7"/>
        <v>0</v>
      </c>
      <c r="Q489" s="240"/>
      <c r="R489" s="146">
        <f t="shared" si="18"/>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7"/>
        <v>0</v>
      </c>
      <c r="Q490" s="240"/>
      <c r="R490" s="146">
        <f t="shared" si="18"/>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7"/>
        <v>0</v>
      </c>
      <c r="Q491" s="240"/>
      <c r="R491" s="146">
        <f t="shared" si="18"/>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7"/>
        <v>0</v>
      </c>
      <c r="Q492" s="240"/>
      <c r="R492" s="146">
        <f t="shared" si="18"/>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7"/>
        <v>0</v>
      </c>
      <c r="Q493" s="240"/>
      <c r="R493" s="146">
        <f t="shared" si="18"/>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7"/>
        <v>0</v>
      </c>
      <c r="Q494" s="240"/>
      <c r="R494" s="146">
        <f t="shared" si="18"/>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7"/>
        <v>0</v>
      </c>
      <c r="Q495" s="240"/>
      <c r="R495" s="146">
        <f t="shared" si="18"/>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7"/>
        <v>0</v>
      </c>
      <c r="Q496" s="240"/>
      <c r="R496" s="146">
        <f t="shared" si="18"/>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7"/>
        <v>0</v>
      </c>
      <c r="Q497" s="240"/>
      <c r="R497" s="146">
        <f t="shared" si="18"/>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7"/>
        <v>0</v>
      </c>
      <c r="Q498" s="240"/>
      <c r="R498" s="146">
        <f t="shared" si="18"/>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7"/>
        <v>0</v>
      </c>
      <c r="Q499" s="240"/>
      <c r="R499" s="146">
        <f t="shared" si="18"/>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9">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9"/>
        <v>0</v>
      </c>
      <c r="Q501" s="240"/>
      <c r="R501" s="146">
        <f t="shared" si="18"/>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9"/>
        <v>0</v>
      </c>
      <c r="Q502" s="240"/>
      <c r="R502" s="146">
        <f t="shared" si="18"/>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9"/>
        <v>0</v>
      </c>
      <c r="Q503" s="240"/>
      <c r="R503" s="146">
        <f t="shared" si="18"/>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9"/>
        <v>0</v>
      </c>
      <c r="Q504" s="240"/>
      <c r="R504" s="146">
        <f t="shared" si="18"/>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9"/>
        <v>0</v>
      </c>
      <c r="Q505" s="240"/>
      <c r="R505" s="146">
        <f t="shared" si="18"/>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9"/>
        <v>0</v>
      </c>
      <c r="Q506" s="240"/>
      <c r="R506" s="146">
        <f t="shared" si="18"/>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9"/>
        <v>0</v>
      </c>
      <c r="Q507" s="240"/>
      <c r="R507" s="146">
        <f t="shared" si="18"/>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9"/>
        <v>0</v>
      </c>
      <c r="Q508" s="240"/>
      <c r="R508" s="146">
        <f t="shared" si="18"/>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9"/>
        <v>0</v>
      </c>
      <c r="Q509" s="240"/>
      <c r="R509" s="146">
        <f t="shared" si="18"/>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9"/>
        <v>0</v>
      </c>
      <c r="Q510" s="240"/>
      <c r="R510" s="146">
        <f t="shared" si="18"/>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9"/>
        <v>0</v>
      </c>
      <c r="Q511" s="240"/>
      <c r="R511" s="146">
        <f t="shared" si="18"/>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9"/>
        <v>0</v>
      </c>
      <c r="Q512" s="240"/>
      <c r="R512" s="146">
        <f t="shared" si="18"/>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9"/>
        <v>0</v>
      </c>
      <c r="Q513" s="240"/>
      <c r="R513" s="146">
        <f t="shared" si="18"/>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9"/>
        <v>0</v>
      </c>
      <c r="Q514" s="240"/>
      <c r="R514" s="146">
        <f t="shared" si="18"/>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9"/>
        <v>0</v>
      </c>
      <c r="Q515" s="240"/>
      <c r="R515" s="146">
        <f t="shared" si="18"/>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9"/>
        <v>0</v>
      </c>
      <c r="Q516" s="240"/>
      <c r="R516" s="146">
        <f t="shared" si="18"/>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9"/>
        <v>0</v>
      </c>
      <c r="Q517" s="240"/>
      <c r="R517" s="146">
        <f t="shared" si="18"/>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9"/>
        <v>0</v>
      </c>
      <c r="Q518" s="240"/>
      <c r="R518" s="146">
        <f t="shared" si="18"/>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9"/>
        <v>0</v>
      </c>
      <c r="Q519" s="240"/>
      <c r="R519" s="146">
        <f t="shared" si="18"/>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9"/>
        <v>0</v>
      </c>
      <c r="Q520" s="240"/>
      <c r="R520" s="146">
        <f t="shared" si="18"/>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9"/>
        <v>0</v>
      </c>
      <c r="Q521" s="240"/>
      <c r="R521" s="146">
        <f t="shared" si="18"/>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9"/>
        <v>0</v>
      </c>
      <c r="Q522" s="240"/>
      <c r="R522" s="146">
        <f t="shared" si="18"/>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9"/>
        <v>0</v>
      </c>
      <c r="Q523" s="240"/>
      <c r="R523" s="146">
        <f t="shared" si="18"/>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9"/>
        <v>0</v>
      </c>
      <c r="Q524" s="240"/>
      <c r="R524" s="146">
        <f t="shared" si="18"/>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9"/>
        <v>0</v>
      </c>
      <c r="Q525" s="240"/>
      <c r="R525" s="146">
        <f t="shared" si="18"/>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9"/>
        <v>0</v>
      </c>
      <c r="Q526" s="240"/>
      <c r="R526" s="146">
        <f t="shared" si="18"/>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9"/>
        <v>0</v>
      </c>
      <c r="Q527" s="240"/>
      <c r="R527" s="146">
        <f t="shared" si="18"/>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9"/>
        <v>0</v>
      </c>
      <c r="Q528" s="240"/>
      <c r="R528" s="146">
        <f t="shared" si="18"/>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9"/>
        <v>0</v>
      </c>
      <c r="Q529" s="240"/>
      <c r="R529" s="146">
        <f t="shared" si="18"/>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9"/>
        <v>0</v>
      </c>
      <c r="Q530" s="240"/>
      <c r="R530" s="146">
        <f t="shared" si="18"/>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9"/>
        <v>0</v>
      </c>
      <c r="Q531" s="240"/>
      <c r="R531" s="146">
        <f t="shared" si="18"/>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9"/>
        <v>0</v>
      </c>
      <c r="Q532" s="240"/>
      <c r="R532" s="146">
        <f t="shared" si="18"/>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9"/>
        <v>0</v>
      </c>
      <c r="Q533" s="240"/>
      <c r="R533" s="146">
        <f t="shared" si="18"/>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9"/>
        <v>0</v>
      </c>
      <c r="Q534" s="240"/>
      <c r="R534" s="146">
        <f t="shared" si="18"/>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9"/>
        <v>0</v>
      </c>
      <c r="Q535" s="240"/>
      <c r="R535" s="146">
        <f t="shared" si="18"/>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9"/>
        <v>0</v>
      </c>
      <c r="Q536" s="240"/>
      <c r="R536" s="146">
        <f t="shared" si="18"/>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9"/>
        <v>0</v>
      </c>
      <c r="Q537" s="240"/>
      <c r="R537" s="146">
        <f t="shared" si="18"/>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9"/>
        <v>0</v>
      </c>
      <c r="Q538" s="240"/>
      <c r="R538" s="146">
        <f t="shared" ref="R538:R601" si="20">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9"/>
        <v>0</v>
      </c>
      <c r="Q539" s="240"/>
      <c r="R539" s="146">
        <f t="shared" si="20"/>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9"/>
        <v>0</v>
      </c>
      <c r="Q540" s="240"/>
      <c r="R540" s="146">
        <f t="shared" si="20"/>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9"/>
        <v>0</v>
      </c>
      <c r="Q541" s="240"/>
      <c r="R541" s="146">
        <f t="shared" si="20"/>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9"/>
        <v>0</v>
      </c>
      <c r="Q542" s="240"/>
      <c r="R542" s="146">
        <f t="shared" si="20"/>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9"/>
        <v>0</v>
      </c>
      <c r="Q543" s="240"/>
      <c r="R543" s="146">
        <f t="shared" si="20"/>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9"/>
        <v>0</v>
      </c>
      <c r="Q544" s="240"/>
      <c r="R544" s="146">
        <f t="shared" si="20"/>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9"/>
        <v>0</v>
      </c>
      <c r="Q545" s="240"/>
      <c r="R545" s="146">
        <f t="shared" si="20"/>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9"/>
        <v>0</v>
      </c>
      <c r="Q546" s="240"/>
      <c r="R546" s="146">
        <f t="shared" si="20"/>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9"/>
        <v>0</v>
      </c>
      <c r="Q547" s="240"/>
      <c r="R547" s="146">
        <f t="shared" si="20"/>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9"/>
        <v>0</v>
      </c>
      <c r="Q548" s="240"/>
      <c r="R548" s="146">
        <f t="shared" si="20"/>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9"/>
        <v>0</v>
      </c>
      <c r="Q549" s="240"/>
      <c r="R549" s="146">
        <f t="shared" si="20"/>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9"/>
        <v>0</v>
      </c>
      <c r="Q550" s="240"/>
      <c r="R550" s="146">
        <f t="shared" si="20"/>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9"/>
        <v>0</v>
      </c>
      <c r="Q551" s="240"/>
      <c r="R551" s="146">
        <f t="shared" si="20"/>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9"/>
        <v>0</v>
      </c>
      <c r="Q552" s="240"/>
      <c r="R552" s="146">
        <f t="shared" si="20"/>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9"/>
        <v>0</v>
      </c>
      <c r="Q553" s="240"/>
      <c r="R553" s="146">
        <f t="shared" si="20"/>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9"/>
        <v>0</v>
      </c>
      <c r="Q554" s="240"/>
      <c r="R554" s="146">
        <f t="shared" si="20"/>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9"/>
        <v>0</v>
      </c>
      <c r="Q555" s="240"/>
      <c r="R555" s="146">
        <f t="shared" si="20"/>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9"/>
        <v>0</v>
      </c>
      <c r="Q556" s="240"/>
      <c r="R556" s="146">
        <f t="shared" si="20"/>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9"/>
        <v>0</v>
      </c>
      <c r="Q557" s="240"/>
      <c r="R557" s="146">
        <f t="shared" si="20"/>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9"/>
        <v>0</v>
      </c>
      <c r="Q558" s="240"/>
      <c r="R558" s="146">
        <f t="shared" si="20"/>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9"/>
        <v>0</v>
      </c>
      <c r="Q559" s="240"/>
      <c r="R559" s="146">
        <f t="shared" si="20"/>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9"/>
        <v>0</v>
      </c>
      <c r="Q560" s="240"/>
      <c r="R560" s="146">
        <f t="shared" si="20"/>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9"/>
        <v>0</v>
      </c>
      <c r="Q561" s="240"/>
      <c r="R561" s="146">
        <f t="shared" si="20"/>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9"/>
        <v>0</v>
      </c>
      <c r="Q562" s="240"/>
      <c r="R562" s="146">
        <f t="shared" si="20"/>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9"/>
        <v>0</v>
      </c>
      <c r="Q563" s="240"/>
      <c r="R563" s="146">
        <f t="shared" si="20"/>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1">SUM(I564:O564)</f>
        <v>0</v>
      </c>
      <c r="Q564" s="240"/>
      <c r="R564" s="146">
        <f t="shared" si="20"/>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1"/>
        <v>0</v>
      </c>
      <c r="Q565" s="240"/>
      <c r="R565" s="146">
        <f t="shared" si="20"/>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1"/>
        <v>0</v>
      </c>
      <c r="Q566" s="240"/>
      <c r="R566" s="146">
        <f t="shared" si="20"/>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1"/>
        <v>0</v>
      </c>
      <c r="Q567" s="240"/>
      <c r="R567" s="146">
        <f t="shared" si="20"/>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1"/>
        <v>0</v>
      </c>
      <c r="Q568" s="240"/>
      <c r="R568" s="146">
        <f t="shared" si="20"/>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1"/>
        <v>0</v>
      </c>
      <c r="Q569" s="240"/>
      <c r="R569" s="146">
        <f t="shared" si="20"/>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1"/>
        <v>0</v>
      </c>
      <c r="Q570" s="240"/>
      <c r="R570" s="146">
        <f t="shared" si="20"/>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1"/>
        <v>0</v>
      </c>
      <c r="Q571" s="240"/>
      <c r="R571" s="146">
        <f t="shared" si="20"/>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1"/>
        <v>0</v>
      </c>
      <c r="Q572" s="240"/>
      <c r="R572" s="146">
        <f t="shared" si="20"/>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1"/>
        <v>0</v>
      </c>
      <c r="Q573" s="240"/>
      <c r="R573" s="146">
        <f t="shared" si="20"/>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1"/>
        <v>0</v>
      </c>
      <c r="Q574" s="240"/>
      <c r="R574" s="146">
        <f t="shared" si="20"/>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1"/>
        <v>0</v>
      </c>
      <c r="Q575" s="240"/>
      <c r="R575" s="146">
        <f t="shared" si="20"/>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1"/>
        <v>0</v>
      </c>
      <c r="Q576" s="240"/>
      <c r="R576" s="146">
        <f t="shared" si="20"/>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1"/>
        <v>0</v>
      </c>
      <c r="Q577" s="240"/>
      <c r="R577" s="146">
        <f t="shared" si="20"/>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1"/>
        <v>0</v>
      </c>
      <c r="Q578" s="240"/>
      <c r="R578" s="146">
        <f t="shared" si="20"/>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1"/>
        <v>0</v>
      </c>
      <c r="Q579" s="240"/>
      <c r="R579" s="146">
        <f t="shared" si="20"/>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1"/>
        <v>0</v>
      </c>
      <c r="Q580" s="240"/>
      <c r="R580" s="146">
        <f t="shared" si="20"/>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1"/>
        <v>0</v>
      </c>
      <c r="Q581" s="240"/>
      <c r="R581" s="146">
        <f t="shared" si="20"/>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1"/>
        <v>0</v>
      </c>
      <c r="Q582" s="240"/>
      <c r="R582" s="146">
        <f t="shared" si="20"/>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1"/>
        <v>0</v>
      </c>
      <c r="Q583" s="240"/>
      <c r="R583" s="146">
        <f t="shared" si="20"/>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1"/>
        <v>0</v>
      </c>
      <c r="Q584" s="240"/>
      <c r="R584" s="146">
        <f t="shared" si="20"/>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1"/>
        <v>0</v>
      </c>
      <c r="Q585" s="240"/>
      <c r="R585" s="146">
        <f t="shared" si="20"/>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1"/>
        <v>0</v>
      </c>
      <c r="Q586" s="240"/>
      <c r="R586" s="146">
        <f t="shared" si="20"/>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1"/>
        <v>0</v>
      </c>
      <c r="Q587" s="240"/>
      <c r="R587" s="146">
        <f t="shared" si="20"/>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1"/>
        <v>0</v>
      </c>
      <c r="Q588" s="240"/>
      <c r="R588" s="146">
        <f t="shared" si="20"/>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1"/>
        <v>0</v>
      </c>
      <c r="Q589" s="240"/>
      <c r="R589" s="146">
        <f t="shared" si="20"/>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1"/>
        <v>0</v>
      </c>
      <c r="Q590" s="240"/>
      <c r="R590" s="146">
        <f t="shared" si="20"/>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1"/>
        <v>0</v>
      </c>
      <c r="Q591" s="240"/>
      <c r="R591" s="146">
        <f t="shared" si="20"/>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1"/>
        <v>0</v>
      </c>
      <c r="Q592" s="240"/>
      <c r="R592" s="146">
        <f t="shared" si="20"/>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1"/>
        <v>0</v>
      </c>
      <c r="Q593" s="240"/>
      <c r="R593" s="146">
        <f t="shared" si="20"/>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1"/>
        <v>0</v>
      </c>
      <c r="Q594" s="240"/>
      <c r="R594" s="146">
        <f t="shared" si="20"/>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1"/>
        <v>0</v>
      </c>
      <c r="Q595" s="240"/>
      <c r="R595" s="146">
        <f t="shared" si="20"/>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1"/>
        <v>0</v>
      </c>
      <c r="Q596" s="240"/>
      <c r="R596" s="146">
        <f t="shared" si="20"/>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1"/>
        <v>0</v>
      </c>
      <c r="Q597" s="240"/>
      <c r="R597" s="146">
        <f t="shared" si="20"/>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1"/>
        <v>0</v>
      </c>
      <c r="Q598" s="240"/>
      <c r="R598" s="146">
        <f t="shared" si="20"/>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1"/>
        <v>0</v>
      </c>
      <c r="Q599" s="240"/>
      <c r="R599" s="146">
        <f t="shared" si="20"/>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1"/>
        <v>0</v>
      </c>
      <c r="Q600" s="240"/>
      <c r="R600" s="146">
        <f t="shared" si="20"/>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1"/>
        <v>0</v>
      </c>
      <c r="Q601" s="240"/>
      <c r="R601" s="146">
        <f t="shared" si="20"/>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1"/>
        <v>0</v>
      </c>
      <c r="Q602" s="240"/>
      <c r="R602" s="146">
        <f t="shared" ref="R602:R665" si="22">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1"/>
        <v>0</v>
      </c>
      <c r="Q603" s="240"/>
      <c r="R603" s="146">
        <f t="shared" si="22"/>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1"/>
        <v>0</v>
      </c>
      <c r="Q604" s="240"/>
      <c r="R604" s="146">
        <f t="shared" si="22"/>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1"/>
        <v>0</v>
      </c>
      <c r="Q605" s="240"/>
      <c r="R605" s="146">
        <f t="shared" si="22"/>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1"/>
        <v>0</v>
      </c>
      <c r="Q606" s="240"/>
      <c r="R606" s="146">
        <f t="shared" si="22"/>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1"/>
        <v>0</v>
      </c>
      <c r="Q607" s="240"/>
      <c r="R607" s="146">
        <f t="shared" si="22"/>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1"/>
        <v>0</v>
      </c>
      <c r="Q608" s="240"/>
      <c r="R608" s="146">
        <f t="shared" si="22"/>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1"/>
        <v>0</v>
      </c>
      <c r="Q609" s="240"/>
      <c r="R609" s="146">
        <f t="shared" si="22"/>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1"/>
        <v>0</v>
      </c>
      <c r="Q610" s="240"/>
      <c r="R610" s="146">
        <f t="shared" si="22"/>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1"/>
        <v>0</v>
      </c>
      <c r="Q611" s="240"/>
      <c r="R611" s="146">
        <f t="shared" si="22"/>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1"/>
        <v>0</v>
      </c>
      <c r="Q612" s="240"/>
      <c r="R612" s="146">
        <f t="shared" si="22"/>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1"/>
        <v>0</v>
      </c>
      <c r="Q613" s="240"/>
      <c r="R613" s="146">
        <f t="shared" si="22"/>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1"/>
        <v>0</v>
      </c>
      <c r="Q614" s="240"/>
      <c r="R614" s="146">
        <f t="shared" si="22"/>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1"/>
        <v>0</v>
      </c>
      <c r="Q615" s="240"/>
      <c r="R615" s="146">
        <f t="shared" si="22"/>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1"/>
        <v>0</v>
      </c>
      <c r="Q616" s="240"/>
      <c r="R616" s="146">
        <f t="shared" si="22"/>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1"/>
        <v>0</v>
      </c>
      <c r="Q617" s="240"/>
      <c r="R617" s="146">
        <f t="shared" si="22"/>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1"/>
        <v>0</v>
      </c>
      <c r="Q618" s="240"/>
      <c r="R618" s="146">
        <f t="shared" si="22"/>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1"/>
        <v>0</v>
      </c>
      <c r="Q619" s="240"/>
      <c r="R619" s="146">
        <f t="shared" si="22"/>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1"/>
        <v>0</v>
      </c>
      <c r="Q620" s="240"/>
      <c r="R620" s="146">
        <f t="shared" si="22"/>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1"/>
        <v>0</v>
      </c>
      <c r="Q621" s="240"/>
      <c r="R621" s="146">
        <f t="shared" si="22"/>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1"/>
        <v>0</v>
      </c>
      <c r="Q622" s="240"/>
      <c r="R622" s="146">
        <f t="shared" si="22"/>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1"/>
        <v>0</v>
      </c>
      <c r="Q623" s="240"/>
      <c r="R623" s="146">
        <f t="shared" si="22"/>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1"/>
        <v>0</v>
      </c>
      <c r="Q624" s="240"/>
      <c r="R624" s="146">
        <f t="shared" si="22"/>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1"/>
        <v>0</v>
      </c>
      <c r="Q625" s="240"/>
      <c r="R625" s="146">
        <f t="shared" si="22"/>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1"/>
        <v>0</v>
      </c>
      <c r="Q626" s="240"/>
      <c r="R626" s="146">
        <f t="shared" si="22"/>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1"/>
        <v>0</v>
      </c>
      <c r="Q627" s="240"/>
      <c r="R627" s="146">
        <f t="shared" si="22"/>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3">SUM(I628:O628)</f>
        <v>0</v>
      </c>
      <c r="Q628" s="240"/>
      <c r="R628" s="146">
        <f t="shared" si="22"/>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3"/>
        <v>0</v>
      </c>
      <c r="Q629" s="240"/>
      <c r="R629" s="146">
        <f t="shared" si="22"/>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3"/>
        <v>0</v>
      </c>
      <c r="Q630" s="240"/>
      <c r="R630" s="146">
        <f t="shared" si="22"/>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3"/>
        <v>0</v>
      </c>
      <c r="Q631" s="240"/>
      <c r="R631" s="146">
        <f t="shared" si="22"/>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3"/>
        <v>0</v>
      </c>
      <c r="Q632" s="240"/>
      <c r="R632" s="146">
        <f t="shared" si="22"/>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3"/>
        <v>0</v>
      </c>
      <c r="Q633" s="240"/>
      <c r="R633" s="146">
        <f t="shared" si="22"/>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3"/>
        <v>0</v>
      </c>
      <c r="Q634" s="240"/>
      <c r="R634" s="146">
        <f t="shared" si="22"/>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3"/>
        <v>0</v>
      </c>
      <c r="Q635" s="240"/>
      <c r="R635" s="146">
        <f t="shared" si="22"/>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3"/>
        <v>0</v>
      </c>
      <c r="Q636" s="240"/>
      <c r="R636" s="146">
        <f t="shared" si="22"/>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3"/>
        <v>0</v>
      </c>
      <c r="Q637" s="240"/>
      <c r="R637" s="146">
        <f t="shared" si="22"/>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3"/>
        <v>0</v>
      </c>
      <c r="Q638" s="240"/>
      <c r="R638" s="146">
        <f t="shared" si="22"/>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3"/>
        <v>0</v>
      </c>
      <c r="Q639" s="240"/>
      <c r="R639" s="146">
        <f t="shared" si="22"/>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3"/>
        <v>0</v>
      </c>
      <c r="Q640" s="240"/>
      <c r="R640" s="146">
        <f t="shared" si="22"/>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3"/>
        <v>0</v>
      </c>
      <c r="Q641" s="240"/>
      <c r="R641" s="146">
        <f t="shared" si="22"/>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3"/>
        <v>0</v>
      </c>
      <c r="Q642" s="240"/>
      <c r="R642" s="146">
        <f t="shared" si="22"/>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3"/>
        <v>0</v>
      </c>
      <c r="Q643" s="240"/>
      <c r="R643" s="146">
        <f t="shared" si="22"/>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3"/>
        <v>0</v>
      </c>
      <c r="Q644" s="240"/>
      <c r="R644" s="146">
        <f t="shared" si="22"/>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3"/>
        <v>0</v>
      </c>
      <c r="Q645" s="240"/>
      <c r="R645" s="146">
        <f t="shared" si="22"/>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3"/>
        <v>0</v>
      </c>
      <c r="Q646" s="240"/>
      <c r="R646" s="146">
        <f t="shared" si="22"/>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3"/>
        <v>0</v>
      </c>
      <c r="Q647" s="240"/>
      <c r="R647" s="146">
        <f t="shared" si="22"/>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3"/>
        <v>0</v>
      </c>
      <c r="Q648" s="240"/>
      <c r="R648" s="146">
        <f t="shared" si="22"/>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3"/>
        <v>0</v>
      </c>
      <c r="Q649" s="240"/>
      <c r="R649" s="146">
        <f t="shared" si="22"/>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3"/>
        <v>0</v>
      </c>
      <c r="Q650" s="240"/>
      <c r="R650" s="146">
        <f t="shared" si="22"/>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3"/>
        <v>0</v>
      </c>
      <c r="Q651" s="240"/>
      <c r="R651" s="146">
        <f t="shared" si="22"/>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3"/>
        <v>0</v>
      </c>
      <c r="Q652" s="240"/>
      <c r="R652" s="146">
        <f t="shared" si="22"/>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3"/>
        <v>0</v>
      </c>
      <c r="Q653" s="240"/>
      <c r="R653" s="146">
        <f t="shared" si="22"/>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3"/>
        <v>0</v>
      </c>
      <c r="Q654" s="240"/>
      <c r="R654" s="146">
        <f t="shared" si="22"/>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3"/>
        <v>0</v>
      </c>
      <c r="Q655" s="240"/>
      <c r="R655" s="146">
        <f t="shared" si="22"/>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3"/>
        <v>0</v>
      </c>
      <c r="Q656" s="240"/>
      <c r="R656" s="146">
        <f t="shared" si="22"/>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3"/>
        <v>0</v>
      </c>
      <c r="Q657" s="240"/>
      <c r="R657" s="146">
        <f t="shared" si="22"/>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3"/>
        <v>0</v>
      </c>
      <c r="Q658" s="240"/>
      <c r="R658" s="146">
        <f t="shared" si="22"/>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3"/>
        <v>0</v>
      </c>
      <c r="Q659" s="240"/>
      <c r="R659" s="146">
        <f t="shared" si="22"/>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3"/>
        <v>0</v>
      </c>
      <c r="Q660" s="240"/>
      <c r="R660" s="146">
        <f t="shared" si="22"/>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3"/>
        <v>0</v>
      </c>
      <c r="Q661" s="240"/>
      <c r="R661" s="146">
        <f t="shared" si="22"/>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3"/>
        <v>0</v>
      </c>
      <c r="Q662" s="240"/>
      <c r="R662" s="146">
        <f t="shared" si="22"/>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3"/>
        <v>0</v>
      </c>
      <c r="Q663" s="240"/>
      <c r="R663" s="146">
        <f t="shared" si="22"/>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3"/>
        <v>0</v>
      </c>
      <c r="Q664" s="240"/>
      <c r="R664" s="146">
        <f t="shared" si="22"/>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3"/>
        <v>0</v>
      </c>
      <c r="Q665" s="240"/>
      <c r="R665" s="146">
        <f t="shared" si="22"/>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3"/>
        <v>0</v>
      </c>
      <c r="Q666" s="240"/>
      <c r="R666" s="146">
        <f t="shared" ref="R666:R729" si="24">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3"/>
        <v>0</v>
      </c>
      <c r="Q667" s="240"/>
      <c r="R667" s="146">
        <f t="shared" si="24"/>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3"/>
        <v>0</v>
      </c>
      <c r="Q668" s="240"/>
      <c r="R668" s="146">
        <f t="shared" si="24"/>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3"/>
        <v>0</v>
      </c>
      <c r="Q669" s="240"/>
      <c r="R669" s="146">
        <f t="shared" si="24"/>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3"/>
        <v>0</v>
      </c>
      <c r="Q670" s="240"/>
      <c r="R670" s="146">
        <f t="shared" si="24"/>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3"/>
        <v>0</v>
      </c>
      <c r="Q671" s="240"/>
      <c r="R671" s="146">
        <f t="shared" si="24"/>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3"/>
        <v>0</v>
      </c>
      <c r="Q672" s="240"/>
      <c r="R672" s="146">
        <f t="shared" si="24"/>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3"/>
        <v>0</v>
      </c>
      <c r="Q673" s="240"/>
      <c r="R673" s="146">
        <f t="shared" si="24"/>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3"/>
        <v>0</v>
      </c>
      <c r="Q674" s="240"/>
      <c r="R674" s="146">
        <f t="shared" si="24"/>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3"/>
        <v>0</v>
      </c>
      <c r="Q675" s="240"/>
      <c r="R675" s="146">
        <f t="shared" si="24"/>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3"/>
        <v>0</v>
      </c>
      <c r="Q676" s="240"/>
      <c r="R676" s="146">
        <f t="shared" si="24"/>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3"/>
        <v>0</v>
      </c>
      <c r="Q677" s="240"/>
      <c r="R677" s="146">
        <f t="shared" si="24"/>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3"/>
        <v>0</v>
      </c>
      <c r="Q678" s="240"/>
      <c r="R678" s="146">
        <f t="shared" si="24"/>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3"/>
        <v>0</v>
      </c>
      <c r="Q679" s="240"/>
      <c r="R679" s="146">
        <f t="shared" si="24"/>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3"/>
        <v>0</v>
      </c>
      <c r="Q680" s="240"/>
      <c r="R680" s="146">
        <f t="shared" si="24"/>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3"/>
        <v>0</v>
      </c>
      <c r="Q681" s="240"/>
      <c r="R681" s="146">
        <f t="shared" si="24"/>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3"/>
        <v>0</v>
      </c>
      <c r="Q682" s="240"/>
      <c r="R682" s="146">
        <f t="shared" si="24"/>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3"/>
        <v>0</v>
      </c>
      <c r="Q683" s="240"/>
      <c r="R683" s="146">
        <f t="shared" si="24"/>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3"/>
        <v>0</v>
      </c>
      <c r="Q684" s="240"/>
      <c r="R684" s="146">
        <f t="shared" si="24"/>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3"/>
        <v>0</v>
      </c>
      <c r="Q685" s="240"/>
      <c r="R685" s="146">
        <f t="shared" si="24"/>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3"/>
        <v>0</v>
      </c>
      <c r="Q686" s="240"/>
      <c r="R686" s="146">
        <f t="shared" si="24"/>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3"/>
        <v>0</v>
      </c>
      <c r="Q687" s="240"/>
      <c r="R687" s="146">
        <f t="shared" si="24"/>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3"/>
        <v>0</v>
      </c>
      <c r="Q688" s="240"/>
      <c r="R688" s="146">
        <f t="shared" si="24"/>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3"/>
        <v>0</v>
      </c>
      <c r="Q689" s="240"/>
      <c r="R689" s="146">
        <f t="shared" si="24"/>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3"/>
        <v>0</v>
      </c>
      <c r="Q690" s="240"/>
      <c r="R690" s="146">
        <f t="shared" si="24"/>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3"/>
        <v>0</v>
      </c>
      <c r="Q691" s="240"/>
      <c r="R691" s="146">
        <f t="shared" si="24"/>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5">SUM(I692:O692)</f>
        <v>0</v>
      </c>
      <c r="Q692" s="240"/>
      <c r="R692" s="146">
        <f t="shared" si="24"/>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5"/>
        <v>0</v>
      </c>
      <c r="Q693" s="240"/>
      <c r="R693" s="146">
        <f t="shared" si="24"/>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5"/>
        <v>0</v>
      </c>
      <c r="Q694" s="240"/>
      <c r="R694" s="146">
        <f t="shared" si="24"/>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5"/>
        <v>0</v>
      </c>
      <c r="Q695" s="240"/>
      <c r="R695" s="146">
        <f t="shared" si="24"/>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5"/>
        <v>0</v>
      </c>
      <c r="Q696" s="240"/>
      <c r="R696" s="146">
        <f t="shared" si="24"/>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5"/>
        <v>0</v>
      </c>
      <c r="Q697" s="240"/>
      <c r="R697" s="146">
        <f t="shared" si="24"/>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5"/>
        <v>0</v>
      </c>
      <c r="Q698" s="240"/>
      <c r="R698" s="146">
        <f t="shared" si="24"/>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5"/>
        <v>0</v>
      </c>
      <c r="Q699" s="240"/>
      <c r="R699" s="146">
        <f t="shared" si="24"/>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5"/>
        <v>0</v>
      </c>
      <c r="Q700" s="240"/>
      <c r="R700" s="146">
        <f t="shared" si="24"/>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5"/>
        <v>0</v>
      </c>
      <c r="Q701" s="240"/>
      <c r="R701" s="146">
        <f t="shared" si="24"/>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5"/>
        <v>0</v>
      </c>
      <c r="Q702" s="240"/>
      <c r="R702" s="146">
        <f t="shared" si="24"/>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5"/>
        <v>0</v>
      </c>
      <c r="Q703" s="240"/>
      <c r="R703" s="146">
        <f t="shared" si="24"/>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5"/>
        <v>0</v>
      </c>
      <c r="Q704" s="240"/>
      <c r="R704" s="146">
        <f t="shared" si="24"/>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5"/>
        <v>0</v>
      </c>
      <c r="Q705" s="240"/>
      <c r="R705" s="146">
        <f t="shared" si="24"/>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5"/>
        <v>0</v>
      </c>
      <c r="Q706" s="240"/>
      <c r="R706" s="146">
        <f t="shared" si="24"/>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5"/>
        <v>0</v>
      </c>
      <c r="Q707" s="240"/>
      <c r="R707" s="146">
        <f t="shared" si="24"/>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5"/>
        <v>0</v>
      </c>
      <c r="Q708" s="240"/>
      <c r="R708" s="146">
        <f t="shared" si="24"/>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5"/>
        <v>0</v>
      </c>
      <c r="Q709" s="240"/>
      <c r="R709" s="146">
        <f t="shared" si="24"/>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5"/>
        <v>0</v>
      </c>
      <c r="Q710" s="240"/>
      <c r="R710" s="146">
        <f t="shared" si="24"/>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5"/>
        <v>0</v>
      </c>
      <c r="Q711" s="240"/>
      <c r="R711" s="146">
        <f t="shared" si="24"/>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5"/>
        <v>0</v>
      </c>
      <c r="Q712" s="240"/>
      <c r="R712" s="146">
        <f t="shared" si="24"/>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5"/>
        <v>0</v>
      </c>
      <c r="Q713" s="240"/>
      <c r="R713" s="146">
        <f t="shared" si="24"/>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5"/>
        <v>0</v>
      </c>
      <c r="Q714" s="240"/>
      <c r="R714" s="146">
        <f t="shared" si="24"/>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5"/>
        <v>0</v>
      </c>
      <c r="Q715" s="240"/>
      <c r="R715" s="146">
        <f t="shared" si="24"/>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5"/>
        <v>0</v>
      </c>
      <c r="Q716" s="240"/>
      <c r="R716" s="146">
        <f t="shared" si="24"/>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5"/>
        <v>0</v>
      </c>
      <c r="Q717" s="240"/>
      <c r="R717" s="146">
        <f t="shared" si="24"/>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5"/>
        <v>0</v>
      </c>
      <c r="Q718" s="240"/>
      <c r="R718" s="146">
        <f t="shared" si="24"/>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5"/>
        <v>0</v>
      </c>
      <c r="Q719" s="240"/>
      <c r="R719" s="146">
        <f t="shared" si="24"/>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5"/>
        <v>0</v>
      </c>
      <c r="Q720" s="240"/>
      <c r="R720" s="146">
        <f t="shared" si="24"/>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5"/>
        <v>0</v>
      </c>
      <c r="Q721" s="240"/>
      <c r="R721" s="146">
        <f t="shared" si="24"/>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5"/>
        <v>0</v>
      </c>
      <c r="Q722" s="240"/>
      <c r="R722" s="146">
        <f t="shared" si="24"/>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5"/>
        <v>0</v>
      </c>
      <c r="Q723" s="240"/>
      <c r="R723" s="146">
        <f t="shared" si="24"/>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5"/>
        <v>0</v>
      </c>
      <c r="Q724" s="240"/>
      <c r="R724" s="146">
        <f t="shared" si="24"/>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5"/>
        <v>0</v>
      </c>
      <c r="Q725" s="240"/>
      <c r="R725" s="146">
        <f t="shared" si="24"/>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5"/>
        <v>0</v>
      </c>
      <c r="Q726" s="240"/>
      <c r="R726" s="146">
        <f t="shared" si="24"/>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5"/>
        <v>0</v>
      </c>
      <c r="Q727" s="240"/>
      <c r="R727" s="146">
        <f t="shared" si="24"/>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5"/>
        <v>0</v>
      </c>
      <c r="Q728" s="240"/>
      <c r="R728" s="146">
        <f t="shared" si="24"/>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5"/>
        <v>0</v>
      </c>
      <c r="Q729" s="240"/>
      <c r="R729" s="146">
        <f t="shared" si="24"/>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5"/>
        <v>0</v>
      </c>
      <c r="Q730" s="240"/>
      <c r="R730" s="146">
        <f t="shared" ref="R730:R793" si="26">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5"/>
        <v>0</v>
      </c>
      <c r="Q731" s="240"/>
      <c r="R731" s="146">
        <f t="shared" si="26"/>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5"/>
        <v>0</v>
      </c>
      <c r="Q732" s="240"/>
      <c r="R732" s="146">
        <f t="shared" si="26"/>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5"/>
        <v>0</v>
      </c>
      <c r="Q733" s="240"/>
      <c r="R733" s="146">
        <f t="shared" si="26"/>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5"/>
        <v>0</v>
      </c>
      <c r="Q734" s="240"/>
      <c r="R734" s="146">
        <f t="shared" si="26"/>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5"/>
        <v>0</v>
      </c>
      <c r="Q735" s="240"/>
      <c r="R735" s="146">
        <f t="shared" si="26"/>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5"/>
        <v>0</v>
      </c>
      <c r="Q736" s="240"/>
      <c r="R736" s="146">
        <f t="shared" si="26"/>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5"/>
        <v>0</v>
      </c>
      <c r="Q737" s="240"/>
      <c r="R737" s="146">
        <f t="shared" si="26"/>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5"/>
        <v>0</v>
      </c>
      <c r="Q738" s="240"/>
      <c r="R738" s="146">
        <f t="shared" si="26"/>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5"/>
        <v>0</v>
      </c>
      <c r="Q739" s="240"/>
      <c r="R739" s="146">
        <f t="shared" si="26"/>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5"/>
        <v>0</v>
      </c>
      <c r="Q740" s="240"/>
      <c r="R740" s="146">
        <f t="shared" si="26"/>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5"/>
        <v>0</v>
      </c>
      <c r="Q741" s="240"/>
      <c r="R741" s="146">
        <f t="shared" si="26"/>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5"/>
        <v>0</v>
      </c>
      <c r="Q742" s="240"/>
      <c r="R742" s="146">
        <f t="shared" si="26"/>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5"/>
        <v>0</v>
      </c>
      <c r="Q743" s="240"/>
      <c r="R743" s="146">
        <f t="shared" si="26"/>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5"/>
        <v>0</v>
      </c>
      <c r="Q744" s="240"/>
      <c r="R744" s="146">
        <f t="shared" si="26"/>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5"/>
        <v>0</v>
      </c>
      <c r="Q745" s="240"/>
      <c r="R745" s="146">
        <f t="shared" si="26"/>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5"/>
        <v>0</v>
      </c>
      <c r="Q746" s="240"/>
      <c r="R746" s="146">
        <f t="shared" si="26"/>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5"/>
        <v>0</v>
      </c>
      <c r="Q747" s="240"/>
      <c r="R747" s="146">
        <f t="shared" si="26"/>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5"/>
        <v>0</v>
      </c>
      <c r="Q748" s="240"/>
      <c r="R748" s="146">
        <f t="shared" si="26"/>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5"/>
        <v>0</v>
      </c>
      <c r="Q749" s="240"/>
      <c r="R749" s="146">
        <f t="shared" si="26"/>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5"/>
        <v>0</v>
      </c>
      <c r="Q750" s="240"/>
      <c r="R750" s="146">
        <f t="shared" si="26"/>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5"/>
        <v>0</v>
      </c>
      <c r="Q751" s="240"/>
      <c r="R751" s="146">
        <f t="shared" si="26"/>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5"/>
        <v>0</v>
      </c>
      <c r="Q752" s="240"/>
      <c r="R752" s="146">
        <f t="shared" si="26"/>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5"/>
        <v>0</v>
      </c>
      <c r="Q753" s="240"/>
      <c r="R753" s="146">
        <f t="shared" si="26"/>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5"/>
        <v>0</v>
      </c>
      <c r="Q754" s="240"/>
      <c r="R754" s="146">
        <f t="shared" si="26"/>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5"/>
        <v>0</v>
      </c>
      <c r="Q755" s="240"/>
      <c r="R755" s="146">
        <f t="shared" si="26"/>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7">SUM(I756:O756)</f>
        <v>0</v>
      </c>
      <c r="Q756" s="240"/>
      <c r="R756" s="146">
        <f t="shared" si="26"/>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7"/>
        <v>0</v>
      </c>
      <c r="Q757" s="240"/>
      <c r="R757" s="146">
        <f t="shared" si="26"/>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7"/>
        <v>0</v>
      </c>
      <c r="Q758" s="240"/>
      <c r="R758" s="146">
        <f t="shared" si="26"/>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7"/>
        <v>0</v>
      </c>
      <c r="Q759" s="240"/>
      <c r="R759" s="146">
        <f t="shared" si="26"/>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7"/>
        <v>0</v>
      </c>
      <c r="Q760" s="240"/>
      <c r="R760" s="146">
        <f t="shared" si="26"/>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7"/>
        <v>0</v>
      </c>
      <c r="Q761" s="240"/>
      <c r="R761" s="146">
        <f t="shared" si="26"/>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7"/>
        <v>0</v>
      </c>
      <c r="Q762" s="240"/>
      <c r="R762" s="146">
        <f t="shared" si="26"/>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7"/>
        <v>0</v>
      </c>
      <c r="Q763" s="240"/>
      <c r="R763" s="146">
        <f t="shared" si="26"/>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7"/>
        <v>0</v>
      </c>
      <c r="Q764" s="240"/>
      <c r="R764" s="146">
        <f t="shared" si="26"/>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7"/>
        <v>0</v>
      </c>
      <c r="Q765" s="240"/>
      <c r="R765" s="146">
        <f t="shared" si="26"/>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7"/>
        <v>0</v>
      </c>
      <c r="Q766" s="240"/>
      <c r="R766" s="146">
        <f t="shared" si="26"/>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7"/>
        <v>0</v>
      </c>
      <c r="Q767" s="240"/>
      <c r="R767" s="146">
        <f t="shared" si="26"/>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7"/>
        <v>0</v>
      </c>
      <c r="Q768" s="240"/>
      <c r="R768" s="146">
        <f t="shared" si="26"/>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7"/>
        <v>0</v>
      </c>
      <c r="Q769" s="240"/>
      <c r="R769" s="146">
        <f t="shared" si="26"/>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7"/>
        <v>0</v>
      </c>
      <c r="Q770" s="240"/>
      <c r="R770" s="146">
        <f t="shared" si="26"/>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7"/>
        <v>0</v>
      </c>
      <c r="Q771" s="240"/>
      <c r="R771" s="146">
        <f t="shared" si="26"/>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7"/>
        <v>0</v>
      </c>
      <c r="Q772" s="240"/>
      <c r="R772" s="146">
        <f t="shared" si="26"/>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7"/>
        <v>0</v>
      </c>
      <c r="Q773" s="240"/>
      <c r="R773" s="146">
        <f t="shared" si="26"/>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7"/>
        <v>0</v>
      </c>
      <c r="Q774" s="240"/>
      <c r="R774" s="146">
        <f t="shared" si="26"/>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7"/>
        <v>0</v>
      </c>
      <c r="Q775" s="240"/>
      <c r="R775" s="146">
        <f t="shared" si="26"/>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7"/>
        <v>0</v>
      </c>
      <c r="Q776" s="240"/>
      <c r="R776" s="146">
        <f t="shared" si="26"/>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7"/>
        <v>0</v>
      </c>
      <c r="Q777" s="240"/>
      <c r="R777" s="146">
        <f t="shared" si="26"/>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7"/>
        <v>0</v>
      </c>
      <c r="Q778" s="240"/>
      <c r="R778" s="146">
        <f t="shared" si="26"/>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7"/>
        <v>0</v>
      </c>
      <c r="Q779" s="240"/>
      <c r="R779" s="146">
        <f t="shared" si="26"/>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7"/>
        <v>0</v>
      </c>
      <c r="Q780" s="240"/>
      <c r="R780" s="146">
        <f t="shared" si="26"/>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7"/>
        <v>0</v>
      </c>
      <c r="Q781" s="240"/>
      <c r="R781" s="146">
        <f t="shared" si="26"/>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7"/>
        <v>0</v>
      </c>
      <c r="Q782" s="240"/>
      <c r="R782" s="146">
        <f t="shared" si="26"/>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7"/>
        <v>0</v>
      </c>
      <c r="Q783" s="240"/>
      <c r="R783" s="146">
        <f t="shared" si="26"/>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7"/>
        <v>0</v>
      </c>
      <c r="Q784" s="240"/>
      <c r="R784" s="146">
        <f t="shared" si="26"/>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7"/>
        <v>0</v>
      </c>
      <c r="Q785" s="240"/>
      <c r="R785" s="146">
        <f t="shared" si="26"/>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7"/>
        <v>0</v>
      </c>
      <c r="Q786" s="240"/>
      <c r="R786" s="146">
        <f t="shared" si="26"/>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7"/>
        <v>0</v>
      </c>
      <c r="Q787" s="240"/>
      <c r="R787" s="146">
        <f t="shared" si="26"/>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7"/>
        <v>0</v>
      </c>
      <c r="Q788" s="240"/>
      <c r="R788" s="146">
        <f t="shared" si="26"/>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7"/>
        <v>0</v>
      </c>
      <c r="Q789" s="240"/>
      <c r="R789" s="146">
        <f t="shared" si="26"/>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7"/>
        <v>0</v>
      </c>
      <c r="Q790" s="240"/>
      <c r="R790" s="146">
        <f t="shared" si="26"/>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7"/>
        <v>0</v>
      </c>
      <c r="Q791" s="240"/>
      <c r="R791" s="146">
        <f t="shared" si="26"/>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7"/>
        <v>0</v>
      </c>
      <c r="Q792" s="240"/>
      <c r="R792" s="146">
        <f t="shared" si="26"/>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7"/>
        <v>0</v>
      </c>
      <c r="Q793" s="240"/>
      <c r="R793" s="146">
        <f t="shared" si="26"/>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7"/>
        <v>0</v>
      </c>
      <c r="Q794" s="240"/>
      <c r="R794" s="146">
        <f t="shared" ref="R794:R857" si="28">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7"/>
        <v>0</v>
      </c>
      <c r="Q795" s="240"/>
      <c r="R795" s="146">
        <f t="shared" si="28"/>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7"/>
        <v>0</v>
      </c>
      <c r="Q796" s="240"/>
      <c r="R796" s="146">
        <f t="shared" si="28"/>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7"/>
        <v>0</v>
      </c>
      <c r="Q797" s="240"/>
      <c r="R797" s="146">
        <f t="shared" si="28"/>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7"/>
        <v>0</v>
      </c>
      <c r="Q798" s="240"/>
      <c r="R798" s="146">
        <f t="shared" si="28"/>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7"/>
        <v>0</v>
      </c>
      <c r="Q799" s="240"/>
      <c r="R799" s="146">
        <f t="shared" si="28"/>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7"/>
        <v>0</v>
      </c>
      <c r="Q800" s="240"/>
      <c r="R800" s="146">
        <f t="shared" si="28"/>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7"/>
        <v>0</v>
      </c>
      <c r="Q801" s="240"/>
      <c r="R801" s="146">
        <f t="shared" si="28"/>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7"/>
        <v>0</v>
      </c>
      <c r="Q802" s="240"/>
      <c r="R802" s="146">
        <f t="shared" si="28"/>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7"/>
        <v>0</v>
      </c>
      <c r="Q803" s="240"/>
      <c r="R803" s="146">
        <f t="shared" si="28"/>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7"/>
        <v>0</v>
      </c>
      <c r="Q804" s="240"/>
      <c r="R804" s="146">
        <f t="shared" si="28"/>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7"/>
        <v>0</v>
      </c>
      <c r="Q805" s="240"/>
      <c r="R805" s="146">
        <f t="shared" si="28"/>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7"/>
        <v>0</v>
      </c>
      <c r="Q806" s="240"/>
      <c r="R806" s="146">
        <f t="shared" si="28"/>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7"/>
        <v>0</v>
      </c>
      <c r="Q807" s="240"/>
      <c r="R807" s="146">
        <f t="shared" si="28"/>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7"/>
        <v>0</v>
      </c>
      <c r="Q808" s="240"/>
      <c r="R808" s="146">
        <f t="shared" si="28"/>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7"/>
        <v>0</v>
      </c>
      <c r="Q809" s="240"/>
      <c r="R809" s="146">
        <f t="shared" si="28"/>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7"/>
        <v>0</v>
      </c>
      <c r="Q810" s="240"/>
      <c r="R810" s="146">
        <f t="shared" si="28"/>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7"/>
        <v>0</v>
      </c>
      <c r="Q811" s="240"/>
      <c r="R811" s="146">
        <f t="shared" si="28"/>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7"/>
        <v>0</v>
      </c>
      <c r="Q812" s="240"/>
      <c r="R812" s="146">
        <f t="shared" si="28"/>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7"/>
        <v>0</v>
      </c>
      <c r="Q813" s="240"/>
      <c r="R813" s="146">
        <f t="shared" si="28"/>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7"/>
        <v>0</v>
      </c>
      <c r="Q814" s="240"/>
      <c r="R814" s="146">
        <f t="shared" si="28"/>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7"/>
        <v>0</v>
      </c>
      <c r="Q815" s="240"/>
      <c r="R815" s="146">
        <f t="shared" si="28"/>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7"/>
        <v>0</v>
      </c>
      <c r="Q816" s="240"/>
      <c r="R816" s="146">
        <f t="shared" si="28"/>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7"/>
        <v>0</v>
      </c>
      <c r="Q817" s="240"/>
      <c r="R817" s="146">
        <f t="shared" si="28"/>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7"/>
        <v>0</v>
      </c>
      <c r="Q818" s="240"/>
      <c r="R818" s="146">
        <f t="shared" si="28"/>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7"/>
        <v>0</v>
      </c>
      <c r="Q819" s="240"/>
      <c r="R819" s="146">
        <f t="shared" si="28"/>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9">SUM(I820:O820)</f>
        <v>0</v>
      </c>
      <c r="Q820" s="240"/>
      <c r="R820" s="146">
        <f t="shared" si="28"/>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9"/>
        <v>0</v>
      </c>
      <c r="Q821" s="240"/>
      <c r="R821" s="146">
        <f t="shared" si="28"/>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9"/>
        <v>0</v>
      </c>
      <c r="Q822" s="240"/>
      <c r="R822" s="146">
        <f t="shared" si="28"/>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9"/>
        <v>0</v>
      </c>
      <c r="Q823" s="240"/>
      <c r="R823" s="146">
        <f t="shared" si="28"/>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9"/>
        <v>0</v>
      </c>
      <c r="Q824" s="240"/>
      <c r="R824" s="146">
        <f t="shared" si="28"/>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9"/>
        <v>0</v>
      </c>
      <c r="Q825" s="240"/>
      <c r="R825" s="146">
        <f t="shared" si="28"/>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9"/>
        <v>0</v>
      </c>
      <c r="Q826" s="240"/>
      <c r="R826" s="146">
        <f t="shared" si="28"/>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9"/>
        <v>0</v>
      </c>
      <c r="Q827" s="240"/>
      <c r="R827" s="146">
        <f t="shared" si="28"/>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9"/>
        <v>0</v>
      </c>
      <c r="Q828" s="240"/>
      <c r="R828" s="146">
        <f t="shared" si="28"/>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9"/>
        <v>0</v>
      </c>
      <c r="Q829" s="240"/>
      <c r="R829" s="146">
        <f t="shared" si="28"/>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9"/>
        <v>0</v>
      </c>
      <c r="Q830" s="240"/>
      <c r="R830" s="146">
        <f t="shared" si="28"/>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9"/>
        <v>0</v>
      </c>
      <c r="Q831" s="240"/>
      <c r="R831" s="146">
        <f t="shared" si="28"/>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9"/>
        <v>0</v>
      </c>
      <c r="Q832" s="240"/>
      <c r="R832" s="146">
        <f t="shared" si="28"/>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9"/>
        <v>0</v>
      </c>
      <c r="Q833" s="240"/>
      <c r="R833" s="146">
        <f t="shared" si="28"/>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9"/>
        <v>0</v>
      </c>
      <c r="Q834" s="240"/>
      <c r="R834" s="146">
        <f t="shared" si="28"/>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9"/>
        <v>0</v>
      </c>
      <c r="Q835" s="240"/>
      <c r="R835" s="146">
        <f t="shared" si="28"/>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9"/>
        <v>0</v>
      </c>
      <c r="Q836" s="240"/>
      <c r="R836" s="146">
        <f t="shared" si="28"/>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9"/>
        <v>0</v>
      </c>
      <c r="Q837" s="240"/>
      <c r="R837" s="146">
        <f t="shared" si="28"/>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9"/>
        <v>0</v>
      </c>
      <c r="Q838" s="240"/>
      <c r="R838" s="146">
        <f t="shared" si="28"/>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9"/>
        <v>0</v>
      </c>
      <c r="Q839" s="240"/>
      <c r="R839" s="146">
        <f t="shared" si="28"/>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9"/>
        <v>0</v>
      </c>
      <c r="Q840" s="240"/>
      <c r="R840" s="146">
        <f t="shared" si="28"/>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9"/>
        <v>0</v>
      </c>
      <c r="Q841" s="240"/>
      <c r="R841" s="146">
        <f t="shared" si="28"/>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9"/>
        <v>0</v>
      </c>
      <c r="Q842" s="240"/>
      <c r="R842" s="146">
        <f t="shared" si="28"/>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9"/>
        <v>0</v>
      </c>
      <c r="Q843" s="240"/>
      <c r="R843" s="146">
        <f t="shared" si="28"/>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9"/>
        <v>0</v>
      </c>
      <c r="Q844" s="240"/>
      <c r="R844" s="146">
        <f t="shared" si="28"/>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9"/>
        <v>0</v>
      </c>
      <c r="Q845" s="240"/>
      <c r="R845" s="146">
        <f t="shared" si="28"/>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9"/>
        <v>0</v>
      </c>
      <c r="Q846" s="240"/>
      <c r="R846" s="146">
        <f t="shared" si="28"/>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9"/>
        <v>0</v>
      </c>
      <c r="Q847" s="240"/>
      <c r="R847" s="146">
        <f t="shared" si="28"/>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9"/>
        <v>0</v>
      </c>
      <c r="Q848" s="240"/>
      <c r="R848" s="146">
        <f t="shared" si="28"/>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9"/>
        <v>0</v>
      </c>
      <c r="Q849" s="240"/>
      <c r="R849" s="146">
        <f t="shared" si="28"/>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9"/>
        <v>0</v>
      </c>
      <c r="Q850" s="240"/>
      <c r="R850" s="146">
        <f t="shared" si="28"/>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9"/>
        <v>0</v>
      </c>
      <c r="Q851" s="240"/>
      <c r="R851" s="146">
        <f t="shared" si="28"/>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9"/>
        <v>0</v>
      </c>
      <c r="Q852" s="240"/>
      <c r="R852" s="146">
        <f t="shared" si="28"/>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9"/>
        <v>0</v>
      </c>
      <c r="Q853" s="240"/>
      <c r="R853" s="146">
        <f t="shared" si="28"/>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9"/>
        <v>0</v>
      </c>
      <c r="Q854" s="240"/>
      <c r="R854" s="146">
        <f t="shared" si="28"/>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9"/>
        <v>0</v>
      </c>
      <c r="Q855" s="240"/>
      <c r="R855" s="146">
        <f t="shared" si="28"/>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9"/>
        <v>0</v>
      </c>
      <c r="Q856" s="240"/>
      <c r="R856" s="146">
        <f t="shared" si="28"/>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9"/>
        <v>0</v>
      </c>
      <c r="Q857" s="240"/>
      <c r="R857" s="146">
        <f t="shared" si="28"/>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9"/>
        <v>0</v>
      </c>
      <c r="Q858" s="240"/>
      <c r="R858" s="146">
        <f t="shared" ref="R858:R921" si="30">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9"/>
        <v>0</v>
      </c>
      <c r="Q859" s="240"/>
      <c r="R859" s="146">
        <f t="shared" si="30"/>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9"/>
        <v>0</v>
      </c>
      <c r="Q860" s="240"/>
      <c r="R860" s="146">
        <f t="shared" si="30"/>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9"/>
        <v>0</v>
      </c>
      <c r="Q861" s="240"/>
      <c r="R861" s="146">
        <f t="shared" si="30"/>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9"/>
        <v>0</v>
      </c>
      <c r="Q862" s="240"/>
      <c r="R862" s="146">
        <f t="shared" si="30"/>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9"/>
        <v>0</v>
      </c>
      <c r="Q863" s="240"/>
      <c r="R863" s="146">
        <f t="shared" si="30"/>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9"/>
        <v>0</v>
      </c>
      <c r="Q864" s="240"/>
      <c r="R864" s="146">
        <f t="shared" si="30"/>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9"/>
        <v>0</v>
      </c>
      <c r="Q865" s="240"/>
      <c r="R865" s="146">
        <f t="shared" si="30"/>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9"/>
        <v>0</v>
      </c>
      <c r="Q866" s="240"/>
      <c r="R866" s="146">
        <f t="shared" si="30"/>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9"/>
        <v>0</v>
      </c>
      <c r="Q867" s="240"/>
      <c r="R867" s="146">
        <f t="shared" si="30"/>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9"/>
        <v>0</v>
      </c>
      <c r="Q868" s="240"/>
      <c r="R868" s="146">
        <f t="shared" si="30"/>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9"/>
        <v>0</v>
      </c>
      <c r="Q869" s="240"/>
      <c r="R869" s="146">
        <f t="shared" si="30"/>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9"/>
        <v>0</v>
      </c>
      <c r="Q870" s="240"/>
      <c r="R870" s="146">
        <f t="shared" si="30"/>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9"/>
        <v>0</v>
      </c>
      <c r="Q871" s="240"/>
      <c r="R871" s="146">
        <f t="shared" si="30"/>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9"/>
        <v>0</v>
      </c>
      <c r="Q872" s="240"/>
      <c r="R872" s="146">
        <f t="shared" si="30"/>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9"/>
        <v>0</v>
      </c>
      <c r="Q873" s="240"/>
      <c r="R873" s="146">
        <f t="shared" si="30"/>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9"/>
        <v>0</v>
      </c>
      <c r="Q874" s="240"/>
      <c r="R874" s="146">
        <f t="shared" si="30"/>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9"/>
        <v>0</v>
      </c>
      <c r="Q875" s="240"/>
      <c r="R875" s="146">
        <f t="shared" si="30"/>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9"/>
        <v>0</v>
      </c>
      <c r="Q876" s="240"/>
      <c r="R876" s="146">
        <f t="shared" si="30"/>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9"/>
        <v>0</v>
      </c>
      <c r="Q877" s="240"/>
      <c r="R877" s="146">
        <f t="shared" si="30"/>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9"/>
        <v>0</v>
      </c>
      <c r="Q878" s="240"/>
      <c r="R878" s="146">
        <f t="shared" si="30"/>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9"/>
        <v>0</v>
      </c>
      <c r="Q879" s="240"/>
      <c r="R879" s="146">
        <f t="shared" si="30"/>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9"/>
        <v>0</v>
      </c>
      <c r="Q880" s="240"/>
      <c r="R880" s="146">
        <f t="shared" si="30"/>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9"/>
        <v>0</v>
      </c>
      <c r="Q881" s="240"/>
      <c r="R881" s="146">
        <f t="shared" si="30"/>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9"/>
        <v>0</v>
      </c>
      <c r="Q882" s="240"/>
      <c r="R882" s="146">
        <f t="shared" si="30"/>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9"/>
        <v>0</v>
      </c>
      <c r="Q883" s="240"/>
      <c r="R883" s="146">
        <f t="shared" si="30"/>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1">SUM(I884:O884)</f>
        <v>0</v>
      </c>
      <c r="Q884" s="240"/>
      <c r="R884" s="146">
        <f t="shared" si="30"/>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1"/>
        <v>0</v>
      </c>
      <c r="Q885" s="240"/>
      <c r="R885" s="146">
        <f t="shared" si="30"/>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1"/>
        <v>0</v>
      </c>
      <c r="Q886" s="240"/>
      <c r="R886" s="146">
        <f t="shared" si="30"/>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1"/>
        <v>0</v>
      </c>
      <c r="Q887" s="240"/>
      <c r="R887" s="146">
        <f t="shared" si="30"/>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1"/>
        <v>0</v>
      </c>
      <c r="Q888" s="240"/>
      <c r="R888" s="146">
        <f t="shared" si="30"/>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1"/>
        <v>0</v>
      </c>
      <c r="Q889" s="240"/>
      <c r="R889" s="146">
        <f t="shared" si="30"/>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1"/>
        <v>0</v>
      </c>
      <c r="Q890" s="240"/>
      <c r="R890" s="146">
        <f t="shared" si="30"/>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1"/>
        <v>0</v>
      </c>
      <c r="Q891" s="240"/>
      <c r="R891" s="146">
        <f t="shared" si="30"/>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1"/>
        <v>0</v>
      </c>
      <c r="Q892" s="240"/>
      <c r="R892" s="146">
        <f t="shared" si="30"/>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1"/>
        <v>0</v>
      </c>
      <c r="Q893" s="240"/>
      <c r="R893" s="146">
        <f t="shared" si="30"/>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1"/>
        <v>0</v>
      </c>
      <c r="Q894" s="240"/>
      <c r="R894" s="146">
        <f t="shared" si="30"/>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1"/>
        <v>0</v>
      </c>
      <c r="Q895" s="240"/>
      <c r="R895" s="146">
        <f t="shared" si="30"/>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1"/>
        <v>0</v>
      </c>
      <c r="Q896" s="240"/>
      <c r="R896" s="146">
        <f t="shared" si="30"/>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1"/>
        <v>0</v>
      </c>
      <c r="Q897" s="240"/>
      <c r="R897" s="146">
        <f t="shared" si="30"/>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1"/>
        <v>0</v>
      </c>
      <c r="Q898" s="240"/>
      <c r="R898" s="146">
        <f t="shared" si="30"/>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1"/>
        <v>0</v>
      </c>
      <c r="Q899" s="240"/>
      <c r="R899" s="146">
        <f t="shared" si="30"/>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1"/>
        <v>0</v>
      </c>
      <c r="Q900" s="240"/>
      <c r="R900" s="146">
        <f t="shared" si="30"/>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1"/>
        <v>0</v>
      </c>
      <c r="Q901" s="240"/>
      <c r="R901" s="146">
        <f t="shared" si="30"/>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1"/>
        <v>0</v>
      </c>
      <c r="Q902" s="240"/>
      <c r="R902" s="146">
        <f t="shared" si="30"/>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1"/>
        <v>0</v>
      </c>
      <c r="Q903" s="240"/>
      <c r="R903" s="146">
        <f t="shared" si="30"/>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1"/>
        <v>0</v>
      </c>
      <c r="Q904" s="240"/>
      <c r="R904" s="146">
        <f t="shared" si="30"/>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1"/>
        <v>0</v>
      </c>
      <c r="Q905" s="240"/>
      <c r="R905" s="146">
        <f t="shared" si="30"/>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1"/>
        <v>0</v>
      </c>
      <c r="Q906" s="240"/>
      <c r="R906" s="146">
        <f t="shared" si="30"/>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1"/>
        <v>0</v>
      </c>
      <c r="Q907" s="240"/>
      <c r="R907" s="146">
        <f t="shared" si="30"/>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1"/>
        <v>0</v>
      </c>
      <c r="Q908" s="240"/>
      <c r="R908" s="146">
        <f t="shared" si="30"/>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1"/>
        <v>0</v>
      </c>
      <c r="Q909" s="240"/>
      <c r="R909" s="146">
        <f t="shared" si="30"/>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1"/>
        <v>0</v>
      </c>
      <c r="Q910" s="240"/>
      <c r="R910" s="146">
        <f t="shared" si="30"/>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1"/>
        <v>0</v>
      </c>
      <c r="Q911" s="240"/>
      <c r="R911" s="146">
        <f t="shared" si="30"/>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1"/>
        <v>0</v>
      </c>
      <c r="Q912" s="240"/>
      <c r="R912" s="146">
        <f t="shared" si="30"/>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1"/>
        <v>0</v>
      </c>
      <c r="Q913" s="240"/>
      <c r="R913" s="146">
        <f t="shared" si="30"/>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1"/>
        <v>0</v>
      </c>
      <c r="Q914" s="240"/>
      <c r="R914" s="146">
        <f t="shared" si="30"/>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1"/>
        <v>0</v>
      </c>
      <c r="Q915" s="240"/>
      <c r="R915" s="146">
        <f t="shared" si="30"/>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1"/>
        <v>0</v>
      </c>
      <c r="Q916" s="240"/>
      <c r="R916" s="146">
        <f t="shared" si="30"/>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1"/>
        <v>0</v>
      </c>
      <c r="Q917" s="240"/>
      <c r="R917" s="146">
        <f t="shared" si="30"/>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1"/>
        <v>0</v>
      </c>
      <c r="Q918" s="240"/>
      <c r="R918" s="146">
        <f t="shared" si="30"/>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1"/>
        <v>0</v>
      </c>
      <c r="Q919" s="240"/>
      <c r="R919" s="146">
        <f t="shared" si="30"/>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1"/>
        <v>0</v>
      </c>
      <c r="Q920" s="240"/>
      <c r="R920" s="146">
        <f t="shared" si="30"/>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1"/>
        <v>0</v>
      </c>
      <c r="Q921" s="240"/>
      <c r="R921" s="146">
        <f t="shared" si="30"/>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1"/>
        <v>0</v>
      </c>
      <c r="Q922" s="240"/>
      <c r="R922" s="146">
        <f t="shared" ref="R922:R985" si="32">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1"/>
        <v>0</v>
      </c>
      <c r="Q923" s="240"/>
      <c r="R923" s="146">
        <f t="shared" si="32"/>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1"/>
        <v>0</v>
      </c>
      <c r="Q924" s="240"/>
      <c r="R924" s="146">
        <f t="shared" si="32"/>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1"/>
        <v>0</v>
      </c>
      <c r="Q925" s="240"/>
      <c r="R925" s="146">
        <f t="shared" si="32"/>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1"/>
        <v>0</v>
      </c>
      <c r="Q926" s="240"/>
      <c r="R926" s="146">
        <f t="shared" si="32"/>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1"/>
        <v>0</v>
      </c>
      <c r="Q927" s="240"/>
      <c r="R927" s="146">
        <f t="shared" si="32"/>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1"/>
        <v>0</v>
      </c>
      <c r="Q928" s="240"/>
      <c r="R928" s="146">
        <f t="shared" si="32"/>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1"/>
        <v>0</v>
      </c>
      <c r="Q929" s="240"/>
      <c r="R929" s="146">
        <f t="shared" si="32"/>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1"/>
        <v>0</v>
      </c>
      <c r="Q930" s="240"/>
      <c r="R930" s="146">
        <f t="shared" si="32"/>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1"/>
        <v>0</v>
      </c>
      <c r="Q931" s="240"/>
      <c r="R931" s="146">
        <f t="shared" si="32"/>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1"/>
        <v>0</v>
      </c>
      <c r="Q932" s="240"/>
      <c r="R932" s="146">
        <f t="shared" si="32"/>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1"/>
        <v>0</v>
      </c>
      <c r="Q933" s="240"/>
      <c r="R933" s="146">
        <f t="shared" si="32"/>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1"/>
        <v>0</v>
      </c>
      <c r="Q934" s="240"/>
      <c r="R934" s="146">
        <f t="shared" si="32"/>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1"/>
        <v>0</v>
      </c>
      <c r="Q935" s="240"/>
      <c r="R935" s="146">
        <f t="shared" si="32"/>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1"/>
        <v>0</v>
      </c>
      <c r="Q936" s="240"/>
      <c r="R936" s="146">
        <f t="shared" si="32"/>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1"/>
        <v>0</v>
      </c>
      <c r="Q937" s="240"/>
      <c r="R937" s="146">
        <f t="shared" si="32"/>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1"/>
        <v>0</v>
      </c>
      <c r="Q938" s="240"/>
      <c r="R938" s="146">
        <f t="shared" si="32"/>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1"/>
        <v>0</v>
      </c>
      <c r="Q939" s="240"/>
      <c r="R939" s="146">
        <f t="shared" si="32"/>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1"/>
        <v>0</v>
      </c>
      <c r="Q940" s="240"/>
      <c r="R940" s="146">
        <f t="shared" si="32"/>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1"/>
        <v>0</v>
      </c>
      <c r="Q941" s="240"/>
      <c r="R941" s="146">
        <f t="shared" si="32"/>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1"/>
        <v>0</v>
      </c>
      <c r="Q942" s="240"/>
      <c r="R942" s="146">
        <f t="shared" si="32"/>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1"/>
        <v>0</v>
      </c>
      <c r="Q943" s="240"/>
      <c r="R943" s="146">
        <f t="shared" si="32"/>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1"/>
        <v>0</v>
      </c>
      <c r="Q944" s="240"/>
      <c r="R944" s="146">
        <f t="shared" si="32"/>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1"/>
        <v>0</v>
      </c>
      <c r="Q945" s="240"/>
      <c r="R945" s="146">
        <f t="shared" si="32"/>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1"/>
        <v>0</v>
      </c>
      <c r="Q946" s="240"/>
      <c r="R946" s="146">
        <f t="shared" si="32"/>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1"/>
        <v>0</v>
      </c>
      <c r="Q947" s="240"/>
      <c r="R947" s="146">
        <f t="shared" si="32"/>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3">SUM(I948:O948)</f>
        <v>0</v>
      </c>
      <c r="Q948" s="240"/>
      <c r="R948" s="146">
        <f t="shared" si="32"/>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3"/>
        <v>0</v>
      </c>
      <c r="Q949" s="240"/>
      <c r="R949" s="146">
        <f t="shared" si="32"/>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3"/>
        <v>0</v>
      </c>
      <c r="Q950" s="240"/>
      <c r="R950" s="146">
        <f t="shared" si="32"/>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3"/>
        <v>0</v>
      </c>
      <c r="Q951" s="240"/>
      <c r="R951" s="146">
        <f t="shared" si="32"/>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3"/>
        <v>0</v>
      </c>
      <c r="Q952" s="240"/>
      <c r="R952" s="146">
        <f t="shared" si="32"/>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3"/>
        <v>0</v>
      </c>
      <c r="Q953" s="240"/>
      <c r="R953" s="146">
        <f t="shared" si="32"/>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3"/>
        <v>0</v>
      </c>
      <c r="Q954" s="240"/>
      <c r="R954" s="146">
        <f t="shared" si="32"/>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3"/>
        <v>0</v>
      </c>
      <c r="Q955" s="240"/>
      <c r="R955" s="146">
        <f t="shared" si="32"/>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3"/>
        <v>0</v>
      </c>
      <c r="Q956" s="240"/>
      <c r="R956" s="146">
        <f t="shared" si="32"/>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3"/>
        <v>0</v>
      </c>
      <c r="Q957" s="240"/>
      <c r="R957" s="146">
        <f t="shared" si="32"/>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3"/>
        <v>0</v>
      </c>
      <c r="Q958" s="240"/>
      <c r="R958" s="146">
        <f t="shared" si="32"/>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3"/>
        <v>0</v>
      </c>
      <c r="Q959" s="240"/>
      <c r="R959" s="146">
        <f t="shared" si="32"/>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3"/>
        <v>0</v>
      </c>
      <c r="Q960" s="240"/>
      <c r="R960" s="146">
        <f t="shared" si="32"/>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3"/>
        <v>0</v>
      </c>
      <c r="Q961" s="240"/>
      <c r="R961" s="146">
        <f t="shared" si="32"/>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3"/>
        <v>0</v>
      </c>
      <c r="Q962" s="240"/>
      <c r="R962" s="146">
        <f t="shared" si="32"/>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3"/>
        <v>0</v>
      </c>
      <c r="Q963" s="240"/>
      <c r="R963" s="146">
        <f t="shared" si="32"/>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3"/>
        <v>0</v>
      </c>
      <c r="Q964" s="240"/>
      <c r="R964" s="146">
        <f t="shared" si="32"/>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3"/>
        <v>0</v>
      </c>
      <c r="Q965" s="240"/>
      <c r="R965" s="146">
        <f t="shared" si="32"/>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3"/>
        <v>0</v>
      </c>
      <c r="Q966" s="240"/>
      <c r="R966" s="146">
        <f t="shared" si="32"/>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3"/>
        <v>0</v>
      </c>
      <c r="Q967" s="240"/>
      <c r="R967" s="146">
        <f t="shared" si="32"/>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3"/>
        <v>0</v>
      </c>
      <c r="Q968" s="240"/>
      <c r="R968" s="146">
        <f t="shared" si="32"/>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3"/>
        <v>0</v>
      </c>
      <c r="Q969" s="240"/>
      <c r="R969" s="146">
        <f t="shared" si="32"/>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3"/>
        <v>0</v>
      </c>
      <c r="Q970" s="240"/>
      <c r="R970" s="146">
        <f t="shared" si="32"/>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3"/>
        <v>0</v>
      </c>
      <c r="Q971" s="240"/>
      <c r="R971" s="146">
        <f t="shared" si="32"/>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3"/>
        <v>0</v>
      </c>
      <c r="Q972" s="240"/>
      <c r="R972" s="146">
        <f t="shared" si="32"/>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3"/>
        <v>0</v>
      </c>
      <c r="Q973" s="240"/>
      <c r="R973" s="146">
        <f t="shared" si="32"/>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3"/>
        <v>0</v>
      </c>
      <c r="Q974" s="240"/>
      <c r="R974" s="146">
        <f t="shared" si="32"/>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3"/>
        <v>0</v>
      </c>
      <c r="Q975" s="240"/>
      <c r="R975" s="146">
        <f t="shared" si="32"/>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3"/>
        <v>0</v>
      </c>
      <c r="Q976" s="240"/>
      <c r="R976" s="146">
        <f t="shared" si="32"/>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3"/>
        <v>0</v>
      </c>
      <c r="Q977" s="240"/>
      <c r="R977" s="146">
        <f t="shared" si="32"/>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3"/>
        <v>0</v>
      </c>
      <c r="Q978" s="240"/>
      <c r="R978" s="146">
        <f t="shared" si="32"/>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3"/>
        <v>0</v>
      </c>
      <c r="Q979" s="240"/>
      <c r="R979" s="146">
        <f t="shared" si="32"/>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3"/>
        <v>0</v>
      </c>
      <c r="Q980" s="240"/>
      <c r="R980" s="146">
        <f t="shared" si="32"/>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3"/>
        <v>0</v>
      </c>
      <c r="Q981" s="240"/>
      <c r="R981" s="146">
        <f t="shared" si="32"/>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3"/>
        <v>0</v>
      </c>
      <c r="Q982" s="240"/>
      <c r="R982" s="146">
        <f t="shared" si="32"/>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3"/>
        <v>0</v>
      </c>
      <c r="Q983" s="240"/>
      <c r="R983" s="146">
        <f t="shared" si="32"/>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3"/>
        <v>0</v>
      </c>
      <c r="Q984" s="240"/>
      <c r="R984" s="146">
        <f t="shared" si="32"/>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3"/>
        <v>0</v>
      </c>
      <c r="Q985" s="240"/>
      <c r="R985" s="146">
        <f t="shared" si="32"/>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3"/>
        <v>0</v>
      </c>
      <c r="Q986" s="240"/>
      <c r="R986" s="146">
        <f t="shared" ref="R986:R1000" si="34">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3"/>
        <v>0</v>
      </c>
      <c r="Q987" s="240"/>
      <c r="R987" s="146">
        <f t="shared" si="34"/>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3"/>
        <v>0</v>
      </c>
      <c r="Q988" s="240"/>
      <c r="R988" s="146">
        <f t="shared" si="34"/>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3"/>
        <v>0</v>
      </c>
      <c r="Q989" s="240"/>
      <c r="R989" s="146">
        <f t="shared" si="34"/>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3"/>
        <v>0</v>
      </c>
      <c r="Q990" s="240"/>
      <c r="R990" s="146">
        <f t="shared" si="34"/>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3"/>
        <v>0</v>
      </c>
      <c r="Q991" s="240"/>
      <c r="R991" s="146">
        <f t="shared" si="34"/>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3"/>
        <v>0</v>
      </c>
      <c r="Q992" s="240"/>
      <c r="R992" s="146">
        <f t="shared" si="34"/>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3"/>
        <v>0</v>
      </c>
      <c r="Q993" s="240"/>
      <c r="R993" s="146">
        <f t="shared" si="34"/>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3"/>
        <v>0</v>
      </c>
      <c r="Q994" s="240"/>
      <c r="R994" s="146">
        <f t="shared" si="34"/>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3"/>
        <v>0</v>
      </c>
      <c r="Q995" s="240"/>
      <c r="R995" s="146">
        <f t="shared" si="34"/>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3"/>
        <v>0</v>
      </c>
      <c r="Q996" s="240"/>
      <c r="R996" s="146">
        <f t="shared" si="34"/>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3"/>
        <v>0</v>
      </c>
      <c r="Q997" s="240"/>
      <c r="R997" s="146">
        <f t="shared" si="34"/>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3"/>
        <v>0</v>
      </c>
      <c r="Q998" s="240"/>
      <c r="R998" s="146">
        <f t="shared" si="34"/>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3"/>
        <v>0</v>
      </c>
      <c r="Q999" s="240"/>
      <c r="R999" s="146">
        <f t="shared" si="34"/>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3"/>
        <v>0</v>
      </c>
      <c r="Q1000" s="240"/>
      <c r="R1000" s="146">
        <f t="shared" si="34"/>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MYlKZmx/uxPiSr2NWhFGRQaLpzuVhrXeTIg2f7A45N/3AemKLwphbGZ04x3pGS5/IrkDXlCpa5WXiXkIJOJP6g==" saltValue="Xw+TX21wBtugdk0TpE1GOw=="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S3 S13:S58 S92:S1048576"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A14" sqref="A14"/>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2.75" x14ac:dyDescent="0.2">
      <c r="A4" s="258" t="s">
        <v>10</v>
      </c>
      <c r="B4" s="203" t="str">
        <f>'Start Here'!B4:D4</f>
        <v>Hayward</v>
      </c>
      <c r="C4" s="259"/>
      <c r="L4" s="338" t="s">
        <v>1374</v>
      </c>
      <c r="M4" s="339"/>
      <c r="N4" s="339"/>
      <c r="O4" s="340"/>
      <c r="AI4" s="69"/>
      <c r="AR4" s="93"/>
      <c r="AS4" s="69"/>
    </row>
    <row r="5" spans="1:46" s="2" customForma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1" t="s">
        <v>43</v>
      </c>
      <c r="B9" s="354"/>
      <c r="C9" s="354"/>
      <c r="D9" s="354"/>
      <c r="E9" s="355"/>
      <c r="F9" s="351" t="s">
        <v>112</v>
      </c>
      <c r="G9" s="355"/>
      <c r="H9" s="351" t="s">
        <v>1295</v>
      </c>
      <c r="I9" s="354"/>
      <c r="J9" s="354"/>
      <c r="K9" s="354"/>
      <c r="L9" s="354"/>
      <c r="M9" s="354"/>
      <c r="N9" s="354"/>
      <c r="O9" s="355"/>
      <c r="P9" s="225"/>
      <c r="Q9" s="351" t="s">
        <v>68</v>
      </c>
      <c r="R9" s="354"/>
      <c r="S9" s="354"/>
      <c r="T9" s="354"/>
      <c r="U9" s="354"/>
      <c r="V9" s="354"/>
      <c r="W9" s="355"/>
      <c r="X9" s="225"/>
      <c r="Y9" s="225"/>
      <c r="Z9" s="351" t="s">
        <v>69</v>
      </c>
      <c r="AA9" s="354"/>
      <c r="AB9" s="354"/>
      <c r="AC9" s="354"/>
      <c r="AD9" s="354"/>
      <c r="AE9" s="354"/>
      <c r="AF9" s="354"/>
      <c r="AG9" s="354"/>
      <c r="AH9" s="355"/>
      <c r="AI9" s="226"/>
      <c r="AJ9" s="192" t="s">
        <v>113</v>
      </c>
      <c r="AK9" s="192" t="s">
        <v>114</v>
      </c>
      <c r="AL9" s="351" t="s">
        <v>6</v>
      </c>
      <c r="AM9" s="355"/>
      <c r="AN9" s="192" t="s">
        <v>7</v>
      </c>
      <c r="AO9" s="192" t="s">
        <v>115</v>
      </c>
      <c r="AP9" s="351" t="s">
        <v>118</v>
      </c>
      <c r="AQ9" s="354"/>
      <c r="AR9" s="355"/>
      <c r="AS9" s="72" t="s">
        <v>58</v>
      </c>
    </row>
    <row r="10" spans="1:46" s="10" customFormat="1" ht="15" x14ac:dyDescent="0.25">
      <c r="A10" s="347">
        <v>1</v>
      </c>
      <c r="B10" s="348"/>
      <c r="C10" s="348"/>
      <c r="D10" s="348"/>
      <c r="E10" s="356"/>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82"/>
      <c r="C12" s="282"/>
      <c r="D12" s="283"/>
      <c r="E12" s="284"/>
      <c r="F12" s="282"/>
      <c r="G12" s="282"/>
      <c r="H12" s="283">
        <f>SUM(H13:H1000)</f>
        <v>36</v>
      </c>
      <c r="I12" s="283">
        <f t="shared" ref="I12:AH12" si="0">SUM(I13:I1000)</f>
        <v>0</v>
      </c>
      <c r="J12" s="283">
        <f t="shared" si="0"/>
        <v>60</v>
      </c>
      <c r="K12" s="283">
        <f t="shared" si="0"/>
        <v>0</v>
      </c>
      <c r="L12" s="283">
        <f t="shared" si="0"/>
        <v>29</v>
      </c>
      <c r="M12" s="283">
        <f t="shared" si="0"/>
        <v>0</v>
      </c>
      <c r="N12" s="283">
        <f t="shared" si="0"/>
        <v>809</v>
      </c>
      <c r="O12" s="283"/>
      <c r="P12" s="283">
        <f t="shared" si="0"/>
        <v>934</v>
      </c>
      <c r="Q12" s="283">
        <f t="shared" si="0"/>
        <v>0</v>
      </c>
      <c r="R12" s="283">
        <f t="shared" si="0"/>
        <v>0</v>
      </c>
      <c r="S12" s="283">
        <f t="shared" si="0"/>
        <v>0</v>
      </c>
      <c r="T12" s="283">
        <f t="shared" si="0"/>
        <v>0</v>
      </c>
      <c r="U12" s="283">
        <f t="shared" si="0"/>
        <v>0</v>
      </c>
      <c r="V12" s="283">
        <f t="shared" si="0"/>
        <v>0</v>
      </c>
      <c r="W12" s="283">
        <f t="shared" si="0"/>
        <v>145</v>
      </c>
      <c r="X12" s="283"/>
      <c r="Y12" s="283">
        <f t="shared" si="0"/>
        <v>145</v>
      </c>
      <c r="Z12" s="283">
        <f t="shared" si="0"/>
        <v>0</v>
      </c>
      <c r="AA12" s="283">
        <f t="shared" si="0"/>
        <v>0</v>
      </c>
      <c r="AB12" s="283">
        <f t="shared" si="0"/>
        <v>0</v>
      </c>
      <c r="AC12" s="283">
        <f t="shared" si="0"/>
        <v>0</v>
      </c>
      <c r="AD12" s="283">
        <f t="shared" si="0"/>
        <v>0</v>
      </c>
      <c r="AE12" s="283">
        <f t="shared" si="0"/>
        <v>0</v>
      </c>
      <c r="AF12" s="283">
        <f t="shared" si="0"/>
        <v>197</v>
      </c>
      <c r="AG12" s="283"/>
      <c r="AH12" s="283">
        <f t="shared" si="0"/>
        <v>197</v>
      </c>
      <c r="AI12" s="285">
        <f>SUM(AI13:AI1000)</f>
        <v>15</v>
      </c>
      <c r="AJ12" s="276">
        <f>COUNTIF(AJ13:AJ1000,"Y")</f>
        <v>0</v>
      </c>
      <c r="AK12" s="286"/>
      <c r="AL12" s="286"/>
      <c r="AM12" s="286"/>
      <c r="AN12" s="286"/>
      <c r="AO12" s="286"/>
      <c r="AP12" s="276">
        <f>SUM(AP13:AP1000)</f>
        <v>12</v>
      </c>
      <c r="AQ12" s="276">
        <f>SUM(AQ13:AQ1000)</f>
        <v>0</v>
      </c>
      <c r="AR12" s="276">
        <f>SUM(AR13:AR1000)</f>
        <v>0</v>
      </c>
      <c r="AS12" s="289"/>
    </row>
    <row r="13" spans="1:46" s="2" customFormat="1" ht="12.75" x14ac:dyDescent="0.2">
      <c r="A13" s="146"/>
      <c r="B13" s="146" t="s">
        <v>1530</v>
      </c>
      <c r="C13" s="242" t="s">
        <v>1531</v>
      </c>
      <c r="D13" s="146" t="s">
        <v>1532</v>
      </c>
      <c r="E13" s="242">
        <v>201703150</v>
      </c>
      <c r="F13" s="146" t="s">
        <v>1406</v>
      </c>
      <c r="G13" s="146" t="s">
        <v>1407</v>
      </c>
      <c r="H13" s="146"/>
      <c r="I13" s="146"/>
      <c r="J13" s="146"/>
      <c r="K13" s="146"/>
      <c r="L13" s="146"/>
      <c r="M13" s="146"/>
      <c r="N13" s="146">
        <v>1</v>
      </c>
      <c r="O13" s="269">
        <v>43221</v>
      </c>
      <c r="P13" s="287">
        <f t="shared" ref="P13:P76" si="1">SUM(H13:N13)</f>
        <v>1</v>
      </c>
      <c r="Q13" s="146"/>
      <c r="R13" s="146"/>
      <c r="S13" s="146"/>
      <c r="T13" s="146"/>
      <c r="U13" s="146"/>
      <c r="V13" s="146"/>
      <c r="W13" s="146"/>
      <c r="X13" s="269"/>
      <c r="Y13" s="273">
        <f t="shared" ref="Y13:Y76" si="2">SUM(Q13:W13)</f>
        <v>0</v>
      </c>
      <c r="Z13" s="146"/>
      <c r="AA13" s="146"/>
      <c r="AB13" s="146"/>
      <c r="AC13" s="146"/>
      <c r="AD13" s="146"/>
      <c r="AE13" s="146"/>
      <c r="AF13" s="146"/>
      <c r="AG13" s="269"/>
      <c r="AH13" s="273">
        <f>SUM(Z13:AF13)</f>
        <v>0</v>
      </c>
      <c r="AI13" s="146"/>
      <c r="AJ13" s="146" t="s">
        <v>2479</v>
      </c>
      <c r="AK13" s="146" t="s">
        <v>2480</v>
      </c>
      <c r="AL13" s="146"/>
      <c r="AM13" s="146"/>
      <c r="AN13" s="146"/>
      <c r="AO13" s="146"/>
      <c r="AP13" s="146"/>
      <c r="AQ13" s="146"/>
      <c r="AR13" s="146"/>
      <c r="AS13" s="146"/>
    </row>
    <row r="14" spans="1:46" s="2" customFormat="1" ht="114.75" x14ac:dyDescent="0.2">
      <c r="A14" s="288"/>
      <c r="B14" s="146" t="s">
        <v>1533</v>
      </c>
      <c r="C14" s="242" t="s">
        <v>1534</v>
      </c>
      <c r="D14" s="146" t="s">
        <v>1535</v>
      </c>
      <c r="E14" s="242">
        <v>201605624</v>
      </c>
      <c r="F14" s="146" t="s">
        <v>1522</v>
      </c>
      <c r="G14" s="146" t="s">
        <v>1407</v>
      </c>
      <c r="H14" s="146">
        <v>36</v>
      </c>
      <c r="I14" s="146"/>
      <c r="J14" s="146">
        <v>40</v>
      </c>
      <c r="K14" s="146"/>
      <c r="L14" s="146"/>
      <c r="M14" s="146"/>
      <c r="N14" s="146"/>
      <c r="O14" s="269">
        <v>43153</v>
      </c>
      <c r="P14" s="287">
        <f t="shared" si="1"/>
        <v>76</v>
      </c>
      <c r="Q14" s="146"/>
      <c r="R14" s="146"/>
      <c r="S14" s="146"/>
      <c r="T14" s="146"/>
      <c r="U14" s="146"/>
      <c r="V14" s="146"/>
      <c r="W14" s="146"/>
      <c r="X14" s="269"/>
      <c r="Y14" s="273">
        <f t="shared" si="2"/>
        <v>0</v>
      </c>
      <c r="Z14" s="146"/>
      <c r="AA14" s="146"/>
      <c r="AB14" s="146"/>
      <c r="AC14" s="146"/>
      <c r="AD14" s="146"/>
      <c r="AE14" s="146"/>
      <c r="AF14" s="146"/>
      <c r="AG14" s="269"/>
      <c r="AH14" s="273">
        <f>SUM(Z14:AF14)</f>
        <v>0</v>
      </c>
      <c r="AI14" s="146">
        <v>15</v>
      </c>
      <c r="AJ14" s="146" t="s">
        <v>2479</v>
      </c>
      <c r="AK14" s="146" t="s">
        <v>2480</v>
      </c>
      <c r="AL14" s="146" t="s">
        <v>2550</v>
      </c>
      <c r="AM14" s="146" t="s">
        <v>1263</v>
      </c>
      <c r="AN14" s="146"/>
      <c r="AO14" s="146">
        <v>55</v>
      </c>
      <c r="AP14" s="146"/>
      <c r="AQ14" s="146"/>
      <c r="AR14" s="146"/>
      <c r="AS14" s="146" t="s">
        <v>2549</v>
      </c>
    </row>
    <row r="15" spans="1:46" s="2" customFormat="1" ht="12.75" x14ac:dyDescent="0.2">
      <c r="A15" s="146"/>
      <c r="B15" s="146" t="s">
        <v>1536</v>
      </c>
      <c r="C15" s="242" t="s">
        <v>1537</v>
      </c>
      <c r="D15" s="146" t="s">
        <v>1538</v>
      </c>
      <c r="E15" s="242">
        <v>201602866</v>
      </c>
      <c r="F15" s="146" t="s">
        <v>1522</v>
      </c>
      <c r="G15" s="146" t="s">
        <v>1392</v>
      </c>
      <c r="H15" s="146"/>
      <c r="I15" s="146"/>
      <c r="J15" s="146"/>
      <c r="K15" s="146"/>
      <c r="L15" s="146"/>
      <c r="M15" s="146"/>
      <c r="N15" s="146">
        <v>97</v>
      </c>
      <c r="O15" s="269">
        <v>43126</v>
      </c>
      <c r="P15" s="287">
        <f t="shared" si="1"/>
        <v>97</v>
      </c>
      <c r="Q15" s="146"/>
      <c r="R15" s="146"/>
      <c r="S15" s="146"/>
      <c r="T15" s="146"/>
      <c r="U15" s="146"/>
      <c r="V15" s="146"/>
      <c r="W15" s="146"/>
      <c r="X15" s="269"/>
      <c r="Y15" s="273">
        <f t="shared" si="2"/>
        <v>0</v>
      </c>
      <c r="Z15" s="146"/>
      <c r="AA15" s="146"/>
      <c r="AB15" s="146"/>
      <c r="AC15" s="146"/>
      <c r="AD15" s="146"/>
      <c r="AE15" s="146"/>
      <c r="AF15" s="146"/>
      <c r="AG15" s="269"/>
      <c r="AH15" s="273">
        <f t="shared" ref="AH15:AH31" si="3">SUM(Z15:AF15)</f>
        <v>0</v>
      </c>
      <c r="AI15" s="146"/>
      <c r="AJ15" s="146" t="s">
        <v>2479</v>
      </c>
      <c r="AK15" s="146" t="s">
        <v>2480</v>
      </c>
      <c r="AL15" s="146"/>
      <c r="AM15" s="146"/>
      <c r="AN15" s="146"/>
      <c r="AO15" s="146"/>
      <c r="AP15" s="146"/>
      <c r="AQ15" s="146"/>
      <c r="AR15" s="146"/>
      <c r="AS15" s="146"/>
    </row>
    <row r="16" spans="1:46" s="2" customFormat="1" ht="38.25" x14ac:dyDescent="0.2">
      <c r="A16" s="146"/>
      <c r="B16" s="146" t="s">
        <v>1539</v>
      </c>
      <c r="C16" s="242" t="s">
        <v>1540</v>
      </c>
      <c r="D16" s="146" t="s">
        <v>1541</v>
      </c>
      <c r="E16" s="242">
        <v>201700900</v>
      </c>
      <c r="F16" s="146" t="s">
        <v>1406</v>
      </c>
      <c r="G16" s="146" t="s">
        <v>1407</v>
      </c>
      <c r="H16" s="146"/>
      <c r="I16" s="146"/>
      <c r="J16" s="146"/>
      <c r="K16" s="146"/>
      <c r="L16" s="146"/>
      <c r="M16" s="146"/>
      <c r="N16" s="146">
        <v>4</v>
      </c>
      <c r="O16" s="269">
        <v>43111</v>
      </c>
      <c r="P16" s="287">
        <f t="shared" si="1"/>
        <v>4</v>
      </c>
      <c r="Q16" s="146"/>
      <c r="R16" s="146"/>
      <c r="S16" s="146"/>
      <c r="T16" s="146"/>
      <c r="U16" s="146"/>
      <c r="V16" s="146"/>
      <c r="W16" s="146"/>
      <c r="X16" s="269"/>
      <c r="Y16" s="273">
        <f t="shared" si="2"/>
        <v>0</v>
      </c>
      <c r="Z16" s="146"/>
      <c r="AA16" s="146"/>
      <c r="AB16" s="146"/>
      <c r="AC16" s="146"/>
      <c r="AD16" s="146"/>
      <c r="AE16" s="146"/>
      <c r="AF16" s="146"/>
      <c r="AG16" s="269"/>
      <c r="AH16" s="273">
        <f t="shared" si="3"/>
        <v>0</v>
      </c>
      <c r="AI16" s="146"/>
      <c r="AJ16" s="146" t="s">
        <v>2479</v>
      </c>
      <c r="AK16" s="146" t="s">
        <v>2480</v>
      </c>
      <c r="AL16" s="146"/>
      <c r="AM16" s="146"/>
      <c r="AN16" s="146"/>
      <c r="AO16" s="146"/>
      <c r="AP16" s="146"/>
      <c r="AQ16" s="146"/>
      <c r="AR16" s="146"/>
      <c r="AS16" s="146"/>
    </row>
    <row r="17" spans="1:45" s="2" customFormat="1" ht="12.75" x14ac:dyDescent="0.2">
      <c r="A17" s="146"/>
      <c r="B17" s="146" t="s">
        <v>1542</v>
      </c>
      <c r="C17" s="242" t="s">
        <v>1543</v>
      </c>
      <c r="D17" s="146" t="s">
        <v>1544</v>
      </c>
      <c r="E17" s="242">
        <v>201704129</v>
      </c>
      <c r="F17" s="146" t="s">
        <v>1522</v>
      </c>
      <c r="G17" s="146" t="s">
        <v>1407</v>
      </c>
      <c r="H17" s="146"/>
      <c r="I17" s="146"/>
      <c r="J17" s="146">
        <v>20</v>
      </c>
      <c r="K17" s="146"/>
      <c r="L17" s="146">
        <v>28</v>
      </c>
      <c r="M17" s="146"/>
      <c r="N17" s="146">
        <v>424</v>
      </c>
      <c r="O17" s="269">
        <v>43228</v>
      </c>
      <c r="P17" s="287">
        <f t="shared" si="1"/>
        <v>472</v>
      </c>
      <c r="Q17" s="146"/>
      <c r="R17" s="146"/>
      <c r="S17" s="146"/>
      <c r="T17" s="146"/>
      <c r="U17" s="146"/>
      <c r="V17" s="146"/>
      <c r="W17" s="146"/>
      <c r="X17" s="269"/>
      <c r="Y17" s="273">
        <f t="shared" si="2"/>
        <v>0</v>
      </c>
      <c r="Z17" s="146"/>
      <c r="AA17" s="146"/>
      <c r="AB17" s="146"/>
      <c r="AC17" s="146"/>
      <c r="AD17" s="146"/>
      <c r="AE17" s="146"/>
      <c r="AF17" s="146"/>
      <c r="AG17" s="269"/>
      <c r="AH17" s="273">
        <f t="shared" si="3"/>
        <v>0</v>
      </c>
      <c r="AI17" s="146"/>
      <c r="AJ17" s="146" t="s">
        <v>2479</v>
      </c>
      <c r="AK17" s="146" t="s">
        <v>2480</v>
      </c>
      <c r="AL17" s="146"/>
      <c r="AM17" s="146" t="s">
        <v>1261</v>
      </c>
      <c r="AN17" s="146"/>
      <c r="AO17" s="146">
        <v>1000</v>
      </c>
      <c r="AP17" s="146"/>
      <c r="AQ17" s="146"/>
      <c r="AR17" s="146"/>
      <c r="AS17" s="146"/>
    </row>
    <row r="18" spans="1:45" s="2" customFormat="1" ht="25.5" x14ac:dyDescent="0.2">
      <c r="A18" s="146"/>
      <c r="B18" s="146" t="s">
        <v>1545</v>
      </c>
      <c r="C18" s="242" t="s">
        <v>1546</v>
      </c>
      <c r="D18" s="146" t="s">
        <v>1547</v>
      </c>
      <c r="E18" s="242">
        <v>201706285</v>
      </c>
      <c r="F18" s="146" t="s">
        <v>1406</v>
      </c>
      <c r="G18" s="146" t="s">
        <v>1407</v>
      </c>
      <c r="H18" s="146"/>
      <c r="I18" s="146"/>
      <c r="J18" s="146"/>
      <c r="K18" s="146"/>
      <c r="L18" s="146"/>
      <c r="M18" s="146"/>
      <c r="N18" s="146">
        <v>18</v>
      </c>
      <c r="O18" s="269">
        <v>43270</v>
      </c>
      <c r="P18" s="287">
        <f t="shared" si="1"/>
        <v>18</v>
      </c>
      <c r="Q18" s="146"/>
      <c r="R18" s="146"/>
      <c r="S18" s="146"/>
      <c r="T18" s="146"/>
      <c r="U18" s="146"/>
      <c r="V18" s="146"/>
      <c r="W18" s="146"/>
      <c r="X18" s="269"/>
      <c r="Y18" s="273">
        <f t="shared" si="2"/>
        <v>0</v>
      </c>
      <c r="Z18" s="146"/>
      <c r="AA18" s="146"/>
      <c r="AB18" s="146"/>
      <c r="AC18" s="146"/>
      <c r="AD18" s="146"/>
      <c r="AE18" s="146"/>
      <c r="AF18" s="146"/>
      <c r="AG18" s="269"/>
      <c r="AH18" s="273">
        <f t="shared" si="3"/>
        <v>0</v>
      </c>
      <c r="AI18" s="146"/>
      <c r="AJ18" s="146" t="s">
        <v>2479</v>
      </c>
      <c r="AK18" s="146" t="s">
        <v>2480</v>
      </c>
      <c r="AL18" s="146"/>
      <c r="AM18" s="146"/>
      <c r="AN18" s="146"/>
      <c r="AO18" s="146"/>
      <c r="AP18" s="146"/>
      <c r="AQ18" s="146"/>
      <c r="AR18" s="146"/>
      <c r="AS18" s="146"/>
    </row>
    <row r="19" spans="1:45" s="2" customFormat="1" ht="25.5" x14ac:dyDescent="0.2">
      <c r="A19" s="146"/>
      <c r="B19" s="146" t="s">
        <v>1548</v>
      </c>
      <c r="C19" s="242" t="s">
        <v>1549</v>
      </c>
      <c r="D19" s="146" t="s">
        <v>1550</v>
      </c>
      <c r="E19" s="242">
        <v>201706239</v>
      </c>
      <c r="F19" s="146" t="s">
        <v>1406</v>
      </c>
      <c r="G19" s="146" t="s">
        <v>1407</v>
      </c>
      <c r="H19" s="146"/>
      <c r="I19" s="146"/>
      <c r="J19" s="146"/>
      <c r="K19" s="146"/>
      <c r="L19" s="146"/>
      <c r="M19" s="146"/>
      <c r="N19" s="146">
        <v>96</v>
      </c>
      <c r="O19" s="269">
        <v>43187</v>
      </c>
      <c r="P19" s="287">
        <f t="shared" si="1"/>
        <v>96</v>
      </c>
      <c r="Q19" s="146"/>
      <c r="R19" s="146"/>
      <c r="S19" s="146"/>
      <c r="T19" s="146"/>
      <c r="U19" s="146"/>
      <c r="V19" s="146"/>
      <c r="W19" s="146"/>
      <c r="X19" s="269"/>
      <c r="Y19" s="273">
        <f t="shared" si="2"/>
        <v>0</v>
      </c>
      <c r="Z19" s="146"/>
      <c r="AA19" s="146"/>
      <c r="AB19" s="146"/>
      <c r="AC19" s="146"/>
      <c r="AD19" s="146"/>
      <c r="AE19" s="146"/>
      <c r="AF19" s="146"/>
      <c r="AG19" s="269"/>
      <c r="AH19" s="273">
        <f t="shared" si="3"/>
        <v>0</v>
      </c>
      <c r="AI19" s="146"/>
      <c r="AJ19" s="146" t="s">
        <v>2479</v>
      </c>
      <c r="AK19" s="146" t="s">
        <v>2479</v>
      </c>
      <c r="AL19" s="146"/>
      <c r="AM19" s="146"/>
      <c r="AN19" s="146"/>
      <c r="AO19" s="146"/>
      <c r="AP19" s="146"/>
      <c r="AQ19" s="146"/>
      <c r="AR19" s="146"/>
      <c r="AS19" s="146"/>
    </row>
    <row r="20" spans="1:45" s="2" customFormat="1" ht="38.25" x14ac:dyDescent="0.2">
      <c r="A20" s="146"/>
      <c r="B20" s="146" t="s">
        <v>1551</v>
      </c>
      <c r="C20" s="242" t="s">
        <v>1552</v>
      </c>
      <c r="D20" s="146" t="s">
        <v>1553</v>
      </c>
      <c r="E20" s="69">
        <v>201605551</v>
      </c>
      <c r="F20" s="146" t="s">
        <v>1406</v>
      </c>
      <c r="G20" s="146" t="s">
        <v>1407</v>
      </c>
      <c r="H20" s="146"/>
      <c r="I20" s="146"/>
      <c r="J20" s="146"/>
      <c r="K20" s="146"/>
      <c r="L20" s="146"/>
      <c r="M20" s="146"/>
      <c r="N20" s="146">
        <v>19</v>
      </c>
      <c r="O20" s="269">
        <v>43270</v>
      </c>
      <c r="P20" s="287">
        <f t="shared" si="1"/>
        <v>19</v>
      </c>
      <c r="Q20" s="146"/>
      <c r="R20" s="146"/>
      <c r="S20" s="146"/>
      <c r="T20" s="146"/>
      <c r="U20" s="146"/>
      <c r="V20" s="146"/>
      <c r="W20" s="146"/>
      <c r="X20" s="269"/>
      <c r="Y20" s="273">
        <f t="shared" si="2"/>
        <v>0</v>
      </c>
      <c r="Z20" s="146"/>
      <c r="AA20" s="146"/>
      <c r="AB20" s="146"/>
      <c r="AC20" s="146"/>
      <c r="AD20" s="146"/>
      <c r="AE20" s="146"/>
      <c r="AF20" s="146"/>
      <c r="AG20" s="269"/>
      <c r="AH20" s="273">
        <f t="shared" si="3"/>
        <v>0</v>
      </c>
      <c r="AI20" s="146"/>
      <c r="AJ20" s="146" t="s">
        <v>2479</v>
      </c>
      <c r="AK20" s="146" t="s">
        <v>2480</v>
      </c>
      <c r="AL20" s="146"/>
      <c r="AM20" s="146"/>
      <c r="AN20" s="146"/>
      <c r="AO20" s="146"/>
      <c r="AP20" s="146"/>
      <c r="AQ20" s="146"/>
      <c r="AR20" s="146"/>
      <c r="AS20" s="146"/>
    </row>
    <row r="21" spans="1:45" s="2" customFormat="1" ht="38.25" x14ac:dyDescent="0.2">
      <c r="A21" s="146"/>
      <c r="B21" s="146" t="s">
        <v>1554</v>
      </c>
      <c r="C21" s="242" t="s">
        <v>1555</v>
      </c>
      <c r="D21" s="146" t="s">
        <v>1556</v>
      </c>
      <c r="E21" s="69">
        <v>201704074</v>
      </c>
      <c r="F21" s="146" t="s">
        <v>1406</v>
      </c>
      <c r="G21" s="146" t="s">
        <v>1407</v>
      </c>
      <c r="H21" s="146"/>
      <c r="I21" s="146"/>
      <c r="J21" s="146"/>
      <c r="K21" s="146"/>
      <c r="L21" s="146"/>
      <c r="M21" s="146"/>
      <c r="N21" s="146">
        <v>41</v>
      </c>
      <c r="O21" s="269">
        <v>43299</v>
      </c>
      <c r="P21" s="287">
        <f t="shared" si="1"/>
        <v>41</v>
      </c>
      <c r="Q21" s="146"/>
      <c r="R21" s="146"/>
      <c r="S21" s="146"/>
      <c r="T21" s="146"/>
      <c r="U21" s="146"/>
      <c r="V21" s="146"/>
      <c r="W21" s="146"/>
      <c r="X21" s="269"/>
      <c r="Y21" s="273">
        <f t="shared" si="2"/>
        <v>0</v>
      </c>
      <c r="Z21" s="146"/>
      <c r="AA21" s="146"/>
      <c r="AB21" s="146"/>
      <c r="AC21" s="146"/>
      <c r="AD21" s="146"/>
      <c r="AE21" s="146"/>
      <c r="AF21" s="146"/>
      <c r="AG21" s="269"/>
      <c r="AH21" s="273">
        <f t="shared" si="3"/>
        <v>0</v>
      </c>
      <c r="AI21" s="146"/>
      <c r="AJ21" s="146" t="s">
        <v>2479</v>
      </c>
      <c r="AK21" s="146" t="s">
        <v>2480</v>
      </c>
      <c r="AL21" s="146"/>
      <c r="AM21" s="146"/>
      <c r="AN21" s="146"/>
      <c r="AO21" s="146"/>
      <c r="AP21" s="146"/>
      <c r="AQ21" s="146"/>
      <c r="AR21" s="146"/>
      <c r="AS21" s="146"/>
    </row>
    <row r="22" spans="1:45" s="2" customFormat="1" ht="12.75" x14ac:dyDescent="0.2">
      <c r="A22" s="146"/>
      <c r="B22" s="146" t="s">
        <v>1557</v>
      </c>
      <c r="C22" s="242"/>
      <c r="D22" s="146" t="s">
        <v>1558</v>
      </c>
      <c r="E22" s="69">
        <v>201705848</v>
      </c>
      <c r="F22" s="146" t="s">
        <v>1406</v>
      </c>
      <c r="G22" s="146" t="s">
        <v>1407</v>
      </c>
      <c r="H22" s="146"/>
      <c r="I22" s="146"/>
      <c r="J22" s="146"/>
      <c r="K22" s="146"/>
      <c r="L22" s="146"/>
      <c r="M22" s="146"/>
      <c r="N22" s="146">
        <v>71</v>
      </c>
      <c r="O22" s="269">
        <v>43389</v>
      </c>
      <c r="P22" s="287">
        <f t="shared" si="1"/>
        <v>71</v>
      </c>
      <c r="Q22" s="146"/>
      <c r="R22" s="146"/>
      <c r="S22" s="146"/>
      <c r="T22" s="146"/>
      <c r="U22" s="146"/>
      <c r="V22" s="146"/>
      <c r="W22" s="146"/>
      <c r="X22" s="269"/>
      <c r="Y22" s="273">
        <f t="shared" si="2"/>
        <v>0</v>
      </c>
      <c r="Z22" s="146"/>
      <c r="AA22" s="146"/>
      <c r="AB22" s="146"/>
      <c r="AC22" s="146"/>
      <c r="AD22" s="146"/>
      <c r="AE22" s="146"/>
      <c r="AF22" s="146"/>
      <c r="AG22" s="269"/>
      <c r="AH22" s="273">
        <f t="shared" si="3"/>
        <v>0</v>
      </c>
      <c r="AI22" s="146"/>
      <c r="AJ22" s="146" t="s">
        <v>2479</v>
      </c>
      <c r="AK22" s="146" t="s">
        <v>2479</v>
      </c>
      <c r="AL22" s="146"/>
      <c r="AM22" s="146"/>
      <c r="AN22" s="146"/>
      <c r="AO22" s="146"/>
      <c r="AP22" s="146"/>
      <c r="AQ22" s="146"/>
      <c r="AR22" s="146"/>
      <c r="AS22" s="146"/>
    </row>
    <row r="23" spans="1:45" s="2" customFormat="1" ht="12.75" x14ac:dyDescent="0.2">
      <c r="A23" s="146"/>
      <c r="B23" s="146" t="s">
        <v>1403</v>
      </c>
      <c r="C23" s="294" t="s">
        <v>1559</v>
      </c>
      <c r="D23" s="146" t="s">
        <v>1532</v>
      </c>
      <c r="E23" s="69">
        <v>201800826</v>
      </c>
      <c r="F23" s="146" t="s">
        <v>1406</v>
      </c>
      <c r="G23" s="146" t="s">
        <v>1407</v>
      </c>
      <c r="H23" s="146"/>
      <c r="I23" s="146"/>
      <c r="J23" s="146"/>
      <c r="K23" s="146"/>
      <c r="L23" s="146"/>
      <c r="M23" s="146"/>
      <c r="N23" s="146">
        <v>1</v>
      </c>
      <c r="O23" s="269">
        <v>43221</v>
      </c>
      <c r="P23" s="287">
        <f t="shared" si="1"/>
        <v>1</v>
      </c>
      <c r="Q23" s="146"/>
      <c r="R23" s="146"/>
      <c r="S23" s="146"/>
      <c r="T23" s="146"/>
      <c r="U23" s="146"/>
      <c r="V23" s="146"/>
      <c r="W23" s="146"/>
      <c r="X23" s="269"/>
      <c r="Y23" s="273">
        <f t="shared" si="2"/>
        <v>0</v>
      </c>
      <c r="Z23" s="146"/>
      <c r="AA23" s="146"/>
      <c r="AB23" s="146"/>
      <c r="AC23" s="146"/>
      <c r="AD23" s="146"/>
      <c r="AE23" s="146"/>
      <c r="AF23" s="146"/>
      <c r="AG23" s="269"/>
      <c r="AH23" s="273">
        <f t="shared" si="3"/>
        <v>0</v>
      </c>
      <c r="AI23" s="146"/>
      <c r="AJ23" s="146" t="s">
        <v>2479</v>
      </c>
      <c r="AK23" s="146" t="s">
        <v>2480</v>
      </c>
      <c r="AL23" s="146"/>
      <c r="AM23" s="146"/>
      <c r="AN23" s="146"/>
      <c r="AO23" s="146"/>
      <c r="AP23" s="146"/>
      <c r="AQ23" s="146"/>
      <c r="AR23" s="146"/>
      <c r="AS23" s="146"/>
    </row>
    <row r="24" spans="1:45" s="2" customFormat="1" ht="12.75" x14ac:dyDescent="0.2">
      <c r="A24" s="146"/>
      <c r="B24" s="146" t="s">
        <v>1560</v>
      </c>
      <c r="C24" s="294" t="s">
        <v>1561</v>
      </c>
      <c r="D24" s="146" t="s">
        <v>1532</v>
      </c>
      <c r="E24" s="69">
        <v>201703214</v>
      </c>
      <c r="F24" s="146" t="s">
        <v>1406</v>
      </c>
      <c r="G24" s="146" t="s">
        <v>1407</v>
      </c>
      <c r="H24" s="146"/>
      <c r="I24" s="146"/>
      <c r="J24" s="146"/>
      <c r="K24" s="146"/>
      <c r="L24" s="146"/>
      <c r="M24" s="146"/>
      <c r="N24" s="146">
        <v>1</v>
      </c>
      <c r="O24" s="269">
        <v>43282</v>
      </c>
      <c r="P24" s="287">
        <f t="shared" si="1"/>
        <v>1</v>
      </c>
      <c r="Q24" s="146"/>
      <c r="R24" s="146"/>
      <c r="S24" s="146"/>
      <c r="T24" s="146"/>
      <c r="U24" s="146"/>
      <c r="V24" s="146"/>
      <c r="W24" s="146"/>
      <c r="X24" s="269"/>
      <c r="Y24" s="273">
        <f t="shared" si="2"/>
        <v>0</v>
      </c>
      <c r="Z24" s="146"/>
      <c r="AA24" s="146"/>
      <c r="AB24" s="146"/>
      <c r="AC24" s="146"/>
      <c r="AD24" s="146"/>
      <c r="AE24" s="146"/>
      <c r="AF24" s="146"/>
      <c r="AG24" s="269"/>
      <c r="AH24" s="273">
        <f t="shared" si="3"/>
        <v>0</v>
      </c>
      <c r="AI24" s="146"/>
      <c r="AJ24" s="146" t="s">
        <v>2479</v>
      </c>
      <c r="AK24" s="146" t="s">
        <v>2480</v>
      </c>
      <c r="AL24" s="146"/>
      <c r="AM24" s="146"/>
      <c r="AN24" s="146"/>
      <c r="AO24" s="146"/>
      <c r="AP24" s="146"/>
      <c r="AQ24" s="146"/>
      <c r="AR24" s="146"/>
      <c r="AS24" s="146"/>
    </row>
    <row r="25" spans="1:45" s="2" customFormat="1" ht="12.75" x14ac:dyDescent="0.2">
      <c r="A25" s="146"/>
      <c r="B25" s="146" t="s">
        <v>1562</v>
      </c>
      <c r="C25" s="294" t="s">
        <v>1563</v>
      </c>
      <c r="D25" s="146" t="s">
        <v>1532</v>
      </c>
      <c r="E25" s="69">
        <v>201705212</v>
      </c>
      <c r="F25" s="146" t="s">
        <v>1406</v>
      </c>
      <c r="G25" s="146" t="s">
        <v>1407</v>
      </c>
      <c r="H25" s="146"/>
      <c r="I25" s="146"/>
      <c r="J25" s="146"/>
      <c r="K25" s="146"/>
      <c r="L25" s="146"/>
      <c r="M25" s="146"/>
      <c r="N25" s="146">
        <v>1</v>
      </c>
      <c r="O25" s="269">
        <v>43282</v>
      </c>
      <c r="P25" s="287">
        <f t="shared" si="1"/>
        <v>1</v>
      </c>
      <c r="Q25" s="146"/>
      <c r="R25" s="146"/>
      <c r="S25" s="146"/>
      <c r="T25" s="146"/>
      <c r="U25" s="146"/>
      <c r="V25" s="146"/>
      <c r="W25" s="146"/>
      <c r="X25" s="269"/>
      <c r="Y25" s="273">
        <f t="shared" si="2"/>
        <v>0</v>
      </c>
      <c r="Z25" s="146"/>
      <c r="AA25" s="146"/>
      <c r="AB25" s="146"/>
      <c r="AC25" s="146"/>
      <c r="AD25" s="146"/>
      <c r="AE25" s="146"/>
      <c r="AF25" s="146"/>
      <c r="AG25" s="269"/>
      <c r="AH25" s="273">
        <f t="shared" si="3"/>
        <v>0</v>
      </c>
      <c r="AI25" s="146"/>
      <c r="AJ25" s="146" t="s">
        <v>2479</v>
      </c>
      <c r="AK25" s="146" t="s">
        <v>2480</v>
      </c>
      <c r="AL25" s="146"/>
      <c r="AM25" s="146"/>
      <c r="AN25" s="146"/>
      <c r="AO25" s="146"/>
      <c r="AP25" s="146"/>
      <c r="AQ25" s="146"/>
      <c r="AR25" s="146"/>
      <c r="AS25" s="146"/>
    </row>
    <row r="26" spans="1:45" s="2" customFormat="1" ht="12.75" x14ac:dyDescent="0.2">
      <c r="A26" s="146"/>
      <c r="B26" s="146" t="s">
        <v>1564</v>
      </c>
      <c r="C26" s="294" t="s">
        <v>1565</v>
      </c>
      <c r="D26" s="146" t="s">
        <v>1532</v>
      </c>
      <c r="E26" s="69">
        <v>201700714</v>
      </c>
      <c r="F26" s="146" t="s">
        <v>1406</v>
      </c>
      <c r="G26" s="146" t="s">
        <v>1407</v>
      </c>
      <c r="H26" s="146"/>
      <c r="I26" s="146"/>
      <c r="J26" s="146"/>
      <c r="K26" s="146"/>
      <c r="L26" s="146"/>
      <c r="M26" s="146"/>
      <c r="N26" s="146">
        <v>1</v>
      </c>
      <c r="O26" s="269">
        <v>43282</v>
      </c>
      <c r="P26" s="287">
        <f t="shared" si="1"/>
        <v>1</v>
      </c>
      <c r="Q26" s="146"/>
      <c r="R26" s="146"/>
      <c r="S26" s="146"/>
      <c r="T26" s="146"/>
      <c r="U26" s="146"/>
      <c r="V26" s="146"/>
      <c r="W26" s="146"/>
      <c r="X26" s="269"/>
      <c r="Y26" s="273">
        <f t="shared" si="2"/>
        <v>0</v>
      </c>
      <c r="Z26" s="146"/>
      <c r="AA26" s="146"/>
      <c r="AB26" s="146"/>
      <c r="AC26" s="146"/>
      <c r="AD26" s="146"/>
      <c r="AE26" s="146"/>
      <c r="AF26" s="146"/>
      <c r="AG26" s="269"/>
      <c r="AH26" s="273">
        <f t="shared" si="3"/>
        <v>0</v>
      </c>
      <c r="AI26" s="146"/>
      <c r="AJ26" s="146" t="s">
        <v>2479</v>
      </c>
      <c r="AK26" s="146" t="s">
        <v>2480</v>
      </c>
      <c r="AL26" s="146"/>
      <c r="AM26" s="146"/>
      <c r="AN26" s="146"/>
      <c r="AO26" s="146"/>
      <c r="AP26" s="146"/>
      <c r="AQ26" s="146"/>
      <c r="AR26" s="146"/>
      <c r="AS26" s="146"/>
    </row>
    <row r="27" spans="1:45" s="2" customFormat="1" ht="12.75" x14ac:dyDescent="0.2">
      <c r="A27" s="146"/>
      <c r="B27" s="146" t="s">
        <v>1566</v>
      </c>
      <c r="C27" s="295" t="s">
        <v>1567</v>
      </c>
      <c r="D27" s="146" t="s">
        <v>1532</v>
      </c>
      <c r="E27" s="69">
        <v>201600547</v>
      </c>
      <c r="F27" s="146" t="s">
        <v>1522</v>
      </c>
      <c r="G27" s="146" t="s">
        <v>1392</v>
      </c>
      <c r="H27" s="146"/>
      <c r="I27" s="146"/>
      <c r="J27" s="146"/>
      <c r="K27" s="146"/>
      <c r="L27" s="146"/>
      <c r="M27" s="146"/>
      <c r="N27" s="146">
        <v>25</v>
      </c>
      <c r="O27" s="269">
        <v>43308</v>
      </c>
      <c r="P27" s="287">
        <f t="shared" si="1"/>
        <v>25</v>
      </c>
      <c r="Q27" s="146"/>
      <c r="R27" s="146"/>
      <c r="S27" s="146"/>
      <c r="T27" s="146"/>
      <c r="U27" s="146"/>
      <c r="V27" s="146"/>
      <c r="W27" s="146"/>
      <c r="X27" s="269"/>
      <c r="Y27" s="273">
        <f t="shared" si="2"/>
        <v>0</v>
      </c>
      <c r="Z27" s="146"/>
      <c r="AA27" s="146"/>
      <c r="AB27" s="146"/>
      <c r="AC27" s="146"/>
      <c r="AD27" s="146"/>
      <c r="AE27" s="146"/>
      <c r="AF27" s="146"/>
      <c r="AG27" s="269"/>
      <c r="AH27" s="273">
        <f t="shared" si="3"/>
        <v>0</v>
      </c>
      <c r="AI27" s="146"/>
      <c r="AJ27" s="146" t="s">
        <v>2479</v>
      </c>
      <c r="AK27" s="146" t="s">
        <v>2480</v>
      </c>
      <c r="AL27" s="146"/>
      <c r="AM27" s="146"/>
      <c r="AN27" s="146"/>
      <c r="AO27" s="146"/>
      <c r="AP27" s="146"/>
      <c r="AQ27" s="146"/>
      <c r="AR27" s="146"/>
      <c r="AS27" s="146"/>
    </row>
    <row r="28" spans="1:45" s="2" customFormat="1" ht="12.75" x14ac:dyDescent="0.2">
      <c r="A28" s="146"/>
      <c r="B28" s="146" t="s">
        <v>1568</v>
      </c>
      <c r="C28" s="295" t="s">
        <v>1569</v>
      </c>
      <c r="D28" s="146" t="s">
        <v>1532</v>
      </c>
      <c r="E28" s="69">
        <v>201704262</v>
      </c>
      <c r="F28" s="146" t="s">
        <v>1411</v>
      </c>
      <c r="G28" s="146" t="s">
        <v>1407</v>
      </c>
      <c r="H28" s="146"/>
      <c r="I28" s="146"/>
      <c r="J28" s="146"/>
      <c r="K28" s="146"/>
      <c r="L28" s="146">
        <v>1</v>
      </c>
      <c r="M28" s="146"/>
      <c r="N28" s="146">
        <v>7</v>
      </c>
      <c r="O28" s="269">
        <v>43417</v>
      </c>
      <c r="P28" s="287">
        <f t="shared" si="1"/>
        <v>8</v>
      </c>
      <c r="Q28" s="146"/>
      <c r="R28" s="146"/>
      <c r="S28" s="146"/>
      <c r="T28" s="146"/>
      <c r="U28" s="146"/>
      <c r="V28" s="146"/>
      <c r="W28" s="146"/>
      <c r="X28" s="269"/>
      <c r="Y28" s="273">
        <f t="shared" si="2"/>
        <v>0</v>
      </c>
      <c r="Z28" s="146"/>
      <c r="AA28" s="146"/>
      <c r="AB28" s="146"/>
      <c r="AC28" s="146"/>
      <c r="AD28" s="146"/>
      <c r="AE28" s="146"/>
      <c r="AF28" s="146"/>
      <c r="AG28" s="269"/>
      <c r="AH28" s="273">
        <f t="shared" si="3"/>
        <v>0</v>
      </c>
      <c r="AI28" s="146"/>
      <c r="AJ28" s="146" t="s">
        <v>2479</v>
      </c>
      <c r="AK28" s="146" t="s">
        <v>2480</v>
      </c>
      <c r="AL28" s="146"/>
      <c r="AM28" s="146" t="s">
        <v>1261</v>
      </c>
      <c r="AN28" s="146"/>
      <c r="AO28" s="146">
        <v>1000</v>
      </c>
      <c r="AP28" s="146"/>
      <c r="AQ28" s="146"/>
      <c r="AR28" s="146"/>
      <c r="AS28" s="146"/>
    </row>
    <row r="29" spans="1:45" s="2" customFormat="1" ht="12.75" x14ac:dyDescent="0.2">
      <c r="A29" s="146"/>
      <c r="B29" s="146" t="s">
        <v>1570</v>
      </c>
      <c r="C29" s="295" t="s">
        <v>1571</v>
      </c>
      <c r="D29" s="146" t="s">
        <v>1532</v>
      </c>
      <c r="E29" s="69">
        <v>201802866</v>
      </c>
      <c r="F29" s="146" t="s">
        <v>1406</v>
      </c>
      <c r="G29" s="146" t="s">
        <v>1407</v>
      </c>
      <c r="H29" s="146"/>
      <c r="I29" s="146"/>
      <c r="J29" s="146"/>
      <c r="K29" s="146"/>
      <c r="L29" s="146"/>
      <c r="M29" s="146"/>
      <c r="N29" s="146">
        <v>2</v>
      </c>
      <c r="O29" s="269">
        <v>43374</v>
      </c>
      <c r="P29" s="287">
        <f t="shared" si="1"/>
        <v>2</v>
      </c>
      <c r="Q29" s="146"/>
      <c r="R29" s="146"/>
      <c r="S29" s="146"/>
      <c r="T29" s="146"/>
      <c r="U29" s="146"/>
      <c r="V29" s="146"/>
      <c r="W29" s="146"/>
      <c r="X29" s="269"/>
      <c r="Y29" s="273">
        <f t="shared" si="2"/>
        <v>0</v>
      </c>
      <c r="Z29" s="146"/>
      <c r="AA29" s="146"/>
      <c r="AB29" s="146"/>
      <c r="AC29" s="146"/>
      <c r="AD29" s="146"/>
      <c r="AE29" s="146"/>
      <c r="AF29" s="146"/>
      <c r="AG29" s="269"/>
      <c r="AH29" s="273">
        <f t="shared" si="3"/>
        <v>0</v>
      </c>
      <c r="AI29" s="146"/>
      <c r="AJ29" s="146" t="s">
        <v>2479</v>
      </c>
      <c r="AK29" s="146" t="s">
        <v>2480</v>
      </c>
      <c r="AL29" s="146"/>
      <c r="AM29" s="146"/>
      <c r="AN29" s="146"/>
      <c r="AO29" s="146"/>
      <c r="AP29" s="146"/>
      <c r="AQ29" s="146"/>
      <c r="AR29" s="146"/>
      <c r="AS29" s="146"/>
    </row>
    <row r="30" spans="1:45" s="2" customFormat="1" ht="12.75" x14ac:dyDescent="0.2">
      <c r="A30" s="146"/>
      <c r="B30" s="296" t="s">
        <v>1572</v>
      </c>
      <c r="C30" s="296" t="s">
        <v>1573</v>
      </c>
      <c r="D30" s="296" t="s">
        <v>1574</v>
      </c>
      <c r="E30" s="297">
        <v>201802409</v>
      </c>
      <c r="F30" s="296" t="s">
        <v>1411</v>
      </c>
      <c r="G30" s="296" t="s">
        <v>1407</v>
      </c>
      <c r="H30" s="146"/>
      <c r="I30" s="146"/>
      <c r="J30" s="146"/>
      <c r="K30" s="146"/>
      <c r="L30" s="146"/>
      <c r="M30" s="146"/>
      <c r="N30" s="146"/>
      <c r="O30" s="269"/>
      <c r="P30" s="287">
        <f t="shared" si="1"/>
        <v>0</v>
      </c>
      <c r="Q30" s="146"/>
      <c r="R30" s="146"/>
      <c r="S30" s="146"/>
      <c r="T30" s="146"/>
      <c r="U30" s="146"/>
      <c r="V30" s="146"/>
      <c r="W30" s="146">
        <v>1</v>
      </c>
      <c r="X30" s="298">
        <v>43328</v>
      </c>
      <c r="Y30" s="273">
        <f t="shared" si="2"/>
        <v>1</v>
      </c>
      <c r="Z30" s="146"/>
      <c r="AA30" s="146"/>
      <c r="AB30" s="146"/>
      <c r="AC30" s="146"/>
      <c r="AD30" s="146"/>
      <c r="AE30" s="146"/>
      <c r="AF30" s="146"/>
      <c r="AG30" s="269"/>
      <c r="AH30" s="273">
        <f t="shared" si="3"/>
        <v>0</v>
      </c>
      <c r="AI30" s="146"/>
      <c r="AJ30" s="146" t="s">
        <v>2479</v>
      </c>
      <c r="AK30" s="146" t="s">
        <v>2480</v>
      </c>
      <c r="AL30" s="146"/>
      <c r="AM30" s="146"/>
      <c r="AN30" s="146"/>
      <c r="AO30" s="146"/>
      <c r="AP30" s="146"/>
      <c r="AQ30" s="146"/>
      <c r="AR30" s="146"/>
      <c r="AS30" s="146"/>
    </row>
    <row r="31" spans="1:45" s="2" customFormat="1" ht="12.75" x14ac:dyDescent="0.2">
      <c r="A31" s="146"/>
      <c r="B31" s="296" t="s">
        <v>1403</v>
      </c>
      <c r="C31" s="296" t="s">
        <v>1404</v>
      </c>
      <c r="D31" s="296" t="s">
        <v>1575</v>
      </c>
      <c r="E31" s="297">
        <v>201802427</v>
      </c>
      <c r="F31" s="296" t="s">
        <v>1406</v>
      </c>
      <c r="G31" s="296" t="s">
        <v>1407</v>
      </c>
      <c r="H31" s="146"/>
      <c r="I31" s="146"/>
      <c r="J31" s="146"/>
      <c r="K31" s="146"/>
      <c r="L31" s="146"/>
      <c r="M31" s="146"/>
      <c r="N31" s="146"/>
      <c r="O31" s="269"/>
      <c r="P31" s="287">
        <f t="shared" si="1"/>
        <v>0</v>
      </c>
      <c r="Q31" s="146"/>
      <c r="R31" s="146"/>
      <c r="S31" s="146"/>
      <c r="T31" s="146"/>
      <c r="U31" s="146"/>
      <c r="V31" s="146"/>
      <c r="W31" s="146">
        <v>1</v>
      </c>
      <c r="X31" s="298">
        <v>43395</v>
      </c>
      <c r="Y31" s="273">
        <f t="shared" si="2"/>
        <v>1</v>
      </c>
      <c r="Z31" s="146"/>
      <c r="AA31" s="146"/>
      <c r="AB31" s="146"/>
      <c r="AC31" s="146"/>
      <c r="AD31" s="146"/>
      <c r="AE31" s="146"/>
      <c r="AF31" s="146"/>
      <c r="AG31" s="269"/>
      <c r="AH31" s="273">
        <f t="shared" si="3"/>
        <v>0</v>
      </c>
      <c r="AI31" s="146"/>
      <c r="AJ31" s="146" t="s">
        <v>2479</v>
      </c>
      <c r="AK31" s="146" t="s">
        <v>2480</v>
      </c>
      <c r="AL31" s="146"/>
      <c r="AM31" s="146"/>
      <c r="AN31" s="146"/>
      <c r="AO31" s="146"/>
      <c r="AP31" s="146"/>
      <c r="AQ31" s="146"/>
      <c r="AR31" s="146"/>
      <c r="AS31" s="146"/>
    </row>
    <row r="32" spans="1:45" s="2" customFormat="1" ht="12.75" x14ac:dyDescent="0.2">
      <c r="A32" s="146"/>
      <c r="B32" s="296" t="s">
        <v>1530</v>
      </c>
      <c r="C32" s="296" t="s">
        <v>1531</v>
      </c>
      <c r="D32" s="296" t="s">
        <v>1576</v>
      </c>
      <c r="E32" s="297">
        <v>201803357</v>
      </c>
      <c r="F32" s="296" t="s">
        <v>1406</v>
      </c>
      <c r="G32" s="296" t="s">
        <v>1407</v>
      </c>
      <c r="H32" s="146"/>
      <c r="I32" s="146"/>
      <c r="J32" s="146"/>
      <c r="K32" s="146"/>
      <c r="L32" s="146"/>
      <c r="M32" s="146"/>
      <c r="N32" s="146"/>
      <c r="O32" s="269"/>
      <c r="P32" s="287">
        <f t="shared" si="1"/>
        <v>0</v>
      </c>
      <c r="Q32" s="146"/>
      <c r="R32" s="146"/>
      <c r="S32" s="146"/>
      <c r="T32" s="146"/>
      <c r="U32" s="146"/>
      <c r="V32" s="146"/>
      <c r="W32" s="146">
        <v>1</v>
      </c>
      <c r="X32" s="298">
        <v>43417</v>
      </c>
      <c r="Y32" s="273">
        <f t="shared" si="2"/>
        <v>1</v>
      </c>
      <c r="Z32" s="146"/>
      <c r="AA32" s="146"/>
      <c r="AB32" s="146"/>
      <c r="AC32" s="146"/>
      <c r="AD32" s="146"/>
      <c r="AE32" s="146"/>
      <c r="AF32" s="146"/>
      <c r="AG32" s="269"/>
      <c r="AH32" s="273">
        <f t="shared" ref="AH32:AH96" si="4">SUM(Z32:AF32)</f>
        <v>0</v>
      </c>
      <c r="AI32" s="146"/>
      <c r="AJ32" s="146" t="s">
        <v>2479</v>
      </c>
      <c r="AK32" s="146" t="s">
        <v>2480</v>
      </c>
      <c r="AL32" s="146"/>
      <c r="AM32" s="146"/>
      <c r="AN32" s="146"/>
      <c r="AO32" s="146"/>
      <c r="AP32" s="146"/>
      <c r="AQ32" s="146"/>
      <c r="AR32" s="146"/>
      <c r="AS32" s="146"/>
    </row>
    <row r="33" spans="1:132" s="231" customFormat="1" ht="12.75" x14ac:dyDescent="0.2">
      <c r="A33" s="146"/>
      <c r="B33" s="296"/>
      <c r="C33" s="296" t="s">
        <v>1577</v>
      </c>
      <c r="D33" s="296" t="s">
        <v>1578</v>
      </c>
      <c r="E33" s="297">
        <v>201806373</v>
      </c>
      <c r="F33" s="296" t="s">
        <v>1411</v>
      </c>
      <c r="G33" s="296" t="s">
        <v>1407</v>
      </c>
      <c r="H33" s="146"/>
      <c r="I33" s="146"/>
      <c r="J33" s="146"/>
      <c r="K33" s="146"/>
      <c r="L33" s="146"/>
      <c r="M33" s="146"/>
      <c r="N33" s="146"/>
      <c r="O33" s="269"/>
      <c r="P33" s="287">
        <f t="shared" si="1"/>
        <v>0</v>
      </c>
      <c r="Q33" s="146"/>
      <c r="R33" s="146"/>
      <c r="S33" s="146"/>
      <c r="T33" s="146"/>
      <c r="U33" s="146"/>
      <c r="V33" s="146"/>
      <c r="W33" s="146">
        <v>1</v>
      </c>
      <c r="X33" s="298">
        <v>43451</v>
      </c>
      <c r="Y33" s="273">
        <f t="shared" si="2"/>
        <v>1</v>
      </c>
      <c r="Z33" s="146"/>
      <c r="AA33" s="146"/>
      <c r="AB33" s="146"/>
      <c r="AC33" s="146"/>
      <c r="AD33" s="146"/>
      <c r="AE33" s="146"/>
      <c r="AF33" s="146"/>
      <c r="AG33" s="269"/>
      <c r="AH33" s="273">
        <f t="shared" si="4"/>
        <v>0</v>
      </c>
      <c r="AI33" s="146"/>
      <c r="AJ33" s="146" t="s">
        <v>2479</v>
      </c>
      <c r="AK33" s="146" t="s">
        <v>2480</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296"/>
      <c r="C34" s="296" t="s">
        <v>1579</v>
      </c>
      <c r="D34" s="296" t="s">
        <v>1580</v>
      </c>
      <c r="E34" s="297">
        <v>201806362</v>
      </c>
      <c r="F34" s="296" t="s">
        <v>1411</v>
      </c>
      <c r="G34" s="296" t="s">
        <v>1407</v>
      </c>
      <c r="H34" s="146"/>
      <c r="I34" s="146"/>
      <c r="J34" s="146"/>
      <c r="K34" s="146"/>
      <c r="L34" s="146"/>
      <c r="M34" s="146"/>
      <c r="N34" s="146"/>
      <c r="O34" s="146"/>
      <c r="P34" s="287">
        <f t="shared" si="1"/>
        <v>0</v>
      </c>
      <c r="Q34" s="146"/>
      <c r="R34" s="146"/>
      <c r="S34" s="146"/>
      <c r="T34" s="146"/>
      <c r="U34" s="146"/>
      <c r="V34" s="146"/>
      <c r="W34" s="146">
        <v>1</v>
      </c>
      <c r="X34" s="298">
        <v>43437</v>
      </c>
      <c r="Y34" s="273">
        <f t="shared" si="2"/>
        <v>1</v>
      </c>
      <c r="Z34" s="146"/>
      <c r="AA34" s="146"/>
      <c r="AB34" s="146"/>
      <c r="AC34" s="146"/>
      <c r="AD34" s="146"/>
      <c r="AE34" s="146"/>
      <c r="AF34" s="146"/>
      <c r="AG34" s="146"/>
      <c r="AH34" s="273">
        <f t="shared" si="4"/>
        <v>0</v>
      </c>
      <c r="AI34" s="146"/>
      <c r="AJ34" s="146" t="s">
        <v>2479</v>
      </c>
      <c r="AK34" s="146" t="s">
        <v>2480</v>
      </c>
      <c r="AL34" s="146"/>
      <c r="AM34" s="146"/>
      <c r="AN34" s="146"/>
      <c r="AO34" s="146"/>
      <c r="AP34" s="146"/>
      <c r="AQ34" s="146"/>
      <c r="AR34" s="146"/>
      <c r="AS34" s="146"/>
    </row>
    <row r="35" spans="1:132" s="75" customFormat="1" ht="12.75" x14ac:dyDescent="0.2">
      <c r="A35" s="146"/>
      <c r="B35" s="296" t="s">
        <v>1581</v>
      </c>
      <c r="C35" s="296" t="s">
        <v>1582</v>
      </c>
      <c r="D35" s="296" t="s">
        <v>1583</v>
      </c>
      <c r="E35" s="297">
        <v>201800124</v>
      </c>
      <c r="F35" s="296" t="s">
        <v>1406</v>
      </c>
      <c r="G35" s="296" t="s">
        <v>1407</v>
      </c>
      <c r="H35" s="146"/>
      <c r="I35" s="146"/>
      <c r="J35" s="146"/>
      <c r="K35" s="146"/>
      <c r="L35" s="146"/>
      <c r="M35" s="146"/>
      <c r="N35" s="146"/>
      <c r="O35" s="146"/>
      <c r="P35" s="287">
        <f t="shared" si="1"/>
        <v>0</v>
      </c>
      <c r="Q35" s="146"/>
      <c r="R35" s="146"/>
      <c r="S35" s="146"/>
      <c r="T35" s="146"/>
      <c r="U35" s="146"/>
      <c r="V35" s="146"/>
      <c r="W35" s="146">
        <v>1</v>
      </c>
      <c r="X35" s="298">
        <v>43151</v>
      </c>
      <c r="Y35" s="273">
        <f t="shared" si="2"/>
        <v>1</v>
      </c>
      <c r="Z35" s="146"/>
      <c r="AA35" s="146"/>
      <c r="AB35" s="146"/>
      <c r="AC35" s="146"/>
      <c r="AD35" s="146"/>
      <c r="AE35" s="146"/>
      <c r="AF35" s="146"/>
      <c r="AG35" s="146"/>
      <c r="AH35" s="273">
        <f t="shared" si="4"/>
        <v>0</v>
      </c>
      <c r="AI35" s="146"/>
      <c r="AJ35" s="146" t="s">
        <v>2479</v>
      </c>
      <c r="AK35" s="146" t="s">
        <v>2479</v>
      </c>
      <c r="AL35" s="146"/>
      <c r="AM35" s="146"/>
      <c r="AN35" s="146"/>
      <c r="AO35" s="146"/>
      <c r="AP35" s="146"/>
      <c r="AQ35" s="146"/>
      <c r="AR35" s="146"/>
      <c r="AS35" s="146"/>
    </row>
    <row r="36" spans="1:132" s="75" customFormat="1" ht="12.75" x14ac:dyDescent="0.2">
      <c r="A36" s="146"/>
      <c r="B36" s="296" t="s">
        <v>1584</v>
      </c>
      <c r="C36" s="296" t="s">
        <v>1585</v>
      </c>
      <c r="D36" s="296" t="s">
        <v>1586</v>
      </c>
      <c r="E36" s="297">
        <v>201800127</v>
      </c>
      <c r="F36" s="296" t="s">
        <v>1406</v>
      </c>
      <c r="G36" s="296" t="s">
        <v>1407</v>
      </c>
      <c r="H36" s="146"/>
      <c r="I36" s="146"/>
      <c r="J36" s="146"/>
      <c r="K36" s="146"/>
      <c r="L36" s="146"/>
      <c r="M36" s="146"/>
      <c r="N36" s="146"/>
      <c r="O36" s="146"/>
      <c r="P36" s="287">
        <f t="shared" si="1"/>
        <v>0</v>
      </c>
      <c r="Q36" s="146"/>
      <c r="R36" s="146"/>
      <c r="S36" s="146"/>
      <c r="T36" s="146"/>
      <c r="U36" s="146"/>
      <c r="V36" s="146"/>
      <c r="W36" s="146">
        <v>1</v>
      </c>
      <c r="X36" s="298">
        <v>43151</v>
      </c>
      <c r="Y36" s="273">
        <f t="shared" si="2"/>
        <v>1</v>
      </c>
      <c r="Z36" s="146"/>
      <c r="AA36" s="146"/>
      <c r="AB36" s="146"/>
      <c r="AC36" s="146"/>
      <c r="AD36" s="146"/>
      <c r="AE36" s="146"/>
      <c r="AF36" s="146"/>
      <c r="AG36" s="146"/>
      <c r="AH36" s="273">
        <f t="shared" si="4"/>
        <v>0</v>
      </c>
      <c r="AI36" s="146"/>
      <c r="AJ36" s="146" t="s">
        <v>2479</v>
      </c>
      <c r="AK36" s="146" t="s">
        <v>2479</v>
      </c>
      <c r="AL36" s="146"/>
      <c r="AM36" s="146"/>
      <c r="AN36" s="146"/>
      <c r="AO36" s="146"/>
      <c r="AP36" s="146"/>
      <c r="AQ36" s="146"/>
      <c r="AR36" s="146"/>
      <c r="AS36" s="146"/>
    </row>
    <row r="37" spans="1:132" s="75" customFormat="1" ht="12.75" x14ac:dyDescent="0.2">
      <c r="A37" s="146"/>
      <c r="B37" s="296" t="s">
        <v>1587</v>
      </c>
      <c r="C37" s="296" t="s">
        <v>1588</v>
      </c>
      <c r="D37" s="296" t="s">
        <v>1589</v>
      </c>
      <c r="E37" s="297">
        <v>201800875</v>
      </c>
      <c r="F37" s="296" t="s">
        <v>1406</v>
      </c>
      <c r="G37" s="296" t="s">
        <v>1407</v>
      </c>
      <c r="H37" s="146"/>
      <c r="I37" s="146"/>
      <c r="J37" s="146"/>
      <c r="K37" s="146"/>
      <c r="L37" s="146"/>
      <c r="M37" s="146"/>
      <c r="N37" s="146"/>
      <c r="O37" s="146"/>
      <c r="P37" s="287">
        <f t="shared" si="1"/>
        <v>0</v>
      </c>
      <c r="Q37" s="146"/>
      <c r="R37" s="146"/>
      <c r="S37" s="146"/>
      <c r="T37" s="146"/>
      <c r="U37" s="146"/>
      <c r="V37" s="146"/>
      <c r="W37" s="146">
        <v>1</v>
      </c>
      <c r="X37" s="298">
        <v>43179</v>
      </c>
      <c r="Y37" s="273">
        <f t="shared" si="2"/>
        <v>1</v>
      </c>
      <c r="Z37" s="146"/>
      <c r="AA37" s="146"/>
      <c r="AB37" s="146"/>
      <c r="AC37" s="146"/>
      <c r="AD37" s="146"/>
      <c r="AE37" s="146"/>
      <c r="AF37" s="146"/>
      <c r="AG37" s="146"/>
      <c r="AH37" s="273">
        <f t="shared" si="4"/>
        <v>0</v>
      </c>
      <c r="AI37" s="146"/>
      <c r="AJ37" s="146" t="s">
        <v>2479</v>
      </c>
      <c r="AK37" s="146" t="s">
        <v>2479</v>
      </c>
      <c r="AL37" s="146"/>
      <c r="AM37" s="146"/>
      <c r="AN37" s="146"/>
      <c r="AO37" s="146"/>
      <c r="AP37" s="146"/>
      <c r="AQ37" s="146"/>
      <c r="AR37" s="146"/>
      <c r="AS37" s="146"/>
    </row>
    <row r="38" spans="1:132" s="75" customFormat="1" ht="12.75" x14ac:dyDescent="0.2">
      <c r="A38" s="146"/>
      <c r="B38" s="296" t="s">
        <v>1590</v>
      </c>
      <c r="C38" s="296" t="s">
        <v>1591</v>
      </c>
      <c r="D38" s="296" t="s">
        <v>1592</v>
      </c>
      <c r="E38" s="297">
        <v>201803836</v>
      </c>
      <c r="F38" s="296" t="s">
        <v>1406</v>
      </c>
      <c r="G38" s="296" t="s">
        <v>1407</v>
      </c>
      <c r="H38" s="146"/>
      <c r="I38" s="146"/>
      <c r="J38" s="146"/>
      <c r="K38" s="146"/>
      <c r="L38" s="146"/>
      <c r="M38" s="146"/>
      <c r="N38" s="146"/>
      <c r="O38" s="146"/>
      <c r="P38" s="287">
        <f t="shared" si="1"/>
        <v>0</v>
      </c>
      <c r="Q38" s="146"/>
      <c r="R38" s="146"/>
      <c r="S38" s="146"/>
      <c r="T38" s="146"/>
      <c r="U38" s="146"/>
      <c r="V38" s="146"/>
      <c r="W38" s="146">
        <v>1</v>
      </c>
      <c r="X38" s="298">
        <v>43355</v>
      </c>
      <c r="Y38" s="273">
        <f t="shared" si="2"/>
        <v>1</v>
      </c>
      <c r="Z38" s="146"/>
      <c r="AA38" s="146"/>
      <c r="AB38" s="146"/>
      <c r="AC38" s="146"/>
      <c r="AD38" s="146"/>
      <c r="AE38" s="146"/>
      <c r="AF38" s="146"/>
      <c r="AG38" s="146"/>
      <c r="AH38" s="273">
        <f t="shared" si="4"/>
        <v>0</v>
      </c>
      <c r="AI38" s="146"/>
      <c r="AJ38" s="146" t="s">
        <v>2479</v>
      </c>
      <c r="AK38" s="146" t="s">
        <v>2479</v>
      </c>
      <c r="AL38" s="146"/>
      <c r="AM38" s="146"/>
      <c r="AN38" s="146"/>
      <c r="AO38" s="146"/>
      <c r="AP38" s="146"/>
      <c r="AQ38" s="146"/>
      <c r="AR38" s="146"/>
      <c r="AS38" s="146"/>
    </row>
    <row r="39" spans="1:132" s="75" customFormat="1" ht="12.75" x14ac:dyDescent="0.2">
      <c r="A39" s="146"/>
      <c r="B39" s="296" t="s">
        <v>1593</v>
      </c>
      <c r="C39" s="296" t="s">
        <v>1594</v>
      </c>
      <c r="D39" s="296" t="s">
        <v>1595</v>
      </c>
      <c r="E39" s="297">
        <v>201803840</v>
      </c>
      <c r="F39" s="296" t="s">
        <v>1406</v>
      </c>
      <c r="G39" s="296" t="s">
        <v>1407</v>
      </c>
      <c r="H39" s="146"/>
      <c r="I39" s="146"/>
      <c r="J39" s="146"/>
      <c r="K39" s="146"/>
      <c r="L39" s="146"/>
      <c r="M39" s="146"/>
      <c r="N39" s="146"/>
      <c r="O39" s="146"/>
      <c r="P39" s="287">
        <f t="shared" si="1"/>
        <v>0</v>
      </c>
      <c r="Q39" s="146"/>
      <c r="R39" s="146"/>
      <c r="S39" s="146"/>
      <c r="T39" s="146"/>
      <c r="U39" s="146"/>
      <c r="V39" s="146"/>
      <c r="W39" s="146">
        <v>1</v>
      </c>
      <c r="X39" s="298">
        <v>43355</v>
      </c>
      <c r="Y39" s="273">
        <f t="shared" si="2"/>
        <v>1</v>
      </c>
      <c r="Z39" s="146"/>
      <c r="AA39" s="146"/>
      <c r="AB39" s="146"/>
      <c r="AC39" s="146"/>
      <c r="AD39" s="146"/>
      <c r="AE39" s="146"/>
      <c r="AF39" s="146"/>
      <c r="AG39" s="146"/>
      <c r="AH39" s="273">
        <f t="shared" si="4"/>
        <v>0</v>
      </c>
      <c r="AI39" s="146"/>
      <c r="AJ39" s="146" t="s">
        <v>2479</v>
      </c>
      <c r="AK39" s="146" t="s">
        <v>2479</v>
      </c>
      <c r="AL39" s="146"/>
      <c r="AM39" s="146"/>
      <c r="AN39" s="146"/>
      <c r="AO39" s="146"/>
      <c r="AP39" s="146"/>
      <c r="AQ39" s="146"/>
      <c r="AR39" s="146"/>
      <c r="AS39" s="146"/>
    </row>
    <row r="40" spans="1:132" s="75" customFormat="1" ht="12.75" x14ac:dyDescent="0.2">
      <c r="A40" s="146"/>
      <c r="B40" s="296" t="s">
        <v>1596</v>
      </c>
      <c r="C40" s="296" t="s">
        <v>1597</v>
      </c>
      <c r="D40" s="296" t="s">
        <v>1598</v>
      </c>
      <c r="E40" s="297">
        <v>201803841</v>
      </c>
      <c r="F40" s="296" t="s">
        <v>1406</v>
      </c>
      <c r="G40" s="296" t="s">
        <v>1407</v>
      </c>
      <c r="H40" s="146"/>
      <c r="I40" s="146"/>
      <c r="J40" s="146"/>
      <c r="K40" s="146"/>
      <c r="L40" s="146"/>
      <c r="M40" s="146"/>
      <c r="N40" s="146"/>
      <c r="O40" s="146"/>
      <c r="P40" s="287">
        <f t="shared" si="1"/>
        <v>0</v>
      </c>
      <c r="Q40" s="146"/>
      <c r="R40" s="146"/>
      <c r="S40" s="146"/>
      <c r="T40" s="146"/>
      <c r="U40" s="146"/>
      <c r="V40" s="146"/>
      <c r="W40" s="146">
        <v>1</v>
      </c>
      <c r="X40" s="298">
        <v>43355</v>
      </c>
      <c r="Y40" s="273">
        <f t="shared" si="2"/>
        <v>1</v>
      </c>
      <c r="Z40" s="146"/>
      <c r="AA40" s="146"/>
      <c r="AB40" s="146"/>
      <c r="AC40" s="146"/>
      <c r="AD40" s="146"/>
      <c r="AE40" s="146"/>
      <c r="AF40" s="146"/>
      <c r="AG40" s="146"/>
      <c r="AH40" s="273">
        <f t="shared" si="4"/>
        <v>0</v>
      </c>
      <c r="AI40" s="146"/>
      <c r="AJ40" s="146" t="s">
        <v>2479</v>
      </c>
      <c r="AK40" s="146" t="s">
        <v>2479</v>
      </c>
      <c r="AL40" s="146"/>
      <c r="AM40" s="146"/>
      <c r="AN40" s="146"/>
      <c r="AO40" s="146"/>
      <c r="AP40" s="146"/>
      <c r="AQ40" s="146"/>
      <c r="AR40" s="146"/>
      <c r="AS40" s="146"/>
    </row>
    <row r="41" spans="1:132" s="75" customFormat="1" ht="12.75" x14ac:dyDescent="0.2">
      <c r="A41" s="146"/>
      <c r="B41" s="296" t="s">
        <v>1599</v>
      </c>
      <c r="C41" s="296" t="s">
        <v>1600</v>
      </c>
      <c r="D41" s="296" t="s">
        <v>1601</v>
      </c>
      <c r="E41" s="297">
        <v>201804855</v>
      </c>
      <c r="F41" s="296" t="s">
        <v>1406</v>
      </c>
      <c r="G41" s="296" t="s">
        <v>1407</v>
      </c>
      <c r="H41" s="146"/>
      <c r="I41" s="146"/>
      <c r="J41" s="146"/>
      <c r="K41" s="146"/>
      <c r="L41" s="146"/>
      <c r="M41" s="146"/>
      <c r="N41" s="146"/>
      <c r="O41" s="146"/>
      <c r="P41" s="287">
        <f t="shared" si="1"/>
        <v>0</v>
      </c>
      <c r="Q41" s="146"/>
      <c r="R41" s="146"/>
      <c r="S41" s="146"/>
      <c r="T41" s="146"/>
      <c r="U41" s="146"/>
      <c r="V41" s="146"/>
      <c r="W41" s="146">
        <v>1</v>
      </c>
      <c r="X41" s="298">
        <v>43430</v>
      </c>
      <c r="Y41" s="273">
        <f t="shared" si="2"/>
        <v>1</v>
      </c>
      <c r="Z41" s="146"/>
      <c r="AA41" s="146"/>
      <c r="AB41" s="146"/>
      <c r="AC41" s="146"/>
      <c r="AD41" s="146"/>
      <c r="AE41" s="146"/>
      <c r="AF41" s="146"/>
      <c r="AG41" s="146"/>
      <c r="AH41" s="273">
        <f t="shared" si="4"/>
        <v>0</v>
      </c>
      <c r="AI41" s="146"/>
      <c r="AJ41" s="146" t="s">
        <v>2479</v>
      </c>
      <c r="AK41" s="146" t="s">
        <v>2479</v>
      </c>
      <c r="AL41" s="146"/>
      <c r="AM41" s="146"/>
      <c r="AN41" s="146"/>
      <c r="AO41" s="146"/>
      <c r="AP41" s="146"/>
      <c r="AQ41" s="146"/>
      <c r="AR41" s="146"/>
      <c r="AS41" s="146"/>
    </row>
    <row r="42" spans="1:132" s="75" customFormat="1" ht="12.75" x14ac:dyDescent="0.2">
      <c r="A42" s="146"/>
      <c r="B42" s="296" t="s">
        <v>1602</v>
      </c>
      <c r="C42" s="296" t="s">
        <v>1603</v>
      </c>
      <c r="D42" s="296" t="s">
        <v>1604</v>
      </c>
      <c r="E42" s="297">
        <v>201804864</v>
      </c>
      <c r="F42" s="296" t="s">
        <v>1406</v>
      </c>
      <c r="G42" s="296" t="s">
        <v>1407</v>
      </c>
      <c r="H42" s="146"/>
      <c r="I42" s="146"/>
      <c r="J42" s="146"/>
      <c r="K42" s="146"/>
      <c r="L42" s="146"/>
      <c r="M42" s="146"/>
      <c r="N42" s="146"/>
      <c r="O42" s="146"/>
      <c r="P42" s="287">
        <f t="shared" si="1"/>
        <v>0</v>
      </c>
      <c r="Q42" s="146"/>
      <c r="R42" s="146"/>
      <c r="S42" s="146"/>
      <c r="T42" s="146"/>
      <c r="U42" s="146"/>
      <c r="V42" s="146"/>
      <c r="W42" s="146">
        <v>1</v>
      </c>
      <c r="X42" s="298">
        <v>43430</v>
      </c>
      <c r="Y42" s="273">
        <f t="shared" si="2"/>
        <v>1</v>
      </c>
      <c r="Z42" s="146"/>
      <c r="AA42" s="146"/>
      <c r="AB42" s="146"/>
      <c r="AC42" s="146"/>
      <c r="AD42" s="146"/>
      <c r="AE42" s="146"/>
      <c r="AF42" s="146"/>
      <c r="AG42" s="146"/>
      <c r="AH42" s="273">
        <f t="shared" si="4"/>
        <v>0</v>
      </c>
      <c r="AI42" s="146"/>
      <c r="AJ42" s="146" t="s">
        <v>2479</v>
      </c>
      <c r="AK42" s="146" t="s">
        <v>2479</v>
      </c>
      <c r="AL42" s="146"/>
      <c r="AM42" s="146"/>
      <c r="AN42" s="146"/>
      <c r="AO42" s="146"/>
      <c r="AP42" s="146"/>
      <c r="AQ42" s="146"/>
      <c r="AR42" s="146"/>
      <c r="AS42" s="146"/>
    </row>
    <row r="43" spans="1:132" s="75" customFormat="1" ht="12.75" x14ac:dyDescent="0.2">
      <c r="A43" s="146"/>
      <c r="B43" s="296" t="s">
        <v>1605</v>
      </c>
      <c r="C43" s="296" t="s">
        <v>1606</v>
      </c>
      <c r="D43" s="296" t="s">
        <v>1607</v>
      </c>
      <c r="E43" s="297">
        <v>201804865</v>
      </c>
      <c r="F43" s="296" t="s">
        <v>1406</v>
      </c>
      <c r="G43" s="296" t="s">
        <v>1407</v>
      </c>
      <c r="H43" s="146"/>
      <c r="I43" s="146"/>
      <c r="J43" s="146"/>
      <c r="K43" s="146"/>
      <c r="L43" s="146"/>
      <c r="M43" s="146"/>
      <c r="N43" s="146"/>
      <c r="O43" s="146"/>
      <c r="P43" s="287">
        <f t="shared" si="1"/>
        <v>0</v>
      </c>
      <c r="Q43" s="146"/>
      <c r="R43" s="146"/>
      <c r="S43" s="146"/>
      <c r="T43" s="146"/>
      <c r="U43" s="146"/>
      <c r="V43" s="146"/>
      <c r="W43" s="146">
        <v>1</v>
      </c>
      <c r="X43" s="298">
        <v>43430</v>
      </c>
      <c r="Y43" s="273">
        <f t="shared" si="2"/>
        <v>1</v>
      </c>
      <c r="Z43" s="146"/>
      <c r="AA43" s="146"/>
      <c r="AB43" s="146"/>
      <c r="AC43" s="146"/>
      <c r="AD43" s="146"/>
      <c r="AE43" s="146"/>
      <c r="AF43" s="146"/>
      <c r="AG43" s="146"/>
      <c r="AH43" s="273">
        <f t="shared" si="4"/>
        <v>0</v>
      </c>
      <c r="AI43" s="146"/>
      <c r="AJ43" s="146" t="s">
        <v>2479</v>
      </c>
      <c r="AK43" s="146" t="s">
        <v>2479</v>
      </c>
      <c r="AL43" s="146"/>
      <c r="AM43" s="146"/>
      <c r="AN43" s="146"/>
      <c r="AO43" s="146"/>
      <c r="AP43" s="146"/>
      <c r="AQ43" s="146"/>
      <c r="AR43" s="146"/>
      <c r="AS43" s="146"/>
    </row>
    <row r="44" spans="1:132" s="75" customFormat="1" ht="12.75" x14ac:dyDescent="0.2">
      <c r="A44" s="146"/>
      <c r="B44" s="296" t="s">
        <v>1608</v>
      </c>
      <c r="C44" s="296" t="s">
        <v>1609</v>
      </c>
      <c r="D44" s="296" t="s">
        <v>1610</v>
      </c>
      <c r="E44" s="297">
        <v>201804866</v>
      </c>
      <c r="F44" s="296" t="s">
        <v>1406</v>
      </c>
      <c r="G44" s="296" t="s">
        <v>1407</v>
      </c>
      <c r="H44" s="146"/>
      <c r="I44" s="146"/>
      <c r="J44" s="146"/>
      <c r="K44" s="146"/>
      <c r="L44" s="146"/>
      <c r="M44" s="146"/>
      <c r="N44" s="146"/>
      <c r="O44" s="146"/>
      <c r="P44" s="287">
        <f t="shared" si="1"/>
        <v>0</v>
      </c>
      <c r="Q44" s="146"/>
      <c r="R44" s="146"/>
      <c r="S44" s="146"/>
      <c r="T44" s="146"/>
      <c r="U44" s="146"/>
      <c r="V44" s="146"/>
      <c r="W44" s="146">
        <v>1</v>
      </c>
      <c r="X44" s="298">
        <v>43430</v>
      </c>
      <c r="Y44" s="273">
        <f t="shared" si="2"/>
        <v>1</v>
      </c>
      <c r="Z44" s="146"/>
      <c r="AA44" s="146"/>
      <c r="AB44" s="146"/>
      <c r="AC44" s="146"/>
      <c r="AD44" s="146"/>
      <c r="AE44" s="146"/>
      <c r="AF44" s="146"/>
      <c r="AG44" s="146"/>
      <c r="AH44" s="273">
        <f t="shared" si="4"/>
        <v>0</v>
      </c>
      <c r="AI44" s="146"/>
      <c r="AJ44" s="146" t="s">
        <v>2479</v>
      </c>
      <c r="AK44" s="146" t="s">
        <v>2479</v>
      </c>
      <c r="AL44" s="146"/>
      <c r="AM44" s="146"/>
      <c r="AN44" s="146"/>
      <c r="AO44" s="146"/>
      <c r="AP44" s="146"/>
      <c r="AQ44" s="146"/>
      <c r="AR44" s="146"/>
      <c r="AS44" s="146"/>
    </row>
    <row r="45" spans="1:132" s="75" customFormat="1" ht="12.75" x14ac:dyDescent="0.2">
      <c r="A45" s="146"/>
      <c r="B45" s="296" t="s">
        <v>1611</v>
      </c>
      <c r="C45" s="296" t="s">
        <v>1612</v>
      </c>
      <c r="D45" s="296" t="s">
        <v>1613</v>
      </c>
      <c r="E45" s="297">
        <v>201804867</v>
      </c>
      <c r="F45" s="296" t="s">
        <v>1406</v>
      </c>
      <c r="G45" s="296" t="s">
        <v>1407</v>
      </c>
      <c r="H45" s="146"/>
      <c r="I45" s="146"/>
      <c r="J45" s="146"/>
      <c r="K45" s="146"/>
      <c r="L45" s="146"/>
      <c r="M45" s="146"/>
      <c r="N45" s="146"/>
      <c r="O45" s="146"/>
      <c r="P45" s="287">
        <f t="shared" si="1"/>
        <v>0</v>
      </c>
      <c r="Q45" s="146"/>
      <c r="R45" s="146"/>
      <c r="S45" s="146"/>
      <c r="T45" s="146"/>
      <c r="U45" s="146"/>
      <c r="V45" s="146"/>
      <c r="W45" s="146">
        <v>1</v>
      </c>
      <c r="X45" s="298">
        <v>43430</v>
      </c>
      <c r="Y45" s="273">
        <f t="shared" si="2"/>
        <v>1</v>
      </c>
      <c r="Z45" s="146"/>
      <c r="AA45" s="146"/>
      <c r="AB45" s="146"/>
      <c r="AC45" s="146"/>
      <c r="AD45" s="146"/>
      <c r="AE45" s="146"/>
      <c r="AF45" s="146"/>
      <c r="AG45" s="146"/>
      <c r="AH45" s="273">
        <f t="shared" si="4"/>
        <v>0</v>
      </c>
      <c r="AI45" s="146"/>
      <c r="AJ45" s="146" t="s">
        <v>2479</v>
      </c>
      <c r="AK45" s="146" t="s">
        <v>2479</v>
      </c>
      <c r="AL45" s="146"/>
      <c r="AM45" s="146"/>
      <c r="AN45" s="146"/>
      <c r="AO45" s="146"/>
      <c r="AP45" s="146"/>
      <c r="AQ45" s="146"/>
      <c r="AR45" s="146"/>
      <c r="AS45" s="146"/>
    </row>
    <row r="46" spans="1:132" s="75" customFormat="1" ht="12.75" x14ac:dyDescent="0.2">
      <c r="A46" s="146"/>
      <c r="B46" s="296" t="s">
        <v>1614</v>
      </c>
      <c r="C46" s="296" t="s">
        <v>1615</v>
      </c>
      <c r="D46" s="296" t="s">
        <v>1616</v>
      </c>
      <c r="E46" s="297">
        <v>201803843</v>
      </c>
      <c r="F46" s="296" t="s">
        <v>1406</v>
      </c>
      <c r="G46" s="296" t="s">
        <v>1407</v>
      </c>
      <c r="H46" s="146"/>
      <c r="I46" s="146"/>
      <c r="J46" s="146"/>
      <c r="K46" s="146"/>
      <c r="L46" s="146"/>
      <c r="M46" s="146"/>
      <c r="N46" s="146"/>
      <c r="O46" s="146"/>
      <c r="P46" s="287">
        <f t="shared" si="1"/>
        <v>0</v>
      </c>
      <c r="Q46" s="146"/>
      <c r="R46" s="146"/>
      <c r="S46" s="146"/>
      <c r="T46" s="146"/>
      <c r="U46" s="146"/>
      <c r="V46" s="146"/>
      <c r="W46" s="146">
        <v>1</v>
      </c>
      <c r="X46" s="298">
        <v>43355</v>
      </c>
      <c r="Y46" s="273">
        <f t="shared" si="2"/>
        <v>1</v>
      </c>
      <c r="Z46" s="146"/>
      <c r="AA46" s="146"/>
      <c r="AB46" s="146"/>
      <c r="AC46" s="146"/>
      <c r="AD46" s="146"/>
      <c r="AE46" s="146"/>
      <c r="AF46" s="146"/>
      <c r="AG46" s="146"/>
      <c r="AH46" s="273">
        <f t="shared" si="4"/>
        <v>0</v>
      </c>
      <c r="AI46" s="146"/>
      <c r="AJ46" s="146" t="s">
        <v>2479</v>
      </c>
      <c r="AK46" s="146" t="s">
        <v>2479</v>
      </c>
      <c r="AL46" s="146"/>
      <c r="AM46" s="146"/>
      <c r="AN46" s="146"/>
      <c r="AO46" s="146"/>
      <c r="AP46" s="146"/>
      <c r="AQ46" s="146"/>
      <c r="AR46" s="146"/>
      <c r="AS46" s="146"/>
    </row>
    <row r="47" spans="1:132" s="75" customFormat="1" ht="12.75" x14ac:dyDescent="0.2">
      <c r="A47" s="146"/>
      <c r="B47" s="296" t="s">
        <v>1617</v>
      </c>
      <c r="C47" s="296" t="s">
        <v>1618</v>
      </c>
      <c r="D47" s="296" t="s">
        <v>1619</v>
      </c>
      <c r="E47" s="297">
        <v>201803844</v>
      </c>
      <c r="F47" s="296" t="s">
        <v>1406</v>
      </c>
      <c r="G47" s="296" t="s">
        <v>1407</v>
      </c>
      <c r="H47" s="146"/>
      <c r="I47" s="146"/>
      <c r="J47" s="146"/>
      <c r="K47" s="146"/>
      <c r="L47" s="146"/>
      <c r="M47" s="146"/>
      <c r="N47" s="146"/>
      <c r="O47" s="146"/>
      <c r="P47" s="287">
        <f t="shared" si="1"/>
        <v>0</v>
      </c>
      <c r="Q47" s="146"/>
      <c r="R47" s="146"/>
      <c r="S47" s="146"/>
      <c r="T47" s="146"/>
      <c r="U47" s="146"/>
      <c r="V47" s="146"/>
      <c r="W47" s="146">
        <v>1</v>
      </c>
      <c r="X47" s="298">
        <v>43355</v>
      </c>
      <c r="Y47" s="273">
        <f t="shared" si="2"/>
        <v>1</v>
      </c>
      <c r="Z47" s="146"/>
      <c r="AA47" s="146"/>
      <c r="AB47" s="146"/>
      <c r="AC47" s="146"/>
      <c r="AD47" s="146"/>
      <c r="AE47" s="146"/>
      <c r="AF47" s="146"/>
      <c r="AG47" s="146"/>
      <c r="AH47" s="273">
        <f t="shared" si="4"/>
        <v>0</v>
      </c>
      <c r="AI47" s="146"/>
      <c r="AJ47" s="146" t="s">
        <v>2479</v>
      </c>
      <c r="AK47" s="146" t="s">
        <v>2479</v>
      </c>
      <c r="AL47" s="146"/>
      <c r="AM47" s="146"/>
      <c r="AN47" s="146"/>
      <c r="AO47" s="146"/>
      <c r="AP47" s="146"/>
      <c r="AQ47" s="146"/>
      <c r="AR47" s="146"/>
      <c r="AS47" s="146"/>
    </row>
    <row r="48" spans="1:132" s="222" customFormat="1" x14ac:dyDescent="0.2">
      <c r="A48" s="146"/>
      <c r="B48" s="296" t="s">
        <v>1620</v>
      </c>
      <c r="C48" s="296" t="s">
        <v>1621</v>
      </c>
      <c r="D48" s="296" t="s">
        <v>1622</v>
      </c>
      <c r="E48" s="297">
        <v>201803846</v>
      </c>
      <c r="F48" s="296" t="s">
        <v>1406</v>
      </c>
      <c r="G48" s="296" t="s">
        <v>1407</v>
      </c>
      <c r="H48" s="146"/>
      <c r="I48" s="146"/>
      <c r="J48" s="146"/>
      <c r="K48" s="146"/>
      <c r="L48" s="146"/>
      <c r="M48" s="146"/>
      <c r="N48" s="146"/>
      <c r="O48" s="146"/>
      <c r="P48" s="287">
        <f t="shared" si="1"/>
        <v>0</v>
      </c>
      <c r="Q48" s="146"/>
      <c r="R48" s="146"/>
      <c r="S48" s="146"/>
      <c r="T48" s="146"/>
      <c r="U48" s="146"/>
      <c r="V48" s="146"/>
      <c r="W48" s="146">
        <v>1</v>
      </c>
      <c r="X48" s="298">
        <v>43355</v>
      </c>
      <c r="Y48" s="273">
        <f t="shared" si="2"/>
        <v>1</v>
      </c>
      <c r="Z48" s="146"/>
      <c r="AA48" s="146"/>
      <c r="AB48" s="146"/>
      <c r="AC48" s="146"/>
      <c r="AD48" s="146"/>
      <c r="AE48" s="146"/>
      <c r="AF48" s="146"/>
      <c r="AG48" s="146"/>
      <c r="AH48" s="273">
        <f t="shared" si="4"/>
        <v>0</v>
      </c>
      <c r="AI48" s="146"/>
      <c r="AJ48" s="146" t="s">
        <v>2479</v>
      </c>
      <c r="AK48" s="146" t="s">
        <v>2479</v>
      </c>
      <c r="AL48" s="146"/>
      <c r="AM48" s="146"/>
      <c r="AN48" s="146"/>
      <c r="AO48" s="146"/>
      <c r="AP48" s="146"/>
      <c r="AQ48" s="146"/>
      <c r="AR48" s="146"/>
      <c r="AS48" s="146"/>
    </row>
    <row r="49" spans="1:45" s="222" customFormat="1" x14ac:dyDescent="0.2">
      <c r="A49" s="146"/>
      <c r="B49" s="296" t="s">
        <v>1623</v>
      </c>
      <c r="C49" s="296" t="s">
        <v>1624</v>
      </c>
      <c r="D49" s="296" t="s">
        <v>1625</v>
      </c>
      <c r="E49" s="297">
        <v>201803847</v>
      </c>
      <c r="F49" s="296" t="s">
        <v>1406</v>
      </c>
      <c r="G49" s="296" t="s">
        <v>1407</v>
      </c>
      <c r="H49" s="146"/>
      <c r="I49" s="146"/>
      <c r="J49" s="146"/>
      <c r="K49" s="146"/>
      <c r="L49" s="146"/>
      <c r="M49" s="146"/>
      <c r="N49" s="146"/>
      <c r="O49" s="146"/>
      <c r="P49" s="287">
        <f t="shared" si="1"/>
        <v>0</v>
      </c>
      <c r="Q49" s="146"/>
      <c r="R49" s="146"/>
      <c r="S49" s="146"/>
      <c r="T49" s="146"/>
      <c r="U49" s="146"/>
      <c r="V49" s="146"/>
      <c r="W49" s="146">
        <v>1</v>
      </c>
      <c r="X49" s="298">
        <v>43355</v>
      </c>
      <c r="Y49" s="273">
        <f t="shared" si="2"/>
        <v>1</v>
      </c>
      <c r="Z49" s="146"/>
      <c r="AA49" s="146"/>
      <c r="AB49" s="146"/>
      <c r="AC49" s="146"/>
      <c r="AD49" s="146"/>
      <c r="AE49" s="146"/>
      <c r="AF49" s="146"/>
      <c r="AG49" s="146"/>
      <c r="AH49" s="273">
        <f t="shared" si="4"/>
        <v>0</v>
      </c>
      <c r="AI49" s="146"/>
      <c r="AJ49" s="146" t="s">
        <v>2479</v>
      </c>
      <c r="AK49" s="146" t="s">
        <v>2479</v>
      </c>
      <c r="AL49" s="146"/>
      <c r="AM49" s="146"/>
      <c r="AN49" s="146"/>
      <c r="AO49" s="146"/>
      <c r="AP49" s="146"/>
      <c r="AQ49" s="146"/>
      <c r="AR49" s="146"/>
      <c r="AS49" s="146"/>
    </row>
    <row r="50" spans="1:45" s="74" customFormat="1" ht="15.75" x14ac:dyDescent="0.25">
      <c r="A50" s="146"/>
      <c r="B50" s="296" t="s">
        <v>1626</v>
      </c>
      <c r="C50" s="296" t="s">
        <v>1627</v>
      </c>
      <c r="D50" s="296" t="s">
        <v>1628</v>
      </c>
      <c r="E50" s="297">
        <v>201803848</v>
      </c>
      <c r="F50" s="296" t="s">
        <v>1406</v>
      </c>
      <c r="G50" s="296" t="s">
        <v>1407</v>
      </c>
      <c r="H50" s="146"/>
      <c r="I50" s="146"/>
      <c r="J50" s="146"/>
      <c r="K50" s="146"/>
      <c r="L50" s="146"/>
      <c r="M50" s="146"/>
      <c r="N50" s="146"/>
      <c r="O50" s="146"/>
      <c r="P50" s="287">
        <f t="shared" si="1"/>
        <v>0</v>
      </c>
      <c r="Q50" s="146"/>
      <c r="R50" s="146"/>
      <c r="S50" s="146"/>
      <c r="T50" s="146"/>
      <c r="U50" s="146"/>
      <c r="V50" s="146"/>
      <c r="W50" s="146">
        <v>1</v>
      </c>
      <c r="X50" s="298">
        <v>43355</v>
      </c>
      <c r="Y50" s="273">
        <f t="shared" si="2"/>
        <v>1</v>
      </c>
      <c r="Z50" s="146"/>
      <c r="AA50" s="146"/>
      <c r="AB50" s="146"/>
      <c r="AC50" s="146"/>
      <c r="AD50" s="146"/>
      <c r="AE50" s="146"/>
      <c r="AF50" s="146"/>
      <c r="AG50" s="146"/>
      <c r="AH50" s="273">
        <f t="shared" si="4"/>
        <v>0</v>
      </c>
      <c r="AI50" s="146"/>
      <c r="AJ50" s="146" t="s">
        <v>2479</v>
      </c>
      <c r="AK50" s="146" t="s">
        <v>2479</v>
      </c>
      <c r="AL50" s="146"/>
      <c r="AM50" s="146"/>
      <c r="AN50" s="146"/>
      <c r="AO50" s="146"/>
      <c r="AP50" s="146"/>
      <c r="AQ50" s="146"/>
      <c r="AR50" s="146"/>
      <c r="AS50" s="146"/>
    </row>
    <row r="51" spans="1:45" s="74" customFormat="1" ht="15.75" x14ac:dyDescent="0.25">
      <c r="A51" s="146"/>
      <c r="B51" s="296" t="s">
        <v>1629</v>
      </c>
      <c r="C51" s="296" t="s">
        <v>1630</v>
      </c>
      <c r="D51" s="296" t="s">
        <v>1631</v>
      </c>
      <c r="E51" s="297">
        <v>201802632</v>
      </c>
      <c r="F51" s="296" t="s">
        <v>1406</v>
      </c>
      <c r="G51" s="296" t="s">
        <v>1407</v>
      </c>
      <c r="H51" s="146"/>
      <c r="I51" s="146"/>
      <c r="J51" s="146"/>
      <c r="K51" s="146"/>
      <c r="L51" s="146"/>
      <c r="M51" s="146"/>
      <c r="N51" s="146"/>
      <c r="O51" s="146"/>
      <c r="P51" s="287">
        <f t="shared" si="1"/>
        <v>0</v>
      </c>
      <c r="Q51" s="146"/>
      <c r="R51" s="146"/>
      <c r="S51" s="146"/>
      <c r="T51" s="146"/>
      <c r="U51" s="146"/>
      <c r="V51" s="146"/>
      <c r="W51" s="146">
        <v>1</v>
      </c>
      <c r="X51" s="298">
        <v>43265</v>
      </c>
      <c r="Y51" s="273">
        <f t="shared" si="2"/>
        <v>1</v>
      </c>
      <c r="Z51" s="146"/>
      <c r="AA51" s="146"/>
      <c r="AB51" s="146"/>
      <c r="AC51" s="146"/>
      <c r="AD51" s="146"/>
      <c r="AE51" s="146"/>
      <c r="AF51" s="146"/>
      <c r="AG51" s="146"/>
      <c r="AH51" s="273">
        <f t="shared" si="4"/>
        <v>0</v>
      </c>
      <c r="AI51" s="146"/>
      <c r="AJ51" s="146" t="s">
        <v>2479</v>
      </c>
      <c r="AK51" s="146" t="s">
        <v>2479</v>
      </c>
      <c r="AL51" s="146"/>
      <c r="AM51" s="146"/>
      <c r="AN51" s="146"/>
      <c r="AO51" s="146"/>
      <c r="AP51" s="146"/>
      <c r="AQ51" s="146"/>
      <c r="AR51" s="146"/>
      <c r="AS51" s="146"/>
    </row>
    <row r="52" spans="1:45" s="222" customFormat="1" x14ac:dyDescent="0.2">
      <c r="A52" s="146"/>
      <c r="B52" s="296" t="s">
        <v>1632</v>
      </c>
      <c r="C52" s="296" t="s">
        <v>1633</v>
      </c>
      <c r="D52" s="296" t="s">
        <v>1634</v>
      </c>
      <c r="E52" s="297">
        <v>201802621</v>
      </c>
      <c r="F52" s="296" t="s">
        <v>1406</v>
      </c>
      <c r="G52" s="296" t="s">
        <v>1407</v>
      </c>
      <c r="H52" s="146"/>
      <c r="I52" s="146"/>
      <c r="J52" s="146"/>
      <c r="K52" s="146"/>
      <c r="L52" s="146"/>
      <c r="M52" s="146"/>
      <c r="N52" s="146"/>
      <c r="O52" s="146"/>
      <c r="P52" s="287">
        <f t="shared" si="1"/>
        <v>0</v>
      </c>
      <c r="Q52" s="146"/>
      <c r="R52" s="146"/>
      <c r="S52" s="146"/>
      <c r="T52" s="146"/>
      <c r="U52" s="146"/>
      <c r="V52" s="146"/>
      <c r="W52" s="146">
        <v>1</v>
      </c>
      <c r="X52" s="298">
        <v>43265</v>
      </c>
      <c r="Y52" s="273">
        <f t="shared" si="2"/>
        <v>1</v>
      </c>
      <c r="Z52" s="146"/>
      <c r="AA52" s="146"/>
      <c r="AB52" s="146"/>
      <c r="AC52" s="146"/>
      <c r="AD52" s="146"/>
      <c r="AE52" s="146"/>
      <c r="AF52" s="146"/>
      <c r="AG52" s="146"/>
      <c r="AH52" s="273">
        <f t="shared" si="4"/>
        <v>0</v>
      </c>
      <c r="AI52" s="146"/>
      <c r="AJ52" s="146" t="s">
        <v>2479</v>
      </c>
      <c r="AK52" s="146" t="s">
        <v>2479</v>
      </c>
      <c r="AL52" s="146"/>
      <c r="AM52" s="146"/>
      <c r="AN52" s="146"/>
      <c r="AO52" s="146"/>
      <c r="AP52" s="146"/>
      <c r="AQ52" s="146"/>
      <c r="AR52" s="146"/>
      <c r="AS52" s="146"/>
    </row>
    <row r="53" spans="1:45" s="76" customFormat="1" ht="12.75" x14ac:dyDescent="0.2">
      <c r="A53" s="146"/>
      <c r="B53" s="296" t="s">
        <v>1635</v>
      </c>
      <c r="C53" s="296" t="s">
        <v>1636</v>
      </c>
      <c r="D53" s="296" t="s">
        <v>1637</v>
      </c>
      <c r="E53" s="297">
        <v>201801955</v>
      </c>
      <c r="F53" s="296" t="s">
        <v>1406</v>
      </c>
      <c r="G53" s="296" t="s">
        <v>1407</v>
      </c>
      <c r="H53" s="146"/>
      <c r="I53" s="146"/>
      <c r="J53" s="146"/>
      <c r="K53" s="146"/>
      <c r="L53" s="146"/>
      <c r="M53" s="146"/>
      <c r="N53" s="146"/>
      <c r="O53" s="146"/>
      <c r="P53" s="287">
        <f t="shared" si="1"/>
        <v>0</v>
      </c>
      <c r="Q53" s="146"/>
      <c r="R53" s="146"/>
      <c r="S53" s="146"/>
      <c r="T53" s="146"/>
      <c r="U53" s="146"/>
      <c r="V53" s="146"/>
      <c r="W53" s="146">
        <v>1</v>
      </c>
      <c r="X53" s="298">
        <v>43228</v>
      </c>
      <c r="Y53" s="273">
        <f t="shared" si="2"/>
        <v>1</v>
      </c>
      <c r="Z53" s="146"/>
      <c r="AA53" s="146"/>
      <c r="AB53" s="146"/>
      <c r="AC53" s="146"/>
      <c r="AD53" s="146"/>
      <c r="AE53" s="146"/>
      <c r="AF53" s="146"/>
      <c r="AG53" s="146"/>
      <c r="AH53" s="273">
        <f t="shared" si="4"/>
        <v>0</v>
      </c>
      <c r="AI53" s="146"/>
      <c r="AJ53" s="146" t="s">
        <v>2479</v>
      </c>
      <c r="AK53" s="146" t="s">
        <v>2479</v>
      </c>
      <c r="AL53" s="146"/>
      <c r="AM53" s="146"/>
      <c r="AN53" s="146"/>
      <c r="AO53" s="146"/>
      <c r="AP53" s="146"/>
      <c r="AQ53" s="146"/>
      <c r="AR53" s="146"/>
      <c r="AS53" s="146"/>
    </row>
    <row r="54" spans="1:45" s="76" customFormat="1" ht="12.75" x14ac:dyDescent="0.2">
      <c r="A54" s="146"/>
      <c r="B54" s="296" t="s">
        <v>1638</v>
      </c>
      <c r="C54" s="296" t="s">
        <v>1639</v>
      </c>
      <c r="D54" s="296" t="s">
        <v>1640</v>
      </c>
      <c r="E54" s="297">
        <v>201804868</v>
      </c>
      <c r="F54" s="296" t="s">
        <v>1406</v>
      </c>
      <c r="G54" s="296" t="s">
        <v>1407</v>
      </c>
      <c r="H54" s="146"/>
      <c r="I54" s="146"/>
      <c r="J54" s="146"/>
      <c r="K54" s="146"/>
      <c r="L54" s="146"/>
      <c r="M54" s="146"/>
      <c r="N54" s="146"/>
      <c r="O54" s="146"/>
      <c r="P54" s="287">
        <f t="shared" si="1"/>
        <v>0</v>
      </c>
      <c r="Q54" s="146"/>
      <c r="R54" s="146"/>
      <c r="S54" s="146"/>
      <c r="T54" s="146"/>
      <c r="U54" s="146"/>
      <c r="V54" s="146"/>
      <c r="W54" s="146">
        <v>1</v>
      </c>
      <c r="X54" s="298">
        <v>43430</v>
      </c>
      <c r="Y54" s="273">
        <f t="shared" si="2"/>
        <v>1</v>
      </c>
      <c r="Z54" s="146"/>
      <c r="AA54" s="146"/>
      <c r="AB54" s="146"/>
      <c r="AC54" s="146"/>
      <c r="AD54" s="146"/>
      <c r="AE54" s="146"/>
      <c r="AF54" s="146"/>
      <c r="AG54" s="146"/>
      <c r="AH54" s="273">
        <f t="shared" si="4"/>
        <v>0</v>
      </c>
      <c r="AI54" s="146"/>
      <c r="AJ54" s="146" t="s">
        <v>2479</v>
      </c>
      <c r="AK54" s="146" t="s">
        <v>2479</v>
      </c>
      <c r="AL54" s="146"/>
      <c r="AM54" s="146"/>
      <c r="AN54" s="146"/>
      <c r="AO54" s="146"/>
      <c r="AP54" s="146"/>
      <c r="AQ54" s="146"/>
      <c r="AR54" s="146"/>
      <c r="AS54" s="146"/>
    </row>
    <row r="55" spans="1:45" s="222" customFormat="1" x14ac:dyDescent="0.2">
      <c r="A55" s="146"/>
      <c r="B55" s="296" t="s">
        <v>1641</v>
      </c>
      <c r="C55" s="296" t="s">
        <v>1642</v>
      </c>
      <c r="D55" s="296" t="s">
        <v>1643</v>
      </c>
      <c r="E55" s="297">
        <v>201804869</v>
      </c>
      <c r="F55" s="296" t="s">
        <v>1406</v>
      </c>
      <c r="G55" s="296" t="s">
        <v>1407</v>
      </c>
      <c r="H55" s="146"/>
      <c r="I55" s="146"/>
      <c r="J55" s="146"/>
      <c r="K55" s="146"/>
      <c r="L55" s="146"/>
      <c r="M55" s="146"/>
      <c r="N55" s="146"/>
      <c r="O55" s="146"/>
      <c r="P55" s="287">
        <f t="shared" si="1"/>
        <v>0</v>
      </c>
      <c r="Q55" s="146"/>
      <c r="R55" s="146"/>
      <c r="S55" s="146"/>
      <c r="T55" s="146"/>
      <c r="U55" s="146"/>
      <c r="V55" s="146"/>
      <c r="W55" s="146">
        <v>1</v>
      </c>
      <c r="X55" s="298">
        <v>43430</v>
      </c>
      <c r="Y55" s="273">
        <f t="shared" si="2"/>
        <v>1</v>
      </c>
      <c r="Z55" s="146"/>
      <c r="AA55" s="146"/>
      <c r="AB55" s="146"/>
      <c r="AC55" s="146"/>
      <c r="AD55" s="146"/>
      <c r="AE55" s="146"/>
      <c r="AF55" s="146"/>
      <c r="AG55" s="146"/>
      <c r="AH55" s="273">
        <f t="shared" si="4"/>
        <v>0</v>
      </c>
      <c r="AI55" s="146"/>
      <c r="AJ55" s="146" t="s">
        <v>2479</v>
      </c>
      <c r="AK55" s="146" t="s">
        <v>2479</v>
      </c>
      <c r="AL55" s="146"/>
      <c r="AM55" s="146"/>
      <c r="AN55" s="146"/>
      <c r="AO55" s="146"/>
      <c r="AP55" s="146"/>
      <c r="AQ55" s="146"/>
      <c r="AR55" s="146"/>
      <c r="AS55" s="146"/>
    </row>
    <row r="56" spans="1:45" s="222" customFormat="1" x14ac:dyDescent="0.2">
      <c r="A56" s="146"/>
      <c r="B56" s="296" t="s">
        <v>1644</v>
      </c>
      <c r="C56" s="296" t="s">
        <v>1645</v>
      </c>
      <c r="D56" s="296" t="s">
        <v>1646</v>
      </c>
      <c r="E56" s="297">
        <v>201804870</v>
      </c>
      <c r="F56" s="296" t="s">
        <v>1406</v>
      </c>
      <c r="G56" s="296" t="s">
        <v>1407</v>
      </c>
      <c r="H56" s="146"/>
      <c r="I56" s="146"/>
      <c r="J56" s="146"/>
      <c r="K56" s="146"/>
      <c r="L56" s="146"/>
      <c r="M56" s="146"/>
      <c r="N56" s="146"/>
      <c r="O56" s="146"/>
      <c r="P56" s="287">
        <f t="shared" si="1"/>
        <v>0</v>
      </c>
      <c r="Q56" s="146"/>
      <c r="R56" s="146"/>
      <c r="S56" s="146"/>
      <c r="T56" s="146"/>
      <c r="U56" s="146"/>
      <c r="V56" s="146"/>
      <c r="W56" s="146">
        <v>1</v>
      </c>
      <c r="X56" s="298">
        <v>43430</v>
      </c>
      <c r="Y56" s="273">
        <f t="shared" si="2"/>
        <v>1</v>
      </c>
      <c r="Z56" s="146"/>
      <c r="AA56" s="146"/>
      <c r="AB56" s="146"/>
      <c r="AC56" s="146"/>
      <c r="AD56" s="146"/>
      <c r="AE56" s="146"/>
      <c r="AF56" s="146"/>
      <c r="AG56" s="146"/>
      <c r="AH56" s="273">
        <f t="shared" si="4"/>
        <v>0</v>
      </c>
      <c r="AI56" s="146"/>
      <c r="AJ56" s="146" t="s">
        <v>2479</v>
      </c>
      <c r="AK56" s="146" t="s">
        <v>2479</v>
      </c>
      <c r="AL56" s="146"/>
      <c r="AM56" s="146"/>
      <c r="AN56" s="146"/>
      <c r="AO56" s="146"/>
      <c r="AP56" s="146"/>
      <c r="AQ56" s="146"/>
      <c r="AR56" s="146"/>
      <c r="AS56" s="146"/>
    </row>
    <row r="57" spans="1:45" s="222" customFormat="1" x14ac:dyDescent="0.2">
      <c r="A57" s="146"/>
      <c r="B57" s="296" t="s">
        <v>1647</v>
      </c>
      <c r="C57" s="296" t="s">
        <v>1648</v>
      </c>
      <c r="D57" s="296" t="s">
        <v>1649</v>
      </c>
      <c r="E57" s="297">
        <v>201802637</v>
      </c>
      <c r="F57" s="296" t="s">
        <v>1406</v>
      </c>
      <c r="G57" s="296" t="s">
        <v>1407</v>
      </c>
      <c r="H57" s="146"/>
      <c r="I57" s="146"/>
      <c r="J57" s="146"/>
      <c r="K57" s="146"/>
      <c r="L57" s="146"/>
      <c r="M57" s="146"/>
      <c r="N57" s="146"/>
      <c r="O57" s="146"/>
      <c r="P57" s="287">
        <f t="shared" si="1"/>
        <v>0</v>
      </c>
      <c r="Q57" s="146"/>
      <c r="R57" s="146"/>
      <c r="S57" s="146"/>
      <c r="T57" s="146"/>
      <c r="U57" s="146"/>
      <c r="V57" s="146"/>
      <c r="W57" s="146">
        <v>1</v>
      </c>
      <c r="X57" s="298">
        <v>43265</v>
      </c>
      <c r="Y57" s="273">
        <f t="shared" si="2"/>
        <v>1</v>
      </c>
      <c r="Z57" s="146"/>
      <c r="AA57" s="146"/>
      <c r="AB57" s="146"/>
      <c r="AC57" s="146"/>
      <c r="AD57" s="146"/>
      <c r="AE57" s="146"/>
      <c r="AF57" s="146"/>
      <c r="AG57" s="146"/>
      <c r="AH57" s="273">
        <f t="shared" si="4"/>
        <v>0</v>
      </c>
      <c r="AI57" s="146"/>
      <c r="AJ57" s="146" t="s">
        <v>2479</v>
      </c>
      <c r="AK57" s="146" t="s">
        <v>2479</v>
      </c>
      <c r="AL57" s="146"/>
      <c r="AM57" s="146"/>
      <c r="AN57" s="146"/>
      <c r="AO57" s="146"/>
      <c r="AP57" s="146"/>
      <c r="AQ57" s="146"/>
      <c r="AR57" s="146"/>
      <c r="AS57" s="146"/>
    </row>
    <row r="58" spans="1:45" s="222" customFormat="1" x14ac:dyDescent="0.2">
      <c r="A58" s="146"/>
      <c r="B58" s="296" t="s">
        <v>1650</v>
      </c>
      <c r="C58" s="296" t="s">
        <v>1651</v>
      </c>
      <c r="D58" s="296" t="s">
        <v>1652</v>
      </c>
      <c r="E58" s="297">
        <v>201802636</v>
      </c>
      <c r="F58" s="296" t="s">
        <v>1406</v>
      </c>
      <c r="G58" s="296" t="s">
        <v>1407</v>
      </c>
      <c r="H58" s="146"/>
      <c r="I58" s="146"/>
      <c r="J58" s="146"/>
      <c r="K58" s="146"/>
      <c r="L58" s="146"/>
      <c r="M58" s="146"/>
      <c r="N58" s="146"/>
      <c r="O58" s="146"/>
      <c r="P58" s="287">
        <f t="shared" si="1"/>
        <v>0</v>
      </c>
      <c r="Q58" s="146"/>
      <c r="R58" s="146"/>
      <c r="S58" s="146"/>
      <c r="T58" s="146"/>
      <c r="U58" s="146"/>
      <c r="V58" s="146"/>
      <c r="W58" s="146">
        <v>1</v>
      </c>
      <c r="X58" s="298">
        <v>43265</v>
      </c>
      <c r="Y58" s="273">
        <f t="shared" si="2"/>
        <v>1</v>
      </c>
      <c r="Z58" s="146"/>
      <c r="AA58" s="146"/>
      <c r="AB58" s="146"/>
      <c r="AC58" s="146"/>
      <c r="AD58" s="146"/>
      <c r="AE58" s="146"/>
      <c r="AF58" s="146"/>
      <c r="AG58" s="146"/>
      <c r="AH58" s="273">
        <f t="shared" si="4"/>
        <v>0</v>
      </c>
      <c r="AI58" s="146"/>
      <c r="AJ58" s="146" t="s">
        <v>2479</v>
      </c>
      <c r="AK58" s="146" t="s">
        <v>2479</v>
      </c>
      <c r="AL58" s="146"/>
      <c r="AM58" s="146"/>
      <c r="AN58" s="146"/>
      <c r="AO58" s="146"/>
      <c r="AP58" s="146"/>
      <c r="AQ58" s="146"/>
      <c r="AR58" s="146"/>
      <c r="AS58" s="146"/>
    </row>
    <row r="59" spans="1:45" s="222" customFormat="1" x14ac:dyDescent="0.2">
      <c r="A59" s="146"/>
      <c r="B59" s="296" t="s">
        <v>1653</v>
      </c>
      <c r="C59" s="296" t="s">
        <v>1654</v>
      </c>
      <c r="D59" s="296" t="s">
        <v>1655</v>
      </c>
      <c r="E59" s="297">
        <v>201804874</v>
      </c>
      <c r="F59" s="296" t="s">
        <v>1406</v>
      </c>
      <c r="G59" s="296" t="s">
        <v>1407</v>
      </c>
      <c r="H59" s="146"/>
      <c r="I59" s="146"/>
      <c r="J59" s="146"/>
      <c r="K59" s="146"/>
      <c r="L59" s="146"/>
      <c r="M59" s="146"/>
      <c r="N59" s="146"/>
      <c r="O59" s="146"/>
      <c r="P59" s="287">
        <f t="shared" si="1"/>
        <v>0</v>
      </c>
      <c r="Q59" s="146"/>
      <c r="R59" s="146"/>
      <c r="S59" s="146"/>
      <c r="T59" s="146"/>
      <c r="U59" s="146"/>
      <c r="V59" s="146"/>
      <c r="W59" s="146">
        <v>1</v>
      </c>
      <c r="X59" s="298">
        <v>43430</v>
      </c>
      <c r="Y59" s="273">
        <f t="shared" si="2"/>
        <v>1</v>
      </c>
      <c r="Z59" s="146"/>
      <c r="AA59" s="146"/>
      <c r="AB59" s="146"/>
      <c r="AC59" s="146"/>
      <c r="AD59" s="146"/>
      <c r="AE59" s="146"/>
      <c r="AF59" s="146"/>
      <c r="AG59" s="146"/>
      <c r="AH59" s="273">
        <f t="shared" si="4"/>
        <v>0</v>
      </c>
      <c r="AI59" s="146"/>
      <c r="AJ59" s="146" t="s">
        <v>2479</v>
      </c>
      <c r="AK59" s="146" t="s">
        <v>2479</v>
      </c>
      <c r="AL59" s="146"/>
      <c r="AM59" s="146"/>
      <c r="AN59" s="146"/>
      <c r="AO59" s="146"/>
      <c r="AP59" s="146"/>
      <c r="AQ59" s="146"/>
      <c r="AR59" s="146"/>
      <c r="AS59" s="146"/>
    </row>
    <row r="60" spans="1:45" s="222" customFormat="1" x14ac:dyDescent="0.2">
      <c r="A60" s="146"/>
      <c r="B60" s="296" t="s">
        <v>1656</v>
      </c>
      <c r="C60" s="296" t="s">
        <v>1657</v>
      </c>
      <c r="D60" s="296" t="s">
        <v>1658</v>
      </c>
      <c r="E60" s="297">
        <v>201804875</v>
      </c>
      <c r="F60" s="296" t="s">
        <v>1406</v>
      </c>
      <c r="G60" s="296" t="s">
        <v>1407</v>
      </c>
      <c r="H60" s="146"/>
      <c r="I60" s="146"/>
      <c r="J60" s="146"/>
      <c r="K60" s="146"/>
      <c r="L60" s="146"/>
      <c r="M60" s="146"/>
      <c r="N60" s="146"/>
      <c r="O60" s="146"/>
      <c r="P60" s="287">
        <f t="shared" si="1"/>
        <v>0</v>
      </c>
      <c r="Q60" s="146"/>
      <c r="R60" s="146"/>
      <c r="S60" s="146"/>
      <c r="T60" s="146"/>
      <c r="U60" s="146"/>
      <c r="V60" s="146"/>
      <c r="W60" s="146">
        <v>1</v>
      </c>
      <c r="X60" s="298">
        <v>43430</v>
      </c>
      <c r="Y60" s="273">
        <f t="shared" si="2"/>
        <v>1</v>
      </c>
      <c r="Z60" s="146"/>
      <c r="AA60" s="146"/>
      <c r="AB60" s="146"/>
      <c r="AC60" s="146"/>
      <c r="AD60" s="146"/>
      <c r="AE60" s="146"/>
      <c r="AF60" s="146"/>
      <c r="AG60" s="146"/>
      <c r="AH60" s="273">
        <f t="shared" si="4"/>
        <v>0</v>
      </c>
      <c r="AI60" s="146"/>
      <c r="AJ60" s="146" t="s">
        <v>2479</v>
      </c>
      <c r="AK60" s="146" t="s">
        <v>2479</v>
      </c>
      <c r="AL60" s="146"/>
      <c r="AM60" s="146"/>
      <c r="AN60" s="146"/>
      <c r="AO60" s="146"/>
      <c r="AP60" s="146"/>
      <c r="AQ60" s="146"/>
      <c r="AR60" s="146"/>
      <c r="AS60" s="146"/>
    </row>
    <row r="61" spans="1:45" s="222" customFormat="1" x14ac:dyDescent="0.2">
      <c r="A61" s="146"/>
      <c r="B61" s="296" t="s">
        <v>1659</v>
      </c>
      <c r="C61" s="296" t="s">
        <v>1660</v>
      </c>
      <c r="D61" s="296" t="s">
        <v>1661</v>
      </c>
      <c r="E61" s="297">
        <v>201802073</v>
      </c>
      <c r="F61" s="296" t="s">
        <v>1406</v>
      </c>
      <c r="G61" s="296" t="s">
        <v>1407</v>
      </c>
      <c r="H61" s="146"/>
      <c r="I61" s="146"/>
      <c r="J61" s="146"/>
      <c r="K61" s="146"/>
      <c r="L61" s="146"/>
      <c r="M61" s="146"/>
      <c r="N61" s="146"/>
      <c r="O61" s="146"/>
      <c r="P61" s="287">
        <f t="shared" si="1"/>
        <v>0</v>
      </c>
      <c r="Q61" s="146"/>
      <c r="R61" s="146"/>
      <c r="S61" s="146"/>
      <c r="T61" s="146"/>
      <c r="U61" s="146"/>
      <c r="V61" s="146"/>
      <c r="W61" s="146">
        <v>1</v>
      </c>
      <c r="X61" s="298">
        <v>43230</v>
      </c>
      <c r="Y61" s="273">
        <f t="shared" si="2"/>
        <v>1</v>
      </c>
      <c r="Z61" s="146"/>
      <c r="AA61" s="146"/>
      <c r="AB61" s="146"/>
      <c r="AC61" s="146"/>
      <c r="AD61" s="146"/>
      <c r="AE61" s="146"/>
      <c r="AF61" s="146"/>
      <c r="AG61" s="146"/>
      <c r="AH61" s="273">
        <f t="shared" si="4"/>
        <v>0</v>
      </c>
      <c r="AI61" s="146"/>
      <c r="AJ61" s="146" t="s">
        <v>2479</v>
      </c>
      <c r="AK61" s="146" t="s">
        <v>2479</v>
      </c>
      <c r="AL61" s="146"/>
      <c r="AM61" s="146"/>
      <c r="AN61" s="146"/>
      <c r="AO61" s="146"/>
      <c r="AP61" s="146"/>
      <c r="AQ61" s="146"/>
      <c r="AR61" s="146"/>
      <c r="AS61" s="146"/>
    </row>
    <row r="62" spans="1:45" s="222" customFormat="1" x14ac:dyDescent="0.2">
      <c r="A62" s="146"/>
      <c r="B62" s="296" t="s">
        <v>1662</v>
      </c>
      <c r="C62" s="296" t="s">
        <v>1663</v>
      </c>
      <c r="D62" s="296" t="s">
        <v>1664</v>
      </c>
      <c r="E62" s="297">
        <v>201802634</v>
      </c>
      <c r="F62" s="296" t="s">
        <v>1406</v>
      </c>
      <c r="G62" s="296" t="s">
        <v>1407</v>
      </c>
      <c r="H62" s="146"/>
      <c r="I62" s="146"/>
      <c r="J62" s="146"/>
      <c r="K62" s="146"/>
      <c r="L62" s="146"/>
      <c r="M62" s="146"/>
      <c r="N62" s="146"/>
      <c r="O62" s="146"/>
      <c r="P62" s="287">
        <f t="shared" si="1"/>
        <v>0</v>
      </c>
      <c r="Q62" s="146"/>
      <c r="R62" s="146"/>
      <c r="S62" s="146"/>
      <c r="T62" s="146"/>
      <c r="U62" s="146"/>
      <c r="V62" s="146"/>
      <c r="W62" s="146">
        <v>1</v>
      </c>
      <c r="X62" s="298">
        <v>43265</v>
      </c>
      <c r="Y62" s="273">
        <f t="shared" si="2"/>
        <v>1</v>
      </c>
      <c r="Z62" s="146"/>
      <c r="AA62" s="146"/>
      <c r="AB62" s="146"/>
      <c r="AC62" s="146"/>
      <c r="AD62" s="146"/>
      <c r="AE62" s="146"/>
      <c r="AF62" s="146"/>
      <c r="AG62" s="146"/>
      <c r="AH62" s="273">
        <f t="shared" si="4"/>
        <v>0</v>
      </c>
      <c r="AI62" s="146"/>
      <c r="AJ62" s="146" t="s">
        <v>2479</v>
      </c>
      <c r="AK62" s="146" t="s">
        <v>2479</v>
      </c>
      <c r="AL62" s="146"/>
      <c r="AM62" s="146"/>
      <c r="AN62" s="146"/>
      <c r="AO62" s="146"/>
      <c r="AP62" s="146"/>
      <c r="AQ62" s="146"/>
      <c r="AR62" s="146"/>
      <c r="AS62" s="146"/>
    </row>
    <row r="63" spans="1:45" s="222" customFormat="1" x14ac:dyDescent="0.2">
      <c r="A63" s="146"/>
      <c r="B63" s="296" t="s">
        <v>1665</v>
      </c>
      <c r="C63" s="296" t="s">
        <v>1666</v>
      </c>
      <c r="D63" s="296" t="s">
        <v>1667</v>
      </c>
      <c r="E63" s="297">
        <v>201803835</v>
      </c>
      <c r="F63" s="296" t="s">
        <v>1406</v>
      </c>
      <c r="G63" s="296" t="s">
        <v>1407</v>
      </c>
      <c r="H63" s="146"/>
      <c r="I63" s="146"/>
      <c r="J63" s="146"/>
      <c r="K63" s="146"/>
      <c r="L63" s="146"/>
      <c r="M63" s="146"/>
      <c r="N63" s="146"/>
      <c r="O63" s="146"/>
      <c r="P63" s="287">
        <f t="shared" si="1"/>
        <v>0</v>
      </c>
      <c r="Q63" s="146"/>
      <c r="R63" s="146"/>
      <c r="S63" s="146"/>
      <c r="T63" s="146"/>
      <c r="U63" s="146"/>
      <c r="V63" s="146"/>
      <c r="W63" s="146">
        <v>1</v>
      </c>
      <c r="X63" s="298">
        <v>43355</v>
      </c>
      <c r="Y63" s="273">
        <f t="shared" si="2"/>
        <v>1</v>
      </c>
      <c r="Z63" s="146"/>
      <c r="AA63" s="146"/>
      <c r="AB63" s="146"/>
      <c r="AC63" s="146"/>
      <c r="AD63" s="146"/>
      <c r="AE63" s="146"/>
      <c r="AF63" s="146"/>
      <c r="AG63" s="146"/>
      <c r="AH63" s="273">
        <f t="shared" si="4"/>
        <v>0</v>
      </c>
      <c r="AI63" s="146"/>
      <c r="AJ63" s="146" t="s">
        <v>2479</v>
      </c>
      <c r="AK63" s="146" t="s">
        <v>2479</v>
      </c>
      <c r="AL63" s="146"/>
      <c r="AM63" s="146"/>
      <c r="AN63" s="146"/>
      <c r="AO63" s="146"/>
      <c r="AP63" s="146"/>
      <c r="AQ63" s="146"/>
      <c r="AR63" s="146"/>
      <c r="AS63" s="146"/>
    </row>
    <row r="64" spans="1:45" s="222" customFormat="1" x14ac:dyDescent="0.2">
      <c r="A64" s="146"/>
      <c r="B64" s="296" t="s">
        <v>1668</v>
      </c>
      <c r="C64" s="296" t="s">
        <v>1669</v>
      </c>
      <c r="D64" s="296" t="s">
        <v>1670</v>
      </c>
      <c r="E64" s="297">
        <v>201805815</v>
      </c>
      <c r="F64" s="296" t="s">
        <v>1406</v>
      </c>
      <c r="G64" s="296" t="s">
        <v>1407</v>
      </c>
      <c r="H64" s="146"/>
      <c r="I64" s="146"/>
      <c r="J64" s="146"/>
      <c r="K64" s="146"/>
      <c r="L64" s="146"/>
      <c r="M64" s="146"/>
      <c r="N64" s="146"/>
      <c r="O64" s="146"/>
      <c r="P64" s="287">
        <f t="shared" si="1"/>
        <v>0</v>
      </c>
      <c r="Q64" s="146"/>
      <c r="R64" s="146"/>
      <c r="S64" s="146"/>
      <c r="T64" s="146"/>
      <c r="U64" s="146"/>
      <c r="V64" s="146"/>
      <c r="W64" s="146">
        <v>1</v>
      </c>
      <c r="X64" s="298">
        <v>43454</v>
      </c>
      <c r="Y64" s="273">
        <f t="shared" si="2"/>
        <v>1</v>
      </c>
      <c r="Z64" s="146"/>
      <c r="AA64" s="146"/>
      <c r="AB64" s="146"/>
      <c r="AC64" s="146"/>
      <c r="AD64" s="146"/>
      <c r="AE64" s="146"/>
      <c r="AF64" s="146"/>
      <c r="AG64" s="146"/>
      <c r="AH64" s="273">
        <f t="shared" si="4"/>
        <v>0</v>
      </c>
      <c r="AI64" s="146"/>
      <c r="AJ64" s="146" t="s">
        <v>2479</v>
      </c>
      <c r="AK64" s="146" t="s">
        <v>2480</v>
      </c>
      <c r="AL64" s="146"/>
      <c r="AM64" s="146"/>
      <c r="AN64" s="146"/>
      <c r="AO64" s="146"/>
      <c r="AP64" s="146"/>
      <c r="AQ64" s="146"/>
      <c r="AR64" s="146"/>
      <c r="AS64" s="146"/>
    </row>
    <row r="65" spans="1:45" s="222" customFormat="1" x14ac:dyDescent="0.2">
      <c r="A65" s="146"/>
      <c r="B65" s="296" t="s">
        <v>1668</v>
      </c>
      <c r="C65" s="296" t="s">
        <v>1671</v>
      </c>
      <c r="D65" s="296" t="s">
        <v>1672</v>
      </c>
      <c r="E65" s="297">
        <v>201805816</v>
      </c>
      <c r="F65" s="296" t="s">
        <v>1406</v>
      </c>
      <c r="G65" s="296" t="s">
        <v>1407</v>
      </c>
      <c r="H65" s="146"/>
      <c r="I65" s="146"/>
      <c r="J65" s="146"/>
      <c r="K65" s="146"/>
      <c r="L65" s="146"/>
      <c r="M65" s="146"/>
      <c r="N65" s="146"/>
      <c r="O65" s="146"/>
      <c r="P65" s="287">
        <f t="shared" si="1"/>
        <v>0</v>
      </c>
      <c r="Q65" s="146"/>
      <c r="R65" s="146"/>
      <c r="S65" s="146"/>
      <c r="T65" s="146"/>
      <c r="U65" s="146"/>
      <c r="V65" s="146"/>
      <c r="W65" s="146">
        <v>1</v>
      </c>
      <c r="X65" s="298">
        <v>43454</v>
      </c>
      <c r="Y65" s="273">
        <f t="shared" si="2"/>
        <v>1</v>
      </c>
      <c r="Z65" s="146"/>
      <c r="AA65" s="146"/>
      <c r="AB65" s="146"/>
      <c r="AC65" s="146"/>
      <c r="AD65" s="146"/>
      <c r="AE65" s="146"/>
      <c r="AF65" s="146"/>
      <c r="AG65" s="146"/>
      <c r="AH65" s="273">
        <f t="shared" si="4"/>
        <v>0</v>
      </c>
      <c r="AI65" s="146"/>
      <c r="AJ65" s="146" t="s">
        <v>2479</v>
      </c>
      <c r="AK65" s="146" t="s">
        <v>2480</v>
      </c>
      <c r="AL65" s="146"/>
      <c r="AM65" s="146"/>
      <c r="AN65" s="146"/>
      <c r="AO65" s="146"/>
      <c r="AP65" s="146"/>
      <c r="AQ65" s="146"/>
      <c r="AR65" s="146"/>
      <c r="AS65" s="146"/>
    </row>
    <row r="66" spans="1:45" s="74" customFormat="1" ht="15.75" x14ac:dyDescent="0.25">
      <c r="A66" s="146"/>
      <c r="B66" s="296" t="s">
        <v>1668</v>
      </c>
      <c r="C66" s="296" t="s">
        <v>1673</v>
      </c>
      <c r="D66" s="296" t="s">
        <v>1674</v>
      </c>
      <c r="E66" s="297">
        <v>201805817</v>
      </c>
      <c r="F66" s="296" t="s">
        <v>1406</v>
      </c>
      <c r="G66" s="296" t="s">
        <v>1407</v>
      </c>
      <c r="H66" s="146"/>
      <c r="I66" s="146"/>
      <c r="J66" s="146"/>
      <c r="K66" s="146"/>
      <c r="L66" s="146"/>
      <c r="M66" s="146"/>
      <c r="N66" s="146"/>
      <c r="O66" s="146"/>
      <c r="P66" s="287">
        <f t="shared" si="1"/>
        <v>0</v>
      </c>
      <c r="Q66" s="146"/>
      <c r="R66" s="146"/>
      <c r="S66" s="146"/>
      <c r="T66" s="146"/>
      <c r="U66" s="146"/>
      <c r="V66" s="146"/>
      <c r="W66" s="146">
        <v>1</v>
      </c>
      <c r="X66" s="298">
        <v>43454</v>
      </c>
      <c r="Y66" s="273">
        <f t="shared" si="2"/>
        <v>1</v>
      </c>
      <c r="Z66" s="146"/>
      <c r="AA66" s="146"/>
      <c r="AB66" s="146"/>
      <c r="AC66" s="146"/>
      <c r="AD66" s="146"/>
      <c r="AE66" s="146"/>
      <c r="AF66" s="146"/>
      <c r="AG66" s="146"/>
      <c r="AH66" s="273">
        <f t="shared" si="4"/>
        <v>0</v>
      </c>
      <c r="AI66" s="146"/>
      <c r="AJ66" s="146" t="s">
        <v>2479</v>
      </c>
      <c r="AK66" s="146" t="s">
        <v>2480</v>
      </c>
      <c r="AL66" s="146"/>
      <c r="AM66" s="146"/>
      <c r="AN66" s="146"/>
      <c r="AO66" s="146"/>
      <c r="AP66" s="146"/>
      <c r="AQ66" s="146"/>
      <c r="AR66" s="146"/>
      <c r="AS66" s="146"/>
    </row>
    <row r="67" spans="1:45" s="74" customFormat="1" ht="15.75" x14ac:dyDescent="0.25">
      <c r="A67" s="146"/>
      <c r="B67" s="296" t="s">
        <v>1668</v>
      </c>
      <c r="C67" s="296" t="s">
        <v>1675</v>
      </c>
      <c r="D67" s="296" t="s">
        <v>1676</v>
      </c>
      <c r="E67" s="297">
        <v>201805818</v>
      </c>
      <c r="F67" s="296" t="s">
        <v>1406</v>
      </c>
      <c r="G67" s="296" t="s">
        <v>1407</v>
      </c>
      <c r="H67" s="146"/>
      <c r="I67" s="146"/>
      <c r="J67" s="146"/>
      <c r="K67" s="146"/>
      <c r="L67" s="146"/>
      <c r="M67" s="146"/>
      <c r="N67" s="146"/>
      <c r="O67" s="146"/>
      <c r="P67" s="287">
        <f t="shared" si="1"/>
        <v>0</v>
      </c>
      <c r="Q67" s="146"/>
      <c r="R67" s="146"/>
      <c r="S67" s="146"/>
      <c r="T67" s="146"/>
      <c r="U67" s="146"/>
      <c r="V67" s="146"/>
      <c r="W67" s="146">
        <v>1</v>
      </c>
      <c r="X67" s="298">
        <v>43454</v>
      </c>
      <c r="Y67" s="273">
        <f t="shared" si="2"/>
        <v>1</v>
      </c>
      <c r="Z67" s="146"/>
      <c r="AA67" s="146"/>
      <c r="AB67" s="146"/>
      <c r="AC67" s="146"/>
      <c r="AD67" s="146"/>
      <c r="AE67" s="146"/>
      <c r="AF67" s="146"/>
      <c r="AG67" s="146"/>
      <c r="AH67" s="273">
        <f t="shared" si="4"/>
        <v>0</v>
      </c>
      <c r="AI67" s="146"/>
      <c r="AJ67" s="146" t="s">
        <v>2479</v>
      </c>
      <c r="AK67" s="146" t="s">
        <v>2480</v>
      </c>
      <c r="AL67" s="146"/>
      <c r="AM67" s="146"/>
      <c r="AN67" s="146"/>
      <c r="AO67" s="146"/>
      <c r="AP67" s="146"/>
      <c r="AQ67" s="146"/>
      <c r="AR67" s="146"/>
      <c r="AS67" s="146"/>
    </row>
    <row r="68" spans="1:45" s="76" customFormat="1" ht="12.75" x14ac:dyDescent="0.2">
      <c r="A68" s="146"/>
      <c r="B68" s="296" t="s">
        <v>1668</v>
      </c>
      <c r="C68" s="296" t="s">
        <v>1677</v>
      </c>
      <c r="D68" s="296" t="s">
        <v>1678</v>
      </c>
      <c r="E68" s="297">
        <v>201805819</v>
      </c>
      <c r="F68" s="296" t="s">
        <v>1406</v>
      </c>
      <c r="G68" s="296" t="s">
        <v>1407</v>
      </c>
      <c r="H68" s="146"/>
      <c r="I68" s="146"/>
      <c r="J68" s="146"/>
      <c r="K68" s="146"/>
      <c r="L68" s="146"/>
      <c r="M68" s="146"/>
      <c r="N68" s="146"/>
      <c r="O68" s="146"/>
      <c r="P68" s="287">
        <f t="shared" si="1"/>
        <v>0</v>
      </c>
      <c r="Q68" s="146"/>
      <c r="R68" s="146"/>
      <c r="S68" s="146"/>
      <c r="T68" s="146"/>
      <c r="U68" s="146"/>
      <c r="V68" s="146"/>
      <c r="W68" s="146">
        <v>1</v>
      </c>
      <c r="X68" s="298">
        <v>43454</v>
      </c>
      <c r="Y68" s="273">
        <f t="shared" si="2"/>
        <v>1</v>
      </c>
      <c r="Z68" s="146"/>
      <c r="AA68" s="146"/>
      <c r="AB68" s="146"/>
      <c r="AC68" s="146"/>
      <c r="AD68" s="146"/>
      <c r="AE68" s="146"/>
      <c r="AF68" s="146"/>
      <c r="AG68" s="146"/>
      <c r="AH68" s="273">
        <f t="shared" si="4"/>
        <v>0</v>
      </c>
      <c r="AI68" s="146"/>
      <c r="AJ68" s="146" t="s">
        <v>2479</v>
      </c>
      <c r="AK68" s="146" t="s">
        <v>2480</v>
      </c>
      <c r="AL68" s="146"/>
      <c r="AM68" s="146"/>
      <c r="AN68" s="146"/>
      <c r="AO68" s="146"/>
      <c r="AP68" s="146"/>
      <c r="AQ68" s="146"/>
      <c r="AR68" s="146"/>
      <c r="AS68" s="146"/>
    </row>
    <row r="69" spans="1:45" s="75" customFormat="1" ht="12.75" x14ac:dyDescent="0.2">
      <c r="A69" s="146"/>
      <c r="B69" s="296" t="s">
        <v>1668</v>
      </c>
      <c r="C69" s="296" t="s">
        <v>1679</v>
      </c>
      <c r="D69" s="296" t="s">
        <v>1680</v>
      </c>
      <c r="E69" s="297">
        <v>201805820</v>
      </c>
      <c r="F69" s="296" t="s">
        <v>1406</v>
      </c>
      <c r="G69" s="296" t="s">
        <v>1407</v>
      </c>
      <c r="H69" s="146"/>
      <c r="I69" s="146"/>
      <c r="J69" s="146"/>
      <c r="K69" s="146"/>
      <c r="L69" s="146"/>
      <c r="M69" s="146"/>
      <c r="N69" s="146"/>
      <c r="O69" s="146"/>
      <c r="P69" s="287">
        <f t="shared" si="1"/>
        <v>0</v>
      </c>
      <c r="Q69" s="146"/>
      <c r="R69" s="146"/>
      <c r="S69" s="146"/>
      <c r="T69" s="146"/>
      <c r="U69" s="146"/>
      <c r="V69" s="146"/>
      <c r="W69" s="146">
        <v>1</v>
      </c>
      <c r="X69" s="298">
        <v>43454</v>
      </c>
      <c r="Y69" s="273">
        <f t="shared" si="2"/>
        <v>1</v>
      </c>
      <c r="Z69" s="146"/>
      <c r="AA69" s="146"/>
      <c r="AB69" s="146"/>
      <c r="AC69" s="146"/>
      <c r="AD69" s="146"/>
      <c r="AE69" s="146"/>
      <c r="AF69" s="146"/>
      <c r="AG69" s="146"/>
      <c r="AH69" s="273">
        <f t="shared" si="4"/>
        <v>0</v>
      </c>
      <c r="AI69" s="146"/>
      <c r="AJ69" s="146" t="s">
        <v>2479</v>
      </c>
      <c r="AK69" s="146" t="s">
        <v>2480</v>
      </c>
      <c r="AL69" s="146"/>
      <c r="AM69" s="146"/>
      <c r="AN69" s="146"/>
      <c r="AO69" s="146"/>
      <c r="AP69" s="146"/>
      <c r="AQ69" s="146"/>
      <c r="AR69" s="146"/>
      <c r="AS69" s="146"/>
    </row>
    <row r="70" spans="1:45" s="75" customFormat="1" ht="12.75" x14ac:dyDescent="0.2">
      <c r="A70" s="146"/>
      <c r="B70" s="296" t="s">
        <v>1668</v>
      </c>
      <c r="C70" s="296" t="s">
        <v>1681</v>
      </c>
      <c r="D70" s="296" t="s">
        <v>1682</v>
      </c>
      <c r="E70" s="297">
        <v>201805813</v>
      </c>
      <c r="F70" s="296" t="s">
        <v>1406</v>
      </c>
      <c r="G70" s="296" t="s">
        <v>1407</v>
      </c>
      <c r="H70" s="146"/>
      <c r="I70" s="146"/>
      <c r="J70" s="146"/>
      <c r="K70" s="146"/>
      <c r="L70" s="146"/>
      <c r="M70" s="146"/>
      <c r="N70" s="146"/>
      <c r="O70" s="146"/>
      <c r="P70" s="287">
        <f t="shared" si="1"/>
        <v>0</v>
      </c>
      <c r="Q70" s="146"/>
      <c r="R70" s="146"/>
      <c r="S70" s="146"/>
      <c r="T70" s="146"/>
      <c r="U70" s="146"/>
      <c r="V70" s="146"/>
      <c r="W70" s="146">
        <v>1</v>
      </c>
      <c r="X70" s="298">
        <v>43419</v>
      </c>
      <c r="Y70" s="273">
        <f t="shared" si="2"/>
        <v>1</v>
      </c>
      <c r="Z70" s="146"/>
      <c r="AA70" s="146"/>
      <c r="AB70" s="146"/>
      <c r="AC70" s="146"/>
      <c r="AD70" s="146"/>
      <c r="AE70" s="146"/>
      <c r="AF70" s="146"/>
      <c r="AG70" s="146"/>
      <c r="AH70" s="273">
        <f t="shared" si="4"/>
        <v>0</v>
      </c>
      <c r="AI70" s="146"/>
      <c r="AJ70" s="146" t="s">
        <v>2479</v>
      </c>
      <c r="AK70" s="146" t="s">
        <v>2480</v>
      </c>
      <c r="AL70" s="146"/>
      <c r="AM70" s="146"/>
      <c r="AN70" s="146"/>
      <c r="AO70" s="146"/>
      <c r="AP70" s="146"/>
      <c r="AQ70" s="146"/>
      <c r="AR70" s="146"/>
      <c r="AS70" s="146"/>
    </row>
    <row r="71" spans="1:45" s="75" customFormat="1" ht="12.75" x14ac:dyDescent="0.2">
      <c r="A71" s="146"/>
      <c r="B71" s="296" t="s">
        <v>1668</v>
      </c>
      <c r="C71" s="296" t="s">
        <v>1683</v>
      </c>
      <c r="D71" s="296" t="s">
        <v>1684</v>
      </c>
      <c r="E71" s="297">
        <v>201805814</v>
      </c>
      <c r="F71" s="296" t="s">
        <v>1406</v>
      </c>
      <c r="G71" s="296" t="s">
        <v>1407</v>
      </c>
      <c r="H71" s="146"/>
      <c r="I71" s="146"/>
      <c r="J71" s="146"/>
      <c r="K71" s="146"/>
      <c r="L71" s="146"/>
      <c r="M71" s="146"/>
      <c r="N71" s="146"/>
      <c r="O71" s="146"/>
      <c r="P71" s="287">
        <f t="shared" si="1"/>
        <v>0</v>
      </c>
      <c r="Q71" s="146"/>
      <c r="R71" s="146"/>
      <c r="S71" s="146"/>
      <c r="T71" s="146"/>
      <c r="U71" s="146"/>
      <c r="V71" s="146"/>
      <c r="W71" s="146">
        <v>1</v>
      </c>
      <c r="X71" s="298">
        <v>43419</v>
      </c>
      <c r="Y71" s="273">
        <f t="shared" si="2"/>
        <v>1</v>
      </c>
      <c r="Z71" s="146"/>
      <c r="AA71" s="146"/>
      <c r="AB71" s="146"/>
      <c r="AC71" s="146"/>
      <c r="AD71" s="146"/>
      <c r="AE71" s="146"/>
      <c r="AF71" s="146"/>
      <c r="AG71" s="146"/>
      <c r="AH71" s="273">
        <f t="shared" si="4"/>
        <v>0</v>
      </c>
      <c r="AI71" s="146"/>
      <c r="AJ71" s="146" t="s">
        <v>2479</v>
      </c>
      <c r="AK71" s="146" t="s">
        <v>2480</v>
      </c>
      <c r="AL71" s="146"/>
      <c r="AM71" s="146"/>
      <c r="AN71" s="146"/>
      <c r="AO71" s="146"/>
      <c r="AP71" s="146"/>
      <c r="AQ71" s="146"/>
      <c r="AR71" s="146"/>
      <c r="AS71" s="146"/>
    </row>
    <row r="72" spans="1:45" s="75" customFormat="1" ht="12.75" x14ac:dyDescent="0.2">
      <c r="A72" s="146"/>
      <c r="B72" s="296" t="s">
        <v>1685</v>
      </c>
      <c r="C72" s="296" t="s">
        <v>1686</v>
      </c>
      <c r="D72" s="296" t="s">
        <v>1687</v>
      </c>
      <c r="E72" s="297">
        <v>201803600</v>
      </c>
      <c r="F72" s="296" t="s">
        <v>1406</v>
      </c>
      <c r="G72" s="296" t="s">
        <v>1407</v>
      </c>
      <c r="H72" s="146"/>
      <c r="I72" s="146"/>
      <c r="J72" s="146"/>
      <c r="K72" s="146"/>
      <c r="L72" s="146"/>
      <c r="M72" s="146"/>
      <c r="N72" s="146"/>
      <c r="O72" s="146"/>
      <c r="P72" s="287">
        <f t="shared" si="1"/>
        <v>0</v>
      </c>
      <c r="Q72" s="146"/>
      <c r="R72" s="146"/>
      <c r="S72" s="146"/>
      <c r="T72" s="146"/>
      <c r="U72" s="146"/>
      <c r="V72" s="146"/>
      <c r="W72" s="146">
        <v>1</v>
      </c>
      <c r="X72" s="298">
        <v>43349</v>
      </c>
      <c r="Y72" s="273">
        <f t="shared" si="2"/>
        <v>1</v>
      </c>
      <c r="Z72" s="146"/>
      <c r="AA72" s="146"/>
      <c r="AB72" s="146"/>
      <c r="AC72" s="146"/>
      <c r="AD72" s="146"/>
      <c r="AE72" s="146"/>
      <c r="AF72" s="146"/>
      <c r="AG72" s="146"/>
      <c r="AH72" s="273">
        <f t="shared" si="4"/>
        <v>0</v>
      </c>
      <c r="AI72" s="146"/>
      <c r="AJ72" s="146" t="s">
        <v>2479</v>
      </c>
      <c r="AK72" s="146" t="s">
        <v>2480</v>
      </c>
      <c r="AL72" s="146"/>
      <c r="AM72" s="146"/>
      <c r="AN72" s="146"/>
      <c r="AO72" s="146"/>
      <c r="AP72" s="146"/>
      <c r="AQ72" s="146"/>
      <c r="AR72" s="146"/>
      <c r="AS72" s="146"/>
    </row>
    <row r="73" spans="1:45" s="75" customFormat="1" ht="12.75" x14ac:dyDescent="0.2">
      <c r="A73" s="146"/>
      <c r="B73" s="296" t="s">
        <v>1685</v>
      </c>
      <c r="C73" s="296" t="s">
        <v>1688</v>
      </c>
      <c r="D73" s="296" t="s">
        <v>1689</v>
      </c>
      <c r="E73" s="297">
        <v>201803601</v>
      </c>
      <c r="F73" s="296" t="s">
        <v>1406</v>
      </c>
      <c r="G73" s="296" t="s">
        <v>1407</v>
      </c>
      <c r="H73" s="146"/>
      <c r="I73" s="146"/>
      <c r="J73" s="146"/>
      <c r="K73" s="146"/>
      <c r="L73" s="146"/>
      <c r="M73" s="146"/>
      <c r="N73" s="146"/>
      <c r="O73" s="146"/>
      <c r="P73" s="287">
        <f t="shared" si="1"/>
        <v>0</v>
      </c>
      <c r="Q73" s="146"/>
      <c r="R73" s="146"/>
      <c r="S73" s="146"/>
      <c r="T73" s="146"/>
      <c r="U73" s="146"/>
      <c r="V73" s="146"/>
      <c r="W73" s="146">
        <v>1</v>
      </c>
      <c r="X73" s="298">
        <v>43349</v>
      </c>
      <c r="Y73" s="273">
        <f t="shared" si="2"/>
        <v>1</v>
      </c>
      <c r="Z73" s="146"/>
      <c r="AA73" s="146"/>
      <c r="AB73" s="146"/>
      <c r="AC73" s="146"/>
      <c r="AD73" s="146"/>
      <c r="AE73" s="146"/>
      <c r="AF73" s="146"/>
      <c r="AG73" s="146"/>
      <c r="AH73" s="273">
        <f t="shared" si="4"/>
        <v>0</v>
      </c>
      <c r="AI73" s="146"/>
      <c r="AJ73" s="146" t="s">
        <v>2479</v>
      </c>
      <c r="AK73" s="146" t="s">
        <v>2480</v>
      </c>
      <c r="AL73" s="146"/>
      <c r="AM73" s="146"/>
      <c r="AN73" s="146"/>
      <c r="AO73" s="146"/>
      <c r="AP73" s="146"/>
      <c r="AQ73" s="146"/>
      <c r="AR73" s="146"/>
      <c r="AS73" s="146"/>
    </row>
    <row r="74" spans="1:45" s="75" customFormat="1" ht="12.75" x14ac:dyDescent="0.2">
      <c r="A74" s="146"/>
      <c r="B74" s="296" t="s">
        <v>1668</v>
      </c>
      <c r="C74" s="296" t="s">
        <v>1690</v>
      </c>
      <c r="D74" s="296" t="s">
        <v>1691</v>
      </c>
      <c r="E74" s="297">
        <v>201803608</v>
      </c>
      <c r="F74" s="296" t="s">
        <v>1406</v>
      </c>
      <c r="G74" s="296" t="s">
        <v>1407</v>
      </c>
      <c r="H74" s="146"/>
      <c r="I74" s="146"/>
      <c r="J74" s="146"/>
      <c r="K74" s="146"/>
      <c r="L74" s="146"/>
      <c r="M74" s="146"/>
      <c r="N74" s="146"/>
      <c r="O74" s="146"/>
      <c r="P74" s="287">
        <f t="shared" si="1"/>
        <v>0</v>
      </c>
      <c r="Q74" s="146"/>
      <c r="R74" s="146"/>
      <c r="S74" s="146"/>
      <c r="T74" s="146"/>
      <c r="U74" s="146"/>
      <c r="V74" s="146"/>
      <c r="W74" s="146">
        <v>1</v>
      </c>
      <c r="X74" s="298">
        <v>43419</v>
      </c>
      <c r="Y74" s="273">
        <f t="shared" si="2"/>
        <v>1</v>
      </c>
      <c r="Z74" s="146"/>
      <c r="AA74" s="146"/>
      <c r="AB74" s="146"/>
      <c r="AC74" s="146"/>
      <c r="AD74" s="146"/>
      <c r="AE74" s="146"/>
      <c r="AF74" s="146"/>
      <c r="AG74" s="146"/>
      <c r="AH74" s="273">
        <f t="shared" si="4"/>
        <v>0</v>
      </c>
      <c r="AI74" s="146"/>
      <c r="AJ74" s="146" t="s">
        <v>2479</v>
      </c>
      <c r="AK74" s="146" t="s">
        <v>2480</v>
      </c>
      <c r="AL74" s="146"/>
      <c r="AM74" s="146"/>
      <c r="AN74" s="146"/>
      <c r="AO74" s="146"/>
      <c r="AP74" s="146"/>
      <c r="AQ74" s="146"/>
      <c r="AR74" s="146"/>
      <c r="AS74" s="146"/>
    </row>
    <row r="75" spans="1:45" s="75" customFormat="1" ht="12.75" x14ac:dyDescent="0.2">
      <c r="A75" s="146"/>
      <c r="B75" s="296" t="s">
        <v>1668</v>
      </c>
      <c r="C75" s="296" t="s">
        <v>1692</v>
      </c>
      <c r="D75" s="296" t="s">
        <v>1693</v>
      </c>
      <c r="E75" s="297">
        <v>201803609</v>
      </c>
      <c r="F75" s="296" t="s">
        <v>1406</v>
      </c>
      <c r="G75" s="296" t="s">
        <v>1407</v>
      </c>
      <c r="H75" s="146"/>
      <c r="I75" s="146"/>
      <c r="J75" s="146"/>
      <c r="K75" s="146"/>
      <c r="L75" s="146"/>
      <c r="M75" s="146"/>
      <c r="N75" s="146"/>
      <c r="O75" s="146"/>
      <c r="P75" s="287">
        <f t="shared" si="1"/>
        <v>0</v>
      </c>
      <c r="Q75" s="146"/>
      <c r="R75" s="146"/>
      <c r="S75" s="146"/>
      <c r="T75" s="146"/>
      <c r="U75" s="146"/>
      <c r="V75" s="146"/>
      <c r="W75" s="146">
        <v>1</v>
      </c>
      <c r="X75" s="298">
        <v>43419</v>
      </c>
      <c r="Y75" s="273">
        <f t="shared" si="2"/>
        <v>1</v>
      </c>
      <c r="Z75" s="146"/>
      <c r="AA75" s="146"/>
      <c r="AB75" s="146"/>
      <c r="AC75" s="146"/>
      <c r="AD75" s="146"/>
      <c r="AE75" s="146"/>
      <c r="AF75" s="146"/>
      <c r="AG75" s="146"/>
      <c r="AH75" s="273">
        <f t="shared" si="4"/>
        <v>0</v>
      </c>
      <c r="AI75" s="146"/>
      <c r="AJ75" s="146" t="s">
        <v>2479</v>
      </c>
      <c r="AK75" s="146" t="s">
        <v>2480</v>
      </c>
      <c r="AL75" s="146"/>
      <c r="AM75" s="146"/>
      <c r="AN75" s="146"/>
      <c r="AO75" s="146"/>
      <c r="AP75" s="146"/>
      <c r="AQ75" s="146"/>
      <c r="AR75" s="146"/>
      <c r="AS75" s="146"/>
    </row>
    <row r="76" spans="1:45" s="75" customFormat="1" ht="12.75" x14ac:dyDescent="0.2">
      <c r="A76" s="146"/>
      <c r="B76" s="296" t="s">
        <v>1668</v>
      </c>
      <c r="C76" s="296" t="s">
        <v>1694</v>
      </c>
      <c r="D76" s="296" t="s">
        <v>1695</v>
      </c>
      <c r="E76" s="297">
        <v>201803610</v>
      </c>
      <c r="F76" s="296" t="s">
        <v>1406</v>
      </c>
      <c r="G76" s="296" t="s">
        <v>1407</v>
      </c>
      <c r="H76" s="146"/>
      <c r="I76" s="146"/>
      <c r="J76" s="146"/>
      <c r="K76" s="146"/>
      <c r="L76" s="146"/>
      <c r="M76" s="146"/>
      <c r="N76" s="146"/>
      <c r="O76" s="146"/>
      <c r="P76" s="287">
        <f t="shared" si="1"/>
        <v>0</v>
      </c>
      <c r="Q76" s="146"/>
      <c r="R76" s="146"/>
      <c r="S76" s="146"/>
      <c r="T76" s="146"/>
      <c r="U76" s="146"/>
      <c r="V76" s="146"/>
      <c r="W76" s="146">
        <v>1</v>
      </c>
      <c r="X76" s="298">
        <v>43419</v>
      </c>
      <c r="Y76" s="273">
        <f t="shared" si="2"/>
        <v>1</v>
      </c>
      <c r="Z76" s="146"/>
      <c r="AA76" s="146"/>
      <c r="AB76" s="146"/>
      <c r="AC76" s="146"/>
      <c r="AD76" s="146"/>
      <c r="AE76" s="146"/>
      <c r="AF76" s="146"/>
      <c r="AG76" s="146"/>
      <c r="AH76" s="273">
        <f t="shared" si="4"/>
        <v>0</v>
      </c>
      <c r="AI76" s="146"/>
      <c r="AJ76" s="146" t="s">
        <v>2479</v>
      </c>
      <c r="AK76" s="146" t="s">
        <v>2480</v>
      </c>
      <c r="AL76" s="146"/>
      <c r="AM76" s="146"/>
      <c r="AN76" s="146"/>
      <c r="AO76" s="146"/>
      <c r="AP76" s="146"/>
      <c r="AQ76" s="146"/>
      <c r="AR76" s="146"/>
      <c r="AS76" s="146"/>
    </row>
    <row r="77" spans="1:45" s="75" customFormat="1" ht="12.75" x14ac:dyDescent="0.2">
      <c r="A77" s="146"/>
      <c r="B77" s="296" t="s">
        <v>1668</v>
      </c>
      <c r="C77" s="296" t="s">
        <v>1696</v>
      </c>
      <c r="D77" s="296" t="s">
        <v>1697</v>
      </c>
      <c r="E77" s="297">
        <v>201803611</v>
      </c>
      <c r="F77" s="296" t="s">
        <v>1406</v>
      </c>
      <c r="G77" s="296" t="s">
        <v>1407</v>
      </c>
      <c r="H77" s="146"/>
      <c r="I77" s="146"/>
      <c r="J77" s="146"/>
      <c r="K77" s="146"/>
      <c r="L77" s="146"/>
      <c r="M77" s="146"/>
      <c r="N77" s="146"/>
      <c r="O77" s="146"/>
      <c r="P77" s="287">
        <f t="shared" ref="P77:P140" si="5">SUM(H77:N77)</f>
        <v>0</v>
      </c>
      <c r="Q77" s="146"/>
      <c r="R77" s="146"/>
      <c r="S77" s="146"/>
      <c r="T77" s="146"/>
      <c r="U77" s="146"/>
      <c r="V77" s="146"/>
      <c r="W77" s="146">
        <v>1</v>
      </c>
      <c r="X77" s="298">
        <v>43419</v>
      </c>
      <c r="Y77" s="273">
        <f t="shared" ref="Y77:Y140" si="6">SUM(Q77:W77)</f>
        <v>1</v>
      </c>
      <c r="Z77" s="146"/>
      <c r="AA77" s="146"/>
      <c r="AB77" s="146"/>
      <c r="AC77" s="146"/>
      <c r="AD77" s="146"/>
      <c r="AE77" s="146"/>
      <c r="AF77" s="146"/>
      <c r="AG77" s="146"/>
      <c r="AH77" s="273">
        <f t="shared" si="4"/>
        <v>0</v>
      </c>
      <c r="AI77" s="146"/>
      <c r="AJ77" s="146" t="s">
        <v>2479</v>
      </c>
      <c r="AK77" s="146" t="s">
        <v>2480</v>
      </c>
      <c r="AL77" s="146"/>
      <c r="AM77" s="146"/>
      <c r="AN77" s="146"/>
      <c r="AO77" s="146"/>
      <c r="AP77" s="146"/>
      <c r="AQ77" s="146"/>
      <c r="AR77" s="146"/>
      <c r="AS77" s="146"/>
    </row>
    <row r="78" spans="1:45" s="75" customFormat="1" ht="12.75" x14ac:dyDescent="0.2">
      <c r="A78" s="146"/>
      <c r="B78" s="296" t="s">
        <v>1668</v>
      </c>
      <c r="C78" s="296" t="s">
        <v>1698</v>
      </c>
      <c r="D78" s="296" t="s">
        <v>1699</v>
      </c>
      <c r="E78" s="297">
        <v>201803612</v>
      </c>
      <c r="F78" s="296" t="s">
        <v>1406</v>
      </c>
      <c r="G78" s="296" t="s">
        <v>1407</v>
      </c>
      <c r="H78" s="146"/>
      <c r="I78" s="146"/>
      <c r="J78" s="146"/>
      <c r="K78" s="146"/>
      <c r="L78" s="146"/>
      <c r="M78" s="146"/>
      <c r="N78" s="146"/>
      <c r="O78" s="146"/>
      <c r="P78" s="287">
        <f t="shared" si="5"/>
        <v>0</v>
      </c>
      <c r="Q78" s="146"/>
      <c r="R78" s="146"/>
      <c r="S78" s="146"/>
      <c r="T78" s="146"/>
      <c r="U78" s="146"/>
      <c r="V78" s="146"/>
      <c r="W78" s="146">
        <v>1</v>
      </c>
      <c r="X78" s="298">
        <v>43419</v>
      </c>
      <c r="Y78" s="273">
        <f t="shared" si="6"/>
        <v>1</v>
      </c>
      <c r="Z78" s="146"/>
      <c r="AA78" s="146"/>
      <c r="AB78" s="146"/>
      <c r="AC78" s="146"/>
      <c r="AD78" s="146"/>
      <c r="AE78" s="146"/>
      <c r="AF78" s="146"/>
      <c r="AG78" s="146"/>
      <c r="AH78" s="273">
        <f t="shared" si="4"/>
        <v>0</v>
      </c>
      <c r="AI78" s="146"/>
      <c r="AJ78" s="146" t="s">
        <v>2479</v>
      </c>
      <c r="AK78" s="146" t="s">
        <v>2480</v>
      </c>
      <c r="AL78" s="146"/>
      <c r="AM78" s="146"/>
      <c r="AN78" s="146"/>
      <c r="AO78" s="146"/>
      <c r="AP78" s="146"/>
      <c r="AQ78" s="146"/>
      <c r="AR78" s="146"/>
      <c r="AS78" s="146"/>
    </row>
    <row r="79" spans="1:45" s="75" customFormat="1" ht="12.75" x14ac:dyDescent="0.2">
      <c r="A79" s="146"/>
      <c r="B79" s="296" t="s">
        <v>1685</v>
      </c>
      <c r="C79" s="296" t="s">
        <v>1700</v>
      </c>
      <c r="D79" s="296" t="s">
        <v>1701</v>
      </c>
      <c r="E79" s="297">
        <v>201803605</v>
      </c>
      <c r="F79" s="296" t="s">
        <v>1406</v>
      </c>
      <c r="G79" s="296" t="s">
        <v>1407</v>
      </c>
      <c r="H79" s="146"/>
      <c r="I79" s="146"/>
      <c r="J79" s="146"/>
      <c r="K79" s="146"/>
      <c r="L79" s="146"/>
      <c r="M79" s="146"/>
      <c r="N79" s="146"/>
      <c r="O79" s="146"/>
      <c r="P79" s="287">
        <f t="shared" si="5"/>
        <v>0</v>
      </c>
      <c r="Q79" s="146"/>
      <c r="R79" s="146"/>
      <c r="S79" s="146"/>
      <c r="T79" s="146"/>
      <c r="U79" s="146"/>
      <c r="V79" s="146"/>
      <c r="W79" s="146">
        <v>1</v>
      </c>
      <c r="X79" s="298">
        <v>43419</v>
      </c>
      <c r="Y79" s="273">
        <f t="shared" si="6"/>
        <v>1</v>
      </c>
      <c r="Z79" s="146"/>
      <c r="AA79" s="146"/>
      <c r="AB79" s="146"/>
      <c r="AC79" s="146"/>
      <c r="AD79" s="146"/>
      <c r="AE79" s="146"/>
      <c r="AF79" s="146"/>
      <c r="AG79" s="146"/>
      <c r="AH79" s="273">
        <f t="shared" si="4"/>
        <v>0</v>
      </c>
      <c r="AI79" s="146"/>
      <c r="AJ79" s="146" t="s">
        <v>2479</v>
      </c>
      <c r="AK79" s="146" t="s">
        <v>2480</v>
      </c>
      <c r="AL79" s="146"/>
      <c r="AM79" s="146"/>
      <c r="AN79" s="146"/>
      <c r="AO79" s="146"/>
      <c r="AP79" s="146"/>
      <c r="AQ79" s="146"/>
      <c r="AR79" s="146"/>
      <c r="AS79" s="146"/>
    </row>
    <row r="80" spans="1:45" s="77" customFormat="1" ht="15.75" x14ac:dyDescent="0.2">
      <c r="A80" s="146"/>
      <c r="B80" s="296" t="s">
        <v>1685</v>
      </c>
      <c r="C80" s="296" t="s">
        <v>1702</v>
      </c>
      <c r="D80" s="296" t="s">
        <v>1703</v>
      </c>
      <c r="E80" s="297">
        <v>201803606</v>
      </c>
      <c r="F80" s="296" t="s">
        <v>1406</v>
      </c>
      <c r="G80" s="296" t="s">
        <v>1407</v>
      </c>
      <c r="H80" s="146"/>
      <c r="I80" s="146"/>
      <c r="J80" s="146"/>
      <c r="K80" s="146"/>
      <c r="L80" s="146"/>
      <c r="M80" s="146"/>
      <c r="N80" s="146"/>
      <c r="O80" s="146"/>
      <c r="P80" s="287">
        <f t="shared" si="5"/>
        <v>0</v>
      </c>
      <c r="Q80" s="146"/>
      <c r="R80" s="146"/>
      <c r="S80" s="146"/>
      <c r="T80" s="146"/>
      <c r="U80" s="146"/>
      <c r="V80" s="146"/>
      <c r="W80" s="146">
        <v>1</v>
      </c>
      <c r="X80" s="298">
        <v>43419</v>
      </c>
      <c r="Y80" s="273">
        <f t="shared" si="6"/>
        <v>1</v>
      </c>
      <c r="Z80" s="146"/>
      <c r="AA80" s="146"/>
      <c r="AB80" s="146"/>
      <c r="AC80" s="146"/>
      <c r="AD80" s="146"/>
      <c r="AE80" s="146"/>
      <c r="AF80" s="146"/>
      <c r="AG80" s="146"/>
      <c r="AH80" s="273">
        <f t="shared" si="4"/>
        <v>0</v>
      </c>
      <c r="AI80" s="146"/>
      <c r="AJ80" s="146" t="s">
        <v>2479</v>
      </c>
      <c r="AK80" s="146" t="s">
        <v>2480</v>
      </c>
      <c r="AL80" s="146"/>
      <c r="AM80" s="146"/>
      <c r="AN80" s="146"/>
      <c r="AO80" s="146"/>
      <c r="AP80" s="146"/>
      <c r="AQ80" s="146"/>
      <c r="AR80" s="146"/>
      <c r="AS80" s="146"/>
    </row>
    <row r="81" spans="1:45" s="77" customFormat="1" ht="15.75" x14ac:dyDescent="0.2">
      <c r="A81" s="146"/>
      <c r="B81" s="296" t="s">
        <v>1668</v>
      </c>
      <c r="C81" s="296" t="s">
        <v>1704</v>
      </c>
      <c r="D81" s="296" t="s">
        <v>1705</v>
      </c>
      <c r="E81" s="297">
        <v>201803607</v>
      </c>
      <c r="F81" s="296" t="s">
        <v>1406</v>
      </c>
      <c r="G81" s="296" t="s">
        <v>1407</v>
      </c>
      <c r="H81" s="146"/>
      <c r="I81" s="146"/>
      <c r="J81" s="146"/>
      <c r="K81" s="146"/>
      <c r="L81" s="146"/>
      <c r="M81" s="146"/>
      <c r="N81" s="146"/>
      <c r="O81" s="146"/>
      <c r="P81" s="287">
        <f t="shared" si="5"/>
        <v>0</v>
      </c>
      <c r="Q81" s="146"/>
      <c r="R81" s="146"/>
      <c r="S81" s="146"/>
      <c r="T81" s="146"/>
      <c r="U81" s="146"/>
      <c r="V81" s="146"/>
      <c r="W81" s="146">
        <v>1</v>
      </c>
      <c r="X81" s="298">
        <v>43419</v>
      </c>
      <c r="Y81" s="273">
        <f t="shared" si="6"/>
        <v>1</v>
      </c>
      <c r="Z81" s="146"/>
      <c r="AA81" s="146"/>
      <c r="AB81" s="146"/>
      <c r="AC81" s="146"/>
      <c r="AD81" s="146"/>
      <c r="AE81" s="146"/>
      <c r="AF81" s="146"/>
      <c r="AG81" s="146"/>
      <c r="AH81" s="273">
        <f t="shared" si="4"/>
        <v>0</v>
      </c>
      <c r="AI81" s="146"/>
      <c r="AJ81" s="146" t="s">
        <v>2479</v>
      </c>
      <c r="AK81" s="146" t="s">
        <v>2480</v>
      </c>
      <c r="AL81" s="146"/>
      <c r="AM81" s="146"/>
      <c r="AN81" s="146"/>
      <c r="AO81" s="146"/>
      <c r="AP81" s="146"/>
      <c r="AQ81" s="146"/>
      <c r="AR81" s="146"/>
      <c r="AS81" s="146"/>
    </row>
    <row r="82" spans="1:45" s="222" customFormat="1" x14ac:dyDescent="0.2">
      <c r="A82" s="146"/>
      <c r="B82" s="296" t="s">
        <v>1706</v>
      </c>
      <c r="C82" s="296" t="s">
        <v>1707</v>
      </c>
      <c r="D82" s="296" t="s">
        <v>1708</v>
      </c>
      <c r="E82" s="297">
        <v>201802324</v>
      </c>
      <c r="F82" s="296" t="s">
        <v>1411</v>
      </c>
      <c r="G82" s="296" t="s">
        <v>1407</v>
      </c>
      <c r="H82" s="146"/>
      <c r="I82" s="146"/>
      <c r="J82" s="146"/>
      <c r="K82" s="146"/>
      <c r="L82" s="146"/>
      <c r="M82" s="146"/>
      <c r="N82" s="146"/>
      <c r="O82" s="146"/>
      <c r="P82" s="287">
        <f t="shared" si="5"/>
        <v>0</v>
      </c>
      <c r="Q82" s="146"/>
      <c r="R82" s="146"/>
      <c r="S82" s="146"/>
      <c r="T82" s="146"/>
      <c r="U82" s="146"/>
      <c r="V82" s="146"/>
      <c r="W82" s="146">
        <v>1</v>
      </c>
      <c r="X82" s="298">
        <v>43255</v>
      </c>
      <c r="Y82" s="273">
        <f t="shared" si="6"/>
        <v>1</v>
      </c>
      <c r="Z82" s="146"/>
      <c r="AA82" s="146"/>
      <c r="AB82" s="146"/>
      <c r="AC82" s="146"/>
      <c r="AD82" s="146"/>
      <c r="AE82" s="146"/>
      <c r="AF82" s="146"/>
      <c r="AG82" s="146"/>
      <c r="AH82" s="273">
        <f t="shared" si="4"/>
        <v>0</v>
      </c>
      <c r="AI82" s="146"/>
      <c r="AJ82" s="146" t="s">
        <v>2479</v>
      </c>
      <c r="AK82" s="146" t="s">
        <v>2480</v>
      </c>
      <c r="AL82" s="146"/>
      <c r="AM82" s="146"/>
      <c r="AN82" s="146"/>
      <c r="AO82" s="146"/>
      <c r="AP82" s="146"/>
      <c r="AQ82" s="146"/>
      <c r="AR82" s="146"/>
      <c r="AS82" s="146"/>
    </row>
    <row r="83" spans="1:45" s="222" customFormat="1" x14ac:dyDescent="0.2">
      <c r="A83" s="146"/>
      <c r="B83" s="296" t="s">
        <v>1706</v>
      </c>
      <c r="C83" s="296" t="s">
        <v>1709</v>
      </c>
      <c r="D83" s="296" t="s">
        <v>1710</v>
      </c>
      <c r="E83" s="297">
        <v>201802341</v>
      </c>
      <c r="F83" s="296" t="s">
        <v>1411</v>
      </c>
      <c r="G83" s="296" t="s">
        <v>1407</v>
      </c>
      <c r="H83" s="146"/>
      <c r="I83" s="146"/>
      <c r="J83" s="146"/>
      <c r="K83" s="146"/>
      <c r="L83" s="146"/>
      <c r="M83" s="146"/>
      <c r="N83" s="146"/>
      <c r="O83" s="146"/>
      <c r="P83" s="287">
        <f t="shared" si="5"/>
        <v>0</v>
      </c>
      <c r="Q83" s="146"/>
      <c r="R83" s="146"/>
      <c r="S83" s="146"/>
      <c r="T83" s="146"/>
      <c r="U83" s="146"/>
      <c r="V83" s="146"/>
      <c r="W83" s="146">
        <v>1</v>
      </c>
      <c r="X83" s="298">
        <v>43255</v>
      </c>
      <c r="Y83" s="273">
        <f t="shared" si="6"/>
        <v>1</v>
      </c>
      <c r="Z83" s="146"/>
      <c r="AA83" s="146"/>
      <c r="AB83" s="146"/>
      <c r="AC83" s="146"/>
      <c r="AD83" s="146"/>
      <c r="AE83" s="146"/>
      <c r="AF83" s="146"/>
      <c r="AG83" s="146"/>
      <c r="AH83" s="273">
        <f t="shared" si="4"/>
        <v>0</v>
      </c>
      <c r="AI83" s="146"/>
      <c r="AJ83" s="146" t="s">
        <v>2479</v>
      </c>
      <c r="AK83" s="146" t="s">
        <v>2480</v>
      </c>
      <c r="AL83" s="146"/>
      <c r="AM83" s="146"/>
      <c r="AN83" s="146"/>
      <c r="AO83" s="146"/>
      <c r="AP83" s="146"/>
      <c r="AQ83" s="146"/>
      <c r="AR83" s="146"/>
      <c r="AS83" s="146"/>
    </row>
    <row r="84" spans="1:45" s="222" customFormat="1" x14ac:dyDescent="0.2">
      <c r="A84" s="146"/>
      <c r="B84" s="296" t="s">
        <v>1706</v>
      </c>
      <c r="C84" s="296" t="s">
        <v>1711</v>
      </c>
      <c r="D84" s="296" t="s">
        <v>1712</v>
      </c>
      <c r="E84" s="297">
        <v>201802343</v>
      </c>
      <c r="F84" s="296" t="s">
        <v>1411</v>
      </c>
      <c r="G84" s="296" t="s">
        <v>1407</v>
      </c>
      <c r="H84" s="146"/>
      <c r="I84" s="146"/>
      <c r="J84" s="146"/>
      <c r="K84" s="146"/>
      <c r="L84" s="146"/>
      <c r="M84" s="146"/>
      <c r="N84" s="146"/>
      <c r="O84" s="146"/>
      <c r="P84" s="287">
        <f t="shared" si="5"/>
        <v>0</v>
      </c>
      <c r="Q84" s="146"/>
      <c r="R84" s="146"/>
      <c r="S84" s="146"/>
      <c r="T84" s="146"/>
      <c r="U84" s="146"/>
      <c r="V84" s="146"/>
      <c r="W84" s="146">
        <v>1</v>
      </c>
      <c r="X84" s="298">
        <v>43255</v>
      </c>
      <c r="Y84" s="273">
        <f t="shared" si="6"/>
        <v>1</v>
      </c>
      <c r="Z84" s="146"/>
      <c r="AA84" s="146"/>
      <c r="AB84" s="146"/>
      <c r="AC84" s="146"/>
      <c r="AD84" s="146"/>
      <c r="AE84" s="146"/>
      <c r="AF84" s="146"/>
      <c r="AG84" s="146"/>
      <c r="AH84" s="273">
        <f t="shared" si="4"/>
        <v>0</v>
      </c>
      <c r="AI84" s="146"/>
      <c r="AJ84" s="146" t="s">
        <v>2479</v>
      </c>
      <c r="AK84" s="146" t="s">
        <v>2480</v>
      </c>
      <c r="AL84" s="146"/>
      <c r="AM84" s="146"/>
      <c r="AN84" s="146"/>
      <c r="AO84" s="146"/>
      <c r="AP84" s="146"/>
      <c r="AQ84" s="146"/>
      <c r="AR84" s="146"/>
      <c r="AS84" s="146"/>
    </row>
    <row r="85" spans="1:45" s="222" customFormat="1" x14ac:dyDescent="0.2">
      <c r="A85" s="146"/>
      <c r="B85" s="296" t="s">
        <v>1706</v>
      </c>
      <c r="C85" s="296" t="s">
        <v>1713</v>
      </c>
      <c r="D85" s="296" t="s">
        <v>1714</v>
      </c>
      <c r="E85" s="297">
        <v>201802344</v>
      </c>
      <c r="F85" s="296" t="s">
        <v>1411</v>
      </c>
      <c r="G85" s="296" t="s">
        <v>1407</v>
      </c>
      <c r="H85" s="146"/>
      <c r="I85" s="146"/>
      <c r="J85" s="146"/>
      <c r="K85" s="146"/>
      <c r="L85" s="146"/>
      <c r="M85" s="146"/>
      <c r="N85" s="146"/>
      <c r="O85" s="146"/>
      <c r="P85" s="287">
        <f t="shared" si="5"/>
        <v>0</v>
      </c>
      <c r="Q85" s="146"/>
      <c r="R85" s="146"/>
      <c r="S85" s="146"/>
      <c r="T85" s="146"/>
      <c r="U85" s="146"/>
      <c r="V85" s="146"/>
      <c r="W85" s="146">
        <v>1</v>
      </c>
      <c r="X85" s="298">
        <v>43255</v>
      </c>
      <c r="Y85" s="273">
        <f t="shared" si="6"/>
        <v>1</v>
      </c>
      <c r="Z85" s="146"/>
      <c r="AA85" s="146"/>
      <c r="AB85" s="146"/>
      <c r="AC85" s="146"/>
      <c r="AD85" s="146"/>
      <c r="AE85" s="146"/>
      <c r="AF85" s="146"/>
      <c r="AG85" s="146"/>
      <c r="AH85" s="273">
        <f t="shared" si="4"/>
        <v>0</v>
      </c>
      <c r="AI85" s="146"/>
      <c r="AJ85" s="146" t="s">
        <v>2479</v>
      </c>
      <c r="AK85" s="146" t="s">
        <v>2480</v>
      </c>
      <c r="AL85" s="146"/>
      <c r="AM85" s="146"/>
      <c r="AN85" s="146"/>
      <c r="AO85" s="146"/>
      <c r="AP85" s="146"/>
      <c r="AQ85" s="146"/>
      <c r="AR85" s="146"/>
      <c r="AS85" s="146"/>
    </row>
    <row r="86" spans="1:45" s="222" customFormat="1" x14ac:dyDescent="0.2">
      <c r="A86" s="146"/>
      <c r="B86" s="296" t="s">
        <v>1706</v>
      </c>
      <c r="C86" s="296" t="s">
        <v>1715</v>
      </c>
      <c r="D86" s="296" t="s">
        <v>1716</v>
      </c>
      <c r="E86" s="297">
        <v>201802345</v>
      </c>
      <c r="F86" s="296" t="s">
        <v>1411</v>
      </c>
      <c r="G86" s="296" t="s">
        <v>1407</v>
      </c>
      <c r="H86" s="146"/>
      <c r="I86" s="146"/>
      <c r="J86" s="146"/>
      <c r="K86" s="146"/>
      <c r="L86" s="146"/>
      <c r="M86" s="146"/>
      <c r="N86" s="146"/>
      <c r="O86" s="146"/>
      <c r="P86" s="287">
        <f t="shared" si="5"/>
        <v>0</v>
      </c>
      <c r="Q86" s="146"/>
      <c r="R86" s="146"/>
      <c r="S86" s="146"/>
      <c r="T86" s="146"/>
      <c r="U86" s="146"/>
      <c r="V86" s="146"/>
      <c r="W86" s="146">
        <v>1</v>
      </c>
      <c r="X86" s="298">
        <v>43255</v>
      </c>
      <c r="Y86" s="273">
        <f t="shared" si="6"/>
        <v>1</v>
      </c>
      <c r="Z86" s="146"/>
      <c r="AA86" s="146"/>
      <c r="AB86" s="146"/>
      <c r="AC86" s="146"/>
      <c r="AD86" s="146"/>
      <c r="AE86" s="146"/>
      <c r="AF86" s="146"/>
      <c r="AG86" s="146"/>
      <c r="AH86" s="273">
        <f t="shared" si="4"/>
        <v>0</v>
      </c>
      <c r="AI86" s="146"/>
      <c r="AJ86" s="146" t="s">
        <v>2479</v>
      </c>
      <c r="AK86" s="146" t="s">
        <v>2480</v>
      </c>
      <c r="AL86" s="146"/>
      <c r="AM86" s="146"/>
      <c r="AN86" s="146"/>
      <c r="AO86" s="146"/>
      <c r="AP86" s="146"/>
      <c r="AQ86" s="146"/>
      <c r="AR86" s="146"/>
      <c r="AS86" s="146"/>
    </row>
    <row r="87" spans="1:45" s="222" customFormat="1" x14ac:dyDescent="0.2">
      <c r="A87" s="146"/>
      <c r="B87" s="296" t="s">
        <v>1706</v>
      </c>
      <c r="C87" s="296" t="s">
        <v>1717</v>
      </c>
      <c r="D87" s="296" t="s">
        <v>1718</v>
      </c>
      <c r="E87" s="297">
        <v>201802346</v>
      </c>
      <c r="F87" s="296" t="s">
        <v>1411</v>
      </c>
      <c r="G87" s="296" t="s">
        <v>1407</v>
      </c>
      <c r="H87" s="146"/>
      <c r="I87" s="146"/>
      <c r="J87" s="146"/>
      <c r="K87" s="146"/>
      <c r="L87" s="146"/>
      <c r="M87" s="146"/>
      <c r="N87" s="146"/>
      <c r="O87" s="146"/>
      <c r="P87" s="287">
        <f t="shared" si="5"/>
        <v>0</v>
      </c>
      <c r="Q87" s="146"/>
      <c r="R87" s="146"/>
      <c r="S87" s="146"/>
      <c r="T87" s="146"/>
      <c r="U87" s="146"/>
      <c r="V87" s="146"/>
      <c r="W87" s="146">
        <v>1</v>
      </c>
      <c r="X87" s="298">
        <v>43255</v>
      </c>
      <c r="Y87" s="273">
        <f t="shared" si="6"/>
        <v>1</v>
      </c>
      <c r="Z87" s="146"/>
      <c r="AA87" s="146"/>
      <c r="AB87" s="146"/>
      <c r="AC87" s="146"/>
      <c r="AD87" s="146"/>
      <c r="AE87" s="146"/>
      <c r="AF87" s="146"/>
      <c r="AG87" s="146"/>
      <c r="AH87" s="273">
        <f t="shared" si="4"/>
        <v>0</v>
      </c>
      <c r="AI87" s="146"/>
      <c r="AJ87" s="146" t="s">
        <v>2479</v>
      </c>
      <c r="AK87" s="146" t="s">
        <v>2480</v>
      </c>
      <c r="AL87" s="146"/>
      <c r="AM87" s="146"/>
      <c r="AN87" s="146"/>
      <c r="AO87" s="146"/>
      <c r="AP87" s="146"/>
      <c r="AQ87" s="146"/>
      <c r="AR87" s="146"/>
      <c r="AS87" s="146"/>
    </row>
    <row r="88" spans="1:45" s="222" customFormat="1" x14ac:dyDescent="0.2">
      <c r="A88" s="146"/>
      <c r="B88" s="296" t="s">
        <v>1706</v>
      </c>
      <c r="C88" s="296" t="s">
        <v>1719</v>
      </c>
      <c r="D88" s="296" t="s">
        <v>1720</v>
      </c>
      <c r="E88" s="297">
        <v>201803058</v>
      </c>
      <c r="F88" s="296" t="s">
        <v>1411</v>
      </c>
      <c r="G88" s="296" t="s">
        <v>1407</v>
      </c>
      <c r="H88" s="146"/>
      <c r="I88" s="146"/>
      <c r="J88" s="146"/>
      <c r="K88" s="146"/>
      <c r="L88" s="146"/>
      <c r="M88" s="146"/>
      <c r="N88" s="146"/>
      <c r="O88" s="146"/>
      <c r="P88" s="287">
        <f t="shared" si="5"/>
        <v>0</v>
      </c>
      <c r="Q88" s="146"/>
      <c r="R88" s="146"/>
      <c r="S88" s="146"/>
      <c r="T88" s="146"/>
      <c r="U88" s="146"/>
      <c r="V88" s="146"/>
      <c r="W88" s="146">
        <v>1</v>
      </c>
      <c r="X88" s="298">
        <v>43305</v>
      </c>
      <c r="Y88" s="273">
        <f t="shared" si="6"/>
        <v>1</v>
      </c>
      <c r="Z88" s="146"/>
      <c r="AA88" s="146"/>
      <c r="AB88" s="146"/>
      <c r="AC88" s="146"/>
      <c r="AD88" s="146"/>
      <c r="AE88" s="146"/>
      <c r="AF88" s="146"/>
      <c r="AG88" s="146"/>
      <c r="AH88" s="273">
        <f t="shared" si="4"/>
        <v>0</v>
      </c>
      <c r="AI88" s="146"/>
      <c r="AJ88" s="146" t="s">
        <v>2479</v>
      </c>
      <c r="AK88" s="146" t="s">
        <v>2480</v>
      </c>
      <c r="AL88" s="146"/>
      <c r="AM88" s="146"/>
      <c r="AN88" s="146"/>
      <c r="AO88" s="146"/>
      <c r="AP88" s="146"/>
      <c r="AQ88" s="146"/>
      <c r="AR88" s="146"/>
      <c r="AS88" s="146"/>
    </row>
    <row r="89" spans="1:45" s="222" customFormat="1" x14ac:dyDescent="0.2">
      <c r="A89" s="146"/>
      <c r="B89" s="296" t="s">
        <v>1706</v>
      </c>
      <c r="C89" s="296" t="s">
        <v>1721</v>
      </c>
      <c r="D89" s="296" t="s">
        <v>1722</v>
      </c>
      <c r="E89" s="297">
        <v>201803059</v>
      </c>
      <c r="F89" s="296" t="s">
        <v>1411</v>
      </c>
      <c r="G89" s="296" t="s">
        <v>1407</v>
      </c>
      <c r="H89" s="146"/>
      <c r="I89" s="146"/>
      <c r="J89" s="146"/>
      <c r="K89" s="146"/>
      <c r="L89" s="146"/>
      <c r="M89" s="146"/>
      <c r="N89" s="146"/>
      <c r="O89" s="146"/>
      <c r="P89" s="287">
        <f t="shared" si="5"/>
        <v>0</v>
      </c>
      <c r="Q89" s="146"/>
      <c r="R89" s="146"/>
      <c r="S89" s="146"/>
      <c r="T89" s="146"/>
      <c r="U89" s="146"/>
      <c r="V89" s="146"/>
      <c r="W89" s="146">
        <v>1</v>
      </c>
      <c r="X89" s="298">
        <v>43305</v>
      </c>
      <c r="Y89" s="273">
        <f t="shared" si="6"/>
        <v>1</v>
      </c>
      <c r="Z89" s="146"/>
      <c r="AA89" s="146"/>
      <c r="AB89" s="146"/>
      <c r="AC89" s="146"/>
      <c r="AD89" s="146"/>
      <c r="AE89" s="146"/>
      <c r="AF89" s="146"/>
      <c r="AG89" s="146"/>
      <c r="AH89" s="273">
        <f t="shared" si="4"/>
        <v>0</v>
      </c>
      <c r="AI89" s="146"/>
      <c r="AJ89" s="146" t="s">
        <v>2479</v>
      </c>
      <c r="AK89" s="146" t="s">
        <v>2480</v>
      </c>
      <c r="AL89" s="146"/>
      <c r="AM89" s="146"/>
      <c r="AN89" s="146"/>
      <c r="AO89" s="146"/>
      <c r="AP89" s="146"/>
      <c r="AQ89" s="146"/>
      <c r="AR89" s="146"/>
      <c r="AS89" s="146"/>
    </row>
    <row r="90" spans="1:45" s="77" customFormat="1" ht="15.75" x14ac:dyDescent="0.2">
      <c r="A90" s="146"/>
      <c r="B90" s="296" t="s">
        <v>1706</v>
      </c>
      <c r="C90" s="296" t="s">
        <v>1723</v>
      </c>
      <c r="D90" s="296" t="s">
        <v>1724</v>
      </c>
      <c r="E90" s="297">
        <v>201803060</v>
      </c>
      <c r="F90" s="296" t="s">
        <v>1411</v>
      </c>
      <c r="G90" s="296" t="s">
        <v>1407</v>
      </c>
      <c r="H90" s="146"/>
      <c r="I90" s="146"/>
      <c r="J90" s="146"/>
      <c r="K90" s="146"/>
      <c r="L90" s="146"/>
      <c r="M90" s="146"/>
      <c r="N90" s="146"/>
      <c r="O90" s="146"/>
      <c r="P90" s="287">
        <f t="shared" si="5"/>
        <v>0</v>
      </c>
      <c r="Q90" s="146"/>
      <c r="R90" s="146"/>
      <c r="S90" s="146"/>
      <c r="T90" s="146"/>
      <c r="U90" s="146"/>
      <c r="V90" s="146"/>
      <c r="W90" s="146">
        <v>1</v>
      </c>
      <c r="X90" s="298">
        <v>43305</v>
      </c>
      <c r="Y90" s="273">
        <f t="shared" si="6"/>
        <v>1</v>
      </c>
      <c r="Z90" s="146"/>
      <c r="AA90" s="146"/>
      <c r="AB90" s="146"/>
      <c r="AC90" s="146"/>
      <c r="AD90" s="146"/>
      <c r="AE90" s="146"/>
      <c r="AF90" s="146"/>
      <c r="AG90" s="146"/>
      <c r="AH90" s="273">
        <f t="shared" si="4"/>
        <v>0</v>
      </c>
      <c r="AI90" s="146"/>
      <c r="AJ90" s="146" t="s">
        <v>2479</v>
      </c>
      <c r="AK90" s="146" t="s">
        <v>2480</v>
      </c>
      <c r="AL90" s="146"/>
      <c r="AM90" s="146"/>
      <c r="AN90" s="146"/>
      <c r="AO90" s="146"/>
      <c r="AP90" s="146"/>
      <c r="AQ90" s="146"/>
      <c r="AR90" s="146"/>
      <c r="AS90" s="146"/>
    </row>
    <row r="91" spans="1:45" s="77" customFormat="1" ht="15.75" x14ac:dyDescent="0.2">
      <c r="A91" s="146"/>
      <c r="B91" s="296" t="s">
        <v>1706</v>
      </c>
      <c r="C91" s="296" t="s">
        <v>1725</v>
      </c>
      <c r="D91" s="296" t="s">
        <v>1726</v>
      </c>
      <c r="E91" s="297">
        <v>201803065</v>
      </c>
      <c r="F91" s="296" t="s">
        <v>1411</v>
      </c>
      <c r="G91" s="296" t="s">
        <v>1407</v>
      </c>
      <c r="H91" s="146"/>
      <c r="I91" s="146"/>
      <c r="J91" s="146"/>
      <c r="K91" s="146"/>
      <c r="L91" s="146"/>
      <c r="M91" s="146"/>
      <c r="N91" s="146"/>
      <c r="O91" s="146"/>
      <c r="P91" s="287">
        <f t="shared" si="5"/>
        <v>0</v>
      </c>
      <c r="Q91" s="146"/>
      <c r="R91" s="146"/>
      <c r="S91" s="146"/>
      <c r="T91" s="146"/>
      <c r="U91" s="146"/>
      <c r="V91" s="146"/>
      <c r="W91" s="146">
        <v>1</v>
      </c>
      <c r="X91" s="298">
        <v>43305</v>
      </c>
      <c r="Y91" s="273">
        <f t="shared" si="6"/>
        <v>1</v>
      </c>
      <c r="Z91" s="146"/>
      <c r="AA91" s="146"/>
      <c r="AB91" s="146"/>
      <c r="AC91" s="146"/>
      <c r="AD91" s="146"/>
      <c r="AE91" s="146"/>
      <c r="AF91" s="146"/>
      <c r="AG91" s="146"/>
      <c r="AH91" s="273">
        <f t="shared" si="4"/>
        <v>0</v>
      </c>
      <c r="AI91" s="146"/>
      <c r="AJ91" s="146" t="s">
        <v>2479</v>
      </c>
      <c r="AK91" s="146" t="s">
        <v>2480</v>
      </c>
      <c r="AL91" s="146"/>
      <c r="AM91" s="146"/>
      <c r="AN91" s="146"/>
      <c r="AO91" s="146"/>
      <c r="AP91" s="146"/>
      <c r="AQ91" s="146"/>
      <c r="AR91" s="146"/>
      <c r="AS91" s="146"/>
    </row>
    <row r="92" spans="1:45" s="78" customFormat="1" ht="12.75" x14ac:dyDescent="0.2">
      <c r="A92" s="146"/>
      <c r="B92" s="296" t="s">
        <v>1706</v>
      </c>
      <c r="C92" s="296" t="s">
        <v>1727</v>
      </c>
      <c r="D92" s="296" t="s">
        <v>1728</v>
      </c>
      <c r="E92" s="297">
        <v>201803066</v>
      </c>
      <c r="F92" s="296" t="s">
        <v>1411</v>
      </c>
      <c r="G92" s="296" t="s">
        <v>1407</v>
      </c>
      <c r="H92" s="146"/>
      <c r="I92" s="146"/>
      <c r="J92" s="146"/>
      <c r="K92" s="146"/>
      <c r="L92" s="146"/>
      <c r="M92" s="146"/>
      <c r="N92" s="146"/>
      <c r="O92" s="146"/>
      <c r="P92" s="287">
        <f t="shared" si="5"/>
        <v>0</v>
      </c>
      <c r="Q92" s="146"/>
      <c r="R92" s="146"/>
      <c r="S92" s="146"/>
      <c r="T92" s="146"/>
      <c r="U92" s="146"/>
      <c r="V92" s="146"/>
      <c r="W92" s="146">
        <v>1</v>
      </c>
      <c r="X92" s="298">
        <v>43305</v>
      </c>
      <c r="Y92" s="273">
        <f t="shared" si="6"/>
        <v>1</v>
      </c>
      <c r="Z92" s="146"/>
      <c r="AA92" s="146"/>
      <c r="AB92" s="146"/>
      <c r="AC92" s="146"/>
      <c r="AD92" s="146"/>
      <c r="AE92" s="146"/>
      <c r="AF92" s="146"/>
      <c r="AG92" s="146"/>
      <c r="AH92" s="273">
        <f t="shared" si="4"/>
        <v>0</v>
      </c>
      <c r="AI92" s="146"/>
      <c r="AJ92" s="146" t="s">
        <v>2479</v>
      </c>
      <c r="AK92" s="146" t="s">
        <v>2480</v>
      </c>
      <c r="AL92" s="146"/>
      <c r="AM92" s="146"/>
      <c r="AN92" s="146"/>
      <c r="AO92" s="146"/>
      <c r="AP92" s="146"/>
      <c r="AQ92" s="146"/>
      <c r="AR92" s="146"/>
      <c r="AS92" s="146"/>
    </row>
    <row r="93" spans="1:45" s="78" customFormat="1" ht="12.75" x14ac:dyDescent="0.2">
      <c r="A93" s="146"/>
      <c r="B93" s="296" t="s">
        <v>1706</v>
      </c>
      <c r="C93" s="296" t="s">
        <v>1729</v>
      </c>
      <c r="D93" s="296" t="s">
        <v>1730</v>
      </c>
      <c r="E93" s="297">
        <v>201803067</v>
      </c>
      <c r="F93" s="296" t="s">
        <v>1411</v>
      </c>
      <c r="G93" s="296" t="s">
        <v>1407</v>
      </c>
      <c r="H93" s="146"/>
      <c r="I93" s="146"/>
      <c r="J93" s="146"/>
      <c r="K93" s="146"/>
      <c r="L93" s="146"/>
      <c r="M93" s="146"/>
      <c r="N93" s="146"/>
      <c r="O93" s="146"/>
      <c r="P93" s="287">
        <f t="shared" si="5"/>
        <v>0</v>
      </c>
      <c r="Q93" s="146"/>
      <c r="R93" s="146"/>
      <c r="S93" s="146"/>
      <c r="T93" s="146"/>
      <c r="U93" s="146"/>
      <c r="V93" s="146"/>
      <c r="W93" s="146">
        <v>1</v>
      </c>
      <c r="X93" s="298">
        <v>43305</v>
      </c>
      <c r="Y93" s="273">
        <f t="shared" si="6"/>
        <v>1</v>
      </c>
      <c r="Z93" s="146"/>
      <c r="AA93" s="146"/>
      <c r="AB93" s="146"/>
      <c r="AC93" s="146"/>
      <c r="AD93" s="146"/>
      <c r="AE93" s="146"/>
      <c r="AF93" s="146"/>
      <c r="AG93" s="146"/>
      <c r="AH93" s="273">
        <f t="shared" si="4"/>
        <v>0</v>
      </c>
      <c r="AI93" s="146"/>
      <c r="AJ93" s="146" t="s">
        <v>2479</v>
      </c>
      <c r="AK93" s="146" t="s">
        <v>2480</v>
      </c>
      <c r="AL93" s="146"/>
      <c r="AM93" s="146"/>
      <c r="AN93" s="146"/>
      <c r="AO93" s="146"/>
      <c r="AP93" s="146"/>
      <c r="AQ93" s="146"/>
      <c r="AR93" s="146"/>
      <c r="AS93" s="146"/>
    </row>
    <row r="94" spans="1:45" s="78" customFormat="1" ht="12.75" x14ac:dyDescent="0.2">
      <c r="A94" s="146"/>
      <c r="B94" s="296"/>
      <c r="C94" s="296" t="s">
        <v>1731</v>
      </c>
      <c r="D94" s="296" t="s">
        <v>1732</v>
      </c>
      <c r="E94" s="297">
        <v>201804388</v>
      </c>
      <c r="F94" s="296" t="s">
        <v>1411</v>
      </c>
      <c r="G94" s="296" t="s">
        <v>1407</v>
      </c>
      <c r="H94" s="146"/>
      <c r="I94" s="146"/>
      <c r="J94" s="146"/>
      <c r="K94" s="146"/>
      <c r="L94" s="146"/>
      <c r="M94" s="146"/>
      <c r="N94" s="146"/>
      <c r="O94" s="146"/>
      <c r="P94" s="287">
        <f t="shared" si="5"/>
        <v>0</v>
      </c>
      <c r="Q94" s="146"/>
      <c r="R94" s="146"/>
      <c r="S94" s="146"/>
      <c r="T94" s="146"/>
      <c r="U94" s="146"/>
      <c r="V94" s="146"/>
      <c r="W94" s="146">
        <v>1</v>
      </c>
      <c r="X94" s="298">
        <v>43360</v>
      </c>
      <c r="Y94" s="273">
        <f t="shared" si="6"/>
        <v>1</v>
      </c>
      <c r="Z94" s="146"/>
      <c r="AA94" s="146"/>
      <c r="AB94" s="146"/>
      <c r="AC94" s="146"/>
      <c r="AD94" s="146"/>
      <c r="AE94" s="146"/>
      <c r="AF94" s="146"/>
      <c r="AG94" s="146"/>
      <c r="AH94" s="273">
        <f t="shared" si="4"/>
        <v>0</v>
      </c>
      <c r="AI94" s="146"/>
      <c r="AJ94" s="146" t="s">
        <v>2479</v>
      </c>
      <c r="AK94" s="146" t="s">
        <v>2480</v>
      </c>
      <c r="AL94" s="146"/>
      <c r="AM94" s="146"/>
      <c r="AN94" s="146"/>
      <c r="AO94" s="146"/>
      <c r="AP94" s="146"/>
      <c r="AQ94" s="146"/>
      <c r="AR94" s="146"/>
      <c r="AS94" s="146"/>
    </row>
    <row r="95" spans="1:45" s="222" customFormat="1" x14ac:dyDescent="0.2">
      <c r="A95" s="146"/>
      <c r="B95" s="296"/>
      <c r="C95" s="296" t="s">
        <v>1733</v>
      </c>
      <c r="D95" s="296" t="s">
        <v>1734</v>
      </c>
      <c r="E95" s="297">
        <v>201804387</v>
      </c>
      <c r="F95" s="296" t="s">
        <v>1411</v>
      </c>
      <c r="G95" s="296" t="s">
        <v>1407</v>
      </c>
      <c r="H95" s="146"/>
      <c r="I95" s="146"/>
      <c r="J95" s="146"/>
      <c r="K95" s="146"/>
      <c r="L95" s="146"/>
      <c r="M95" s="146"/>
      <c r="N95" s="146"/>
      <c r="O95" s="146"/>
      <c r="P95" s="287">
        <f t="shared" si="5"/>
        <v>0</v>
      </c>
      <c r="Q95" s="146"/>
      <c r="R95" s="146"/>
      <c r="S95" s="146"/>
      <c r="T95" s="146"/>
      <c r="U95" s="146"/>
      <c r="V95" s="146"/>
      <c r="W95" s="146">
        <v>1</v>
      </c>
      <c r="X95" s="298">
        <v>43360</v>
      </c>
      <c r="Y95" s="273">
        <f t="shared" si="6"/>
        <v>1</v>
      </c>
      <c r="Z95" s="146"/>
      <c r="AA95" s="146"/>
      <c r="AB95" s="146"/>
      <c r="AC95" s="146"/>
      <c r="AD95" s="146"/>
      <c r="AE95" s="146"/>
      <c r="AF95" s="146"/>
      <c r="AG95" s="146"/>
      <c r="AH95" s="273">
        <f t="shared" si="4"/>
        <v>0</v>
      </c>
      <c r="AI95" s="146"/>
      <c r="AJ95" s="146" t="s">
        <v>2479</v>
      </c>
      <c r="AK95" s="146" t="s">
        <v>2480</v>
      </c>
      <c r="AL95" s="146"/>
      <c r="AM95" s="146"/>
      <c r="AN95" s="146"/>
      <c r="AO95" s="146"/>
      <c r="AP95" s="146"/>
      <c r="AQ95" s="146"/>
      <c r="AR95" s="146"/>
      <c r="AS95" s="146"/>
    </row>
    <row r="96" spans="1:45" s="222" customFormat="1" x14ac:dyDescent="0.2">
      <c r="A96" s="146"/>
      <c r="B96" s="296" t="s">
        <v>1735</v>
      </c>
      <c r="C96" s="296" t="s">
        <v>1736</v>
      </c>
      <c r="D96" s="296" t="s">
        <v>1737</v>
      </c>
      <c r="E96" s="297">
        <v>201804395</v>
      </c>
      <c r="F96" s="296" t="s">
        <v>1411</v>
      </c>
      <c r="G96" s="296" t="s">
        <v>1407</v>
      </c>
      <c r="H96" s="146"/>
      <c r="I96" s="146"/>
      <c r="J96" s="146"/>
      <c r="K96" s="146"/>
      <c r="L96" s="146"/>
      <c r="M96" s="146"/>
      <c r="N96" s="146"/>
      <c r="O96" s="146"/>
      <c r="P96" s="287">
        <f t="shared" si="5"/>
        <v>0</v>
      </c>
      <c r="Q96" s="146"/>
      <c r="R96" s="146"/>
      <c r="S96" s="146"/>
      <c r="T96" s="146"/>
      <c r="U96" s="146"/>
      <c r="V96" s="146"/>
      <c r="W96" s="146">
        <v>1</v>
      </c>
      <c r="X96" s="298">
        <v>43360</v>
      </c>
      <c r="Y96" s="273">
        <f t="shared" si="6"/>
        <v>1</v>
      </c>
      <c r="Z96" s="146"/>
      <c r="AA96" s="146"/>
      <c r="AB96" s="146"/>
      <c r="AC96" s="146"/>
      <c r="AD96" s="146"/>
      <c r="AE96" s="146"/>
      <c r="AF96" s="146"/>
      <c r="AG96" s="146"/>
      <c r="AH96" s="273">
        <f t="shared" si="4"/>
        <v>0</v>
      </c>
      <c r="AI96" s="146"/>
      <c r="AJ96" s="146" t="s">
        <v>2479</v>
      </c>
      <c r="AK96" s="146" t="s">
        <v>2480</v>
      </c>
      <c r="AL96" s="146"/>
      <c r="AM96" s="146"/>
      <c r="AN96" s="146"/>
      <c r="AO96" s="146"/>
      <c r="AP96" s="146"/>
      <c r="AQ96" s="146"/>
      <c r="AR96" s="146"/>
      <c r="AS96" s="146"/>
    </row>
    <row r="97" spans="1:45" s="222" customFormat="1" x14ac:dyDescent="0.2">
      <c r="A97" s="146"/>
      <c r="B97" s="296" t="s">
        <v>1735</v>
      </c>
      <c r="C97" s="296" t="s">
        <v>1738</v>
      </c>
      <c r="D97" s="296" t="s">
        <v>1739</v>
      </c>
      <c r="E97" s="297">
        <v>201804398</v>
      </c>
      <c r="F97" s="296" t="s">
        <v>1411</v>
      </c>
      <c r="G97" s="296" t="s">
        <v>1407</v>
      </c>
      <c r="H97" s="146"/>
      <c r="I97" s="146"/>
      <c r="J97" s="146"/>
      <c r="K97" s="146"/>
      <c r="L97" s="146"/>
      <c r="M97" s="146"/>
      <c r="N97" s="146"/>
      <c r="O97" s="146"/>
      <c r="P97" s="287">
        <f t="shared" si="5"/>
        <v>0</v>
      </c>
      <c r="Q97" s="146"/>
      <c r="R97" s="146"/>
      <c r="S97" s="146"/>
      <c r="T97" s="146"/>
      <c r="U97" s="146"/>
      <c r="V97" s="146"/>
      <c r="W97" s="146">
        <v>1</v>
      </c>
      <c r="X97" s="293">
        <v>43360</v>
      </c>
      <c r="Y97" s="273">
        <f t="shared" si="6"/>
        <v>1</v>
      </c>
      <c r="Z97" s="146"/>
      <c r="AA97" s="146"/>
      <c r="AB97" s="146"/>
      <c r="AC97" s="146"/>
      <c r="AD97" s="146"/>
      <c r="AE97" s="146"/>
      <c r="AF97" s="146"/>
      <c r="AG97" s="146"/>
      <c r="AH97" s="273">
        <f t="shared" ref="AH97:AH160" si="7">SUM(Z97:AF97)</f>
        <v>0</v>
      </c>
      <c r="AI97" s="146"/>
      <c r="AJ97" s="146" t="s">
        <v>2479</v>
      </c>
      <c r="AK97" s="146" t="s">
        <v>2480</v>
      </c>
      <c r="AL97" s="146"/>
      <c r="AM97" s="146"/>
      <c r="AN97" s="146"/>
      <c r="AO97" s="146"/>
      <c r="AP97" s="146"/>
      <c r="AQ97" s="146"/>
      <c r="AR97" s="146"/>
      <c r="AS97" s="146"/>
    </row>
    <row r="98" spans="1:45" s="222" customFormat="1" x14ac:dyDescent="0.2">
      <c r="A98" s="146"/>
      <c r="B98" s="296" t="s">
        <v>1735</v>
      </c>
      <c r="C98" s="296" t="s">
        <v>1740</v>
      </c>
      <c r="D98" s="296" t="s">
        <v>1741</v>
      </c>
      <c r="E98" s="297">
        <v>201804397</v>
      </c>
      <c r="F98" s="296" t="s">
        <v>1411</v>
      </c>
      <c r="G98" s="296" t="s">
        <v>1407</v>
      </c>
      <c r="H98" s="146"/>
      <c r="I98" s="146"/>
      <c r="J98" s="146"/>
      <c r="K98" s="146"/>
      <c r="L98" s="146"/>
      <c r="M98" s="146"/>
      <c r="N98" s="146"/>
      <c r="O98" s="146"/>
      <c r="P98" s="287">
        <f t="shared" si="5"/>
        <v>0</v>
      </c>
      <c r="Q98" s="146"/>
      <c r="R98" s="146"/>
      <c r="S98" s="146"/>
      <c r="T98" s="146"/>
      <c r="U98" s="146"/>
      <c r="V98" s="146"/>
      <c r="W98" s="146">
        <v>1</v>
      </c>
      <c r="X98" s="298">
        <v>43360</v>
      </c>
      <c r="Y98" s="273">
        <f t="shared" si="6"/>
        <v>1</v>
      </c>
      <c r="Z98" s="146"/>
      <c r="AA98" s="146"/>
      <c r="AB98" s="146"/>
      <c r="AC98" s="146"/>
      <c r="AD98" s="146"/>
      <c r="AE98" s="146"/>
      <c r="AF98" s="146"/>
      <c r="AG98" s="146"/>
      <c r="AH98" s="273">
        <f t="shared" si="7"/>
        <v>0</v>
      </c>
      <c r="AI98" s="146"/>
      <c r="AJ98" s="146" t="s">
        <v>2479</v>
      </c>
      <c r="AK98" s="146" t="s">
        <v>2480</v>
      </c>
      <c r="AL98" s="146"/>
      <c r="AM98" s="146"/>
      <c r="AN98" s="146"/>
      <c r="AO98" s="146"/>
      <c r="AP98" s="146"/>
      <c r="AQ98" s="146"/>
      <c r="AR98" s="146"/>
      <c r="AS98" s="146"/>
    </row>
    <row r="99" spans="1:45" s="222" customFormat="1" x14ac:dyDescent="0.2">
      <c r="A99" s="146"/>
      <c r="B99" s="296"/>
      <c r="C99" s="296" t="s">
        <v>1742</v>
      </c>
      <c r="D99" s="296" t="s">
        <v>1743</v>
      </c>
      <c r="E99" s="297">
        <v>201804879</v>
      </c>
      <c r="F99" s="296" t="s">
        <v>1411</v>
      </c>
      <c r="G99" s="296" t="s">
        <v>1407</v>
      </c>
      <c r="H99" s="146"/>
      <c r="I99" s="146"/>
      <c r="J99" s="146"/>
      <c r="K99" s="146"/>
      <c r="L99" s="146"/>
      <c r="M99" s="146"/>
      <c r="N99" s="146"/>
      <c r="O99" s="146"/>
      <c r="P99" s="287">
        <f t="shared" si="5"/>
        <v>0</v>
      </c>
      <c r="Q99" s="146"/>
      <c r="R99" s="146"/>
      <c r="S99" s="146"/>
      <c r="T99" s="146"/>
      <c r="U99" s="146"/>
      <c r="V99" s="146"/>
      <c r="W99" s="146">
        <v>1</v>
      </c>
      <c r="X99" s="298">
        <v>43391</v>
      </c>
      <c r="Y99" s="273">
        <f t="shared" si="6"/>
        <v>1</v>
      </c>
      <c r="Z99" s="146"/>
      <c r="AA99" s="146"/>
      <c r="AB99" s="146"/>
      <c r="AC99" s="146"/>
      <c r="AD99" s="146"/>
      <c r="AE99" s="146"/>
      <c r="AF99" s="146"/>
      <c r="AG99" s="146"/>
      <c r="AH99" s="273">
        <f t="shared" si="7"/>
        <v>0</v>
      </c>
      <c r="AI99" s="146"/>
      <c r="AJ99" s="146" t="s">
        <v>2479</v>
      </c>
      <c r="AK99" s="146" t="s">
        <v>2480</v>
      </c>
      <c r="AL99" s="146"/>
      <c r="AM99" s="146"/>
      <c r="AN99" s="146"/>
      <c r="AO99" s="146"/>
      <c r="AP99" s="146"/>
      <c r="AQ99" s="146"/>
      <c r="AR99" s="146"/>
      <c r="AS99" s="146"/>
    </row>
    <row r="100" spans="1:45" s="222" customFormat="1" x14ac:dyDescent="0.2">
      <c r="A100" s="146"/>
      <c r="B100" s="296"/>
      <c r="C100" s="296" t="s">
        <v>1744</v>
      </c>
      <c r="D100" s="296" t="s">
        <v>1745</v>
      </c>
      <c r="E100" s="297">
        <v>201804880</v>
      </c>
      <c r="F100" s="296" t="s">
        <v>1411</v>
      </c>
      <c r="G100" s="296" t="s">
        <v>1407</v>
      </c>
      <c r="H100" s="146"/>
      <c r="I100" s="146"/>
      <c r="J100" s="146"/>
      <c r="K100" s="146"/>
      <c r="L100" s="146"/>
      <c r="M100" s="146"/>
      <c r="N100" s="146"/>
      <c r="O100" s="146"/>
      <c r="P100" s="287">
        <f t="shared" si="5"/>
        <v>0</v>
      </c>
      <c r="Q100" s="146"/>
      <c r="R100" s="146"/>
      <c r="S100" s="146"/>
      <c r="T100" s="146"/>
      <c r="U100" s="146"/>
      <c r="V100" s="146"/>
      <c r="W100" s="146">
        <v>1</v>
      </c>
      <c r="X100" s="298">
        <v>43391</v>
      </c>
      <c r="Y100" s="273">
        <f t="shared" si="6"/>
        <v>1</v>
      </c>
      <c r="Z100" s="146"/>
      <c r="AA100" s="146"/>
      <c r="AB100" s="146"/>
      <c r="AC100" s="146"/>
      <c r="AD100" s="146"/>
      <c r="AE100" s="146"/>
      <c r="AF100" s="146"/>
      <c r="AG100" s="146"/>
      <c r="AH100" s="273">
        <f t="shared" si="7"/>
        <v>0</v>
      </c>
      <c r="AI100" s="146"/>
      <c r="AJ100" s="146" t="s">
        <v>2479</v>
      </c>
      <c r="AK100" s="146" t="s">
        <v>2480</v>
      </c>
      <c r="AL100" s="146"/>
      <c r="AM100" s="146"/>
      <c r="AN100" s="146"/>
      <c r="AO100" s="146"/>
      <c r="AP100" s="146"/>
      <c r="AQ100" s="146"/>
      <c r="AR100" s="146"/>
      <c r="AS100" s="146"/>
    </row>
    <row r="101" spans="1:45" s="222" customFormat="1" x14ac:dyDescent="0.2">
      <c r="A101" s="146"/>
      <c r="B101" s="296"/>
      <c r="C101" s="296" t="s">
        <v>1746</v>
      </c>
      <c r="D101" s="296" t="s">
        <v>1747</v>
      </c>
      <c r="E101" s="297">
        <v>201804881</v>
      </c>
      <c r="F101" s="296" t="s">
        <v>1411</v>
      </c>
      <c r="G101" s="296" t="s">
        <v>1407</v>
      </c>
      <c r="H101" s="146"/>
      <c r="I101" s="146"/>
      <c r="J101" s="146"/>
      <c r="K101" s="146"/>
      <c r="L101" s="146"/>
      <c r="M101" s="146"/>
      <c r="N101" s="146"/>
      <c r="O101" s="146"/>
      <c r="P101" s="287">
        <f t="shared" si="5"/>
        <v>0</v>
      </c>
      <c r="Q101" s="146"/>
      <c r="R101" s="146"/>
      <c r="S101" s="146"/>
      <c r="T101" s="146"/>
      <c r="U101" s="146"/>
      <c r="V101" s="146"/>
      <c r="W101" s="146">
        <v>1</v>
      </c>
      <c r="X101" s="298">
        <v>43391</v>
      </c>
      <c r="Y101" s="273">
        <f t="shared" si="6"/>
        <v>1</v>
      </c>
      <c r="Z101" s="146"/>
      <c r="AA101" s="146"/>
      <c r="AB101" s="146"/>
      <c r="AC101" s="146"/>
      <c r="AD101" s="146"/>
      <c r="AE101" s="146"/>
      <c r="AF101" s="146"/>
      <c r="AG101" s="146"/>
      <c r="AH101" s="273">
        <f t="shared" si="7"/>
        <v>0</v>
      </c>
      <c r="AI101" s="146"/>
      <c r="AJ101" s="146" t="s">
        <v>2479</v>
      </c>
      <c r="AK101" s="146" t="s">
        <v>2480</v>
      </c>
      <c r="AL101" s="146"/>
      <c r="AM101" s="146"/>
      <c r="AN101" s="146"/>
      <c r="AO101" s="146"/>
      <c r="AP101" s="146"/>
      <c r="AQ101" s="146"/>
      <c r="AR101" s="146"/>
      <c r="AS101" s="146"/>
    </row>
    <row r="102" spans="1:45" s="222" customFormat="1" x14ac:dyDescent="0.2">
      <c r="A102" s="146"/>
      <c r="B102" s="296"/>
      <c r="C102" s="296" t="s">
        <v>1748</v>
      </c>
      <c r="D102" s="296" t="s">
        <v>1749</v>
      </c>
      <c r="E102" s="297">
        <v>201804882</v>
      </c>
      <c r="F102" s="296" t="s">
        <v>1411</v>
      </c>
      <c r="G102" s="296" t="s">
        <v>1407</v>
      </c>
      <c r="H102" s="146"/>
      <c r="I102" s="146"/>
      <c r="J102" s="146"/>
      <c r="K102" s="146"/>
      <c r="L102" s="146"/>
      <c r="M102" s="146"/>
      <c r="N102" s="146"/>
      <c r="O102" s="146"/>
      <c r="P102" s="287">
        <f t="shared" si="5"/>
        <v>0</v>
      </c>
      <c r="Q102" s="146"/>
      <c r="R102" s="146"/>
      <c r="S102" s="146"/>
      <c r="T102" s="146"/>
      <c r="U102" s="146"/>
      <c r="V102" s="146"/>
      <c r="W102" s="146">
        <v>1</v>
      </c>
      <c r="X102" s="298">
        <v>43391</v>
      </c>
      <c r="Y102" s="273">
        <f t="shared" si="6"/>
        <v>1</v>
      </c>
      <c r="Z102" s="146"/>
      <c r="AA102" s="146"/>
      <c r="AB102" s="146"/>
      <c r="AC102" s="146"/>
      <c r="AD102" s="146"/>
      <c r="AE102" s="146"/>
      <c r="AF102" s="146"/>
      <c r="AG102" s="146"/>
      <c r="AH102" s="273">
        <f t="shared" si="7"/>
        <v>0</v>
      </c>
      <c r="AI102" s="146"/>
      <c r="AJ102" s="146" t="s">
        <v>2479</v>
      </c>
      <c r="AK102" s="146" t="s">
        <v>2480</v>
      </c>
      <c r="AL102" s="146"/>
      <c r="AM102" s="146"/>
      <c r="AN102" s="146"/>
      <c r="AO102" s="146"/>
      <c r="AP102" s="146"/>
      <c r="AQ102" s="146"/>
      <c r="AR102" s="146"/>
      <c r="AS102" s="146"/>
    </row>
    <row r="103" spans="1:45" s="222" customFormat="1" x14ac:dyDescent="0.2">
      <c r="A103" s="146"/>
      <c r="B103" s="296"/>
      <c r="C103" s="296" t="s">
        <v>1750</v>
      </c>
      <c r="D103" s="296" t="s">
        <v>1751</v>
      </c>
      <c r="E103" s="297">
        <v>201804883</v>
      </c>
      <c r="F103" s="296" t="s">
        <v>1411</v>
      </c>
      <c r="G103" s="296" t="s">
        <v>1407</v>
      </c>
      <c r="H103" s="146"/>
      <c r="I103" s="146"/>
      <c r="J103" s="146"/>
      <c r="K103" s="146"/>
      <c r="L103" s="146"/>
      <c r="M103" s="146"/>
      <c r="N103" s="146"/>
      <c r="O103" s="146"/>
      <c r="P103" s="287">
        <f t="shared" si="5"/>
        <v>0</v>
      </c>
      <c r="Q103" s="146"/>
      <c r="R103" s="146"/>
      <c r="S103" s="146"/>
      <c r="T103" s="146"/>
      <c r="U103" s="146"/>
      <c r="V103" s="146"/>
      <c r="W103" s="146">
        <v>1</v>
      </c>
      <c r="X103" s="298">
        <v>43391</v>
      </c>
      <c r="Y103" s="273">
        <f t="shared" si="6"/>
        <v>1</v>
      </c>
      <c r="Z103" s="146"/>
      <c r="AA103" s="146"/>
      <c r="AB103" s="146"/>
      <c r="AC103" s="146"/>
      <c r="AD103" s="146"/>
      <c r="AE103" s="146"/>
      <c r="AF103" s="146"/>
      <c r="AG103" s="146"/>
      <c r="AH103" s="273">
        <f t="shared" si="7"/>
        <v>0</v>
      </c>
      <c r="AI103" s="146"/>
      <c r="AJ103" s="146" t="s">
        <v>2479</v>
      </c>
      <c r="AK103" s="146" t="s">
        <v>2480</v>
      </c>
      <c r="AL103" s="146"/>
      <c r="AM103" s="146"/>
      <c r="AN103" s="146"/>
      <c r="AO103" s="146"/>
      <c r="AP103" s="146"/>
      <c r="AQ103" s="146"/>
      <c r="AR103" s="146"/>
      <c r="AS103" s="146"/>
    </row>
    <row r="104" spans="1:45" s="222" customFormat="1" x14ac:dyDescent="0.2">
      <c r="A104" s="146"/>
      <c r="B104" s="296"/>
      <c r="C104" s="296" t="s">
        <v>1752</v>
      </c>
      <c r="D104" s="296" t="s">
        <v>1753</v>
      </c>
      <c r="E104" s="297">
        <v>201804884</v>
      </c>
      <c r="F104" s="296" t="s">
        <v>1411</v>
      </c>
      <c r="G104" s="296" t="s">
        <v>1407</v>
      </c>
      <c r="H104" s="146"/>
      <c r="I104" s="146"/>
      <c r="J104" s="146"/>
      <c r="K104" s="146"/>
      <c r="L104" s="146"/>
      <c r="M104" s="146"/>
      <c r="N104" s="146"/>
      <c r="O104" s="146"/>
      <c r="P104" s="287">
        <f t="shared" si="5"/>
        <v>0</v>
      </c>
      <c r="Q104" s="146"/>
      <c r="R104" s="146"/>
      <c r="S104" s="146"/>
      <c r="T104" s="146"/>
      <c r="U104" s="146"/>
      <c r="V104" s="146"/>
      <c r="W104" s="146">
        <v>1</v>
      </c>
      <c r="X104" s="298">
        <v>43391</v>
      </c>
      <c r="Y104" s="273">
        <f t="shared" si="6"/>
        <v>1</v>
      </c>
      <c r="Z104" s="146"/>
      <c r="AA104" s="146"/>
      <c r="AB104" s="146"/>
      <c r="AC104" s="146"/>
      <c r="AD104" s="146"/>
      <c r="AE104" s="146"/>
      <c r="AF104" s="146"/>
      <c r="AG104" s="146"/>
      <c r="AH104" s="273">
        <f t="shared" si="7"/>
        <v>0</v>
      </c>
      <c r="AI104" s="146"/>
      <c r="AJ104" s="146" t="s">
        <v>2479</v>
      </c>
      <c r="AK104" s="146" t="s">
        <v>2480</v>
      </c>
      <c r="AL104" s="146"/>
      <c r="AM104" s="146"/>
      <c r="AN104" s="146"/>
      <c r="AO104" s="146"/>
      <c r="AP104" s="146"/>
      <c r="AQ104" s="146"/>
      <c r="AR104" s="146"/>
      <c r="AS104" s="146"/>
    </row>
    <row r="105" spans="1:45" s="77" customFormat="1" ht="15.75" x14ac:dyDescent="0.2">
      <c r="A105" s="146"/>
      <c r="B105" s="296"/>
      <c r="C105" s="296" t="s">
        <v>1754</v>
      </c>
      <c r="D105" s="296" t="s">
        <v>1755</v>
      </c>
      <c r="E105" s="297">
        <v>201804886</v>
      </c>
      <c r="F105" s="296" t="s">
        <v>1411</v>
      </c>
      <c r="G105" s="296" t="s">
        <v>1407</v>
      </c>
      <c r="H105" s="146"/>
      <c r="I105" s="146"/>
      <c r="J105" s="146"/>
      <c r="K105" s="146"/>
      <c r="L105" s="146"/>
      <c r="M105" s="146"/>
      <c r="N105" s="146"/>
      <c r="O105" s="146"/>
      <c r="P105" s="287">
        <f t="shared" si="5"/>
        <v>0</v>
      </c>
      <c r="Q105" s="146"/>
      <c r="R105" s="146"/>
      <c r="S105" s="146"/>
      <c r="T105" s="146"/>
      <c r="U105" s="146"/>
      <c r="V105" s="146"/>
      <c r="W105" s="146">
        <v>1</v>
      </c>
      <c r="X105" s="298">
        <v>43391</v>
      </c>
      <c r="Y105" s="273">
        <f t="shared" si="6"/>
        <v>1</v>
      </c>
      <c r="Z105" s="146"/>
      <c r="AA105" s="146"/>
      <c r="AB105" s="146"/>
      <c r="AC105" s="146"/>
      <c r="AD105" s="146"/>
      <c r="AE105" s="146"/>
      <c r="AF105" s="146"/>
      <c r="AG105" s="146"/>
      <c r="AH105" s="273">
        <f t="shared" si="7"/>
        <v>0</v>
      </c>
      <c r="AI105" s="146"/>
      <c r="AJ105" s="146" t="s">
        <v>2479</v>
      </c>
      <c r="AK105" s="146" t="s">
        <v>2480</v>
      </c>
      <c r="AL105" s="146"/>
      <c r="AM105" s="146"/>
      <c r="AN105" s="146"/>
      <c r="AO105" s="146"/>
      <c r="AP105" s="146"/>
      <c r="AQ105" s="146"/>
      <c r="AR105" s="146"/>
      <c r="AS105" s="146"/>
    </row>
    <row r="106" spans="1:45" s="77" customFormat="1" ht="15.75" x14ac:dyDescent="0.2">
      <c r="A106" s="146"/>
      <c r="B106" s="296"/>
      <c r="C106" s="296" t="s">
        <v>1756</v>
      </c>
      <c r="D106" s="296" t="s">
        <v>1757</v>
      </c>
      <c r="E106" s="297">
        <v>201804887</v>
      </c>
      <c r="F106" s="296" t="s">
        <v>1411</v>
      </c>
      <c r="G106" s="296" t="s">
        <v>1407</v>
      </c>
      <c r="H106" s="146"/>
      <c r="I106" s="146"/>
      <c r="J106" s="146"/>
      <c r="K106" s="146"/>
      <c r="L106" s="146"/>
      <c r="M106" s="146"/>
      <c r="N106" s="146"/>
      <c r="O106" s="146"/>
      <c r="P106" s="287">
        <f t="shared" si="5"/>
        <v>0</v>
      </c>
      <c r="Q106" s="146"/>
      <c r="R106" s="146"/>
      <c r="S106" s="146"/>
      <c r="T106" s="146"/>
      <c r="U106" s="146"/>
      <c r="V106" s="146"/>
      <c r="W106" s="146">
        <v>1</v>
      </c>
      <c r="X106" s="298">
        <v>43391</v>
      </c>
      <c r="Y106" s="273">
        <f t="shared" si="6"/>
        <v>1</v>
      </c>
      <c r="Z106" s="146"/>
      <c r="AA106" s="146"/>
      <c r="AB106" s="146"/>
      <c r="AC106" s="146"/>
      <c r="AD106" s="146"/>
      <c r="AE106" s="146"/>
      <c r="AF106" s="146"/>
      <c r="AG106" s="146"/>
      <c r="AH106" s="273">
        <f t="shared" si="7"/>
        <v>0</v>
      </c>
      <c r="AI106" s="146"/>
      <c r="AJ106" s="146" t="s">
        <v>2479</v>
      </c>
      <c r="AK106" s="146" t="s">
        <v>2480</v>
      </c>
      <c r="AL106" s="146"/>
      <c r="AM106" s="146"/>
      <c r="AN106" s="146"/>
      <c r="AO106" s="146"/>
      <c r="AP106" s="146"/>
      <c r="AQ106" s="146"/>
      <c r="AR106" s="146"/>
      <c r="AS106" s="146"/>
    </row>
    <row r="107" spans="1:45" s="222" customFormat="1" x14ac:dyDescent="0.2">
      <c r="A107" s="146"/>
      <c r="B107" s="296"/>
      <c r="C107" s="296" t="s">
        <v>1758</v>
      </c>
      <c r="D107" s="296" t="s">
        <v>1759</v>
      </c>
      <c r="E107" s="297">
        <v>201804888</v>
      </c>
      <c r="F107" s="296" t="s">
        <v>1411</v>
      </c>
      <c r="G107" s="296" t="s">
        <v>1407</v>
      </c>
      <c r="H107" s="146"/>
      <c r="I107" s="146"/>
      <c r="J107" s="146"/>
      <c r="K107" s="146"/>
      <c r="L107" s="146"/>
      <c r="M107" s="146"/>
      <c r="N107" s="146"/>
      <c r="O107" s="146"/>
      <c r="P107" s="287">
        <f t="shared" si="5"/>
        <v>0</v>
      </c>
      <c r="Q107" s="146"/>
      <c r="R107" s="146"/>
      <c r="S107" s="146"/>
      <c r="T107" s="146"/>
      <c r="U107" s="146"/>
      <c r="V107" s="146"/>
      <c r="W107" s="146">
        <v>1</v>
      </c>
      <c r="X107" s="298">
        <v>43391</v>
      </c>
      <c r="Y107" s="273">
        <f t="shared" si="6"/>
        <v>1</v>
      </c>
      <c r="Z107" s="146"/>
      <c r="AA107" s="146"/>
      <c r="AB107" s="146"/>
      <c r="AC107" s="146"/>
      <c r="AD107" s="146"/>
      <c r="AE107" s="146"/>
      <c r="AF107" s="146"/>
      <c r="AG107" s="146"/>
      <c r="AH107" s="273">
        <f t="shared" si="7"/>
        <v>0</v>
      </c>
      <c r="AI107" s="146"/>
      <c r="AJ107" s="146" t="s">
        <v>2479</v>
      </c>
      <c r="AK107" s="146" t="s">
        <v>2480</v>
      </c>
      <c r="AL107" s="146"/>
      <c r="AM107" s="146"/>
      <c r="AN107" s="146"/>
      <c r="AO107" s="146"/>
      <c r="AP107" s="146"/>
      <c r="AQ107" s="146"/>
      <c r="AR107" s="146"/>
      <c r="AS107" s="146"/>
    </row>
    <row r="108" spans="1:45" s="75" customFormat="1" ht="12.75" x14ac:dyDescent="0.2">
      <c r="A108" s="146"/>
      <c r="B108" s="296"/>
      <c r="C108" s="296" t="s">
        <v>1760</v>
      </c>
      <c r="D108" s="296" t="s">
        <v>1761</v>
      </c>
      <c r="E108" s="297">
        <v>201804889</v>
      </c>
      <c r="F108" s="296" t="s">
        <v>1411</v>
      </c>
      <c r="G108" s="296" t="s">
        <v>1407</v>
      </c>
      <c r="H108" s="146"/>
      <c r="I108" s="146"/>
      <c r="J108" s="146"/>
      <c r="K108" s="146"/>
      <c r="L108" s="146"/>
      <c r="M108" s="146"/>
      <c r="N108" s="146"/>
      <c r="O108" s="146"/>
      <c r="P108" s="287">
        <f t="shared" si="5"/>
        <v>0</v>
      </c>
      <c r="Q108" s="146"/>
      <c r="R108" s="146"/>
      <c r="S108" s="146"/>
      <c r="T108" s="146"/>
      <c r="U108" s="146"/>
      <c r="V108" s="146"/>
      <c r="W108" s="146">
        <v>1</v>
      </c>
      <c r="X108" s="298">
        <v>43391</v>
      </c>
      <c r="Y108" s="273">
        <f t="shared" si="6"/>
        <v>1</v>
      </c>
      <c r="Z108" s="146"/>
      <c r="AA108" s="146"/>
      <c r="AB108" s="146"/>
      <c r="AC108" s="146"/>
      <c r="AD108" s="146"/>
      <c r="AE108" s="146"/>
      <c r="AF108" s="146"/>
      <c r="AG108" s="146"/>
      <c r="AH108" s="273">
        <f t="shared" si="7"/>
        <v>0</v>
      </c>
      <c r="AI108" s="146"/>
      <c r="AJ108" s="146" t="s">
        <v>2479</v>
      </c>
      <c r="AK108" s="146" t="s">
        <v>2480</v>
      </c>
      <c r="AL108" s="146"/>
      <c r="AM108" s="146"/>
      <c r="AN108" s="146"/>
      <c r="AO108" s="146"/>
      <c r="AP108" s="146"/>
      <c r="AQ108" s="146"/>
      <c r="AR108" s="146"/>
      <c r="AS108" s="146"/>
    </row>
    <row r="109" spans="1:45" s="75" customFormat="1" ht="12.75" x14ac:dyDescent="0.2">
      <c r="A109" s="146"/>
      <c r="B109" s="296"/>
      <c r="C109" s="296" t="s">
        <v>1762</v>
      </c>
      <c r="D109" s="296" t="s">
        <v>1763</v>
      </c>
      <c r="E109" s="297">
        <v>201804890</v>
      </c>
      <c r="F109" s="296" t="s">
        <v>1411</v>
      </c>
      <c r="G109" s="296" t="s">
        <v>1407</v>
      </c>
      <c r="H109" s="146"/>
      <c r="I109" s="146"/>
      <c r="J109" s="146"/>
      <c r="K109" s="146"/>
      <c r="L109" s="146"/>
      <c r="M109" s="146"/>
      <c r="N109" s="146"/>
      <c r="O109" s="146"/>
      <c r="P109" s="287">
        <f t="shared" si="5"/>
        <v>0</v>
      </c>
      <c r="Q109" s="146"/>
      <c r="R109" s="146"/>
      <c r="S109" s="146"/>
      <c r="T109" s="146"/>
      <c r="U109" s="146"/>
      <c r="V109" s="146"/>
      <c r="W109" s="146">
        <v>1</v>
      </c>
      <c r="X109" s="298">
        <v>43391</v>
      </c>
      <c r="Y109" s="273">
        <f t="shared" si="6"/>
        <v>1</v>
      </c>
      <c r="Z109" s="146"/>
      <c r="AA109" s="146"/>
      <c r="AB109" s="146"/>
      <c r="AC109" s="146"/>
      <c r="AD109" s="146"/>
      <c r="AE109" s="146"/>
      <c r="AF109" s="146"/>
      <c r="AG109" s="146"/>
      <c r="AH109" s="273">
        <f t="shared" si="7"/>
        <v>0</v>
      </c>
      <c r="AI109" s="146"/>
      <c r="AJ109" s="146" t="s">
        <v>2479</v>
      </c>
      <c r="AK109" s="146" t="s">
        <v>2480</v>
      </c>
      <c r="AL109" s="146"/>
      <c r="AM109" s="146"/>
      <c r="AN109" s="146"/>
      <c r="AO109" s="146"/>
      <c r="AP109" s="146"/>
      <c r="AQ109" s="146"/>
      <c r="AR109" s="146"/>
      <c r="AS109" s="146"/>
    </row>
    <row r="110" spans="1:45" s="75" customFormat="1" ht="12.75" x14ac:dyDescent="0.2">
      <c r="A110" s="146"/>
      <c r="B110" s="296"/>
      <c r="C110" s="296" t="s">
        <v>1764</v>
      </c>
      <c r="D110" s="296" t="s">
        <v>1765</v>
      </c>
      <c r="E110" s="297">
        <v>201804891</v>
      </c>
      <c r="F110" s="296" t="s">
        <v>1411</v>
      </c>
      <c r="G110" s="296" t="s">
        <v>1407</v>
      </c>
      <c r="H110" s="146"/>
      <c r="I110" s="146"/>
      <c r="J110" s="146"/>
      <c r="K110" s="146"/>
      <c r="L110" s="146"/>
      <c r="M110" s="146"/>
      <c r="N110" s="146"/>
      <c r="O110" s="146"/>
      <c r="P110" s="287">
        <f t="shared" si="5"/>
        <v>0</v>
      </c>
      <c r="Q110" s="146"/>
      <c r="R110" s="146"/>
      <c r="S110" s="146"/>
      <c r="T110" s="146"/>
      <c r="U110" s="146"/>
      <c r="V110" s="146"/>
      <c r="W110" s="146">
        <v>1</v>
      </c>
      <c r="X110" s="298">
        <v>43391</v>
      </c>
      <c r="Y110" s="273">
        <f t="shared" si="6"/>
        <v>1</v>
      </c>
      <c r="Z110" s="146"/>
      <c r="AA110" s="146"/>
      <c r="AB110" s="146"/>
      <c r="AC110" s="146"/>
      <c r="AD110" s="146"/>
      <c r="AE110" s="146"/>
      <c r="AF110" s="146"/>
      <c r="AG110" s="146"/>
      <c r="AH110" s="273">
        <f t="shared" si="7"/>
        <v>0</v>
      </c>
      <c r="AI110" s="146"/>
      <c r="AJ110" s="146" t="s">
        <v>2479</v>
      </c>
      <c r="AK110" s="146" t="s">
        <v>2480</v>
      </c>
      <c r="AL110" s="146"/>
      <c r="AM110" s="146"/>
      <c r="AN110" s="146"/>
      <c r="AO110" s="146"/>
      <c r="AP110" s="146"/>
      <c r="AQ110" s="146"/>
      <c r="AR110" s="146"/>
      <c r="AS110" s="146"/>
    </row>
    <row r="111" spans="1:45" s="75" customFormat="1" ht="12.75" x14ac:dyDescent="0.2">
      <c r="A111" s="146"/>
      <c r="B111" s="296"/>
      <c r="C111" s="296" t="s">
        <v>1766</v>
      </c>
      <c r="D111" s="296" t="s">
        <v>1767</v>
      </c>
      <c r="E111" s="297">
        <v>201806069</v>
      </c>
      <c r="F111" s="296" t="s">
        <v>1411</v>
      </c>
      <c r="G111" s="296" t="s">
        <v>1407</v>
      </c>
      <c r="H111" s="146"/>
      <c r="I111" s="146"/>
      <c r="J111" s="146"/>
      <c r="K111" s="146"/>
      <c r="L111" s="146"/>
      <c r="M111" s="146"/>
      <c r="N111" s="146"/>
      <c r="O111" s="146"/>
      <c r="P111" s="287">
        <f t="shared" si="5"/>
        <v>0</v>
      </c>
      <c r="Q111" s="146"/>
      <c r="R111" s="146"/>
      <c r="S111" s="146"/>
      <c r="T111" s="146"/>
      <c r="U111" s="146"/>
      <c r="V111" s="146"/>
      <c r="W111" s="146">
        <v>1</v>
      </c>
      <c r="X111" s="298">
        <v>43447</v>
      </c>
      <c r="Y111" s="273">
        <f t="shared" si="6"/>
        <v>1</v>
      </c>
      <c r="Z111" s="146"/>
      <c r="AA111" s="146"/>
      <c r="AB111" s="146"/>
      <c r="AC111" s="146"/>
      <c r="AD111" s="146"/>
      <c r="AE111" s="146"/>
      <c r="AF111" s="146"/>
      <c r="AG111" s="146"/>
      <c r="AH111" s="273">
        <f t="shared" si="7"/>
        <v>0</v>
      </c>
      <c r="AI111" s="146"/>
      <c r="AJ111" s="146" t="s">
        <v>2479</v>
      </c>
      <c r="AK111" s="146" t="s">
        <v>2480</v>
      </c>
      <c r="AL111" s="146"/>
      <c r="AM111" s="146"/>
      <c r="AN111" s="146"/>
      <c r="AO111" s="146"/>
      <c r="AP111" s="146"/>
      <c r="AQ111" s="146"/>
      <c r="AR111" s="146"/>
      <c r="AS111" s="146"/>
    </row>
    <row r="112" spans="1:45" s="75" customFormat="1" ht="12.75" x14ac:dyDescent="0.2">
      <c r="A112" s="146"/>
      <c r="B112" s="296"/>
      <c r="C112" s="296" t="s">
        <v>1768</v>
      </c>
      <c r="D112" s="296" t="s">
        <v>1769</v>
      </c>
      <c r="E112" s="297">
        <v>201806070</v>
      </c>
      <c r="F112" s="296" t="s">
        <v>1411</v>
      </c>
      <c r="G112" s="296" t="s">
        <v>1407</v>
      </c>
      <c r="H112" s="146"/>
      <c r="I112" s="146"/>
      <c r="J112" s="146"/>
      <c r="K112" s="146"/>
      <c r="L112" s="146"/>
      <c r="M112" s="146"/>
      <c r="N112" s="146"/>
      <c r="O112" s="146"/>
      <c r="P112" s="287">
        <f t="shared" si="5"/>
        <v>0</v>
      </c>
      <c r="Q112" s="146"/>
      <c r="R112" s="146"/>
      <c r="S112" s="146"/>
      <c r="T112" s="146"/>
      <c r="U112" s="146"/>
      <c r="V112" s="146"/>
      <c r="W112" s="146">
        <v>1</v>
      </c>
      <c r="X112" s="298">
        <v>43447</v>
      </c>
      <c r="Y112" s="273">
        <f t="shared" si="6"/>
        <v>1</v>
      </c>
      <c r="Z112" s="146"/>
      <c r="AA112" s="146"/>
      <c r="AB112" s="146"/>
      <c r="AC112" s="146"/>
      <c r="AD112" s="146"/>
      <c r="AE112" s="146"/>
      <c r="AF112" s="146"/>
      <c r="AG112" s="146"/>
      <c r="AH112" s="273">
        <f t="shared" si="7"/>
        <v>0</v>
      </c>
      <c r="AI112" s="146"/>
      <c r="AJ112" s="146" t="s">
        <v>2479</v>
      </c>
      <c r="AK112" s="146" t="s">
        <v>2480</v>
      </c>
      <c r="AL112" s="146"/>
      <c r="AM112" s="146"/>
      <c r="AN112" s="146"/>
      <c r="AO112" s="146"/>
      <c r="AP112" s="146"/>
      <c r="AQ112" s="146"/>
      <c r="AR112" s="146"/>
      <c r="AS112" s="146"/>
    </row>
    <row r="113" spans="1:45" s="75" customFormat="1" ht="12.75" x14ac:dyDescent="0.2">
      <c r="A113" s="146"/>
      <c r="B113" s="296"/>
      <c r="C113" s="296" t="s">
        <v>1770</v>
      </c>
      <c r="D113" s="296" t="s">
        <v>1771</v>
      </c>
      <c r="E113" s="297">
        <v>201806071</v>
      </c>
      <c r="F113" s="296" t="s">
        <v>1411</v>
      </c>
      <c r="G113" s="296" t="s">
        <v>1407</v>
      </c>
      <c r="H113" s="146"/>
      <c r="I113" s="146"/>
      <c r="J113" s="146"/>
      <c r="K113" s="146"/>
      <c r="L113" s="146"/>
      <c r="M113" s="146"/>
      <c r="N113" s="146"/>
      <c r="O113" s="146"/>
      <c r="P113" s="287">
        <f t="shared" si="5"/>
        <v>0</v>
      </c>
      <c r="Q113" s="146"/>
      <c r="R113" s="146"/>
      <c r="S113" s="146"/>
      <c r="T113" s="146"/>
      <c r="U113" s="146"/>
      <c r="V113" s="146"/>
      <c r="W113" s="146">
        <v>1</v>
      </c>
      <c r="X113" s="298">
        <v>43447</v>
      </c>
      <c r="Y113" s="273">
        <f t="shared" si="6"/>
        <v>1</v>
      </c>
      <c r="Z113" s="146"/>
      <c r="AA113" s="146"/>
      <c r="AB113" s="146"/>
      <c r="AC113" s="146"/>
      <c r="AD113" s="146"/>
      <c r="AE113" s="146"/>
      <c r="AF113" s="146"/>
      <c r="AG113" s="146"/>
      <c r="AH113" s="273">
        <f t="shared" si="7"/>
        <v>0</v>
      </c>
      <c r="AI113" s="146"/>
      <c r="AJ113" s="146" t="s">
        <v>2479</v>
      </c>
      <c r="AK113" s="146" t="s">
        <v>2480</v>
      </c>
      <c r="AL113" s="146"/>
      <c r="AM113" s="146"/>
      <c r="AN113" s="146"/>
      <c r="AO113" s="146"/>
      <c r="AP113" s="146"/>
      <c r="AQ113" s="146"/>
      <c r="AR113" s="146"/>
      <c r="AS113" s="146"/>
    </row>
    <row r="114" spans="1:45" s="75" customFormat="1" ht="12.75" x14ac:dyDescent="0.2">
      <c r="A114" s="146"/>
      <c r="B114" s="296"/>
      <c r="C114" s="296" t="s">
        <v>1772</v>
      </c>
      <c r="D114" s="296" t="s">
        <v>1773</v>
      </c>
      <c r="E114" s="297">
        <v>201806072</v>
      </c>
      <c r="F114" s="296" t="s">
        <v>1411</v>
      </c>
      <c r="G114" s="296" t="s">
        <v>1407</v>
      </c>
      <c r="H114" s="146"/>
      <c r="I114" s="146"/>
      <c r="J114" s="146"/>
      <c r="K114" s="146"/>
      <c r="L114" s="146"/>
      <c r="M114" s="146"/>
      <c r="N114" s="146"/>
      <c r="O114" s="146"/>
      <c r="P114" s="287">
        <f t="shared" si="5"/>
        <v>0</v>
      </c>
      <c r="Q114" s="146"/>
      <c r="R114" s="146"/>
      <c r="S114" s="146"/>
      <c r="T114" s="146"/>
      <c r="U114" s="146"/>
      <c r="V114" s="146"/>
      <c r="W114" s="146">
        <v>1</v>
      </c>
      <c r="X114" s="298">
        <v>43447</v>
      </c>
      <c r="Y114" s="273">
        <f t="shared" si="6"/>
        <v>1</v>
      </c>
      <c r="Z114" s="146"/>
      <c r="AA114" s="146"/>
      <c r="AB114" s="146"/>
      <c r="AC114" s="146"/>
      <c r="AD114" s="146"/>
      <c r="AE114" s="146"/>
      <c r="AF114" s="146"/>
      <c r="AG114" s="146"/>
      <c r="AH114" s="273">
        <f t="shared" si="7"/>
        <v>0</v>
      </c>
      <c r="AI114" s="146"/>
      <c r="AJ114" s="146" t="s">
        <v>2479</v>
      </c>
      <c r="AK114" s="146" t="s">
        <v>2480</v>
      </c>
      <c r="AL114" s="146"/>
      <c r="AM114" s="146"/>
      <c r="AN114" s="146"/>
      <c r="AO114" s="146"/>
      <c r="AP114" s="146"/>
      <c r="AQ114" s="146"/>
      <c r="AR114" s="146"/>
      <c r="AS114" s="146"/>
    </row>
    <row r="115" spans="1:45" s="222" customFormat="1" x14ac:dyDescent="0.2">
      <c r="A115" s="146"/>
      <c r="B115" s="296"/>
      <c r="C115" s="296" t="s">
        <v>1774</v>
      </c>
      <c r="D115" s="296" t="s">
        <v>1775</v>
      </c>
      <c r="E115" s="297">
        <v>201806073</v>
      </c>
      <c r="F115" s="296" t="s">
        <v>1411</v>
      </c>
      <c r="G115" s="296" t="s">
        <v>1407</v>
      </c>
      <c r="H115" s="146"/>
      <c r="I115" s="146"/>
      <c r="J115" s="146"/>
      <c r="K115" s="146"/>
      <c r="L115" s="146"/>
      <c r="M115" s="146"/>
      <c r="N115" s="146"/>
      <c r="O115" s="146"/>
      <c r="P115" s="287">
        <f t="shared" si="5"/>
        <v>0</v>
      </c>
      <c r="Q115" s="146"/>
      <c r="R115" s="146"/>
      <c r="S115" s="146"/>
      <c r="T115" s="146"/>
      <c r="U115" s="146"/>
      <c r="V115" s="146"/>
      <c r="W115" s="146">
        <v>1</v>
      </c>
      <c r="X115" s="298">
        <v>43447</v>
      </c>
      <c r="Y115" s="273">
        <f t="shared" si="6"/>
        <v>1</v>
      </c>
      <c r="Z115" s="146"/>
      <c r="AA115" s="146"/>
      <c r="AB115" s="146"/>
      <c r="AC115" s="146"/>
      <c r="AD115" s="146"/>
      <c r="AE115" s="146"/>
      <c r="AF115" s="146"/>
      <c r="AG115" s="146"/>
      <c r="AH115" s="273">
        <f t="shared" si="7"/>
        <v>0</v>
      </c>
      <c r="AI115" s="146"/>
      <c r="AJ115" s="146" t="s">
        <v>2479</v>
      </c>
      <c r="AK115" s="146" t="s">
        <v>2480</v>
      </c>
      <c r="AL115" s="146"/>
      <c r="AM115" s="146"/>
      <c r="AN115" s="146"/>
      <c r="AO115" s="146"/>
      <c r="AP115" s="146"/>
      <c r="AQ115" s="146"/>
      <c r="AR115" s="146"/>
      <c r="AS115" s="146"/>
    </row>
    <row r="116" spans="1:45" s="222" customFormat="1" x14ac:dyDescent="0.2">
      <c r="A116" s="146"/>
      <c r="B116" s="296"/>
      <c r="C116" s="296" t="s">
        <v>1776</v>
      </c>
      <c r="D116" s="296" t="s">
        <v>1777</v>
      </c>
      <c r="E116" s="297">
        <v>201806075</v>
      </c>
      <c r="F116" s="296" t="s">
        <v>1411</v>
      </c>
      <c r="G116" s="296" t="s">
        <v>1407</v>
      </c>
      <c r="H116" s="146"/>
      <c r="I116" s="146"/>
      <c r="J116" s="146"/>
      <c r="K116" s="146"/>
      <c r="L116" s="146"/>
      <c r="M116" s="146"/>
      <c r="N116" s="146"/>
      <c r="O116" s="146"/>
      <c r="P116" s="287">
        <f t="shared" si="5"/>
        <v>0</v>
      </c>
      <c r="Q116" s="146"/>
      <c r="R116" s="146"/>
      <c r="S116" s="146"/>
      <c r="T116" s="146"/>
      <c r="U116" s="146"/>
      <c r="V116" s="146"/>
      <c r="W116" s="146">
        <v>1</v>
      </c>
      <c r="X116" s="298">
        <v>43447</v>
      </c>
      <c r="Y116" s="273">
        <f t="shared" si="6"/>
        <v>1</v>
      </c>
      <c r="Z116" s="146"/>
      <c r="AA116" s="146"/>
      <c r="AB116" s="146"/>
      <c r="AC116" s="146"/>
      <c r="AD116" s="146"/>
      <c r="AE116" s="146"/>
      <c r="AF116" s="146"/>
      <c r="AG116" s="146"/>
      <c r="AH116" s="273">
        <f t="shared" si="7"/>
        <v>0</v>
      </c>
      <c r="AI116" s="146"/>
      <c r="AJ116" s="146" t="s">
        <v>2479</v>
      </c>
      <c r="AK116" s="146" t="s">
        <v>2480</v>
      </c>
      <c r="AL116" s="146"/>
      <c r="AM116" s="146"/>
      <c r="AN116" s="146"/>
      <c r="AO116" s="146"/>
      <c r="AP116" s="146"/>
      <c r="AQ116" s="146"/>
      <c r="AR116" s="146"/>
      <c r="AS116" s="146"/>
    </row>
    <row r="117" spans="1:45" s="222" customFormat="1" x14ac:dyDescent="0.2">
      <c r="A117" s="146"/>
      <c r="B117" s="296"/>
      <c r="C117" s="296" t="s">
        <v>1778</v>
      </c>
      <c r="D117" s="296" t="s">
        <v>1779</v>
      </c>
      <c r="E117" s="297">
        <v>201805578</v>
      </c>
      <c r="F117" s="296" t="s">
        <v>1411</v>
      </c>
      <c r="G117" s="296" t="s">
        <v>1407</v>
      </c>
      <c r="H117" s="146"/>
      <c r="I117" s="146"/>
      <c r="J117" s="146"/>
      <c r="K117" s="146"/>
      <c r="L117" s="146"/>
      <c r="M117" s="146"/>
      <c r="N117" s="146"/>
      <c r="O117" s="146"/>
      <c r="P117" s="287">
        <f t="shared" si="5"/>
        <v>0</v>
      </c>
      <c r="Q117" s="146"/>
      <c r="R117" s="146"/>
      <c r="S117" s="146"/>
      <c r="T117" s="146"/>
      <c r="U117" s="146"/>
      <c r="V117" s="146"/>
      <c r="W117" s="146">
        <v>1</v>
      </c>
      <c r="X117" s="298">
        <v>43419</v>
      </c>
      <c r="Y117" s="273">
        <f t="shared" si="6"/>
        <v>1</v>
      </c>
      <c r="Z117" s="146"/>
      <c r="AA117" s="146"/>
      <c r="AB117" s="146"/>
      <c r="AC117" s="146"/>
      <c r="AD117" s="146"/>
      <c r="AE117" s="146"/>
      <c r="AF117" s="146"/>
      <c r="AG117" s="146"/>
      <c r="AH117" s="273">
        <f t="shared" si="7"/>
        <v>0</v>
      </c>
      <c r="AI117" s="146"/>
      <c r="AJ117" s="146" t="s">
        <v>2479</v>
      </c>
      <c r="AK117" s="146" t="s">
        <v>2480</v>
      </c>
      <c r="AL117" s="146"/>
      <c r="AM117" s="146"/>
      <c r="AN117" s="146"/>
      <c r="AO117" s="146"/>
      <c r="AP117" s="146"/>
      <c r="AQ117" s="146"/>
      <c r="AR117" s="146"/>
      <c r="AS117" s="146"/>
    </row>
    <row r="118" spans="1:45" s="222" customFormat="1" x14ac:dyDescent="0.2">
      <c r="A118" s="146"/>
      <c r="B118" s="296"/>
      <c r="C118" s="296" t="s">
        <v>1780</v>
      </c>
      <c r="D118" s="296" t="s">
        <v>1781</v>
      </c>
      <c r="E118" s="297">
        <v>201805579</v>
      </c>
      <c r="F118" s="296" t="s">
        <v>1411</v>
      </c>
      <c r="G118" s="296" t="s">
        <v>1407</v>
      </c>
      <c r="H118" s="146"/>
      <c r="I118" s="146"/>
      <c r="J118" s="146"/>
      <c r="K118" s="146"/>
      <c r="L118" s="146"/>
      <c r="M118" s="146"/>
      <c r="N118" s="146"/>
      <c r="O118" s="146"/>
      <c r="P118" s="287">
        <f t="shared" si="5"/>
        <v>0</v>
      </c>
      <c r="Q118" s="146"/>
      <c r="R118" s="146"/>
      <c r="S118" s="146"/>
      <c r="T118" s="146"/>
      <c r="U118" s="146"/>
      <c r="V118" s="146"/>
      <c r="W118" s="146">
        <v>1</v>
      </c>
      <c r="X118" s="298">
        <v>43419</v>
      </c>
      <c r="Y118" s="273">
        <f t="shared" si="6"/>
        <v>1</v>
      </c>
      <c r="Z118" s="146"/>
      <c r="AA118" s="146"/>
      <c r="AB118" s="146"/>
      <c r="AC118" s="146"/>
      <c r="AD118" s="146"/>
      <c r="AE118" s="146"/>
      <c r="AF118" s="146"/>
      <c r="AG118" s="146"/>
      <c r="AH118" s="273">
        <f t="shared" si="7"/>
        <v>0</v>
      </c>
      <c r="AI118" s="146"/>
      <c r="AJ118" s="146" t="s">
        <v>2479</v>
      </c>
      <c r="AK118" s="146" t="s">
        <v>2480</v>
      </c>
      <c r="AL118" s="146"/>
      <c r="AM118" s="146"/>
      <c r="AN118" s="146"/>
      <c r="AO118" s="146"/>
      <c r="AP118" s="146"/>
      <c r="AQ118" s="146"/>
      <c r="AR118" s="146"/>
      <c r="AS118" s="146"/>
    </row>
    <row r="119" spans="1:45" s="222" customFormat="1" x14ac:dyDescent="0.2">
      <c r="A119" s="146"/>
      <c r="B119" s="296"/>
      <c r="C119" s="296" t="s">
        <v>1782</v>
      </c>
      <c r="D119" s="296" t="s">
        <v>1783</v>
      </c>
      <c r="E119" s="297">
        <v>201805580</v>
      </c>
      <c r="F119" s="296" t="s">
        <v>1411</v>
      </c>
      <c r="G119" s="296" t="s">
        <v>1407</v>
      </c>
      <c r="H119" s="146"/>
      <c r="I119" s="146"/>
      <c r="J119" s="146"/>
      <c r="K119" s="146"/>
      <c r="L119" s="146"/>
      <c r="M119" s="146"/>
      <c r="N119" s="146"/>
      <c r="O119" s="146"/>
      <c r="P119" s="287">
        <f t="shared" si="5"/>
        <v>0</v>
      </c>
      <c r="Q119" s="146"/>
      <c r="R119" s="146"/>
      <c r="S119" s="146"/>
      <c r="T119" s="146"/>
      <c r="U119" s="146"/>
      <c r="V119" s="146"/>
      <c r="W119" s="146">
        <v>1</v>
      </c>
      <c r="X119" s="298">
        <v>43419</v>
      </c>
      <c r="Y119" s="273">
        <f t="shared" si="6"/>
        <v>1</v>
      </c>
      <c r="Z119" s="146"/>
      <c r="AA119" s="146"/>
      <c r="AB119" s="146"/>
      <c r="AC119" s="146"/>
      <c r="AD119" s="146"/>
      <c r="AE119" s="146"/>
      <c r="AF119" s="146"/>
      <c r="AG119" s="146"/>
      <c r="AH119" s="273">
        <f t="shared" si="7"/>
        <v>0</v>
      </c>
      <c r="AI119" s="146"/>
      <c r="AJ119" s="146" t="s">
        <v>2479</v>
      </c>
      <c r="AK119" s="146" t="s">
        <v>2480</v>
      </c>
      <c r="AL119" s="146"/>
      <c r="AM119" s="146"/>
      <c r="AN119" s="146"/>
      <c r="AO119" s="146"/>
      <c r="AP119" s="146"/>
      <c r="AQ119" s="146"/>
      <c r="AR119" s="146"/>
      <c r="AS119" s="146"/>
    </row>
    <row r="120" spans="1:45" s="222" customFormat="1" x14ac:dyDescent="0.2">
      <c r="A120" s="146"/>
      <c r="B120" s="296"/>
      <c r="C120" s="296" t="s">
        <v>1784</v>
      </c>
      <c r="D120" s="296" t="s">
        <v>1785</v>
      </c>
      <c r="E120" s="297">
        <v>201805581</v>
      </c>
      <c r="F120" s="296" t="s">
        <v>1411</v>
      </c>
      <c r="G120" s="296" t="s">
        <v>1407</v>
      </c>
      <c r="H120" s="146"/>
      <c r="I120" s="146"/>
      <c r="J120" s="146"/>
      <c r="K120" s="146"/>
      <c r="L120" s="146"/>
      <c r="M120" s="146"/>
      <c r="N120" s="146"/>
      <c r="O120" s="146"/>
      <c r="P120" s="287">
        <f t="shared" si="5"/>
        <v>0</v>
      </c>
      <c r="Q120" s="146"/>
      <c r="R120" s="146"/>
      <c r="S120" s="146"/>
      <c r="T120" s="146"/>
      <c r="U120" s="146"/>
      <c r="V120" s="146"/>
      <c r="W120" s="146">
        <v>1</v>
      </c>
      <c r="X120" s="298">
        <v>43419</v>
      </c>
      <c r="Y120" s="273">
        <f t="shared" si="6"/>
        <v>1</v>
      </c>
      <c r="Z120" s="146"/>
      <c r="AA120" s="146"/>
      <c r="AB120" s="146"/>
      <c r="AC120" s="146"/>
      <c r="AD120" s="146"/>
      <c r="AE120" s="146"/>
      <c r="AF120" s="146"/>
      <c r="AG120" s="146"/>
      <c r="AH120" s="273">
        <f t="shared" si="7"/>
        <v>0</v>
      </c>
      <c r="AI120" s="146"/>
      <c r="AJ120" s="146" t="s">
        <v>2479</v>
      </c>
      <c r="AK120" s="146" t="s">
        <v>2480</v>
      </c>
      <c r="AL120" s="146"/>
      <c r="AM120" s="146"/>
      <c r="AN120" s="146"/>
      <c r="AO120" s="146"/>
      <c r="AP120" s="146"/>
      <c r="AQ120" s="146"/>
      <c r="AR120" s="146"/>
      <c r="AS120" s="146"/>
    </row>
    <row r="121" spans="1:45" s="222" customFormat="1" x14ac:dyDescent="0.2">
      <c r="A121" s="146"/>
      <c r="B121" s="296"/>
      <c r="C121" s="296" t="s">
        <v>1786</v>
      </c>
      <c r="D121" s="296" t="s">
        <v>1787</v>
      </c>
      <c r="E121" s="297">
        <v>201805582</v>
      </c>
      <c r="F121" s="296" t="s">
        <v>1411</v>
      </c>
      <c r="G121" s="296" t="s">
        <v>1407</v>
      </c>
      <c r="H121" s="146"/>
      <c r="I121" s="146"/>
      <c r="J121" s="146"/>
      <c r="K121" s="146"/>
      <c r="L121" s="146"/>
      <c r="M121" s="146"/>
      <c r="N121" s="146"/>
      <c r="O121" s="146"/>
      <c r="P121" s="287">
        <f t="shared" si="5"/>
        <v>0</v>
      </c>
      <c r="Q121" s="146"/>
      <c r="R121" s="146"/>
      <c r="S121" s="146"/>
      <c r="T121" s="146"/>
      <c r="U121" s="146"/>
      <c r="V121" s="146"/>
      <c r="W121" s="146">
        <v>1</v>
      </c>
      <c r="X121" s="298">
        <v>43419</v>
      </c>
      <c r="Y121" s="273">
        <f t="shared" si="6"/>
        <v>1</v>
      </c>
      <c r="Z121" s="146"/>
      <c r="AA121" s="146"/>
      <c r="AB121" s="146"/>
      <c r="AC121" s="146"/>
      <c r="AD121" s="146"/>
      <c r="AE121" s="146"/>
      <c r="AF121" s="146"/>
      <c r="AG121" s="146"/>
      <c r="AH121" s="273">
        <f t="shared" si="7"/>
        <v>0</v>
      </c>
      <c r="AI121" s="146"/>
      <c r="AJ121" s="146" t="s">
        <v>2479</v>
      </c>
      <c r="AK121" s="146" t="s">
        <v>2480</v>
      </c>
      <c r="AL121" s="146"/>
      <c r="AM121" s="146"/>
      <c r="AN121" s="146"/>
      <c r="AO121" s="146"/>
      <c r="AP121" s="146"/>
      <c r="AQ121" s="146"/>
      <c r="AR121" s="146"/>
      <c r="AS121" s="146"/>
    </row>
    <row r="122" spans="1:45" s="222" customFormat="1" x14ac:dyDescent="0.2">
      <c r="A122" s="146"/>
      <c r="B122" s="296"/>
      <c r="C122" s="296" t="s">
        <v>1788</v>
      </c>
      <c r="D122" s="296" t="s">
        <v>1789</v>
      </c>
      <c r="E122" s="297">
        <v>201805583</v>
      </c>
      <c r="F122" s="296" t="s">
        <v>1411</v>
      </c>
      <c r="G122" s="296" t="s">
        <v>1407</v>
      </c>
      <c r="H122" s="146"/>
      <c r="I122" s="146"/>
      <c r="J122" s="146"/>
      <c r="K122" s="146"/>
      <c r="L122" s="146"/>
      <c r="M122" s="146"/>
      <c r="N122" s="146"/>
      <c r="O122" s="146"/>
      <c r="P122" s="287">
        <f t="shared" si="5"/>
        <v>0</v>
      </c>
      <c r="Q122" s="146"/>
      <c r="R122" s="146"/>
      <c r="S122" s="146"/>
      <c r="T122" s="146"/>
      <c r="U122" s="146"/>
      <c r="V122" s="146"/>
      <c r="W122" s="146">
        <v>1</v>
      </c>
      <c r="X122" s="298">
        <v>43419</v>
      </c>
      <c r="Y122" s="273">
        <f t="shared" si="6"/>
        <v>1</v>
      </c>
      <c r="Z122" s="146"/>
      <c r="AA122" s="146"/>
      <c r="AB122" s="146"/>
      <c r="AC122" s="146"/>
      <c r="AD122" s="146"/>
      <c r="AE122" s="146"/>
      <c r="AF122" s="146"/>
      <c r="AG122" s="146"/>
      <c r="AH122" s="273">
        <f t="shared" si="7"/>
        <v>0</v>
      </c>
      <c r="AI122" s="146"/>
      <c r="AJ122" s="146" t="s">
        <v>2479</v>
      </c>
      <c r="AK122" s="146" t="s">
        <v>2480</v>
      </c>
      <c r="AL122" s="146"/>
      <c r="AM122" s="146"/>
      <c r="AN122" s="146"/>
      <c r="AO122" s="146"/>
      <c r="AP122" s="146"/>
      <c r="AQ122" s="146"/>
      <c r="AR122" s="146"/>
      <c r="AS122" s="146"/>
    </row>
    <row r="123" spans="1:45" s="222" customFormat="1" x14ac:dyDescent="0.2">
      <c r="A123" s="146"/>
      <c r="B123" s="296"/>
      <c r="C123" s="296" t="s">
        <v>1790</v>
      </c>
      <c r="D123" s="296" t="s">
        <v>1791</v>
      </c>
      <c r="E123" s="297">
        <v>201805586</v>
      </c>
      <c r="F123" s="296" t="s">
        <v>1411</v>
      </c>
      <c r="G123" s="296" t="s">
        <v>1407</v>
      </c>
      <c r="H123" s="146"/>
      <c r="I123" s="146"/>
      <c r="J123" s="146"/>
      <c r="K123" s="146"/>
      <c r="L123" s="146"/>
      <c r="M123" s="146"/>
      <c r="N123" s="146"/>
      <c r="O123" s="146"/>
      <c r="P123" s="287">
        <f t="shared" si="5"/>
        <v>0</v>
      </c>
      <c r="Q123" s="146"/>
      <c r="R123" s="146"/>
      <c r="S123" s="146"/>
      <c r="T123" s="146"/>
      <c r="U123" s="146"/>
      <c r="V123" s="146"/>
      <c r="W123" s="146">
        <v>1</v>
      </c>
      <c r="X123" s="298">
        <v>43419</v>
      </c>
      <c r="Y123" s="273">
        <f t="shared" si="6"/>
        <v>1</v>
      </c>
      <c r="Z123" s="146"/>
      <c r="AA123" s="146"/>
      <c r="AB123" s="146"/>
      <c r="AC123" s="146"/>
      <c r="AD123" s="146"/>
      <c r="AE123" s="146"/>
      <c r="AF123" s="146"/>
      <c r="AG123" s="146"/>
      <c r="AH123" s="273">
        <f t="shared" si="7"/>
        <v>0</v>
      </c>
      <c r="AI123" s="146"/>
      <c r="AJ123" s="146" t="s">
        <v>2479</v>
      </c>
      <c r="AK123" s="146" t="s">
        <v>2480</v>
      </c>
      <c r="AL123" s="146"/>
      <c r="AM123" s="146"/>
      <c r="AN123" s="146"/>
      <c r="AO123" s="146"/>
      <c r="AP123" s="146"/>
      <c r="AQ123" s="146"/>
      <c r="AR123" s="146"/>
      <c r="AS123" s="146"/>
    </row>
    <row r="124" spans="1:45" s="222" customFormat="1" x14ac:dyDescent="0.2">
      <c r="A124" s="146"/>
      <c r="B124" s="296"/>
      <c r="C124" s="296" t="s">
        <v>1792</v>
      </c>
      <c r="D124" s="296" t="s">
        <v>1793</v>
      </c>
      <c r="E124" s="297">
        <v>201805587</v>
      </c>
      <c r="F124" s="296" t="s">
        <v>1411</v>
      </c>
      <c r="G124" s="296" t="s">
        <v>1407</v>
      </c>
      <c r="H124" s="146"/>
      <c r="I124" s="146"/>
      <c r="J124" s="146"/>
      <c r="K124" s="146"/>
      <c r="L124" s="146"/>
      <c r="M124" s="146"/>
      <c r="N124" s="146"/>
      <c r="O124" s="146"/>
      <c r="P124" s="287">
        <f t="shared" si="5"/>
        <v>0</v>
      </c>
      <c r="Q124" s="146"/>
      <c r="R124" s="146"/>
      <c r="S124" s="146"/>
      <c r="T124" s="146"/>
      <c r="U124" s="146"/>
      <c r="V124" s="146"/>
      <c r="W124" s="146">
        <v>1</v>
      </c>
      <c r="X124" s="298">
        <v>43419</v>
      </c>
      <c r="Y124" s="273">
        <f t="shared" si="6"/>
        <v>1</v>
      </c>
      <c r="Z124" s="146"/>
      <c r="AA124" s="146"/>
      <c r="AB124" s="146"/>
      <c r="AC124" s="146"/>
      <c r="AD124" s="146"/>
      <c r="AE124" s="146"/>
      <c r="AF124" s="146"/>
      <c r="AG124" s="146"/>
      <c r="AH124" s="273">
        <f t="shared" si="7"/>
        <v>0</v>
      </c>
      <c r="AI124" s="146"/>
      <c r="AJ124" s="146" t="s">
        <v>2479</v>
      </c>
      <c r="AK124" s="146" t="s">
        <v>2480</v>
      </c>
      <c r="AL124" s="146"/>
      <c r="AM124" s="146"/>
      <c r="AN124" s="146"/>
      <c r="AO124" s="146"/>
      <c r="AP124" s="146"/>
      <c r="AQ124" s="146"/>
      <c r="AR124" s="146"/>
      <c r="AS124" s="146"/>
    </row>
    <row r="125" spans="1:45" s="222" customFormat="1" x14ac:dyDescent="0.2">
      <c r="A125" s="146"/>
      <c r="B125" s="296"/>
      <c r="C125" s="296" t="s">
        <v>1794</v>
      </c>
      <c r="D125" s="296" t="s">
        <v>1795</v>
      </c>
      <c r="E125" s="297">
        <v>201805588</v>
      </c>
      <c r="F125" s="296" t="s">
        <v>1411</v>
      </c>
      <c r="G125" s="296" t="s">
        <v>1407</v>
      </c>
      <c r="H125" s="146"/>
      <c r="I125" s="146"/>
      <c r="J125" s="146"/>
      <c r="K125" s="146"/>
      <c r="L125" s="146"/>
      <c r="M125" s="146"/>
      <c r="N125" s="146"/>
      <c r="O125" s="146"/>
      <c r="P125" s="287">
        <f t="shared" si="5"/>
        <v>0</v>
      </c>
      <c r="Q125" s="146"/>
      <c r="R125" s="146"/>
      <c r="S125" s="146"/>
      <c r="T125" s="146"/>
      <c r="U125" s="146"/>
      <c r="V125" s="146"/>
      <c r="W125" s="146">
        <v>1</v>
      </c>
      <c r="X125" s="298">
        <v>43419</v>
      </c>
      <c r="Y125" s="273">
        <f t="shared" si="6"/>
        <v>1</v>
      </c>
      <c r="Z125" s="146"/>
      <c r="AA125" s="146"/>
      <c r="AB125" s="146"/>
      <c r="AC125" s="146"/>
      <c r="AD125" s="146"/>
      <c r="AE125" s="146"/>
      <c r="AF125" s="146"/>
      <c r="AG125" s="146"/>
      <c r="AH125" s="273">
        <f t="shared" si="7"/>
        <v>0</v>
      </c>
      <c r="AI125" s="146"/>
      <c r="AJ125" s="146" t="s">
        <v>2479</v>
      </c>
      <c r="AK125" s="146" t="s">
        <v>2480</v>
      </c>
      <c r="AL125" s="146"/>
      <c r="AM125" s="146"/>
      <c r="AN125" s="146"/>
      <c r="AO125" s="146"/>
      <c r="AP125" s="146"/>
      <c r="AQ125" s="146"/>
      <c r="AR125" s="146"/>
      <c r="AS125" s="146"/>
    </row>
    <row r="126" spans="1:45" s="222" customFormat="1" x14ac:dyDescent="0.2">
      <c r="A126" s="146"/>
      <c r="B126" s="296"/>
      <c r="C126" s="296" t="s">
        <v>1796</v>
      </c>
      <c r="D126" s="296" t="s">
        <v>1797</v>
      </c>
      <c r="E126" s="297">
        <v>201805589</v>
      </c>
      <c r="F126" s="296" t="s">
        <v>1411</v>
      </c>
      <c r="G126" s="296" t="s">
        <v>1407</v>
      </c>
      <c r="H126" s="146"/>
      <c r="I126" s="146"/>
      <c r="J126" s="146"/>
      <c r="K126" s="146"/>
      <c r="L126" s="146"/>
      <c r="M126" s="146"/>
      <c r="N126" s="146"/>
      <c r="O126" s="146"/>
      <c r="P126" s="287">
        <f t="shared" si="5"/>
        <v>0</v>
      </c>
      <c r="Q126" s="146"/>
      <c r="R126" s="146"/>
      <c r="S126" s="146"/>
      <c r="T126" s="146"/>
      <c r="U126" s="146"/>
      <c r="V126" s="146"/>
      <c r="W126" s="146">
        <v>1</v>
      </c>
      <c r="X126" s="298">
        <v>43419</v>
      </c>
      <c r="Y126" s="273">
        <f t="shared" si="6"/>
        <v>1</v>
      </c>
      <c r="Z126" s="146"/>
      <c r="AA126" s="146"/>
      <c r="AB126" s="146"/>
      <c r="AC126" s="146"/>
      <c r="AD126" s="146"/>
      <c r="AE126" s="146"/>
      <c r="AF126" s="146"/>
      <c r="AG126" s="146"/>
      <c r="AH126" s="273">
        <f t="shared" si="7"/>
        <v>0</v>
      </c>
      <c r="AI126" s="146"/>
      <c r="AJ126" s="146" t="s">
        <v>2479</v>
      </c>
      <c r="AK126" s="146" t="s">
        <v>2480</v>
      </c>
      <c r="AL126" s="146"/>
      <c r="AM126" s="146"/>
      <c r="AN126" s="146"/>
      <c r="AO126" s="146"/>
      <c r="AP126" s="146"/>
      <c r="AQ126" s="146"/>
      <c r="AR126" s="146"/>
      <c r="AS126" s="146"/>
    </row>
    <row r="127" spans="1:45" s="222" customFormat="1" x14ac:dyDescent="0.2">
      <c r="A127" s="146"/>
      <c r="B127" s="296"/>
      <c r="C127" s="296" t="s">
        <v>1798</v>
      </c>
      <c r="D127" s="296" t="s">
        <v>1799</v>
      </c>
      <c r="E127" s="297">
        <v>201805590</v>
      </c>
      <c r="F127" s="296" t="s">
        <v>1411</v>
      </c>
      <c r="G127" s="296" t="s">
        <v>1407</v>
      </c>
      <c r="H127" s="146"/>
      <c r="I127" s="146"/>
      <c r="J127" s="146"/>
      <c r="K127" s="146"/>
      <c r="L127" s="146"/>
      <c r="M127" s="146"/>
      <c r="N127" s="146"/>
      <c r="O127" s="146"/>
      <c r="P127" s="287">
        <f t="shared" si="5"/>
        <v>0</v>
      </c>
      <c r="Q127" s="146"/>
      <c r="R127" s="146"/>
      <c r="S127" s="146"/>
      <c r="T127" s="146"/>
      <c r="U127" s="146"/>
      <c r="V127" s="146"/>
      <c r="W127" s="146">
        <v>1</v>
      </c>
      <c r="X127" s="298">
        <v>43419</v>
      </c>
      <c r="Y127" s="273">
        <f t="shared" si="6"/>
        <v>1</v>
      </c>
      <c r="Z127" s="146"/>
      <c r="AA127" s="146"/>
      <c r="AB127" s="146"/>
      <c r="AC127" s="146"/>
      <c r="AD127" s="146"/>
      <c r="AE127" s="146"/>
      <c r="AF127" s="146"/>
      <c r="AG127" s="146"/>
      <c r="AH127" s="273">
        <f t="shared" si="7"/>
        <v>0</v>
      </c>
      <c r="AI127" s="146"/>
      <c r="AJ127" s="146" t="s">
        <v>2479</v>
      </c>
      <c r="AK127" s="146" t="s">
        <v>2480</v>
      </c>
      <c r="AL127" s="146"/>
      <c r="AM127" s="146"/>
      <c r="AN127" s="146"/>
      <c r="AO127" s="146"/>
      <c r="AP127" s="146"/>
      <c r="AQ127" s="146"/>
      <c r="AR127" s="146"/>
      <c r="AS127" s="146"/>
    </row>
    <row r="128" spans="1:45" s="222" customFormat="1" x14ac:dyDescent="0.2">
      <c r="A128" s="146"/>
      <c r="B128" s="296"/>
      <c r="C128" s="296" t="s">
        <v>1800</v>
      </c>
      <c r="D128" s="296" t="s">
        <v>1801</v>
      </c>
      <c r="E128" s="297">
        <v>201805585</v>
      </c>
      <c r="F128" s="296" t="s">
        <v>1411</v>
      </c>
      <c r="G128" s="296" t="s">
        <v>1407</v>
      </c>
      <c r="H128" s="146"/>
      <c r="I128" s="146"/>
      <c r="J128" s="146"/>
      <c r="K128" s="146"/>
      <c r="L128" s="146"/>
      <c r="M128" s="146"/>
      <c r="N128" s="146"/>
      <c r="O128" s="146"/>
      <c r="P128" s="287">
        <f t="shared" si="5"/>
        <v>0</v>
      </c>
      <c r="Q128" s="146"/>
      <c r="R128" s="146"/>
      <c r="S128" s="146"/>
      <c r="T128" s="146"/>
      <c r="U128" s="146"/>
      <c r="V128" s="146"/>
      <c r="W128" s="146">
        <v>1</v>
      </c>
      <c r="X128" s="298">
        <v>43419</v>
      </c>
      <c r="Y128" s="273">
        <f t="shared" si="6"/>
        <v>1</v>
      </c>
      <c r="Z128" s="146"/>
      <c r="AA128" s="146"/>
      <c r="AB128" s="146"/>
      <c r="AC128" s="146"/>
      <c r="AD128" s="146"/>
      <c r="AE128" s="146"/>
      <c r="AF128" s="146"/>
      <c r="AG128" s="146"/>
      <c r="AH128" s="273">
        <f t="shared" si="7"/>
        <v>0</v>
      </c>
      <c r="AI128" s="146"/>
      <c r="AJ128" s="146" t="s">
        <v>2479</v>
      </c>
      <c r="AK128" s="146" t="s">
        <v>2480</v>
      </c>
      <c r="AL128" s="146"/>
      <c r="AM128" s="146"/>
      <c r="AN128" s="146"/>
      <c r="AO128" s="146"/>
      <c r="AP128" s="146"/>
      <c r="AQ128" s="146"/>
      <c r="AR128" s="146"/>
      <c r="AS128" s="146"/>
    </row>
    <row r="129" spans="1:45" s="222" customFormat="1" x14ac:dyDescent="0.2">
      <c r="A129" s="146"/>
      <c r="B129" s="296"/>
      <c r="C129" s="296" t="s">
        <v>1802</v>
      </c>
      <c r="D129" s="296" t="s">
        <v>1803</v>
      </c>
      <c r="E129" s="297">
        <v>201806083</v>
      </c>
      <c r="F129" s="296" t="s">
        <v>1411</v>
      </c>
      <c r="G129" s="296" t="s">
        <v>1407</v>
      </c>
      <c r="H129" s="146"/>
      <c r="I129" s="146"/>
      <c r="J129" s="146"/>
      <c r="K129" s="146"/>
      <c r="L129" s="146"/>
      <c r="M129" s="146"/>
      <c r="N129" s="146"/>
      <c r="O129" s="146"/>
      <c r="P129" s="287">
        <f t="shared" si="5"/>
        <v>0</v>
      </c>
      <c r="Q129" s="146"/>
      <c r="R129" s="146"/>
      <c r="S129" s="146"/>
      <c r="T129" s="146"/>
      <c r="U129" s="146"/>
      <c r="V129" s="146"/>
      <c r="W129" s="146">
        <v>1</v>
      </c>
      <c r="X129" s="298">
        <v>43447</v>
      </c>
      <c r="Y129" s="273">
        <f t="shared" si="6"/>
        <v>1</v>
      </c>
      <c r="Z129" s="146"/>
      <c r="AA129" s="146"/>
      <c r="AB129" s="146"/>
      <c r="AC129" s="146"/>
      <c r="AD129" s="146"/>
      <c r="AE129" s="146"/>
      <c r="AF129" s="146"/>
      <c r="AG129" s="146"/>
      <c r="AH129" s="273">
        <f t="shared" si="7"/>
        <v>0</v>
      </c>
      <c r="AI129" s="146"/>
      <c r="AJ129" s="146" t="s">
        <v>2479</v>
      </c>
      <c r="AK129" s="146" t="s">
        <v>2480</v>
      </c>
      <c r="AL129" s="146"/>
      <c r="AM129" s="146"/>
      <c r="AN129" s="146"/>
      <c r="AO129" s="146"/>
      <c r="AP129" s="146"/>
      <c r="AQ129" s="146"/>
      <c r="AR129" s="146"/>
      <c r="AS129" s="146"/>
    </row>
    <row r="130" spans="1:45" s="222" customFormat="1" x14ac:dyDescent="0.2">
      <c r="A130" s="146"/>
      <c r="B130" s="296"/>
      <c r="C130" s="296" t="s">
        <v>1804</v>
      </c>
      <c r="D130" s="296" t="s">
        <v>1805</v>
      </c>
      <c r="E130" s="297">
        <v>201806084</v>
      </c>
      <c r="F130" s="296" t="s">
        <v>1411</v>
      </c>
      <c r="G130" s="296" t="s">
        <v>1407</v>
      </c>
      <c r="H130" s="146"/>
      <c r="I130" s="146"/>
      <c r="J130" s="146"/>
      <c r="K130" s="146"/>
      <c r="L130" s="146"/>
      <c r="M130" s="146"/>
      <c r="N130" s="146"/>
      <c r="O130" s="146"/>
      <c r="P130" s="287">
        <f t="shared" si="5"/>
        <v>0</v>
      </c>
      <c r="Q130" s="146"/>
      <c r="R130" s="146"/>
      <c r="S130" s="146"/>
      <c r="T130" s="146"/>
      <c r="U130" s="146"/>
      <c r="V130" s="146"/>
      <c r="W130" s="146">
        <v>1</v>
      </c>
      <c r="X130" s="298">
        <v>43447</v>
      </c>
      <c r="Y130" s="273">
        <f t="shared" si="6"/>
        <v>1</v>
      </c>
      <c r="Z130" s="146"/>
      <c r="AA130" s="146"/>
      <c r="AB130" s="146"/>
      <c r="AC130" s="146"/>
      <c r="AD130" s="146"/>
      <c r="AE130" s="146"/>
      <c r="AF130" s="146"/>
      <c r="AG130" s="146"/>
      <c r="AH130" s="273">
        <f t="shared" si="7"/>
        <v>0</v>
      </c>
      <c r="AI130" s="146"/>
      <c r="AJ130" s="146" t="s">
        <v>2479</v>
      </c>
      <c r="AK130" s="146" t="s">
        <v>2480</v>
      </c>
      <c r="AL130" s="146"/>
      <c r="AM130" s="146"/>
      <c r="AN130" s="146"/>
      <c r="AO130" s="146"/>
      <c r="AP130" s="146"/>
      <c r="AQ130" s="146"/>
      <c r="AR130" s="146"/>
      <c r="AS130" s="146"/>
    </row>
    <row r="131" spans="1:45" s="222" customFormat="1" x14ac:dyDescent="0.2">
      <c r="A131" s="146"/>
      <c r="B131" s="296"/>
      <c r="C131" s="296" t="s">
        <v>1806</v>
      </c>
      <c r="D131" s="296" t="s">
        <v>1807</v>
      </c>
      <c r="E131" s="297">
        <v>201806085</v>
      </c>
      <c r="F131" s="296" t="s">
        <v>1411</v>
      </c>
      <c r="G131" s="296" t="s">
        <v>1407</v>
      </c>
      <c r="H131" s="146"/>
      <c r="I131" s="146"/>
      <c r="J131" s="146"/>
      <c r="K131" s="146"/>
      <c r="L131" s="146"/>
      <c r="M131" s="146"/>
      <c r="N131" s="146"/>
      <c r="O131" s="146"/>
      <c r="P131" s="287">
        <f t="shared" si="5"/>
        <v>0</v>
      </c>
      <c r="Q131" s="146"/>
      <c r="R131" s="146"/>
      <c r="S131" s="146"/>
      <c r="T131" s="146"/>
      <c r="U131" s="146"/>
      <c r="V131" s="146"/>
      <c r="W131" s="146">
        <v>1</v>
      </c>
      <c r="X131" s="298">
        <v>43447</v>
      </c>
      <c r="Y131" s="273">
        <f t="shared" si="6"/>
        <v>1</v>
      </c>
      <c r="Z131" s="146"/>
      <c r="AA131" s="146"/>
      <c r="AB131" s="146"/>
      <c r="AC131" s="146"/>
      <c r="AD131" s="146"/>
      <c r="AE131" s="146"/>
      <c r="AF131" s="146"/>
      <c r="AG131" s="146"/>
      <c r="AH131" s="273">
        <f t="shared" si="7"/>
        <v>0</v>
      </c>
      <c r="AI131" s="146"/>
      <c r="AJ131" s="146" t="s">
        <v>2479</v>
      </c>
      <c r="AK131" s="146" t="s">
        <v>2480</v>
      </c>
      <c r="AL131" s="146"/>
      <c r="AM131" s="146"/>
      <c r="AN131" s="146"/>
      <c r="AO131" s="146"/>
      <c r="AP131" s="146"/>
      <c r="AQ131" s="146"/>
      <c r="AR131" s="146"/>
      <c r="AS131" s="146"/>
    </row>
    <row r="132" spans="1:45" s="222" customFormat="1" x14ac:dyDescent="0.2">
      <c r="A132" s="146"/>
      <c r="B132" s="296"/>
      <c r="C132" s="296" t="s">
        <v>1808</v>
      </c>
      <c r="D132" s="296" t="s">
        <v>1809</v>
      </c>
      <c r="E132" s="297">
        <v>201806086</v>
      </c>
      <c r="F132" s="296" t="s">
        <v>1411</v>
      </c>
      <c r="G132" s="296" t="s">
        <v>1407</v>
      </c>
      <c r="H132" s="146"/>
      <c r="I132" s="146"/>
      <c r="J132" s="146"/>
      <c r="K132" s="146"/>
      <c r="L132" s="146"/>
      <c r="M132" s="146"/>
      <c r="N132" s="146"/>
      <c r="O132" s="146"/>
      <c r="P132" s="287">
        <f t="shared" si="5"/>
        <v>0</v>
      </c>
      <c r="Q132" s="146"/>
      <c r="R132" s="146"/>
      <c r="S132" s="146"/>
      <c r="T132" s="146"/>
      <c r="U132" s="146"/>
      <c r="V132" s="146"/>
      <c r="W132" s="146">
        <v>1</v>
      </c>
      <c r="X132" s="298">
        <v>43447</v>
      </c>
      <c r="Y132" s="273">
        <f t="shared" si="6"/>
        <v>1</v>
      </c>
      <c r="Z132" s="146"/>
      <c r="AA132" s="146"/>
      <c r="AB132" s="146"/>
      <c r="AC132" s="146"/>
      <c r="AD132" s="146"/>
      <c r="AE132" s="146"/>
      <c r="AF132" s="146"/>
      <c r="AG132" s="146"/>
      <c r="AH132" s="273">
        <f t="shared" si="7"/>
        <v>0</v>
      </c>
      <c r="AI132" s="146"/>
      <c r="AJ132" s="146" t="s">
        <v>2479</v>
      </c>
      <c r="AK132" s="146" t="s">
        <v>2480</v>
      </c>
      <c r="AL132" s="146"/>
      <c r="AM132" s="146"/>
      <c r="AN132" s="146"/>
      <c r="AO132" s="146"/>
      <c r="AP132" s="146"/>
      <c r="AQ132" s="146"/>
      <c r="AR132" s="146"/>
      <c r="AS132" s="146"/>
    </row>
    <row r="133" spans="1:45" s="222" customFormat="1" x14ac:dyDescent="0.2">
      <c r="A133" s="146"/>
      <c r="B133" s="296"/>
      <c r="C133" s="296" t="s">
        <v>1810</v>
      </c>
      <c r="D133" s="296" t="s">
        <v>1811</v>
      </c>
      <c r="E133" s="297">
        <v>201806087</v>
      </c>
      <c r="F133" s="296" t="s">
        <v>1411</v>
      </c>
      <c r="G133" s="296" t="s">
        <v>1407</v>
      </c>
      <c r="H133" s="146"/>
      <c r="I133" s="146"/>
      <c r="J133" s="146"/>
      <c r="K133" s="146"/>
      <c r="L133" s="146"/>
      <c r="M133" s="146"/>
      <c r="N133" s="146"/>
      <c r="O133" s="146"/>
      <c r="P133" s="287">
        <f t="shared" si="5"/>
        <v>0</v>
      </c>
      <c r="Q133" s="146"/>
      <c r="R133" s="146"/>
      <c r="S133" s="146"/>
      <c r="T133" s="146"/>
      <c r="U133" s="146"/>
      <c r="V133" s="146"/>
      <c r="W133" s="146">
        <v>1</v>
      </c>
      <c r="X133" s="298">
        <v>43447</v>
      </c>
      <c r="Y133" s="273">
        <f t="shared" si="6"/>
        <v>1</v>
      </c>
      <c r="Z133" s="146"/>
      <c r="AA133" s="146"/>
      <c r="AB133" s="146"/>
      <c r="AC133" s="146"/>
      <c r="AD133" s="146"/>
      <c r="AE133" s="146"/>
      <c r="AF133" s="146"/>
      <c r="AG133" s="146"/>
      <c r="AH133" s="273">
        <f t="shared" si="7"/>
        <v>0</v>
      </c>
      <c r="AI133" s="146"/>
      <c r="AJ133" s="146" t="s">
        <v>2479</v>
      </c>
      <c r="AK133" s="146" t="s">
        <v>2480</v>
      </c>
      <c r="AL133" s="146"/>
      <c r="AM133" s="146"/>
      <c r="AN133" s="146"/>
      <c r="AO133" s="146"/>
      <c r="AP133" s="146"/>
      <c r="AQ133" s="146"/>
      <c r="AR133" s="146"/>
      <c r="AS133" s="146"/>
    </row>
    <row r="134" spans="1:45" s="222" customFormat="1" x14ac:dyDescent="0.2">
      <c r="A134" s="146"/>
      <c r="B134" s="296"/>
      <c r="C134" s="296" t="s">
        <v>1812</v>
      </c>
      <c r="D134" s="296" t="s">
        <v>1813</v>
      </c>
      <c r="E134" s="297">
        <v>201806088</v>
      </c>
      <c r="F134" s="296" t="s">
        <v>1411</v>
      </c>
      <c r="G134" s="296" t="s">
        <v>1407</v>
      </c>
      <c r="H134" s="146"/>
      <c r="I134" s="146"/>
      <c r="J134" s="146"/>
      <c r="K134" s="146"/>
      <c r="L134" s="146"/>
      <c r="M134" s="146"/>
      <c r="N134" s="146"/>
      <c r="O134" s="146"/>
      <c r="P134" s="287">
        <f t="shared" si="5"/>
        <v>0</v>
      </c>
      <c r="Q134" s="146"/>
      <c r="R134" s="146"/>
      <c r="S134" s="146"/>
      <c r="T134" s="146"/>
      <c r="U134" s="146"/>
      <c r="V134" s="146"/>
      <c r="W134" s="146">
        <v>1</v>
      </c>
      <c r="X134" s="298">
        <v>43447</v>
      </c>
      <c r="Y134" s="273">
        <f t="shared" si="6"/>
        <v>1</v>
      </c>
      <c r="Z134" s="146"/>
      <c r="AA134" s="146"/>
      <c r="AB134" s="146"/>
      <c r="AC134" s="146"/>
      <c r="AD134" s="146"/>
      <c r="AE134" s="146"/>
      <c r="AF134" s="146"/>
      <c r="AG134" s="146"/>
      <c r="AH134" s="273">
        <f t="shared" si="7"/>
        <v>0</v>
      </c>
      <c r="AI134" s="146"/>
      <c r="AJ134" s="146" t="s">
        <v>2479</v>
      </c>
      <c r="AK134" s="146" t="s">
        <v>2480</v>
      </c>
      <c r="AL134" s="146"/>
      <c r="AM134" s="146"/>
      <c r="AN134" s="146"/>
      <c r="AO134" s="146"/>
      <c r="AP134" s="146"/>
      <c r="AQ134" s="146"/>
      <c r="AR134" s="146"/>
      <c r="AS134" s="146"/>
    </row>
    <row r="135" spans="1:45" s="222" customFormat="1" x14ac:dyDescent="0.2">
      <c r="A135" s="146"/>
      <c r="B135" s="296"/>
      <c r="C135" s="296" t="s">
        <v>1814</v>
      </c>
      <c r="D135" s="296" t="s">
        <v>1815</v>
      </c>
      <c r="E135" s="297">
        <v>201806090</v>
      </c>
      <c r="F135" s="296" t="s">
        <v>1411</v>
      </c>
      <c r="G135" s="296" t="s">
        <v>1407</v>
      </c>
      <c r="H135" s="146"/>
      <c r="I135" s="146"/>
      <c r="J135" s="146"/>
      <c r="K135" s="146"/>
      <c r="L135" s="146"/>
      <c r="M135" s="146"/>
      <c r="N135" s="146"/>
      <c r="O135" s="146"/>
      <c r="P135" s="287">
        <f t="shared" si="5"/>
        <v>0</v>
      </c>
      <c r="Q135" s="146"/>
      <c r="R135" s="146"/>
      <c r="S135" s="146"/>
      <c r="T135" s="146"/>
      <c r="U135" s="146"/>
      <c r="V135" s="146"/>
      <c r="W135" s="146">
        <v>1</v>
      </c>
      <c r="X135" s="298">
        <v>43447</v>
      </c>
      <c r="Y135" s="273">
        <f t="shared" si="6"/>
        <v>1</v>
      </c>
      <c r="Z135" s="146"/>
      <c r="AA135" s="146"/>
      <c r="AB135" s="146"/>
      <c r="AC135" s="146"/>
      <c r="AD135" s="146"/>
      <c r="AE135" s="146"/>
      <c r="AF135" s="146"/>
      <c r="AG135" s="146"/>
      <c r="AH135" s="273">
        <f t="shared" si="7"/>
        <v>0</v>
      </c>
      <c r="AI135" s="146"/>
      <c r="AJ135" s="146" t="s">
        <v>2479</v>
      </c>
      <c r="AK135" s="146" t="s">
        <v>2480</v>
      </c>
      <c r="AL135" s="146"/>
      <c r="AM135" s="146"/>
      <c r="AN135" s="146"/>
      <c r="AO135" s="146"/>
      <c r="AP135" s="146"/>
      <c r="AQ135" s="146"/>
      <c r="AR135" s="146"/>
      <c r="AS135" s="146"/>
    </row>
    <row r="136" spans="1:45" s="222" customFormat="1" x14ac:dyDescent="0.2">
      <c r="A136" s="146"/>
      <c r="B136" s="296"/>
      <c r="C136" s="296" t="s">
        <v>1816</v>
      </c>
      <c r="D136" s="296" t="s">
        <v>1817</v>
      </c>
      <c r="E136" s="297">
        <v>201806091</v>
      </c>
      <c r="F136" s="296" t="s">
        <v>1411</v>
      </c>
      <c r="G136" s="296" t="s">
        <v>1407</v>
      </c>
      <c r="H136" s="146"/>
      <c r="I136" s="146"/>
      <c r="J136" s="146"/>
      <c r="K136" s="146"/>
      <c r="L136" s="146"/>
      <c r="M136" s="146"/>
      <c r="N136" s="146"/>
      <c r="O136" s="146"/>
      <c r="P136" s="287">
        <f t="shared" si="5"/>
        <v>0</v>
      </c>
      <c r="Q136" s="146"/>
      <c r="R136" s="146"/>
      <c r="S136" s="146"/>
      <c r="T136" s="146"/>
      <c r="U136" s="146"/>
      <c r="V136" s="146"/>
      <c r="W136" s="146">
        <v>1</v>
      </c>
      <c r="X136" s="298">
        <v>43447</v>
      </c>
      <c r="Y136" s="273">
        <f t="shared" si="6"/>
        <v>1</v>
      </c>
      <c r="Z136" s="146"/>
      <c r="AA136" s="146"/>
      <c r="AB136" s="146"/>
      <c r="AC136" s="146"/>
      <c r="AD136" s="146"/>
      <c r="AE136" s="146"/>
      <c r="AF136" s="146"/>
      <c r="AG136" s="146"/>
      <c r="AH136" s="273">
        <f t="shared" si="7"/>
        <v>0</v>
      </c>
      <c r="AI136" s="146"/>
      <c r="AJ136" s="146" t="s">
        <v>2479</v>
      </c>
      <c r="AK136" s="146" t="s">
        <v>2480</v>
      </c>
      <c r="AL136" s="146"/>
      <c r="AM136" s="146"/>
      <c r="AN136" s="146"/>
      <c r="AO136" s="146"/>
      <c r="AP136" s="146"/>
      <c r="AQ136" s="146"/>
      <c r="AR136" s="146"/>
      <c r="AS136" s="146"/>
    </row>
    <row r="137" spans="1:45" s="222" customFormat="1" x14ac:dyDescent="0.2">
      <c r="A137" s="146"/>
      <c r="B137" s="296"/>
      <c r="C137" s="296" t="s">
        <v>1818</v>
      </c>
      <c r="D137" s="296" t="s">
        <v>1819</v>
      </c>
      <c r="E137" s="297">
        <v>201806092</v>
      </c>
      <c r="F137" s="296" t="s">
        <v>1411</v>
      </c>
      <c r="G137" s="296" t="s">
        <v>1407</v>
      </c>
      <c r="H137" s="146"/>
      <c r="I137" s="146"/>
      <c r="J137" s="146"/>
      <c r="K137" s="146"/>
      <c r="L137" s="146"/>
      <c r="M137" s="146"/>
      <c r="N137" s="146"/>
      <c r="O137" s="146"/>
      <c r="P137" s="287">
        <f t="shared" si="5"/>
        <v>0</v>
      </c>
      <c r="Q137" s="146"/>
      <c r="R137" s="146"/>
      <c r="S137" s="146"/>
      <c r="T137" s="146"/>
      <c r="U137" s="146"/>
      <c r="V137" s="146"/>
      <c r="W137" s="146">
        <v>1</v>
      </c>
      <c r="X137" s="298">
        <v>43447</v>
      </c>
      <c r="Y137" s="273">
        <f t="shared" si="6"/>
        <v>1</v>
      </c>
      <c r="Z137" s="146"/>
      <c r="AA137" s="146"/>
      <c r="AB137" s="146"/>
      <c r="AC137" s="146"/>
      <c r="AD137" s="146"/>
      <c r="AE137" s="146"/>
      <c r="AF137" s="146"/>
      <c r="AG137" s="146"/>
      <c r="AH137" s="273">
        <f t="shared" si="7"/>
        <v>0</v>
      </c>
      <c r="AI137" s="146"/>
      <c r="AJ137" s="146" t="s">
        <v>2479</v>
      </c>
      <c r="AK137" s="146" t="s">
        <v>2480</v>
      </c>
      <c r="AL137" s="146"/>
      <c r="AM137" s="146"/>
      <c r="AN137" s="146"/>
      <c r="AO137" s="146"/>
      <c r="AP137" s="146"/>
      <c r="AQ137" s="146"/>
      <c r="AR137" s="146"/>
      <c r="AS137" s="146"/>
    </row>
    <row r="138" spans="1:45" s="222" customFormat="1" x14ac:dyDescent="0.2">
      <c r="A138" s="146"/>
      <c r="B138" s="296"/>
      <c r="C138" s="296" t="s">
        <v>1820</v>
      </c>
      <c r="D138" s="296" t="s">
        <v>1821</v>
      </c>
      <c r="E138" s="297">
        <v>201806093</v>
      </c>
      <c r="F138" s="296" t="s">
        <v>1411</v>
      </c>
      <c r="G138" s="296" t="s">
        <v>1407</v>
      </c>
      <c r="H138" s="146"/>
      <c r="I138" s="146"/>
      <c r="J138" s="146"/>
      <c r="K138" s="146"/>
      <c r="L138" s="146"/>
      <c r="M138" s="146"/>
      <c r="N138" s="146"/>
      <c r="O138" s="146"/>
      <c r="P138" s="287">
        <f t="shared" si="5"/>
        <v>0</v>
      </c>
      <c r="Q138" s="146"/>
      <c r="R138" s="146"/>
      <c r="S138" s="146"/>
      <c r="T138" s="146"/>
      <c r="U138" s="146"/>
      <c r="V138" s="146"/>
      <c r="W138" s="146">
        <v>1</v>
      </c>
      <c r="X138" s="298">
        <v>43447</v>
      </c>
      <c r="Y138" s="273">
        <f t="shared" si="6"/>
        <v>1</v>
      </c>
      <c r="Z138" s="146"/>
      <c r="AA138" s="146"/>
      <c r="AB138" s="146"/>
      <c r="AC138" s="146"/>
      <c r="AD138" s="146"/>
      <c r="AE138" s="146"/>
      <c r="AF138" s="146"/>
      <c r="AG138" s="146"/>
      <c r="AH138" s="273">
        <f t="shared" si="7"/>
        <v>0</v>
      </c>
      <c r="AI138" s="146"/>
      <c r="AJ138" s="146" t="s">
        <v>2479</v>
      </c>
      <c r="AK138" s="146" t="s">
        <v>2480</v>
      </c>
      <c r="AL138" s="146"/>
      <c r="AM138" s="146"/>
      <c r="AN138" s="146"/>
      <c r="AO138" s="146"/>
      <c r="AP138" s="146"/>
      <c r="AQ138" s="146"/>
      <c r="AR138" s="146"/>
      <c r="AS138" s="146"/>
    </row>
    <row r="139" spans="1:45" s="222" customFormat="1" x14ac:dyDescent="0.2">
      <c r="A139" s="146"/>
      <c r="B139" s="296"/>
      <c r="C139" s="296" t="s">
        <v>1822</v>
      </c>
      <c r="D139" s="296" t="s">
        <v>1823</v>
      </c>
      <c r="E139" s="297">
        <v>201806094</v>
      </c>
      <c r="F139" s="296" t="s">
        <v>1411</v>
      </c>
      <c r="G139" s="296" t="s">
        <v>1407</v>
      </c>
      <c r="H139" s="146"/>
      <c r="I139" s="146"/>
      <c r="J139" s="146"/>
      <c r="K139" s="146"/>
      <c r="L139" s="146"/>
      <c r="M139" s="146"/>
      <c r="N139" s="146"/>
      <c r="O139" s="146"/>
      <c r="P139" s="287">
        <f t="shared" si="5"/>
        <v>0</v>
      </c>
      <c r="Q139" s="146"/>
      <c r="R139" s="146"/>
      <c r="S139" s="146"/>
      <c r="T139" s="146"/>
      <c r="U139" s="146"/>
      <c r="V139" s="146"/>
      <c r="W139" s="146">
        <v>1</v>
      </c>
      <c r="X139" s="298">
        <v>43447</v>
      </c>
      <c r="Y139" s="273">
        <f t="shared" si="6"/>
        <v>1</v>
      </c>
      <c r="Z139" s="146"/>
      <c r="AA139" s="146"/>
      <c r="AB139" s="146"/>
      <c r="AC139" s="146"/>
      <c r="AD139" s="146"/>
      <c r="AE139" s="146"/>
      <c r="AF139" s="146"/>
      <c r="AG139" s="146"/>
      <c r="AH139" s="273">
        <f t="shared" si="7"/>
        <v>0</v>
      </c>
      <c r="AI139" s="146"/>
      <c r="AJ139" s="146" t="s">
        <v>2479</v>
      </c>
      <c r="AK139" s="146" t="s">
        <v>2480</v>
      </c>
      <c r="AL139" s="146"/>
      <c r="AM139" s="146"/>
      <c r="AN139" s="146"/>
      <c r="AO139" s="146"/>
      <c r="AP139" s="146"/>
      <c r="AQ139" s="146"/>
      <c r="AR139" s="146"/>
      <c r="AS139" s="146"/>
    </row>
    <row r="140" spans="1:45" s="222" customFormat="1" x14ac:dyDescent="0.2">
      <c r="A140" s="146"/>
      <c r="B140" s="296"/>
      <c r="C140" s="296" t="s">
        <v>1824</v>
      </c>
      <c r="D140" s="296" t="s">
        <v>1825</v>
      </c>
      <c r="E140" s="297">
        <v>201806095</v>
      </c>
      <c r="F140" s="296" t="s">
        <v>1411</v>
      </c>
      <c r="G140" s="296" t="s">
        <v>1407</v>
      </c>
      <c r="H140" s="146"/>
      <c r="I140" s="146"/>
      <c r="J140" s="146"/>
      <c r="K140" s="146"/>
      <c r="L140" s="146"/>
      <c r="M140" s="146"/>
      <c r="N140" s="146"/>
      <c r="O140" s="146"/>
      <c r="P140" s="287">
        <f t="shared" si="5"/>
        <v>0</v>
      </c>
      <c r="Q140" s="146"/>
      <c r="R140" s="146"/>
      <c r="S140" s="146"/>
      <c r="T140" s="146"/>
      <c r="U140" s="146"/>
      <c r="V140" s="146"/>
      <c r="W140" s="146">
        <v>1</v>
      </c>
      <c r="X140" s="298">
        <v>43447</v>
      </c>
      <c r="Y140" s="273">
        <f t="shared" si="6"/>
        <v>1</v>
      </c>
      <c r="Z140" s="146"/>
      <c r="AA140" s="146"/>
      <c r="AB140" s="146"/>
      <c r="AC140" s="146"/>
      <c r="AD140" s="146"/>
      <c r="AE140" s="146"/>
      <c r="AF140" s="146"/>
      <c r="AG140" s="146"/>
      <c r="AH140" s="273">
        <f t="shared" si="7"/>
        <v>0</v>
      </c>
      <c r="AI140" s="146"/>
      <c r="AJ140" s="146" t="s">
        <v>2479</v>
      </c>
      <c r="AK140" s="146" t="s">
        <v>2480</v>
      </c>
      <c r="AL140" s="146"/>
      <c r="AM140" s="146"/>
      <c r="AN140" s="146"/>
      <c r="AO140" s="146"/>
      <c r="AP140" s="146"/>
      <c r="AQ140" s="146"/>
      <c r="AR140" s="146"/>
      <c r="AS140" s="146"/>
    </row>
    <row r="141" spans="1:45" s="222" customFormat="1" x14ac:dyDescent="0.2">
      <c r="A141" s="146"/>
      <c r="B141" s="296"/>
      <c r="C141" s="296" t="s">
        <v>1826</v>
      </c>
      <c r="D141" s="296" t="s">
        <v>1827</v>
      </c>
      <c r="E141" s="297">
        <v>201804385</v>
      </c>
      <c r="F141" s="296" t="s">
        <v>1411</v>
      </c>
      <c r="G141" s="296" t="s">
        <v>1407</v>
      </c>
      <c r="H141" s="146"/>
      <c r="I141" s="146"/>
      <c r="J141" s="146"/>
      <c r="K141" s="146"/>
      <c r="L141" s="146"/>
      <c r="M141" s="146"/>
      <c r="N141" s="146"/>
      <c r="O141" s="146"/>
      <c r="P141" s="287">
        <f t="shared" ref="P141:P204" si="8">SUM(H141:N141)</f>
        <v>0</v>
      </c>
      <c r="Q141" s="146"/>
      <c r="R141" s="146"/>
      <c r="S141" s="146"/>
      <c r="T141" s="146"/>
      <c r="U141" s="146"/>
      <c r="V141" s="146"/>
      <c r="W141" s="146">
        <v>1</v>
      </c>
      <c r="X141" s="298">
        <v>43360</v>
      </c>
      <c r="Y141" s="273">
        <f t="shared" ref="Y141:Y204" si="9">SUM(Q141:W141)</f>
        <v>1</v>
      </c>
      <c r="Z141" s="146"/>
      <c r="AA141" s="146"/>
      <c r="AB141" s="146"/>
      <c r="AC141" s="146"/>
      <c r="AD141" s="146"/>
      <c r="AE141" s="146"/>
      <c r="AF141" s="146"/>
      <c r="AG141" s="146"/>
      <c r="AH141" s="273">
        <f t="shared" si="7"/>
        <v>0</v>
      </c>
      <c r="AI141" s="146"/>
      <c r="AJ141" s="146" t="s">
        <v>2479</v>
      </c>
      <c r="AK141" s="146" t="s">
        <v>2480</v>
      </c>
      <c r="AL141" s="146"/>
      <c r="AM141" s="146"/>
      <c r="AN141" s="146"/>
      <c r="AO141" s="146"/>
      <c r="AP141" s="146"/>
      <c r="AQ141" s="146"/>
      <c r="AR141" s="146"/>
      <c r="AS141" s="146"/>
    </row>
    <row r="142" spans="1:45" s="222" customFormat="1" x14ac:dyDescent="0.2">
      <c r="A142" s="146"/>
      <c r="B142" s="296" t="s">
        <v>1735</v>
      </c>
      <c r="C142" s="296" t="s">
        <v>1828</v>
      </c>
      <c r="D142" s="296" t="s">
        <v>1829</v>
      </c>
      <c r="E142" s="297">
        <v>201804396</v>
      </c>
      <c r="F142" s="296" t="s">
        <v>1411</v>
      </c>
      <c r="G142" s="296" t="s">
        <v>1407</v>
      </c>
      <c r="H142" s="146"/>
      <c r="I142" s="146"/>
      <c r="J142" s="146"/>
      <c r="K142" s="146"/>
      <c r="L142" s="146"/>
      <c r="M142" s="146"/>
      <c r="N142" s="146"/>
      <c r="O142" s="146"/>
      <c r="P142" s="287">
        <f t="shared" si="8"/>
        <v>0</v>
      </c>
      <c r="Q142" s="146"/>
      <c r="R142" s="146"/>
      <c r="S142" s="146"/>
      <c r="T142" s="146"/>
      <c r="U142" s="146"/>
      <c r="V142" s="146"/>
      <c r="W142" s="146">
        <v>1</v>
      </c>
      <c r="X142" s="298">
        <v>43360</v>
      </c>
      <c r="Y142" s="273">
        <f t="shared" si="9"/>
        <v>1</v>
      </c>
      <c r="Z142" s="146"/>
      <c r="AA142" s="146"/>
      <c r="AB142" s="146"/>
      <c r="AC142" s="146"/>
      <c r="AD142" s="146"/>
      <c r="AE142" s="146"/>
      <c r="AF142" s="146"/>
      <c r="AG142" s="146"/>
      <c r="AH142" s="273">
        <f t="shared" si="7"/>
        <v>0</v>
      </c>
      <c r="AI142" s="146"/>
      <c r="AJ142" s="146" t="s">
        <v>2479</v>
      </c>
      <c r="AK142" s="146" t="s">
        <v>2480</v>
      </c>
      <c r="AL142" s="146"/>
      <c r="AM142" s="146"/>
      <c r="AN142" s="146"/>
      <c r="AO142" s="146"/>
      <c r="AP142" s="146"/>
      <c r="AQ142" s="146"/>
      <c r="AR142" s="146"/>
      <c r="AS142" s="146"/>
    </row>
    <row r="143" spans="1:45" s="222" customFormat="1" x14ac:dyDescent="0.2">
      <c r="A143" s="146"/>
      <c r="B143" s="296" t="s">
        <v>1735</v>
      </c>
      <c r="C143" s="296" t="s">
        <v>1830</v>
      </c>
      <c r="D143" s="296" t="s">
        <v>1831</v>
      </c>
      <c r="E143" s="297">
        <v>201804394</v>
      </c>
      <c r="F143" s="296" t="s">
        <v>1411</v>
      </c>
      <c r="G143" s="296" t="s">
        <v>1407</v>
      </c>
      <c r="H143" s="146"/>
      <c r="I143" s="146"/>
      <c r="J143" s="146"/>
      <c r="K143" s="146"/>
      <c r="L143" s="146"/>
      <c r="M143" s="146"/>
      <c r="N143" s="146"/>
      <c r="O143" s="146"/>
      <c r="P143" s="287">
        <f t="shared" si="8"/>
        <v>0</v>
      </c>
      <c r="Q143" s="146"/>
      <c r="R143" s="146"/>
      <c r="S143" s="146"/>
      <c r="T143" s="146"/>
      <c r="U143" s="146"/>
      <c r="V143" s="146"/>
      <c r="W143" s="146">
        <v>1</v>
      </c>
      <c r="X143" s="298">
        <v>43360</v>
      </c>
      <c r="Y143" s="273">
        <f t="shared" si="9"/>
        <v>1</v>
      </c>
      <c r="Z143" s="146"/>
      <c r="AA143" s="146"/>
      <c r="AB143" s="146"/>
      <c r="AC143" s="146"/>
      <c r="AD143" s="146"/>
      <c r="AE143" s="146"/>
      <c r="AF143" s="146"/>
      <c r="AG143" s="146"/>
      <c r="AH143" s="273">
        <f t="shared" si="7"/>
        <v>0</v>
      </c>
      <c r="AI143" s="146"/>
      <c r="AJ143" s="146" t="s">
        <v>2479</v>
      </c>
      <c r="AK143" s="146" t="s">
        <v>2480</v>
      </c>
      <c r="AL143" s="146"/>
      <c r="AM143" s="146"/>
      <c r="AN143" s="146"/>
      <c r="AO143" s="146"/>
      <c r="AP143" s="146"/>
      <c r="AQ143" s="146"/>
      <c r="AR143" s="146"/>
      <c r="AS143" s="146"/>
    </row>
    <row r="144" spans="1:45" s="222" customFormat="1" x14ac:dyDescent="0.2">
      <c r="A144" s="146"/>
      <c r="B144" s="296" t="s">
        <v>1832</v>
      </c>
      <c r="C144" s="296" t="s">
        <v>1833</v>
      </c>
      <c r="D144" s="296" t="s">
        <v>1834</v>
      </c>
      <c r="E144" s="297">
        <v>201804565</v>
      </c>
      <c r="F144" s="296" t="s">
        <v>1406</v>
      </c>
      <c r="G144" s="296" t="s">
        <v>1407</v>
      </c>
      <c r="H144" s="146"/>
      <c r="I144" s="146"/>
      <c r="J144" s="146"/>
      <c r="K144" s="146"/>
      <c r="L144" s="146"/>
      <c r="M144" s="146"/>
      <c r="N144" s="146"/>
      <c r="O144" s="146"/>
      <c r="P144" s="287">
        <f t="shared" si="8"/>
        <v>0</v>
      </c>
      <c r="Q144" s="146"/>
      <c r="R144" s="146"/>
      <c r="S144" s="146"/>
      <c r="T144" s="146"/>
      <c r="U144" s="146"/>
      <c r="V144" s="146"/>
      <c r="W144" s="146">
        <v>1</v>
      </c>
      <c r="X144" s="298">
        <v>43370</v>
      </c>
      <c r="Y144" s="273">
        <f t="shared" si="9"/>
        <v>1</v>
      </c>
      <c r="Z144" s="146"/>
      <c r="AA144" s="146"/>
      <c r="AB144" s="146"/>
      <c r="AC144" s="146"/>
      <c r="AD144" s="146"/>
      <c r="AE144" s="146"/>
      <c r="AF144" s="146"/>
      <c r="AG144" s="146"/>
      <c r="AH144" s="273">
        <f t="shared" si="7"/>
        <v>0</v>
      </c>
      <c r="AI144" s="146"/>
      <c r="AJ144" s="146" t="s">
        <v>2479</v>
      </c>
      <c r="AK144" s="146" t="s">
        <v>2479</v>
      </c>
      <c r="AL144" s="146"/>
      <c r="AM144" s="146"/>
      <c r="AN144" s="146"/>
      <c r="AO144" s="146"/>
      <c r="AP144" s="146"/>
      <c r="AQ144" s="146"/>
      <c r="AR144" s="146"/>
      <c r="AS144" s="146"/>
    </row>
    <row r="145" spans="1:45" s="222" customFormat="1" x14ac:dyDescent="0.2">
      <c r="A145" s="146"/>
      <c r="B145" s="296" t="s">
        <v>1835</v>
      </c>
      <c r="C145" s="296" t="s">
        <v>1836</v>
      </c>
      <c r="D145" s="296" t="s">
        <v>1837</v>
      </c>
      <c r="E145" s="297">
        <v>201804328</v>
      </c>
      <c r="F145" s="296" t="s">
        <v>1406</v>
      </c>
      <c r="G145" s="296" t="s">
        <v>1407</v>
      </c>
      <c r="H145" s="146"/>
      <c r="I145" s="146"/>
      <c r="J145" s="146"/>
      <c r="K145" s="146"/>
      <c r="L145" s="146"/>
      <c r="M145" s="146"/>
      <c r="N145" s="146"/>
      <c r="O145" s="146"/>
      <c r="P145" s="287">
        <f t="shared" si="8"/>
        <v>0</v>
      </c>
      <c r="Q145" s="146"/>
      <c r="R145" s="146"/>
      <c r="S145" s="146"/>
      <c r="T145" s="146"/>
      <c r="U145" s="146"/>
      <c r="V145" s="146"/>
      <c r="W145" s="146">
        <v>1</v>
      </c>
      <c r="X145" s="298">
        <v>43363</v>
      </c>
      <c r="Y145" s="273">
        <f t="shared" si="9"/>
        <v>1</v>
      </c>
      <c r="Z145" s="146"/>
      <c r="AA145" s="146"/>
      <c r="AB145" s="146"/>
      <c r="AC145" s="146"/>
      <c r="AD145" s="146"/>
      <c r="AE145" s="146"/>
      <c r="AF145" s="146"/>
      <c r="AG145" s="146"/>
      <c r="AH145" s="273">
        <f t="shared" si="7"/>
        <v>0</v>
      </c>
      <c r="AI145" s="146"/>
      <c r="AJ145" s="146" t="s">
        <v>2479</v>
      </c>
      <c r="AK145" s="146" t="s">
        <v>2479</v>
      </c>
      <c r="AL145" s="146"/>
      <c r="AM145" s="146"/>
      <c r="AN145" s="146"/>
      <c r="AO145" s="146"/>
      <c r="AP145" s="146"/>
      <c r="AQ145" s="146"/>
      <c r="AR145" s="146"/>
      <c r="AS145" s="146"/>
    </row>
    <row r="146" spans="1:45" s="222" customFormat="1" x14ac:dyDescent="0.2">
      <c r="A146" s="146"/>
      <c r="B146" s="296" t="s">
        <v>1838</v>
      </c>
      <c r="C146" s="296" t="s">
        <v>1839</v>
      </c>
      <c r="D146" s="296" t="s">
        <v>1840</v>
      </c>
      <c r="E146" s="297">
        <v>201803783</v>
      </c>
      <c r="F146" s="296" t="s">
        <v>1406</v>
      </c>
      <c r="G146" s="296" t="s">
        <v>1407</v>
      </c>
      <c r="H146" s="146"/>
      <c r="I146" s="146"/>
      <c r="J146" s="146"/>
      <c r="K146" s="146"/>
      <c r="L146" s="146"/>
      <c r="M146" s="146"/>
      <c r="N146" s="146"/>
      <c r="O146" s="146"/>
      <c r="P146" s="287">
        <f t="shared" si="8"/>
        <v>0</v>
      </c>
      <c r="Q146" s="146"/>
      <c r="R146" s="146"/>
      <c r="S146" s="146"/>
      <c r="T146" s="146"/>
      <c r="U146" s="146"/>
      <c r="V146" s="146"/>
      <c r="W146" s="146">
        <v>1</v>
      </c>
      <c r="X146" s="298">
        <v>43342</v>
      </c>
      <c r="Y146" s="273">
        <f t="shared" si="9"/>
        <v>1</v>
      </c>
      <c r="Z146" s="146"/>
      <c r="AA146" s="146"/>
      <c r="AB146" s="146"/>
      <c r="AC146" s="146"/>
      <c r="AD146" s="146"/>
      <c r="AE146" s="146"/>
      <c r="AF146" s="146"/>
      <c r="AG146" s="146"/>
      <c r="AH146" s="273">
        <f t="shared" si="7"/>
        <v>0</v>
      </c>
      <c r="AI146" s="146"/>
      <c r="AJ146" s="146" t="s">
        <v>2479</v>
      </c>
      <c r="AK146" s="146" t="s">
        <v>2479</v>
      </c>
      <c r="AL146" s="146"/>
      <c r="AM146" s="146"/>
      <c r="AN146" s="146"/>
      <c r="AO146" s="146"/>
      <c r="AP146" s="146"/>
      <c r="AQ146" s="146"/>
      <c r="AR146" s="146"/>
      <c r="AS146" s="146"/>
    </row>
    <row r="147" spans="1:45" s="222" customFormat="1" x14ac:dyDescent="0.2">
      <c r="A147" s="146"/>
      <c r="B147" s="296" t="s">
        <v>1841</v>
      </c>
      <c r="C147" s="296" t="s">
        <v>1842</v>
      </c>
      <c r="D147" s="296" t="s">
        <v>1843</v>
      </c>
      <c r="E147" s="297">
        <v>201803785</v>
      </c>
      <c r="F147" s="296" t="s">
        <v>1406</v>
      </c>
      <c r="G147" s="296" t="s">
        <v>1407</v>
      </c>
      <c r="H147" s="146"/>
      <c r="I147" s="146"/>
      <c r="J147" s="146"/>
      <c r="K147" s="146"/>
      <c r="L147" s="146"/>
      <c r="M147" s="146"/>
      <c r="N147" s="146"/>
      <c r="O147" s="146"/>
      <c r="P147" s="287">
        <f t="shared" si="8"/>
        <v>0</v>
      </c>
      <c r="Q147" s="146"/>
      <c r="R147" s="146"/>
      <c r="S147" s="146"/>
      <c r="T147" s="146"/>
      <c r="U147" s="146"/>
      <c r="V147" s="146"/>
      <c r="W147" s="146">
        <v>1</v>
      </c>
      <c r="X147" s="298">
        <v>43342</v>
      </c>
      <c r="Y147" s="273">
        <f t="shared" si="9"/>
        <v>1</v>
      </c>
      <c r="Z147" s="146"/>
      <c r="AA147" s="146"/>
      <c r="AB147" s="146"/>
      <c r="AC147" s="146"/>
      <c r="AD147" s="146"/>
      <c r="AE147" s="146"/>
      <c r="AF147" s="146"/>
      <c r="AG147" s="146"/>
      <c r="AH147" s="273">
        <f t="shared" si="7"/>
        <v>0</v>
      </c>
      <c r="AI147" s="146"/>
      <c r="AJ147" s="146" t="s">
        <v>2479</v>
      </c>
      <c r="AK147" s="146" t="s">
        <v>2479</v>
      </c>
      <c r="AL147" s="146"/>
      <c r="AM147" s="146"/>
      <c r="AN147" s="146"/>
      <c r="AO147" s="146"/>
      <c r="AP147" s="146"/>
      <c r="AQ147" s="146"/>
      <c r="AR147" s="146"/>
      <c r="AS147" s="146"/>
    </row>
    <row r="148" spans="1:45" s="222" customFormat="1" x14ac:dyDescent="0.2">
      <c r="A148" s="146"/>
      <c r="B148" s="296" t="s">
        <v>1844</v>
      </c>
      <c r="C148" s="296" t="s">
        <v>1845</v>
      </c>
      <c r="D148" s="296" t="s">
        <v>1846</v>
      </c>
      <c r="E148" s="297">
        <v>201803786</v>
      </c>
      <c r="F148" s="296" t="s">
        <v>1406</v>
      </c>
      <c r="G148" s="296" t="s">
        <v>1407</v>
      </c>
      <c r="H148" s="146"/>
      <c r="I148" s="146"/>
      <c r="J148" s="146"/>
      <c r="K148" s="146"/>
      <c r="L148" s="146"/>
      <c r="M148" s="146"/>
      <c r="N148" s="146"/>
      <c r="O148" s="146"/>
      <c r="P148" s="287">
        <f t="shared" si="8"/>
        <v>0</v>
      </c>
      <c r="Q148" s="146"/>
      <c r="R148" s="146"/>
      <c r="S148" s="146"/>
      <c r="T148" s="146"/>
      <c r="U148" s="146"/>
      <c r="V148" s="146"/>
      <c r="W148" s="146">
        <v>1</v>
      </c>
      <c r="X148" s="298">
        <v>43304</v>
      </c>
      <c r="Y148" s="273">
        <f t="shared" si="9"/>
        <v>1</v>
      </c>
      <c r="Z148" s="146"/>
      <c r="AA148" s="146"/>
      <c r="AB148" s="146"/>
      <c r="AC148" s="146"/>
      <c r="AD148" s="146"/>
      <c r="AE148" s="146"/>
      <c r="AF148" s="146"/>
      <c r="AG148" s="146"/>
      <c r="AH148" s="273">
        <f t="shared" si="7"/>
        <v>0</v>
      </c>
      <c r="AI148" s="146"/>
      <c r="AJ148" s="146" t="s">
        <v>2479</v>
      </c>
      <c r="AK148" s="146" t="s">
        <v>2479</v>
      </c>
      <c r="AL148" s="146"/>
      <c r="AM148" s="146"/>
      <c r="AN148" s="146"/>
      <c r="AO148" s="146"/>
      <c r="AP148" s="146"/>
      <c r="AQ148" s="146"/>
      <c r="AR148" s="146"/>
      <c r="AS148" s="146"/>
    </row>
    <row r="149" spans="1:45" s="222" customFormat="1" x14ac:dyDescent="0.2">
      <c r="A149" s="146"/>
      <c r="B149" s="296" t="s">
        <v>1847</v>
      </c>
      <c r="C149" s="296" t="s">
        <v>1848</v>
      </c>
      <c r="D149" s="296" t="s">
        <v>1849</v>
      </c>
      <c r="E149" s="297">
        <v>201803780</v>
      </c>
      <c r="F149" s="296" t="s">
        <v>1406</v>
      </c>
      <c r="G149" s="296" t="s">
        <v>1407</v>
      </c>
      <c r="H149" s="146"/>
      <c r="I149" s="146"/>
      <c r="J149" s="146"/>
      <c r="K149" s="146"/>
      <c r="L149" s="146"/>
      <c r="M149" s="146"/>
      <c r="N149" s="146"/>
      <c r="O149" s="146"/>
      <c r="P149" s="287">
        <f t="shared" si="8"/>
        <v>0</v>
      </c>
      <c r="Q149" s="146"/>
      <c r="R149" s="146"/>
      <c r="S149" s="146"/>
      <c r="T149" s="146"/>
      <c r="U149" s="146"/>
      <c r="V149" s="146"/>
      <c r="W149" s="146">
        <v>1</v>
      </c>
      <c r="X149" s="298">
        <v>43342</v>
      </c>
      <c r="Y149" s="273">
        <f t="shared" si="9"/>
        <v>1</v>
      </c>
      <c r="Z149" s="146"/>
      <c r="AA149" s="146"/>
      <c r="AB149" s="146"/>
      <c r="AC149" s="146"/>
      <c r="AD149" s="146"/>
      <c r="AE149" s="146"/>
      <c r="AF149" s="146"/>
      <c r="AG149" s="146"/>
      <c r="AH149" s="273">
        <f t="shared" si="7"/>
        <v>0</v>
      </c>
      <c r="AI149" s="146"/>
      <c r="AJ149" s="146" t="s">
        <v>2479</v>
      </c>
      <c r="AK149" s="146" t="s">
        <v>2479</v>
      </c>
      <c r="AL149" s="146"/>
      <c r="AM149" s="146"/>
      <c r="AN149" s="146"/>
      <c r="AO149" s="146"/>
      <c r="AP149" s="146"/>
      <c r="AQ149" s="146"/>
      <c r="AR149" s="146"/>
      <c r="AS149" s="146"/>
    </row>
    <row r="150" spans="1:45" s="222" customFormat="1" x14ac:dyDescent="0.2">
      <c r="A150" s="146"/>
      <c r="B150" s="296" t="s">
        <v>1850</v>
      </c>
      <c r="C150" s="296" t="s">
        <v>1851</v>
      </c>
      <c r="D150" s="296" t="s">
        <v>1852</v>
      </c>
      <c r="E150" s="297">
        <v>201804564</v>
      </c>
      <c r="F150" s="296" t="s">
        <v>1406</v>
      </c>
      <c r="G150" s="296" t="s">
        <v>1407</v>
      </c>
      <c r="H150" s="146"/>
      <c r="I150" s="146"/>
      <c r="J150" s="146"/>
      <c r="K150" s="146"/>
      <c r="L150" s="146"/>
      <c r="M150" s="146"/>
      <c r="N150" s="146"/>
      <c r="O150" s="146"/>
      <c r="P150" s="287">
        <f t="shared" si="8"/>
        <v>0</v>
      </c>
      <c r="Q150" s="146"/>
      <c r="R150" s="146"/>
      <c r="S150" s="146"/>
      <c r="T150" s="146"/>
      <c r="U150" s="146"/>
      <c r="V150" s="146"/>
      <c r="W150" s="146">
        <v>1</v>
      </c>
      <c r="X150" s="298">
        <v>43370</v>
      </c>
      <c r="Y150" s="273">
        <f t="shared" si="9"/>
        <v>1</v>
      </c>
      <c r="Z150" s="146"/>
      <c r="AA150" s="146"/>
      <c r="AB150" s="146"/>
      <c r="AC150" s="146"/>
      <c r="AD150" s="146"/>
      <c r="AE150" s="146"/>
      <c r="AF150" s="146"/>
      <c r="AG150" s="146"/>
      <c r="AH150" s="273">
        <f t="shared" si="7"/>
        <v>0</v>
      </c>
      <c r="AI150" s="146"/>
      <c r="AJ150" s="146" t="s">
        <v>2479</v>
      </c>
      <c r="AK150" s="146" t="s">
        <v>2479</v>
      </c>
      <c r="AL150" s="146"/>
      <c r="AM150" s="146"/>
      <c r="AN150" s="146"/>
      <c r="AO150" s="146"/>
      <c r="AP150" s="146"/>
      <c r="AQ150" s="146"/>
      <c r="AR150" s="146"/>
      <c r="AS150" s="146"/>
    </row>
    <row r="151" spans="1:45" s="222" customFormat="1" x14ac:dyDescent="0.2">
      <c r="A151" s="146"/>
      <c r="B151" s="296"/>
      <c r="C151" s="296" t="s">
        <v>1853</v>
      </c>
      <c r="D151" s="296" t="s">
        <v>1854</v>
      </c>
      <c r="E151" s="297">
        <v>201805211</v>
      </c>
      <c r="F151" s="296" t="s">
        <v>1406</v>
      </c>
      <c r="G151" s="296" t="s">
        <v>1407</v>
      </c>
      <c r="H151" s="146"/>
      <c r="I151" s="146"/>
      <c r="J151" s="146"/>
      <c r="K151" s="146"/>
      <c r="L151" s="146"/>
      <c r="M151" s="146"/>
      <c r="N151" s="146"/>
      <c r="O151" s="146"/>
      <c r="P151" s="287">
        <f t="shared" si="8"/>
        <v>0</v>
      </c>
      <c r="Q151" s="146"/>
      <c r="R151" s="146"/>
      <c r="S151" s="146"/>
      <c r="T151" s="146"/>
      <c r="U151" s="146"/>
      <c r="V151" s="146"/>
      <c r="W151" s="146">
        <v>1</v>
      </c>
      <c r="X151" s="298">
        <v>43405</v>
      </c>
      <c r="Y151" s="273">
        <f t="shared" si="9"/>
        <v>1</v>
      </c>
      <c r="Z151" s="146"/>
      <c r="AA151" s="146"/>
      <c r="AB151" s="146"/>
      <c r="AC151" s="146"/>
      <c r="AD151" s="146"/>
      <c r="AE151" s="146"/>
      <c r="AF151" s="146"/>
      <c r="AG151" s="146"/>
      <c r="AH151" s="273">
        <f t="shared" si="7"/>
        <v>0</v>
      </c>
      <c r="AI151" s="146"/>
      <c r="AJ151" s="146" t="s">
        <v>2479</v>
      </c>
      <c r="AK151" s="146" t="s">
        <v>2479</v>
      </c>
      <c r="AL151" s="146"/>
      <c r="AM151" s="146"/>
      <c r="AN151" s="146"/>
      <c r="AO151" s="146"/>
      <c r="AP151" s="146"/>
      <c r="AQ151" s="146"/>
      <c r="AR151" s="146"/>
      <c r="AS151" s="146"/>
    </row>
    <row r="152" spans="1:45" s="222" customFormat="1" x14ac:dyDescent="0.2">
      <c r="A152" s="146"/>
      <c r="B152" s="296"/>
      <c r="C152" s="296" t="s">
        <v>1855</v>
      </c>
      <c r="D152" s="296" t="s">
        <v>1856</v>
      </c>
      <c r="E152" s="297">
        <v>201805212</v>
      </c>
      <c r="F152" s="296" t="s">
        <v>1406</v>
      </c>
      <c r="G152" s="296" t="s">
        <v>1407</v>
      </c>
      <c r="H152" s="146"/>
      <c r="I152" s="146"/>
      <c r="J152" s="146"/>
      <c r="K152" s="146"/>
      <c r="L152" s="146"/>
      <c r="M152" s="146"/>
      <c r="N152" s="146"/>
      <c r="O152" s="146"/>
      <c r="P152" s="287">
        <f t="shared" si="8"/>
        <v>0</v>
      </c>
      <c r="Q152" s="146"/>
      <c r="R152" s="146"/>
      <c r="S152" s="146"/>
      <c r="T152" s="146"/>
      <c r="U152" s="146"/>
      <c r="V152" s="146"/>
      <c r="W152" s="146">
        <v>1</v>
      </c>
      <c r="X152" s="298">
        <v>43405</v>
      </c>
      <c r="Y152" s="273">
        <f t="shared" si="9"/>
        <v>1</v>
      </c>
      <c r="Z152" s="146"/>
      <c r="AA152" s="146"/>
      <c r="AB152" s="146"/>
      <c r="AC152" s="146"/>
      <c r="AD152" s="146"/>
      <c r="AE152" s="146"/>
      <c r="AF152" s="146"/>
      <c r="AG152" s="146"/>
      <c r="AH152" s="273">
        <f t="shared" si="7"/>
        <v>0</v>
      </c>
      <c r="AI152" s="146"/>
      <c r="AJ152" s="146" t="s">
        <v>2479</v>
      </c>
      <c r="AK152" s="146" t="s">
        <v>2479</v>
      </c>
      <c r="AL152" s="146"/>
      <c r="AM152" s="146"/>
      <c r="AN152" s="146"/>
      <c r="AO152" s="146"/>
      <c r="AP152" s="146"/>
      <c r="AQ152" s="146"/>
      <c r="AR152" s="146"/>
      <c r="AS152" s="146"/>
    </row>
    <row r="153" spans="1:45" s="222" customFormat="1" x14ac:dyDescent="0.2">
      <c r="A153" s="146"/>
      <c r="B153" s="296"/>
      <c r="C153" s="296" t="s">
        <v>1857</v>
      </c>
      <c r="D153" s="296" t="s">
        <v>1858</v>
      </c>
      <c r="E153" s="297">
        <v>201804563</v>
      </c>
      <c r="F153" s="296" t="s">
        <v>1406</v>
      </c>
      <c r="G153" s="296" t="s">
        <v>1407</v>
      </c>
      <c r="H153" s="146"/>
      <c r="I153" s="146"/>
      <c r="J153" s="146"/>
      <c r="K153" s="146"/>
      <c r="L153" s="146"/>
      <c r="M153" s="146"/>
      <c r="N153" s="146"/>
      <c r="O153" s="146"/>
      <c r="P153" s="287">
        <f t="shared" si="8"/>
        <v>0</v>
      </c>
      <c r="Q153" s="146"/>
      <c r="R153" s="146"/>
      <c r="S153" s="146"/>
      <c r="T153" s="146"/>
      <c r="U153" s="146"/>
      <c r="V153" s="146"/>
      <c r="W153" s="146">
        <v>1</v>
      </c>
      <c r="X153" s="298">
        <v>43370</v>
      </c>
      <c r="Y153" s="273">
        <f t="shared" si="9"/>
        <v>1</v>
      </c>
      <c r="Z153" s="146"/>
      <c r="AA153" s="146"/>
      <c r="AB153" s="146"/>
      <c r="AC153" s="146"/>
      <c r="AD153" s="146"/>
      <c r="AE153" s="146"/>
      <c r="AF153" s="146"/>
      <c r="AG153" s="146"/>
      <c r="AH153" s="273">
        <f t="shared" si="7"/>
        <v>0</v>
      </c>
      <c r="AI153" s="146"/>
      <c r="AJ153" s="146" t="s">
        <v>2479</v>
      </c>
      <c r="AK153" s="146" t="s">
        <v>2479</v>
      </c>
      <c r="AL153" s="146"/>
      <c r="AM153" s="146"/>
      <c r="AN153" s="146"/>
      <c r="AO153" s="146"/>
      <c r="AP153" s="146"/>
      <c r="AQ153" s="146"/>
      <c r="AR153" s="146"/>
      <c r="AS153" s="146"/>
    </row>
    <row r="154" spans="1:45" s="222" customFormat="1" x14ac:dyDescent="0.2">
      <c r="A154" s="146"/>
      <c r="B154" s="296" t="s">
        <v>1859</v>
      </c>
      <c r="C154" s="296" t="s">
        <v>1860</v>
      </c>
      <c r="D154" s="296" t="s">
        <v>1861</v>
      </c>
      <c r="E154" s="297">
        <v>201805913</v>
      </c>
      <c r="F154" s="296" t="s">
        <v>1406</v>
      </c>
      <c r="G154" s="296" t="s">
        <v>1407</v>
      </c>
      <c r="H154" s="146"/>
      <c r="I154" s="146"/>
      <c r="J154" s="146"/>
      <c r="K154" s="146"/>
      <c r="L154" s="146"/>
      <c r="M154" s="146"/>
      <c r="N154" s="146"/>
      <c r="O154" s="146"/>
      <c r="P154" s="287">
        <f t="shared" si="8"/>
        <v>0</v>
      </c>
      <c r="Q154" s="146"/>
      <c r="R154" s="146"/>
      <c r="S154" s="146"/>
      <c r="T154" s="146"/>
      <c r="U154" s="146"/>
      <c r="V154" s="146"/>
      <c r="W154" s="146">
        <v>1</v>
      </c>
      <c r="X154" s="298">
        <v>43446</v>
      </c>
      <c r="Y154" s="273">
        <f t="shared" si="9"/>
        <v>1</v>
      </c>
      <c r="Z154" s="146"/>
      <c r="AA154" s="146"/>
      <c r="AB154" s="146"/>
      <c r="AC154" s="146"/>
      <c r="AD154" s="146"/>
      <c r="AE154" s="146"/>
      <c r="AF154" s="146"/>
      <c r="AG154" s="146"/>
      <c r="AH154" s="273">
        <f t="shared" si="7"/>
        <v>0</v>
      </c>
      <c r="AI154" s="146"/>
      <c r="AJ154" s="146" t="s">
        <v>2479</v>
      </c>
      <c r="AK154" s="146" t="s">
        <v>2479</v>
      </c>
      <c r="AL154" s="146"/>
      <c r="AM154" s="146"/>
      <c r="AN154" s="146"/>
      <c r="AO154" s="146"/>
      <c r="AP154" s="146"/>
      <c r="AQ154" s="146"/>
      <c r="AR154" s="146"/>
      <c r="AS154" s="146"/>
    </row>
    <row r="155" spans="1:45" s="222" customFormat="1" x14ac:dyDescent="0.2">
      <c r="A155" s="146"/>
      <c r="B155" s="296" t="s">
        <v>1862</v>
      </c>
      <c r="C155" s="296" t="s">
        <v>1863</v>
      </c>
      <c r="D155" s="296" t="s">
        <v>1864</v>
      </c>
      <c r="E155" s="297">
        <v>201805912</v>
      </c>
      <c r="F155" s="296" t="s">
        <v>1406</v>
      </c>
      <c r="G155" s="296" t="s">
        <v>1407</v>
      </c>
      <c r="H155" s="146"/>
      <c r="I155" s="146"/>
      <c r="J155" s="146"/>
      <c r="K155" s="146"/>
      <c r="L155" s="146"/>
      <c r="M155" s="146"/>
      <c r="N155" s="146"/>
      <c r="O155" s="146"/>
      <c r="P155" s="287">
        <f t="shared" si="8"/>
        <v>0</v>
      </c>
      <c r="Q155" s="146"/>
      <c r="R155" s="146"/>
      <c r="S155" s="146"/>
      <c r="T155" s="146"/>
      <c r="U155" s="146"/>
      <c r="V155" s="146"/>
      <c r="W155" s="146">
        <v>1</v>
      </c>
      <c r="X155" s="298">
        <v>43446</v>
      </c>
      <c r="Y155" s="273">
        <f t="shared" si="9"/>
        <v>1</v>
      </c>
      <c r="Z155" s="146"/>
      <c r="AA155" s="146"/>
      <c r="AB155" s="146"/>
      <c r="AC155" s="146"/>
      <c r="AD155" s="146"/>
      <c r="AE155" s="146"/>
      <c r="AF155" s="146"/>
      <c r="AG155" s="146"/>
      <c r="AH155" s="273">
        <f t="shared" si="7"/>
        <v>0</v>
      </c>
      <c r="AI155" s="146"/>
      <c r="AJ155" s="146" t="s">
        <v>2479</v>
      </c>
      <c r="AK155" s="146" t="s">
        <v>2479</v>
      </c>
      <c r="AL155" s="146"/>
      <c r="AM155" s="146"/>
      <c r="AN155" s="146"/>
      <c r="AO155" s="146"/>
      <c r="AP155" s="146"/>
      <c r="AQ155" s="146"/>
      <c r="AR155" s="146"/>
      <c r="AS155" s="146"/>
    </row>
    <row r="156" spans="1:45" s="222" customFormat="1" x14ac:dyDescent="0.2">
      <c r="A156" s="146"/>
      <c r="B156" s="296" t="s">
        <v>1865</v>
      </c>
      <c r="C156" s="296" t="s">
        <v>1866</v>
      </c>
      <c r="D156" s="296" t="s">
        <v>1867</v>
      </c>
      <c r="E156" s="297">
        <v>201805522</v>
      </c>
      <c r="F156" s="296" t="s">
        <v>1406</v>
      </c>
      <c r="G156" s="296" t="s">
        <v>1407</v>
      </c>
      <c r="H156" s="146"/>
      <c r="I156" s="146"/>
      <c r="J156" s="146"/>
      <c r="K156" s="146"/>
      <c r="L156" s="146"/>
      <c r="M156" s="146"/>
      <c r="N156" s="146"/>
      <c r="O156" s="146"/>
      <c r="P156" s="287">
        <f t="shared" si="8"/>
        <v>0</v>
      </c>
      <c r="Q156" s="146"/>
      <c r="R156" s="146"/>
      <c r="S156" s="146"/>
      <c r="T156" s="146"/>
      <c r="U156" s="146"/>
      <c r="V156" s="146"/>
      <c r="W156" s="146">
        <v>1</v>
      </c>
      <c r="X156" s="298">
        <v>43440</v>
      </c>
      <c r="Y156" s="273">
        <f t="shared" si="9"/>
        <v>1</v>
      </c>
      <c r="Z156" s="146"/>
      <c r="AA156" s="146"/>
      <c r="AB156" s="146"/>
      <c r="AC156" s="146"/>
      <c r="AD156" s="146"/>
      <c r="AE156" s="146"/>
      <c r="AF156" s="146"/>
      <c r="AG156" s="146"/>
      <c r="AH156" s="273">
        <f t="shared" si="7"/>
        <v>0</v>
      </c>
      <c r="AI156" s="146"/>
      <c r="AJ156" s="146" t="s">
        <v>2479</v>
      </c>
      <c r="AK156" s="146" t="s">
        <v>2479</v>
      </c>
      <c r="AL156" s="146"/>
      <c r="AM156" s="146"/>
      <c r="AN156" s="146"/>
      <c r="AO156" s="146"/>
      <c r="AP156" s="146"/>
      <c r="AQ156" s="146"/>
      <c r="AR156" s="146"/>
      <c r="AS156" s="146"/>
    </row>
    <row r="157" spans="1:45" s="222" customFormat="1" x14ac:dyDescent="0.2">
      <c r="A157" s="146"/>
      <c r="B157" s="296" t="s">
        <v>1868</v>
      </c>
      <c r="C157" s="296" t="s">
        <v>1869</v>
      </c>
      <c r="D157" s="296" t="s">
        <v>1870</v>
      </c>
      <c r="E157" s="297">
        <v>201805743</v>
      </c>
      <c r="F157" s="296" t="s">
        <v>1406</v>
      </c>
      <c r="G157" s="296" t="s">
        <v>1407</v>
      </c>
      <c r="H157" s="146"/>
      <c r="I157" s="146"/>
      <c r="J157" s="146"/>
      <c r="K157" s="146"/>
      <c r="L157" s="146"/>
      <c r="M157" s="146"/>
      <c r="N157" s="146"/>
      <c r="O157" s="146"/>
      <c r="P157" s="287">
        <f t="shared" si="8"/>
        <v>0</v>
      </c>
      <c r="Q157" s="146"/>
      <c r="R157" s="146"/>
      <c r="S157" s="146"/>
      <c r="T157" s="146"/>
      <c r="U157" s="146"/>
      <c r="V157" s="146"/>
      <c r="W157" s="146">
        <v>1</v>
      </c>
      <c r="X157" s="298">
        <v>43454</v>
      </c>
      <c r="Y157" s="273">
        <f t="shared" si="9"/>
        <v>1</v>
      </c>
      <c r="Z157" s="146"/>
      <c r="AA157" s="146"/>
      <c r="AB157" s="146"/>
      <c r="AC157" s="146"/>
      <c r="AD157" s="146"/>
      <c r="AE157" s="146"/>
      <c r="AF157" s="146"/>
      <c r="AG157" s="146"/>
      <c r="AH157" s="273">
        <f t="shared" si="7"/>
        <v>0</v>
      </c>
      <c r="AI157" s="146"/>
      <c r="AJ157" s="146" t="s">
        <v>2479</v>
      </c>
      <c r="AK157" s="146" t="s">
        <v>2480</v>
      </c>
      <c r="AL157" s="146"/>
      <c r="AM157" s="146"/>
      <c r="AN157" s="146"/>
      <c r="AO157" s="146"/>
      <c r="AP157" s="146"/>
      <c r="AQ157" s="146"/>
      <c r="AR157" s="146"/>
      <c r="AS157" s="146"/>
    </row>
    <row r="158" spans="1:45" s="222" customFormat="1" x14ac:dyDescent="0.2">
      <c r="A158" s="146"/>
      <c r="B158" s="296" t="s">
        <v>1871</v>
      </c>
      <c r="C158" s="296" t="s">
        <v>1872</v>
      </c>
      <c r="D158" s="296" t="s">
        <v>1873</v>
      </c>
      <c r="E158" s="297">
        <v>201804766</v>
      </c>
      <c r="F158" s="296" t="s">
        <v>1406</v>
      </c>
      <c r="G158" s="296" t="s">
        <v>1407</v>
      </c>
      <c r="H158" s="146"/>
      <c r="I158" s="146"/>
      <c r="J158" s="146"/>
      <c r="K158" s="146"/>
      <c r="L158" s="146"/>
      <c r="M158" s="146"/>
      <c r="N158" s="146"/>
      <c r="O158" s="146"/>
      <c r="P158" s="287">
        <f t="shared" si="8"/>
        <v>0</v>
      </c>
      <c r="Q158" s="146"/>
      <c r="R158" s="146"/>
      <c r="S158" s="146"/>
      <c r="T158" s="146"/>
      <c r="U158" s="146"/>
      <c r="V158" s="146"/>
      <c r="W158" s="146">
        <v>1</v>
      </c>
      <c r="X158" s="298">
        <v>43419</v>
      </c>
      <c r="Y158" s="273">
        <f t="shared" si="9"/>
        <v>1</v>
      </c>
      <c r="Z158" s="146"/>
      <c r="AA158" s="146"/>
      <c r="AB158" s="146"/>
      <c r="AC158" s="146"/>
      <c r="AD158" s="146"/>
      <c r="AE158" s="146"/>
      <c r="AF158" s="146"/>
      <c r="AG158" s="146"/>
      <c r="AH158" s="273">
        <f t="shared" si="7"/>
        <v>0</v>
      </c>
      <c r="AI158" s="146"/>
      <c r="AJ158" s="146" t="s">
        <v>2479</v>
      </c>
      <c r="AK158" s="146" t="s">
        <v>2480</v>
      </c>
      <c r="AL158" s="146"/>
      <c r="AM158" s="146"/>
      <c r="AN158" s="146"/>
      <c r="AO158" s="146"/>
      <c r="AP158" s="146"/>
      <c r="AQ158" s="146"/>
      <c r="AR158" s="146"/>
      <c r="AS158" s="146"/>
    </row>
    <row r="159" spans="1:45" s="222" customFormat="1" x14ac:dyDescent="0.2">
      <c r="A159" s="146"/>
      <c r="B159" s="296" t="s">
        <v>1871</v>
      </c>
      <c r="C159" s="296" t="s">
        <v>1874</v>
      </c>
      <c r="D159" s="296" t="s">
        <v>1875</v>
      </c>
      <c r="E159" s="297">
        <v>201804767</v>
      </c>
      <c r="F159" s="296" t="s">
        <v>1406</v>
      </c>
      <c r="G159" s="296" t="s">
        <v>1407</v>
      </c>
      <c r="H159" s="146"/>
      <c r="I159" s="146"/>
      <c r="J159" s="146"/>
      <c r="K159" s="146"/>
      <c r="L159" s="146"/>
      <c r="M159" s="146"/>
      <c r="N159" s="146"/>
      <c r="O159" s="146"/>
      <c r="P159" s="287">
        <f t="shared" si="8"/>
        <v>0</v>
      </c>
      <c r="Q159" s="146"/>
      <c r="R159" s="146"/>
      <c r="S159" s="146"/>
      <c r="T159" s="146"/>
      <c r="U159" s="146"/>
      <c r="V159" s="146"/>
      <c r="W159" s="146">
        <v>1</v>
      </c>
      <c r="X159" s="298">
        <v>43419</v>
      </c>
      <c r="Y159" s="273">
        <f t="shared" si="9"/>
        <v>1</v>
      </c>
      <c r="Z159" s="146"/>
      <c r="AA159" s="146"/>
      <c r="AB159" s="146"/>
      <c r="AC159" s="146"/>
      <c r="AD159" s="146"/>
      <c r="AE159" s="146"/>
      <c r="AF159" s="146"/>
      <c r="AG159" s="146"/>
      <c r="AH159" s="273">
        <f t="shared" si="7"/>
        <v>0</v>
      </c>
      <c r="AI159" s="146"/>
      <c r="AJ159" s="146" t="s">
        <v>2479</v>
      </c>
      <c r="AK159" s="146" t="s">
        <v>2480</v>
      </c>
      <c r="AL159" s="146"/>
      <c r="AM159" s="146"/>
      <c r="AN159" s="146"/>
      <c r="AO159" s="146"/>
      <c r="AP159" s="146"/>
      <c r="AQ159" s="146"/>
      <c r="AR159" s="146"/>
      <c r="AS159" s="146"/>
    </row>
    <row r="160" spans="1:45" s="222" customFormat="1" x14ac:dyDescent="0.2">
      <c r="A160" s="146"/>
      <c r="B160" s="296" t="s">
        <v>1871</v>
      </c>
      <c r="C160" s="296" t="s">
        <v>1876</v>
      </c>
      <c r="D160" s="296" t="s">
        <v>1877</v>
      </c>
      <c r="E160" s="297">
        <v>201804768</v>
      </c>
      <c r="F160" s="296" t="s">
        <v>1406</v>
      </c>
      <c r="G160" s="296" t="s">
        <v>1407</v>
      </c>
      <c r="H160" s="146"/>
      <c r="I160" s="146"/>
      <c r="J160" s="146"/>
      <c r="K160" s="146"/>
      <c r="L160" s="146"/>
      <c r="M160" s="146"/>
      <c r="N160" s="146"/>
      <c r="O160" s="146"/>
      <c r="P160" s="287">
        <f t="shared" si="8"/>
        <v>0</v>
      </c>
      <c r="Q160" s="146"/>
      <c r="R160" s="146"/>
      <c r="S160" s="146"/>
      <c r="T160" s="146"/>
      <c r="U160" s="146"/>
      <c r="V160" s="146"/>
      <c r="W160" s="146">
        <v>1</v>
      </c>
      <c r="X160" s="298">
        <v>43419</v>
      </c>
      <c r="Y160" s="273">
        <f t="shared" si="9"/>
        <v>1</v>
      </c>
      <c r="Z160" s="146"/>
      <c r="AA160" s="146"/>
      <c r="AB160" s="146"/>
      <c r="AC160" s="146"/>
      <c r="AD160" s="146"/>
      <c r="AE160" s="146"/>
      <c r="AF160" s="146"/>
      <c r="AG160" s="146"/>
      <c r="AH160" s="273">
        <f t="shared" si="7"/>
        <v>0</v>
      </c>
      <c r="AI160" s="146"/>
      <c r="AJ160" s="146" t="s">
        <v>2479</v>
      </c>
      <c r="AK160" s="146" t="s">
        <v>2480</v>
      </c>
      <c r="AL160" s="146"/>
      <c r="AM160" s="146"/>
      <c r="AN160" s="146"/>
      <c r="AO160" s="146"/>
      <c r="AP160" s="146"/>
      <c r="AQ160" s="146"/>
      <c r="AR160" s="146"/>
      <c r="AS160" s="146"/>
    </row>
    <row r="161" spans="1:45" s="222" customFormat="1" x14ac:dyDescent="0.2">
      <c r="A161" s="146"/>
      <c r="B161" s="296" t="s">
        <v>1868</v>
      </c>
      <c r="C161" s="296" t="s">
        <v>1878</v>
      </c>
      <c r="D161" s="296" t="s">
        <v>1879</v>
      </c>
      <c r="E161" s="297">
        <v>201805741</v>
      </c>
      <c r="F161" s="296" t="s">
        <v>1406</v>
      </c>
      <c r="G161" s="296" t="s">
        <v>1407</v>
      </c>
      <c r="H161" s="146"/>
      <c r="I161" s="146"/>
      <c r="J161" s="146"/>
      <c r="K161" s="146"/>
      <c r="L161" s="146"/>
      <c r="M161" s="146"/>
      <c r="N161" s="146"/>
      <c r="O161" s="146"/>
      <c r="P161" s="287">
        <f t="shared" si="8"/>
        <v>0</v>
      </c>
      <c r="Q161" s="146"/>
      <c r="R161" s="146"/>
      <c r="S161" s="146"/>
      <c r="T161" s="146"/>
      <c r="U161" s="146"/>
      <c r="V161" s="146"/>
      <c r="W161" s="146">
        <v>1</v>
      </c>
      <c r="X161" s="298">
        <v>43454</v>
      </c>
      <c r="Y161" s="273">
        <f t="shared" si="9"/>
        <v>1</v>
      </c>
      <c r="Z161" s="146"/>
      <c r="AA161" s="146"/>
      <c r="AB161" s="146"/>
      <c r="AC161" s="146"/>
      <c r="AD161" s="146"/>
      <c r="AE161" s="146"/>
      <c r="AF161" s="146"/>
      <c r="AG161" s="146"/>
      <c r="AH161" s="273">
        <f t="shared" ref="AH161:AH224" si="10">SUM(Z161:AF161)</f>
        <v>0</v>
      </c>
      <c r="AI161" s="146"/>
      <c r="AJ161" s="146" t="s">
        <v>2479</v>
      </c>
      <c r="AK161" s="146" t="s">
        <v>2480</v>
      </c>
      <c r="AL161" s="146"/>
      <c r="AM161" s="146"/>
      <c r="AN161" s="146"/>
      <c r="AO161" s="146"/>
      <c r="AP161" s="146"/>
      <c r="AQ161" s="146"/>
      <c r="AR161" s="146"/>
      <c r="AS161" s="146"/>
    </row>
    <row r="162" spans="1:45" s="222" customFormat="1" x14ac:dyDescent="0.2">
      <c r="A162" s="146"/>
      <c r="B162" s="296" t="s">
        <v>1868</v>
      </c>
      <c r="C162" s="296" t="s">
        <v>1880</v>
      </c>
      <c r="D162" s="296" t="s">
        <v>1881</v>
      </c>
      <c r="E162" s="297">
        <v>201805742</v>
      </c>
      <c r="F162" s="296" t="s">
        <v>1406</v>
      </c>
      <c r="G162" s="296" t="s">
        <v>1407</v>
      </c>
      <c r="H162" s="146"/>
      <c r="I162" s="146"/>
      <c r="J162" s="146"/>
      <c r="K162" s="146"/>
      <c r="L162" s="146"/>
      <c r="M162" s="146"/>
      <c r="N162" s="146"/>
      <c r="O162" s="146"/>
      <c r="P162" s="287">
        <f t="shared" si="8"/>
        <v>0</v>
      </c>
      <c r="Q162" s="146"/>
      <c r="R162" s="146"/>
      <c r="S162" s="146"/>
      <c r="T162" s="146"/>
      <c r="U162" s="146"/>
      <c r="V162" s="146"/>
      <c r="W162" s="146">
        <v>1</v>
      </c>
      <c r="X162" s="298">
        <v>43454</v>
      </c>
      <c r="Y162" s="273">
        <f t="shared" si="9"/>
        <v>1</v>
      </c>
      <c r="Z162" s="146"/>
      <c r="AA162" s="146"/>
      <c r="AB162" s="146"/>
      <c r="AC162" s="146"/>
      <c r="AD162" s="146"/>
      <c r="AE162" s="146"/>
      <c r="AF162" s="146"/>
      <c r="AG162" s="146"/>
      <c r="AH162" s="273">
        <f t="shared" si="10"/>
        <v>0</v>
      </c>
      <c r="AI162" s="146"/>
      <c r="AJ162" s="146" t="s">
        <v>2479</v>
      </c>
      <c r="AK162" s="146" t="s">
        <v>2480</v>
      </c>
      <c r="AL162" s="146"/>
      <c r="AM162" s="146"/>
      <c r="AN162" s="146"/>
      <c r="AO162" s="146"/>
      <c r="AP162" s="146"/>
      <c r="AQ162" s="146"/>
      <c r="AR162" s="146"/>
      <c r="AS162" s="146"/>
    </row>
    <row r="163" spans="1:45" s="222" customFormat="1" x14ac:dyDescent="0.2">
      <c r="A163" s="146"/>
      <c r="B163" s="296" t="s">
        <v>1868</v>
      </c>
      <c r="C163" s="296" t="s">
        <v>1882</v>
      </c>
      <c r="D163" s="296" t="s">
        <v>1883</v>
      </c>
      <c r="E163" s="297">
        <v>201805744</v>
      </c>
      <c r="F163" s="296" t="s">
        <v>1406</v>
      </c>
      <c r="G163" s="296" t="s">
        <v>1407</v>
      </c>
      <c r="H163" s="146"/>
      <c r="I163" s="146"/>
      <c r="J163" s="146"/>
      <c r="K163" s="146"/>
      <c r="L163" s="146"/>
      <c r="M163" s="146"/>
      <c r="N163" s="146"/>
      <c r="O163" s="146"/>
      <c r="P163" s="287">
        <f t="shared" si="8"/>
        <v>0</v>
      </c>
      <c r="Q163" s="146"/>
      <c r="R163" s="146"/>
      <c r="S163" s="146"/>
      <c r="T163" s="146"/>
      <c r="U163" s="146"/>
      <c r="V163" s="146"/>
      <c r="W163" s="146">
        <v>1</v>
      </c>
      <c r="X163" s="298">
        <v>43454</v>
      </c>
      <c r="Y163" s="273">
        <f t="shared" si="9"/>
        <v>1</v>
      </c>
      <c r="Z163" s="146"/>
      <c r="AA163" s="146"/>
      <c r="AB163" s="146"/>
      <c r="AC163" s="146"/>
      <c r="AD163" s="146"/>
      <c r="AE163" s="146"/>
      <c r="AF163" s="146"/>
      <c r="AG163" s="146"/>
      <c r="AH163" s="273">
        <f t="shared" si="10"/>
        <v>0</v>
      </c>
      <c r="AI163" s="146"/>
      <c r="AJ163" s="146" t="s">
        <v>2479</v>
      </c>
      <c r="AK163" s="146" t="s">
        <v>2480</v>
      </c>
      <c r="AL163" s="146"/>
      <c r="AM163" s="146"/>
      <c r="AN163" s="146"/>
      <c r="AO163" s="146"/>
      <c r="AP163" s="146"/>
      <c r="AQ163" s="146"/>
      <c r="AR163" s="146"/>
      <c r="AS163" s="146"/>
    </row>
    <row r="164" spans="1:45" s="222" customFormat="1" x14ac:dyDescent="0.2">
      <c r="A164" s="146"/>
      <c r="B164" s="296" t="s">
        <v>1868</v>
      </c>
      <c r="C164" s="296" t="s">
        <v>1884</v>
      </c>
      <c r="D164" s="296" t="s">
        <v>1885</v>
      </c>
      <c r="E164" s="297">
        <v>201805745</v>
      </c>
      <c r="F164" s="296" t="s">
        <v>1406</v>
      </c>
      <c r="G164" s="296" t="s">
        <v>1407</v>
      </c>
      <c r="H164" s="146"/>
      <c r="I164" s="146"/>
      <c r="J164" s="146"/>
      <c r="K164" s="146"/>
      <c r="L164" s="146"/>
      <c r="M164" s="146"/>
      <c r="N164" s="146"/>
      <c r="O164" s="146"/>
      <c r="P164" s="287">
        <f t="shared" si="8"/>
        <v>0</v>
      </c>
      <c r="Q164" s="146"/>
      <c r="R164" s="146"/>
      <c r="S164" s="146"/>
      <c r="T164" s="146"/>
      <c r="U164" s="146"/>
      <c r="V164" s="146"/>
      <c r="W164" s="146">
        <v>1</v>
      </c>
      <c r="X164" s="298">
        <v>43454</v>
      </c>
      <c r="Y164" s="273">
        <f t="shared" si="9"/>
        <v>1</v>
      </c>
      <c r="Z164" s="146"/>
      <c r="AA164" s="146"/>
      <c r="AB164" s="146"/>
      <c r="AC164" s="146"/>
      <c r="AD164" s="146"/>
      <c r="AE164" s="146"/>
      <c r="AF164" s="146"/>
      <c r="AG164" s="146"/>
      <c r="AH164" s="273">
        <f t="shared" si="10"/>
        <v>0</v>
      </c>
      <c r="AI164" s="146"/>
      <c r="AJ164" s="146" t="s">
        <v>2479</v>
      </c>
      <c r="AK164" s="146" t="s">
        <v>2480</v>
      </c>
      <c r="AL164" s="146"/>
      <c r="AM164" s="146"/>
      <c r="AN164" s="146"/>
      <c r="AO164" s="146"/>
      <c r="AP164" s="146"/>
      <c r="AQ164" s="146"/>
      <c r="AR164" s="146"/>
      <c r="AS164" s="146"/>
    </row>
    <row r="165" spans="1:45" s="222" customFormat="1" x14ac:dyDescent="0.2">
      <c r="A165" s="146"/>
      <c r="B165" s="296" t="s">
        <v>1868</v>
      </c>
      <c r="C165" s="296" t="s">
        <v>1886</v>
      </c>
      <c r="D165" s="296" t="s">
        <v>1887</v>
      </c>
      <c r="E165" s="297">
        <v>201805746</v>
      </c>
      <c r="F165" s="296" t="s">
        <v>1406</v>
      </c>
      <c r="G165" s="296" t="s">
        <v>1407</v>
      </c>
      <c r="H165" s="146"/>
      <c r="I165" s="146"/>
      <c r="J165" s="146"/>
      <c r="K165" s="146"/>
      <c r="L165" s="146"/>
      <c r="M165" s="146"/>
      <c r="N165" s="146"/>
      <c r="O165" s="146"/>
      <c r="P165" s="287">
        <f t="shared" si="8"/>
        <v>0</v>
      </c>
      <c r="Q165" s="146"/>
      <c r="R165" s="146"/>
      <c r="S165" s="146"/>
      <c r="T165" s="146"/>
      <c r="U165" s="146"/>
      <c r="V165" s="146"/>
      <c r="W165" s="146">
        <v>1</v>
      </c>
      <c r="X165" s="298">
        <v>43454</v>
      </c>
      <c r="Y165" s="273">
        <f t="shared" si="9"/>
        <v>1</v>
      </c>
      <c r="Z165" s="146"/>
      <c r="AA165" s="146"/>
      <c r="AB165" s="146"/>
      <c r="AC165" s="146"/>
      <c r="AD165" s="146"/>
      <c r="AE165" s="146"/>
      <c r="AF165" s="146"/>
      <c r="AG165" s="146"/>
      <c r="AH165" s="273">
        <f t="shared" si="10"/>
        <v>0</v>
      </c>
      <c r="AI165" s="146"/>
      <c r="AJ165" s="146" t="s">
        <v>2479</v>
      </c>
      <c r="AK165" s="146" t="s">
        <v>2480</v>
      </c>
      <c r="AL165" s="146"/>
      <c r="AM165" s="146"/>
      <c r="AN165" s="146"/>
      <c r="AO165" s="146"/>
      <c r="AP165" s="146"/>
      <c r="AQ165" s="146"/>
      <c r="AR165" s="146"/>
      <c r="AS165" s="146"/>
    </row>
    <row r="166" spans="1:45" s="222" customFormat="1" x14ac:dyDescent="0.2">
      <c r="A166" s="146"/>
      <c r="B166" s="296" t="s">
        <v>1868</v>
      </c>
      <c r="C166" s="296" t="s">
        <v>1888</v>
      </c>
      <c r="D166" s="296" t="s">
        <v>1889</v>
      </c>
      <c r="E166" s="297">
        <v>201805748</v>
      </c>
      <c r="F166" s="296" t="s">
        <v>1406</v>
      </c>
      <c r="G166" s="296" t="s">
        <v>1407</v>
      </c>
      <c r="H166" s="146"/>
      <c r="I166" s="146"/>
      <c r="J166" s="146"/>
      <c r="K166" s="146"/>
      <c r="L166" s="146"/>
      <c r="M166" s="146"/>
      <c r="N166" s="146"/>
      <c r="O166" s="146"/>
      <c r="P166" s="287">
        <f t="shared" si="8"/>
        <v>0</v>
      </c>
      <c r="Q166" s="146"/>
      <c r="R166" s="146"/>
      <c r="S166" s="146"/>
      <c r="T166" s="146"/>
      <c r="U166" s="146"/>
      <c r="V166" s="146"/>
      <c r="W166" s="146">
        <v>1</v>
      </c>
      <c r="X166" s="298">
        <v>43454</v>
      </c>
      <c r="Y166" s="273">
        <f t="shared" si="9"/>
        <v>1</v>
      </c>
      <c r="Z166" s="146"/>
      <c r="AA166" s="146"/>
      <c r="AB166" s="146"/>
      <c r="AC166" s="146"/>
      <c r="AD166" s="146"/>
      <c r="AE166" s="146"/>
      <c r="AF166" s="146"/>
      <c r="AG166" s="146"/>
      <c r="AH166" s="273">
        <f t="shared" si="10"/>
        <v>0</v>
      </c>
      <c r="AI166" s="146"/>
      <c r="AJ166" s="146" t="s">
        <v>2479</v>
      </c>
      <c r="AK166" s="146" t="s">
        <v>2480</v>
      </c>
      <c r="AL166" s="146"/>
      <c r="AM166" s="146"/>
      <c r="AN166" s="146"/>
      <c r="AO166" s="146"/>
      <c r="AP166" s="146"/>
      <c r="AQ166" s="146"/>
      <c r="AR166" s="146"/>
      <c r="AS166" s="146"/>
    </row>
    <row r="167" spans="1:45" s="222" customFormat="1" x14ac:dyDescent="0.2">
      <c r="A167" s="146"/>
      <c r="B167" s="296" t="s">
        <v>1868</v>
      </c>
      <c r="C167" s="296" t="s">
        <v>1890</v>
      </c>
      <c r="D167" s="296" t="s">
        <v>1891</v>
      </c>
      <c r="E167" s="297">
        <v>201805749</v>
      </c>
      <c r="F167" s="296" t="s">
        <v>1406</v>
      </c>
      <c r="G167" s="296" t="s">
        <v>1407</v>
      </c>
      <c r="H167" s="146"/>
      <c r="I167" s="146"/>
      <c r="J167" s="146"/>
      <c r="K167" s="146"/>
      <c r="L167" s="146"/>
      <c r="M167" s="146"/>
      <c r="N167" s="146"/>
      <c r="O167" s="146"/>
      <c r="P167" s="287">
        <f t="shared" si="8"/>
        <v>0</v>
      </c>
      <c r="Q167" s="146"/>
      <c r="R167" s="146"/>
      <c r="S167" s="146"/>
      <c r="T167" s="146"/>
      <c r="U167" s="146"/>
      <c r="V167" s="146"/>
      <c r="W167" s="146">
        <v>1</v>
      </c>
      <c r="X167" s="298">
        <v>43454</v>
      </c>
      <c r="Y167" s="273">
        <f t="shared" si="9"/>
        <v>1</v>
      </c>
      <c r="Z167" s="146"/>
      <c r="AA167" s="146"/>
      <c r="AB167" s="146"/>
      <c r="AC167" s="146"/>
      <c r="AD167" s="146"/>
      <c r="AE167" s="146"/>
      <c r="AF167" s="146"/>
      <c r="AG167" s="146"/>
      <c r="AH167" s="273">
        <f t="shared" si="10"/>
        <v>0</v>
      </c>
      <c r="AI167" s="146"/>
      <c r="AJ167" s="146" t="s">
        <v>2479</v>
      </c>
      <c r="AK167" s="146" t="s">
        <v>2480</v>
      </c>
      <c r="AL167" s="146"/>
      <c r="AM167" s="146"/>
      <c r="AN167" s="146"/>
      <c r="AO167" s="146"/>
      <c r="AP167" s="146"/>
      <c r="AQ167" s="146"/>
      <c r="AR167" s="146"/>
      <c r="AS167" s="146"/>
    </row>
    <row r="168" spans="1:45" s="222" customFormat="1" x14ac:dyDescent="0.2">
      <c r="A168" s="146"/>
      <c r="B168" s="296" t="s">
        <v>1868</v>
      </c>
      <c r="C168" s="296" t="s">
        <v>1892</v>
      </c>
      <c r="D168" s="296" t="s">
        <v>1893</v>
      </c>
      <c r="E168" s="297">
        <v>201805750</v>
      </c>
      <c r="F168" s="296" t="s">
        <v>1406</v>
      </c>
      <c r="G168" s="296" t="s">
        <v>1407</v>
      </c>
      <c r="H168" s="146"/>
      <c r="I168" s="146"/>
      <c r="J168" s="146"/>
      <c r="K168" s="146"/>
      <c r="L168" s="146"/>
      <c r="M168" s="146"/>
      <c r="N168" s="146"/>
      <c r="O168" s="146"/>
      <c r="P168" s="287">
        <f t="shared" si="8"/>
        <v>0</v>
      </c>
      <c r="Q168" s="146"/>
      <c r="R168" s="146"/>
      <c r="S168" s="146"/>
      <c r="T168" s="146"/>
      <c r="U168" s="146"/>
      <c r="V168" s="146"/>
      <c r="W168" s="146">
        <v>1</v>
      </c>
      <c r="X168" s="298">
        <v>43454</v>
      </c>
      <c r="Y168" s="273">
        <f t="shared" si="9"/>
        <v>1</v>
      </c>
      <c r="Z168" s="146"/>
      <c r="AA168" s="146"/>
      <c r="AB168" s="146"/>
      <c r="AC168" s="146"/>
      <c r="AD168" s="146"/>
      <c r="AE168" s="146"/>
      <c r="AF168" s="146"/>
      <c r="AG168" s="146"/>
      <c r="AH168" s="273">
        <f t="shared" si="10"/>
        <v>0</v>
      </c>
      <c r="AI168" s="146"/>
      <c r="AJ168" s="146" t="s">
        <v>2479</v>
      </c>
      <c r="AK168" s="146" t="s">
        <v>2480</v>
      </c>
      <c r="AL168" s="146"/>
      <c r="AM168" s="146"/>
      <c r="AN168" s="146"/>
      <c r="AO168" s="146"/>
      <c r="AP168" s="146"/>
      <c r="AQ168" s="146"/>
      <c r="AR168" s="146"/>
      <c r="AS168" s="146"/>
    </row>
    <row r="169" spans="1:45" s="222" customFormat="1" x14ac:dyDescent="0.2">
      <c r="A169" s="146"/>
      <c r="B169" s="296" t="s">
        <v>1868</v>
      </c>
      <c r="C169" s="296" t="s">
        <v>1894</v>
      </c>
      <c r="D169" s="296" t="s">
        <v>1895</v>
      </c>
      <c r="E169" s="297">
        <v>201805751</v>
      </c>
      <c r="F169" s="296" t="s">
        <v>1406</v>
      </c>
      <c r="G169" s="296" t="s">
        <v>1407</v>
      </c>
      <c r="H169" s="146"/>
      <c r="I169" s="146"/>
      <c r="J169" s="146"/>
      <c r="K169" s="146"/>
      <c r="L169" s="146"/>
      <c r="M169" s="146"/>
      <c r="N169" s="146"/>
      <c r="O169" s="146"/>
      <c r="P169" s="287">
        <f t="shared" si="8"/>
        <v>0</v>
      </c>
      <c r="Q169" s="146"/>
      <c r="R169" s="146"/>
      <c r="S169" s="146"/>
      <c r="T169" s="146"/>
      <c r="U169" s="146"/>
      <c r="V169" s="146"/>
      <c r="W169" s="146">
        <v>1</v>
      </c>
      <c r="X169" s="298">
        <v>43454</v>
      </c>
      <c r="Y169" s="273">
        <f t="shared" si="9"/>
        <v>1</v>
      </c>
      <c r="Z169" s="146"/>
      <c r="AA169" s="146"/>
      <c r="AB169" s="146"/>
      <c r="AC169" s="146"/>
      <c r="AD169" s="146"/>
      <c r="AE169" s="146"/>
      <c r="AF169" s="146"/>
      <c r="AG169" s="146"/>
      <c r="AH169" s="273">
        <f t="shared" si="10"/>
        <v>0</v>
      </c>
      <c r="AI169" s="146"/>
      <c r="AJ169" s="146" t="s">
        <v>2479</v>
      </c>
      <c r="AK169" s="146" t="s">
        <v>2480</v>
      </c>
      <c r="AL169" s="146"/>
      <c r="AM169" s="146"/>
      <c r="AN169" s="146"/>
      <c r="AO169" s="146"/>
      <c r="AP169" s="146"/>
      <c r="AQ169" s="146"/>
      <c r="AR169" s="146"/>
      <c r="AS169" s="146"/>
    </row>
    <row r="170" spans="1:45" s="222" customFormat="1" x14ac:dyDescent="0.2">
      <c r="A170" s="146"/>
      <c r="B170" s="242" t="s">
        <v>1896</v>
      </c>
      <c r="C170" s="242" t="s">
        <v>1897</v>
      </c>
      <c r="D170" s="296" t="s">
        <v>1391</v>
      </c>
      <c r="E170" s="242">
        <v>201800991</v>
      </c>
      <c r="F170" s="296" t="s">
        <v>1391</v>
      </c>
      <c r="G170" s="296" t="s">
        <v>1392</v>
      </c>
      <c r="H170" s="146"/>
      <c r="I170" s="146"/>
      <c r="J170" s="146"/>
      <c r="K170" s="146"/>
      <c r="L170" s="146"/>
      <c r="M170" s="146"/>
      <c r="N170" s="146"/>
      <c r="O170" s="146"/>
      <c r="P170" s="287">
        <f t="shared" si="8"/>
        <v>0</v>
      </c>
      <c r="Q170" s="146"/>
      <c r="R170" s="146"/>
      <c r="S170" s="146"/>
      <c r="T170" s="146"/>
      <c r="U170" s="146"/>
      <c r="V170" s="146"/>
      <c r="W170" s="146">
        <v>1</v>
      </c>
      <c r="X170" s="293">
        <v>43340</v>
      </c>
      <c r="Y170" s="273">
        <f t="shared" si="9"/>
        <v>1</v>
      </c>
      <c r="Z170" s="146"/>
      <c r="AA170" s="146"/>
      <c r="AB170" s="146"/>
      <c r="AC170" s="146"/>
      <c r="AD170" s="146"/>
      <c r="AE170" s="146"/>
      <c r="AF170" s="146"/>
      <c r="AG170" s="146"/>
      <c r="AH170" s="273">
        <f t="shared" si="10"/>
        <v>0</v>
      </c>
      <c r="AI170" s="146"/>
      <c r="AJ170" s="146" t="s">
        <v>2479</v>
      </c>
      <c r="AK170" s="146" t="s">
        <v>2480</v>
      </c>
      <c r="AL170" s="146"/>
      <c r="AM170" s="146"/>
      <c r="AN170" s="146"/>
      <c r="AO170" s="146"/>
      <c r="AP170" s="146"/>
      <c r="AQ170" s="146"/>
      <c r="AR170" s="146"/>
      <c r="AS170" s="146"/>
    </row>
    <row r="171" spans="1:45" s="222" customFormat="1" x14ac:dyDescent="0.2">
      <c r="A171" s="146"/>
      <c r="B171" s="242" t="s">
        <v>1396</v>
      </c>
      <c r="C171" s="242" t="s">
        <v>1898</v>
      </c>
      <c r="D171" s="296" t="s">
        <v>1391</v>
      </c>
      <c r="E171" s="242">
        <v>201801387</v>
      </c>
      <c r="F171" s="296" t="s">
        <v>1391</v>
      </c>
      <c r="G171" s="296" t="s">
        <v>1392</v>
      </c>
      <c r="H171" s="146"/>
      <c r="I171" s="146"/>
      <c r="J171" s="146"/>
      <c r="K171" s="146"/>
      <c r="L171" s="146"/>
      <c r="M171" s="146"/>
      <c r="N171" s="146"/>
      <c r="O171" s="146"/>
      <c r="P171" s="287">
        <f t="shared" si="8"/>
        <v>0</v>
      </c>
      <c r="Q171" s="146"/>
      <c r="R171" s="146"/>
      <c r="S171" s="146"/>
      <c r="T171" s="146"/>
      <c r="U171" s="146"/>
      <c r="V171" s="146"/>
      <c r="W171" s="146">
        <v>1</v>
      </c>
      <c r="X171" s="293">
        <v>43440</v>
      </c>
      <c r="Y171" s="273">
        <f t="shared" si="9"/>
        <v>1</v>
      </c>
      <c r="Z171" s="146"/>
      <c r="AA171" s="146"/>
      <c r="AB171" s="146"/>
      <c r="AC171" s="146"/>
      <c r="AD171" s="146"/>
      <c r="AE171" s="146"/>
      <c r="AF171" s="146"/>
      <c r="AG171" s="146"/>
      <c r="AH171" s="273">
        <f t="shared" si="10"/>
        <v>0</v>
      </c>
      <c r="AI171" s="146"/>
      <c r="AJ171" s="146" t="s">
        <v>2479</v>
      </c>
      <c r="AK171" s="146" t="s">
        <v>2480</v>
      </c>
      <c r="AL171" s="146"/>
      <c r="AM171" s="146"/>
      <c r="AN171" s="146"/>
      <c r="AO171" s="146"/>
      <c r="AP171" s="146"/>
      <c r="AQ171" s="146"/>
      <c r="AR171" s="146"/>
      <c r="AS171" s="146"/>
    </row>
    <row r="172" spans="1:45" s="222" customFormat="1" x14ac:dyDescent="0.2">
      <c r="A172" s="146"/>
      <c r="B172" s="242" t="s">
        <v>1429</v>
      </c>
      <c r="C172" s="242" t="s">
        <v>1899</v>
      </c>
      <c r="D172" s="296" t="s">
        <v>1391</v>
      </c>
      <c r="E172" s="242">
        <v>201803738</v>
      </c>
      <c r="F172" s="296" t="s">
        <v>1391</v>
      </c>
      <c r="G172" s="296" t="s">
        <v>1392</v>
      </c>
      <c r="H172" s="146"/>
      <c r="I172" s="146"/>
      <c r="J172" s="146"/>
      <c r="K172" s="146"/>
      <c r="L172" s="146"/>
      <c r="M172" s="146"/>
      <c r="N172" s="146"/>
      <c r="O172" s="146"/>
      <c r="P172" s="287">
        <f t="shared" si="8"/>
        <v>0</v>
      </c>
      <c r="Q172" s="146"/>
      <c r="R172" s="146"/>
      <c r="S172" s="146"/>
      <c r="T172" s="146"/>
      <c r="U172" s="146"/>
      <c r="V172" s="146"/>
      <c r="W172" s="146">
        <v>1</v>
      </c>
      <c r="X172" s="293">
        <v>43363</v>
      </c>
      <c r="Y172" s="273">
        <f t="shared" si="9"/>
        <v>1</v>
      </c>
      <c r="Z172" s="146"/>
      <c r="AA172" s="146"/>
      <c r="AB172" s="146"/>
      <c r="AC172" s="146"/>
      <c r="AD172" s="146"/>
      <c r="AE172" s="146"/>
      <c r="AF172" s="146"/>
      <c r="AG172" s="146"/>
      <c r="AH172" s="273">
        <f t="shared" si="10"/>
        <v>0</v>
      </c>
      <c r="AI172" s="146"/>
      <c r="AJ172" s="146" t="s">
        <v>2479</v>
      </c>
      <c r="AK172" s="146" t="s">
        <v>2480</v>
      </c>
      <c r="AL172" s="146"/>
      <c r="AM172" s="146"/>
      <c r="AN172" s="146"/>
      <c r="AO172" s="146"/>
      <c r="AP172" s="146"/>
      <c r="AQ172" s="146"/>
      <c r="AR172" s="146"/>
      <c r="AS172" s="146"/>
    </row>
    <row r="173" spans="1:45" s="222" customFormat="1" x14ac:dyDescent="0.2">
      <c r="A173" s="146"/>
      <c r="B173" s="242" t="s">
        <v>1469</v>
      </c>
      <c r="C173" s="242" t="s">
        <v>1900</v>
      </c>
      <c r="D173" s="296" t="s">
        <v>1391</v>
      </c>
      <c r="E173" s="242">
        <v>201804401</v>
      </c>
      <c r="F173" s="296" t="s">
        <v>1391</v>
      </c>
      <c r="G173" s="296" t="s">
        <v>1392</v>
      </c>
      <c r="H173" s="146"/>
      <c r="I173" s="146"/>
      <c r="J173" s="146"/>
      <c r="K173" s="146"/>
      <c r="L173" s="146"/>
      <c r="M173" s="146"/>
      <c r="N173" s="146"/>
      <c r="O173" s="146"/>
      <c r="P173" s="287">
        <f t="shared" si="8"/>
        <v>0</v>
      </c>
      <c r="Q173" s="146"/>
      <c r="R173" s="146"/>
      <c r="S173" s="146"/>
      <c r="T173" s="146"/>
      <c r="U173" s="146"/>
      <c r="V173" s="146"/>
      <c r="W173" s="146">
        <v>1</v>
      </c>
      <c r="X173" s="293">
        <v>43410</v>
      </c>
      <c r="Y173" s="273">
        <f t="shared" si="9"/>
        <v>1</v>
      </c>
      <c r="Z173" s="146"/>
      <c r="AA173" s="146"/>
      <c r="AB173" s="146"/>
      <c r="AC173" s="146"/>
      <c r="AD173" s="146"/>
      <c r="AE173" s="146"/>
      <c r="AF173" s="146"/>
      <c r="AG173" s="146"/>
      <c r="AH173" s="273">
        <f t="shared" si="10"/>
        <v>0</v>
      </c>
      <c r="AI173" s="146"/>
      <c r="AJ173" s="146" t="s">
        <v>2479</v>
      </c>
      <c r="AK173" s="146" t="s">
        <v>2480</v>
      </c>
      <c r="AL173" s="146"/>
      <c r="AM173" s="146"/>
      <c r="AN173" s="146"/>
      <c r="AO173" s="146"/>
      <c r="AP173" s="146"/>
      <c r="AQ173" s="146"/>
      <c r="AR173" s="146"/>
      <c r="AS173" s="146"/>
    </row>
    <row r="174" spans="1:45" s="222" customFormat="1" x14ac:dyDescent="0.2">
      <c r="A174" s="146"/>
      <c r="B174" s="242" t="s">
        <v>1466</v>
      </c>
      <c r="C174" s="242" t="s">
        <v>1901</v>
      </c>
      <c r="D174" s="296" t="s">
        <v>1391</v>
      </c>
      <c r="E174" s="242">
        <v>201804660</v>
      </c>
      <c r="F174" s="296" t="s">
        <v>1391</v>
      </c>
      <c r="G174" s="296" t="s">
        <v>1392</v>
      </c>
      <c r="H174" s="146"/>
      <c r="I174" s="146"/>
      <c r="J174" s="146"/>
      <c r="K174" s="146"/>
      <c r="L174" s="146"/>
      <c r="M174" s="146"/>
      <c r="N174" s="146"/>
      <c r="O174" s="146"/>
      <c r="P174" s="287">
        <f t="shared" si="8"/>
        <v>0</v>
      </c>
      <c r="Q174" s="146"/>
      <c r="R174" s="146"/>
      <c r="S174" s="146"/>
      <c r="T174" s="146"/>
      <c r="U174" s="146"/>
      <c r="V174" s="146"/>
      <c r="W174" s="146">
        <v>1</v>
      </c>
      <c r="X174" s="293">
        <v>43437</v>
      </c>
      <c r="Y174" s="273">
        <f t="shared" si="9"/>
        <v>1</v>
      </c>
      <c r="Z174" s="146"/>
      <c r="AA174" s="146"/>
      <c r="AB174" s="146"/>
      <c r="AC174" s="146"/>
      <c r="AD174" s="146"/>
      <c r="AE174" s="146"/>
      <c r="AF174" s="146"/>
      <c r="AG174" s="146"/>
      <c r="AH174" s="273">
        <f t="shared" si="10"/>
        <v>0</v>
      </c>
      <c r="AI174" s="146"/>
      <c r="AJ174" s="146" t="s">
        <v>2479</v>
      </c>
      <c r="AK174" s="146" t="s">
        <v>2480</v>
      </c>
      <c r="AL174" s="146"/>
      <c r="AM174" s="146"/>
      <c r="AN174" s="146"/>
      <c r="AO174" s="146"/>
      <c r="AP174" s="146"/>
      <c r="AQ174" s="146"/>
      <c r="AR174" s="146"/>
      <c r="AS174" s="146"/>
    </row>
    <row r="175" spans="1:45" s="222" customFormat="1" x14ac:dyDescent="0.2">
      <c r="A175" s="146"/>
      <c r="B175" s="296" t="s">
        <v>1902</v>
      </c>
      <c r="C175" s="296" t="s">
        <v>1903</v>
      </c>
      <c r="D175" s="296" t="s">
        <v>1904</v>
      </c>
      <c r="E175" s="297">
        <v>201603761</v>
      </c>
      <c r="F175" s="296" t="s">
        <v>1406</v>
      </c>
      <c r="G175" s="296" t="s">
        <v>1407</v>
      </c>
      <c r="H175" s="146"/>
      <c r="I175" s="146"/>
      <c r="J175" s="146"/>
      <c r="K175" s="146"/>
      <c r="L175" s="146"/>
      <c r="M175" s="146"/>
      <c r="N175" s="146"/>
      <c r="O175" s="146"/>
      <c r="P175" s="287">
        <f t="shared" si="8"/>
        <v>0</v>
      </c>
      <c r="Q175" s="146"/>
      <c r="R175" s="146"/>
      <c r="S175" s="146"/>
      <c r="T175" s="146"/>
      <c r="U175" s="146"/>
      <c r="V175" s="146"/>
      <c r="W175" s="146"/>
      <c r="X175" s="269"/>
      <c r="Y175" s="273">
        <f t="shared" si="9"/>
        <v>0</v>
      </c>
      <c r="Z175" s="146"/>
      <c r="AA175" s="146"/>
      <c r="AB175" s="146"/>
      <c r="AC175" s="146"/>
      <c r="AD175" s="146"/>
      <c r="AE175" s="146"/>
      <c r="AF175" s="146">
        <v>1</v>
      </c>
      <c r="AG175" s="299">
        <v>43437</v>
      </c>
      <c r="AH175" s="273">
        <f t="shared" si="10"/>
        <v>1</v>
      </c>
      <c r="AI175" s="146"/>
      <c r="AJ175" s="146" t="s">
        <v>2479</v>
      </c>
      <c r="AK175" s="146" t="s">
        <v>2480</v>
      </c>
      <c r="AL175" s="146"/>
      <c r="AM175" s="146"/>
      <c r="AN175" s="146"/>
      <c r="AO175" s="146"/>
      <c r="AP175" s="146"/>
      <c r="AQ175" s="146"/>
      <c r="AR175" s="146"/>
      <c r="AS175" s="146"/>
    </row>
    <row r="176" spans="1:45" s="222" customFormat="1" x14ac:dyDescent="0.2">
      <c r="A176" s="146"/>
      <c r="B176" s="296" t="s">
        <v>1905</v>
      </c>
      <c r="C176" s="296" t="s">
        <v>1906</v>
      </c>
      <c r="D176" s="296" t="s">
        <v>1907</v>
      </c>
      <c r="E176" s="297">
        <v>201606627</v>
      </c>
      <c r="F176" s="296" t="s">
        <v>1406</v>
      </c>
      <c r="G176" s="296" t="s">
        <v>1407</v>
      </c>
      <c r="H176" s="146"/>
      <c r="I176" s="146"/>
      <c r="J176" s="146"/>
      <c r="K176" s="146"/>
      <c r="L176" s="146"/>
      <c r="M176" s="146"/>
      <c r="N176" s="146"/>
      <c r="O176" s="146"/>
      <c r="P176" s="287">
        <f t="shared" si="8"/>
        <v>0</v>
      </c>
      <c r="Q176" s="146"/>
      <c r="R176" s="146"/>
      <c r="S176" s="146"/>
      <c r="T176" s="146"/>
      <c r="U176" s="146"/>
      <c r="V176" s="146"/>
      <c r="W176" s="146"/>
      <c r="X176" s="269"/>
      <c r="Y176" s="273">
        <f t="shared" si="9"/>
        <v>0</v>
      </c>
      <c r="Z176" s="146"/>
      <c r="AA176" s="146"/>
      <c r="AB176" s="146"/>
      <c r="AC176" s="146"/>
      <c r="AD176" s="146"/>
      <c r="AE176" s="146"/>
      <c r="AF176" s="146">
        <v>1</v>
      </c>
      <c r="AG176" s="299">
        <v>43213</v>
      </c>
      <c r="AH176" s="273">
        <f t="shared" si="10"/>
        <v>1</v>
      </c>
      <c r="AI176" s="146"/>
      <c r="AJ176" s="146" t="s">
        <v>2479</v>
      </c>
      <c r="AK176" s="146" t="s">
        <v>2480</v>
      </c>
      <c r="AL176" s="146"/>
      <c r="AM176" s="146"/>
      <c r="AN176" s="146"/>
      <c r="AO176" s="146"/>
      <c r="AP176" s="146"/>
      <c r="AQ176" s="146"/>
      <c r="AR176" s="146"/>
      <c r="AS176" s="146"/>
    </row>
    <row r="177" spans="1:45" s="222" customFormat="1" x14ac:dyDescent="0.2">
      <c r="A177" s="146"/>
      <c r="B177" s="296" t="s">
        <v>1908</v>
      </c>
      <c r="C177" s="296" t="s">
        <v>1909</v>
      </c>
      <c r="D177" s="296" t="s">
        <v>1910</v>
      </c>
      <c r="E177" s="297">
        <v>201606628</v>
      </c>
      <c r="F177" s="296" t="s">
        <v>1406</v>
      </c>
      <c r="G177" s="296" t="s">
        <v>1407</v>
      </c>
      <c r="H177" s="146"/>
      <c r="I177" s="146"/>
      <c r="J177" s="146"/>
      <c r="K177" s="146"/>
      <c r="L177" s="146"/>
      <c r="M177" s="146"/>
      <c r="N177" s="146"/>
      <c r="O177" s="146"/>
      <c r="P177" s="287">
        <f t="shared" si="8"/>
        <v>0</v>
      </c>
      <c r="Q177" s="146"/>
      <c r="R177" s="146"/>
      <c r="S177" s="146"/>
      <c r="T177" s="146"/>
      <c r="U177" s="146"/>
      <c r="V177" s="146"/>
      <c r="W177" s="146"/>
      <c r="X177" s="269"/>
      <c r="Y177" s="273">
        <f t="shared" si="9"/>
        <v>0</v>
      </c>
      <c r="Z177" s="146"/>
      <c r="AA177" s="146"/>
      <c r="AB177" s="146"/>
      <c r="AC177" s="146"/>
      <c r="AD177" s="146"/>
      <c r="AE177" s="146"/>
      <c r="AF177" s="146">
        <v>1</v>
      </c>
      <c r="AG177" s="299">
        <v>43213</v>
      </c>
      <c r="AH177" s="273">
        <f t="shared" si="10"/>
        <v>1</v>
      </c>
      <c r="AI177" s="146"/>
      <c r="AJ177" s="146" t="s">
        <v>2479</v>
      </c>
      <c r="AK177" s="146" t="s">
        <v>2480</v>
      </c>
      <c r="AL177" s="146"/>
      <c r="AM177" s="146"/>
      <c r="AN177" s="146"/>
      <c r="AO177" s="146"/>
      <c r="AP177" s="146"/>
      <c r="AQ177" s="146"/>
      <c r="AR177" s="146"/>
      <c r="AS177" s="146"/>
    </row>
    <row r="178" spans="1:45" s="222" customFormat="1" x14ac:dyDescent="0.2">
      <c r="A178" s="146"/>
      <c r="B178" s="296" t="s">
        <v>1911</v>
      </c>
      <c r="C178" s="296" t="s">
        <v>1912</v>
      </c>
      <c r="D178" s="296" t="s">
        <v>1913</v>
      </c>
      <c r="E178" s="297">
        <v>201606852</v>
      </c>
      <c r="F178" s="296" t="s">
        <v>1406</v>
      </c>
      <c r="G178" s="296" t="s">
        <v>1407</v>
      </c>
      <c r="H178" s="146"/>
      <c r="I178" s="146"/>
      <c r="J178" s="146"/>
      <c r="K178" s="146"/>
      <c r="L178" s="146"/>
      <c r="M178" s="146"/>
      <c r="N178" s="146"/>
      <c r="O178" s="146"/>
      <c r="P178" s="287">
        <f t="shared" si="8"/>
        <v>0</v>
      </c>
      <c r="Q178" s="146"/>
      <c r="R178" s="146"/>
      <c r="S178" s="146"/>
      <c r="T178" s="146"/>
      <c r="U178" s="146"/>
      <c r="V178" s="146"/>
      <c r="W178" s="146"/>
      <c r="X178" s="269"/>
      <c r="Y178" s="273">
        <f t="shared" si="9"/>
        <v>0</v>
      </c>
      <c r="Z178" s="146"/>
      <c r="AA178" s="146"/>
      <c r="AB178" s="146"/>
      <c r="AC178" s="146"/>
      <c r="AD178" s="146"/>
      <c r="AE178" s="146"/>
      <c r="AF178" s="146">
        <v>1</v>
      </c>
      <c r="AG178" s="299">
        <v>43213</v>
      </c>
      <c r="AH178" s="273">
        <f t="shared" si="10"/>
        <v>1</v>
      </c>
      <c r="AI178" s="146"/>
      <c r="AJ178" s="146" t="s">
        <v>2479</v>
      </c>
      <c r="AK178" s="146" t="s">
        <v>2480</v>
      </c>
      <c r="AL178" s="146"/>
      <c r="AM178" s="146"/>
      <c r="AN178" s="146"/>
      <c r="AO178" s="146"/>
      <c r="AP178" s="146"/>
      <c r="AQ178" s="146"/>
      <c r="AR178" s="146"/>
      <c r="AS178" s="146"/>
    </row>
    <row r="179" spans="1:45" s="222" customFormat="1" x14ac:dyDescent="0.2">
      <c r="A179" s="146"/>
      <c r="B179" s="296" t="s">
        <v>1914</v>
      </c>
      <c r="C179" s="296" t="s">
        <v>1915</v>
      </c>
      <c r="D179" s="296" t="s">
        <v>1916</v>
      </c>
      <c r="E179" s="297">
        <v>201606853</v>
      </c>
      <c r="F179" s="296" t="s">
        <v>1406</v>
      </c>
      <c r="G179" s="296" t="s">
        <v>1407</v>
      </c>
      <c r="H179" s="146"/>
      <c r="I179" s="146"/>
      <c r="J179" s="146"/>
      <c r="K179" s="146"/>
      <c r="L179" s="146"/>
      <c r="M179" s="146"/>
      <c r="N179" s="146"/>
      <c r="O179" s="146"/>
      <c r="P179" s="287">
        <f t="shared" si="8"/>
        <v>0</v>
      </c>
      <c r="Q179" s="146"/>
      <c r="R179" s="146"/>
      <c r="S179" s="146"/>
      <c r="T179" s="146"/>
      <c r="U179" s="146"/>
      <c r="V179" s="146"/>
      <c r="W179" s="146"/>
      <c r="X179" s="269"/>
      <c r="Y179" s="273">
        <f t="shared" si="9"/>
        <v>0</v>
      </c>
      <c r="Z179" s="146"/>
      <c r="AA179" s="146"/>
      <c r="AB179" s="146"/>
      <c r="AC179" s="146"/>
      <c r="AD179" s="146"/>
      <c r="AE179" s="146"/>
      <c r="AF179" s="146">
        <v>1</v>
      </c>
      <c r="AG179" s="299">
        <v>43213</v>
      </c>
      <c r="AH179" s="273">
        <f t="shared" si="10"/>
        <v>1</v>
      </c>
      <c r="AI179" s="146"/>
      <c r="AJ179" s="146" t="s">
        <v>2479</v>
      </c>
      <c r="AK179" s="146" t="s">
        <v>2480</v>
      </c>
      <c r="AL179" s="146"/>
      <c r="AM179" s="146"/>
      <c r="AN179" s="146"/>
      <c r="AO179" s="146"/>
      <c r="AP179" s="146"/>
      <c r="AQ179" s="146"/>
      <c r="AR179" s="146"/>
      <c r="AS179" s="146"/>
    </row>
    <row r="180" spans="1:45" s="222" customFormat="1" x14ac:dyDescent="0.2">
      <c r="A180" s="146"/>
      <c r="B180" s="296" t="s">
        <v>1917</v>
      </c>
      <c r="C180" s="296" t="s">
        <v>1918</v>
      </c>
      <c r="D180" s="296" t="s">
        <v>1919</v>
      </c>
      <c r="E180" s="297">
        <v>201606854</v>
      </c>
      <c r="F180" s="296" t="s">
        <v>1406</v>
      </c>
      <c r="G180" s="296" t="s">
        <v>1407</v>
      </c>
      <c r="H180" s="146"/>
      <c r="I180" s="146"/>
      <c r="J180" s="146"/>
      <c r="K180" s="146"/>
      <c r="L180" s="146"/>
      <c r="M180" s="146"/>
      <c r="N180" s="146"/>
      <c r="O180" s="146"/>
      <c r="P180" s="287">
        <f t="shared" si="8"/>
        <v>0</v>
      </c>
      <c r="Q180" s="146"/>
      <c r="R180" s="146"/>
      <c r="S180" s="146"/>
      <c r="T180" s="146"/>
      <c r="U180" s="146"/>
      <c r="V180" s="146"/>
      <c r="W180" s="146"/>
      <c r="X180" s="269"/>
      <c r="Y180" s="273">
        <f t="shared" si="9"/>
        <v>0</v>
      </c>
      <c r="Z180" s="146"/>
      <c r="AA180" s="146"/>
      <c r="AB180" s="146"/>
      <c r="AC180" s="146"/>
      <c r="AD180" s="146"/>
      <c r="AE180" s="146"/>
      <c r="AF180" s="146">
        <v>1</v>
      </c>
      <c r="AG180" s="299">
        <v>43213</v>
      </c>
      <c r="AH180" s="273">
        <f t="shared" si="10"/>
        <v>1</v>
      </c>
      <c r="AI180" s="146"/>
      <c r="AJ180" s="146" t="s">
        <v>2479</v>
      </c>
      <c r="AK180" s="146" t="s">
        <v>2480</v>
      </c>
      <c r="AL180" s="146"/>
      <c r="AM180" s="146"/>
      <c r="AN180" s="146"/>
      <c r="AO180" s="146"/>
      <c r="AP180" s="146"/>
      <c r="AQ180" s="146"/>
      <c r="AR180" s="146"/>
      <c r="AS180" s="146"/>
    </row>
    <row r="181" spans="1:45" s="222" customFormat="1" x14ac:dyDescent="0.2">
      <c r="A181" s="146"/>
      <c r="B181" s="296" t="s">
        <v>1920</v>
      </c>
      <c r="C181" s="296" t="s">
        <v>1921</v>
      </c>
      <c r="D181" s="296" t="s">
        <v>1922</v>
      </c>
      <c r="E181" s="297">
        <v>201606855</v>
      </c>
      <c r="F181" s="296" t="s">
        <v>1406</v>
      </c>
      <c r="G181" s="296" t="s">
        <v>1407</v>
      </c>
      <c r="H181" s="146"/>
      <c r="I181" s="146"/>
      <c r="J181" s="146"/>
      <c r="K181" s="146"/>
      <c r="L181" s="146"/>
      <c r="M181" s="146"/>
      <c r="N181" s="146"/>
      <c r="O181" s="146"/>
      <c r="P181" s="287">
        <f t="shared" si="8"/>
        <v>0</v>
      </c>
      <c r="Q181" s="146"/>
      <c r="R181" s="146"/>
      <c r="S181" s="146"/>
      <c r="T181" s="146"/>
      <c r="U181" s="146"/>
      <c r="V181" s="146"/>
      <c r="W181" s="146"/>
      <c r="X181" s="269"/>
      <c r="Y181" s="273">
        <f t="shared" si="9"/>
        <v>0</v>
      </c>
      <c r="Z181" s="146"/>
      <c r="AA181" s="146"/>
      <c r="AB181" s="146"/>
      <c r="AC181" s="146"/>
      <c r="AD181" s="146"/>
      <c r="AE181" s="146"/>
      <c r="AF181" s="146">
        <v>1</v>
      </c>
      <c r="AG181" s="299">
        <v>43220</v>
      </c>
      <c r="AH181" s="273">
        <f t="shared" si="10"/>
        <v>1</v>
      </c>
      <c r="AI181" s="146"/>
      <c r="AJ181" s="146" t="s">
        <v>2479</v>
      </c>
      <c r="AK181" s="146" t="s">
        <v>2480</v>
      </c>
      <c r="AL181" s="146"/>
      <c r="AM181" s="146"/>
      <c r="AN181" s="146"/>
      <c r="AO181" s="146"/>
      <c r="AP181" s="146"/>
      <c r="AQ181" s="146"/>
      <c r="AR181" s="146"/>
      <c r="AS181" s="146"/>
    </row>
    <row r="182" spans="1:45" s="222" customFormat="1" x14ac:dyDescent="0.2">
      <c r="A182" s="146"/>
      <c r="B182" s="296" t="s">
        <v>1923</v>
      </c>
      <c r="C182" s="296" t="s">
        <v>1924</v>
      </c>
      <c r="D182" s="296" t="s">
        <v>1925</v>
      </c>
      <c r="E182" s="297">
        <v>201606856</v>
      </c>
      <c r="F182" s="296" t="s">
        <v>1406</v>
      </c>
      <c r="G182" s="296" t="s">
        <v>1407</v>
      </c>
      <c r="H182" s="146"/>
      <c r="I182" s="146"/>
      <c r="J182" s="146"/>
      <c r="K182" s="146"/>
      <c r="L182" s="146"/>
      <c r="M182" s="146"/>
      <c r="N182" s="146"/>
      <c r="O182" s="146"/>
      <c r="P182" s="287">
        <f t="shared" si="8"/>
        <v>0</v>
      </c>
      <c r="Q182" s="146"/>
      <c r="R182" s="146"/>
      <c r="S182" s="146"/>
      <c r="T182" s="146"/>
      <c r="U182" s="146"/>
      <c r="V182" s="146"/>
      <c r="W182" s="146"/>
      <c r="X182" s="269"/>
      <c r="Y182" s="273">
        <f t="shared" si="9"/>
        <v>0</v>
      </c>
      <c r="Z182" s="146"/>
      <c r="AA182" s="146"/>
      <c r="AB182" s="146"/>
      <c r="AC182" s="146"/>
      <c r="AD182" s="146"/>
      <c r="AE182" s="146"/>
      <c r="AF182" s="146">
        <v>1</v>
      </c>
      <c r="AG182" s="299">
        <v>43227</v>
      </c>
      <c r="AH182" s="273">
        <f t="shared" si="10"/>
        <v>1</v>
      </c>
      <c r="AI182" s="146"/>
      <c r="AJ182" s="146" t="s">
        <v>2479</v>
      </c>
      <c r="AK182" s="146" t="s">
        <v>2480</v>
      </c>
      <c r="AL182" s="146"/>
      <c r="AM182" s="146"/>
      <c r="AN182" s="146"/>
      <c r="AO182" s="146"/>
      <c r="AP182" s="146"/>
      <c r="AQ182" s="146"/>
      <c r="AR182" s="146"/>
      <c r="AS182" s="146"/>
    </row>
    <row r="183" spans="1:45" s="222" customFormat="1" x14ac:dyDescent="0.2">
      <c r="A183" s="146"/>
      <c r="B183" s="296" t="s">
        <v>1926</v>
      </c>
      <c r="C183" s="296" t="s">
        <v>1927</v>
      </c>
      <c r="D183" s="296" t="s">
        <v>1928</v>
      </c>
      <c r="E183" s="297">
        <v>201606857</v>
      </c>
      <c r="F183" s="296" t="s">
        <v>1406</v>
      </c>
      <c r="G183" s="296" t="s">
        <v>1407</v>
      </c>
      <c r="H183" s="146"/>
      <c r="I183" s="146"/>
      <c r="J183" s="146"/>
      <c r="K183" s="146"/>
      <c r="L183" s="146"/>
      <c r="M183" s="146"/>
      <c r="N183" s="146"/>
      <c r="O183" s="146"/>
      <c r="P183" s="287">
        <f t="shared" si="8"/>
        <v>0</v>
      </c>
      <c r="Q183" s="146"/>
      <c r="R183" s="146"/>
      <c r="S183" s="146"/>
      <c r="T183" s="146"/>
      <c r="U183" s="146"/>
      <c r="V183" s="146"/>
      <c r="W183" s="146"/>
      <c r="X183" s="269"/>
      <c r="Y183" s="273">
        <f t="shared" si="9"/>
        <v>0</v>
      </c>
      <c r="Z183" s="146"/>
      <c r="AA183" s="146"/>
      <c r="AB183" s="146"/>
      <c r="AC183" s="146"/>
      <c r="AD183" s="146"/>
      <c r="AE183" s="146"/>
      <c r="AF183" s="146">
        <v>1</v>
      </c>
      <c r="AG183" s="299">
        <v>43213</v>
      </c>
      <c r="AH183" s="273">
        <f t="shared" si="10"/>
        <v>1</v>
      </c>
      <c r="AI183" s="146"/>
      <c r="AJ183" s="146" t="s">
        <v>2479</v>
      </c>
      <c r="AK183" s="146" t="s">
        <v>2480</v>
      </c>
      <c r="AL183" s="146"/>
      <c r="AM183" s="146"/>
      <c r="AN183" s="146"/>
      <c r="AO183" s="146"/>
      <c r="AP183" s="146"/>
      <c r="AQ183" s="146"/>
      <c r="AR183" s="146"/>
      <c r="AS183" s="146"/>
    </row>
    <row r="184" spans="1:45" s="222" customFormat="1" x14ac:dyDescent="0.2">
      <c r="A184" s="146"/>
      <c r="B184" s="296" t="s">
        <v>1929</v>
      </c>
      <c r="C184" s="296" t="s">
        <v>1930</v>
      </c>
      <c r="D184" s="296" t="s">
        <v>1931</v>
      </c>
      <c r="E184" s="297">
        <v>201606858</v>
      </c>
      <c r="F184" s="296" t="s">
        <v>1406</v>
      </c>
      <c r="G184" s="296" t="s">
        <v>1407</v>
      </c>
      <c r="H184" s="146"/>
      <c r="I184" s="146"/>
      <c r="J184" s="146"/>
      <c r="K184" s="146"/>
      <c r="L184" s="146"/>
      <c r="M184" s="146"/>
      <c r="N184" s="146"/>
      <c r="O184" s="146"/>
      <c r="P184" s="287">
        <f t="shared" si="8"/>
        <v>0</v>
      </c>
      <c r="Q184" s="146"/>
      <c r="R184" s="146"/>
      <c r="S184" s="146"/>
      <c r="T184" s="146"/>
      <c r="U184" s="146"/>
      <c r="V184" s="146"/>
      <c r="W184" s="146"/>
      <c r="X184" s="269"/>
      <c r="Y184" s="273">
        <f t="shared" si="9"/>
        <v>0</v>
      </c>
      <c r="Z184" s="146"/>
      <c r="AA184" s="146"/>
      <c r="AB184" s="146"/>
      <c r="AC184" s="146"/>
      <c r="AD184" s="146"/>
      <c r="AE184" s="146"/>
      <c r="AF184" s="146">
        <v>1</v>
      </c>
      <c r="AG184" s="299">
        <v>43213</v>
      </c>
      <c r="AH184" s="273">
        <f t="shared" si="10"/>
        <v>1</v>
      </c>
      <c r="AI184" s="146"/>
      <c r="AJ184" s="146" t="s">
        <v>2479</v>
      </c>
      <c r="AK184" s="146" t="s">
        <v>2480</v>
      </c>
      <c r="AL184" s="146"/>
      <c r="AM184" s="146"/>
      <c r="AN184" s="146"/>
      <c r="AO184" s="146"/>
      <c r="AP184" s="146"/>
      <c r="AQ184" s="146"/>
      <c r="AR184" s="146"/>
      <c r="AS184" s="146"/>
    </row>
    <row r="185" spans="1:45" s="222" customFormat="1" x14ac:dyDescent="0.2">
      <c r="A185" s="146"/>
      <c r="B185" s="296" t="s">
        <v>1932</v>
      </c>
      <c r="C185" s="296" t="s">
        <v>1933</v>
      </c>
      <c r="D185" s="296" t="s">
        <v>1934</v>
      </c>
      <c r="E185" s="297">
        <v>201606859</v>
      </c>
      <c r="F185" s="296" t="s">
        <v>1406</v>
      </c>
      <c r="G185" s="296" t="s">
        <v>1407</v>
      </c>
      <c r="H185" s="146"/>
      <c r="I185" s="146"/>
      <c r="J185" s="146"/>
      <c r="K185" s="146"/>
      <c r="L185" s="146"/>
      <c r="M185" s="146"/>
      <c r="N185" s="146"/>
      <c r="O185" s="146"/>
      <c r="P185" s="287">
        <f t="shared" si="8"/>
        <v>0</v>
      </c>
      <c r="Q185" s="146"/>
      <c r="R185" s="146"/>
      <c r="S185" s="146"/>
      <c r="T185" s="146"/>
      <c r="U185" s="146"/>
      <c r="V185" s="146"/>
      <c r="W185" s="146"/>
      <c r="X185" s="269"/>
      <c r="Y185" s="273">
        <f t="shared" si="9"/>
        <v>0</v>
      </c>
      <c r="Z185" s="146"/>
      <c r="AA185" s="146"/>
      <c r="AB185" s="146"/>
      <c r="AC185" s="146"/>
      <c r="AD185" s="146"/>
      <c r="AE185" s="146"/>
      <c r="AF185" s="146">
        <v>1</v>
      </c>
      <c r="AG185" s="299">
        <v>43213</v>
      </c>
      <c r="AH185" s="273">
        <f t="shared" si="10"/>
        <v>1</v>
      </c>
      <c r="AI185" s="146"/>
      <c r="AJ185" s="146" t="s">
        <v>2479</v>
      </c>
      <c r="AK185" s="146" t="s">
        <v>2480</v>
      </c>
      <c r="AL185" s="146"/>
      <c r="AM185" s="146"/>
      <c r="AN185" s="146"/>
      <c r="AO185" s="146"/>
      <c r="AP185" s="146"/>
      <c r="AQ185" s="146"/>
      <c r="AR185" s="146"/>
      <c r="AS185" s="146"/>
    </row>
    <row r="186" spans="1:45" s="222" customFormat="1" x14ac:dyDescent="0.2">
      <c r="A186" s="146"/>
      <c r="B186" s="296" t="s">
        <v>1935</v>
      </c>
      <c r="C186" s="296" t="s">
        <v>1936</v>
      </c>
      <c r="D186" s="296" t="s">
        <v>1937</v>
      </c>
      <c r="E186" s="297">
        <v>201606629</v>
      </c>
      <c r="F186" s="296" t="s">
        <v>1406</v>
      </c>
      <c r="G186" s="296" t="s">
        <v>1407</v>
      </c>
      <c r="H186" s="146"/>
      <c r="I186" s="146"/>
      <c r="J186" s="146"/>
      <c r="K186" s="146"/>
      <c r="L186" s="146"/>
      <c r="M186" s="146"/>
      <c r="N186" s="146"/>
      <c r="O186" s="146"/>
      <c r="P186" s="287">
        <f t="shared" si="8"/>
        <v>0</v>
      </c>
      <c r="Q186" s="146"/>
      <c r="R186" s="146"/>
      <c r="S186" s="146"/>
      <c r="T186" s="146"/>
      <c r="U186" s="146"/>
      <c r="V186" s="146"/>
      <c r="W186" s="146"/>
      <c r="X186" s="269"/>
      <c r="Y186" s="273">
        <f t="shared" si="9"/>
        <v>0</v>
      </c>
      <c r="Z186" s="146"/>
      <c r="AA186" s="146"/>
      <c r="AB186" s="146"/>
      <c r="AC186" s="146"/>
      <c r="AD186" s="146"/>
      <c r="AE186" s="146"/>
      <c r="AF186" s="146">
        <v>1</v>
      </c>
      <c r="AG186" s="299">
        <v>43213</v>
      </c>
      <c r="AH186" s="273">
        <f t="shared" si="10"/>
        <v>1</v>
      </c>
      <c r="AI186" s="146"/>
      <c r="AJ186" s="146" t="s">
        <v>2479</v>
      </c>
      <c r="AK186" s="146" t="s">
        <v>2480</v>
      </c>
      <c r="AL186" s="146"/>
      <c r="AM186" s="146"/>
      <c r="AN186" s="146"/>
      <c r="AO186" s="146"/>
      <c r="AP186" s="146"/>
      <c r="AQ186" s="146"/>
      <c r="AR186" s="146"/>
      <c r="AS186" s="146"/>
    </row>
    <row r="187" spans="1:45" s="222" customFormat="1" x14ac:dyDescent="0.2">
      <c r="A187" s="146"/>
      <c r="B187" s="296" t="s">
        <v>1938</v>
      </c>
      <c r="C187" s="296" t="s">
        <v>1939</v>
      </c>
      <c r="D187" s="296" t="s">
        <v>1940</v>
      </c>
      <c r="E187" s="297">
        <v>201606631</v>
      </c>
      <c r="F187" s="296" t="s">
        <v>1406</v>
      </c>
      <c r="G187" s="296" t="s">
        <v>1407</v>
      </c>
      <c r="H187" s="146"/>
      <c r="I187" s="146"/>
      <c r="J187" s="146"/>
      <c r="K187" s="146"/>
      <c r="L187" s="146"/>
      <c r="M187" s="146"/>
      <c r="N187" s="146"/>
      <c r="O187" s="146"/>
      <c r="P187" s="287">
        <f t="shared" si="8"/>
        <v>0</v>
      </c>
      <c r="Q187" s="146"/>
      <c r="R187" s="146"/>
      <c r="S187" s="146"/>
      <c r="T187" s="146"/>
      <c r="U187" s="146"/>
      <c r="V187" s="146"/>
      <c r="W187" s="146"/>
      <c r="X187" s="269"/>
      <c r="Y187" s="273">
        <f t="shared" si="9"/>
        <v>0</v>
      </c>
      <c r="Z187" s="146"/>
      <c r="AA187" s="146"/>
      <c r="AB187" s="146"/>
      <c r="AC187" s="146"/>
      <c r="AD187" s="146"/>
      <c r="AE187" s="146"/>
      <c r="AF187" s="146">
        <v>1</v>
      </c>
      <c r="AG187" s="299">
        <v>43213</v>
      </c>
      <c r="AH187" s="273">
        <f t="shared" si="10"/>
        <v>1</v>
      </c>
      <c r="AI187" s="146"/>
      <c r="AJ187" s="146" t="s">
        <v>2479</v>
      </c>
      <c r="AK187" s="146" t="s">
        <v>2480</v>
      </c>
      <c r="AL187" s="146"/>
      <c r="AM187" s="146"/>
      <c r="AN187" s="146"/>
      <c r="AO187" s="146"/>
      <c r="AP187" s="146"/>
      <c r="AQ187" s="146"/>
      <c r="AR187" s="146"/>
      <c r="AS187" s="146"/>
    </row>
    <row r="188" spans="1:45" s="222" customFormat="1" x14ac:dyDescent="0.2">
      <c r="A188" s="146"/>
      <c r="B188" s="296" t="s">
        <v>1941</v>
      </c>
      <c r="C188" s="296" t="s">
        <v>1942</v>
      </c>
      <c r="D188" s="296" t="s">
        <v>1943</v>
      </c>
      <c r="E188" s="297">
        <v>201606632</v>
      </c>
      <c r="F188" s="296" t="s">
        <v>1406</v>
      </c>
      <c r="G188" s="296" t="s">
        <v>1407</v>
      </c>
      <c r="H188" s="146"/>
      <c r="I188" s="146"/>
      <c r="J188" s="146"/>
      <c r="K188" s="146"/>
      <c r="L188" s="146"/>
      <c r="M188" s="146"/>
      <c r="N188" s="146"/>
      <c r="O188" s="146"/>
      <c r="P188" s="287">
        <f t="shared" si="8"/>
        <v>0</v>
      </c>
      <c r="Q188" s="146"/>
      <c r="R188" s="146"/>
      <c r="S188" s="146"/>
      <c r="T188" s="146"/>
      <c r="U188" s="146"/>
      <c r="V188" s="146"/>
      <c r="W188" s="146"/>
      <c r="X188" s="269"/>
      <c r="Y188" s="273">
        <f t="shared" si="9"/>
        <v>0</v>
      </c>
      <c r="Z188" s="146"/>
      <c r="AA188" s="146"/>
      <c r="AB188" s="146"/>
      <c r="AC188" s="146"/>
      <c r="AD188" s="146"/>
      <c r="AE188" s="146"/>
      <c r="AF188" s="146">
        <v>1</v>
      </c>
      <c r="AG188" s="299">
        <v>43213</v>
      </c>
      <c r="AH188" s="273">
        <f t="shared" si="10"/>
        <v>1</v>
      </c>
      <c r="AI188" s="146"/>
      <c r="AJ188" s="146" t="s">
        <v>2479</v>
      </c>
      <c r="AK188" s="146" t="s">
        <v>2480</v>
      </c>
      <c r="AL188" s="146"/>
      <c r="AM188" s="146"/>
      <c r="AN188" s="146"/>
      <c r="AO188" s="146"/>
      <c r="AP188" s="146"/>
      <c r="AQ188" s="146"/>
      <c r="AR188" s="146"/>
      <c r="AS188" s="146"/>
    </row>
    <row r="189" spans="1:45" s="222" customFormat="1" x14ac:dyDescent="0.2">
      <c r="A189" s="146"/>
      <c r="B189" s="296" t="s">
        <v>1944</v>
      </c>
      <c r="C189" s="296" t="s">
        <v>1945</v>
      </c>
      <c r="D189" s="296" t="s">
        <v>1946</v>
      </c>
      <c r="E189" s="297">
        <v>201606633</v>
      </c>
      <c r="F189" s="296" t="s">
        <v>1406</v>
      </c>
      <c r="G189" s="296" t="s">
        <v>1407</v>
      </c>
      <c r="H189" s="146"/>
      <c r="I189" s="146"/>
      <c r="J189" s="146"/>
      <c r="K189" s="146"/>
      <c r="L189" s="146"/>
      <c r="M189" s="146"/>
      <c r="N189" s="146"/>
      <c r="O189" s="146"/>
      <c r="P189" s="287">
        <f t="shared" si="8"/>
        <v>0</v>
      </c>
      <c r="Q189" s="146"/>
      <c r="R189" s="146"/>
      <c r="S189" s="146"/>
      <c r="T189" s="146"/>
      <c r="U189" s="146"/>
      <c r="V189" s="146"/>
      <c r="W189" s="146"/>
      <c r="X189" s="269"/>
      <c r="Y189" s="273">
        <f t="shared" si="9"/>
        <v>0</v>
      </c>
      <c r="Z189" s="146"/>
      <c r="AA189" s="146"/>
      <c r="AB189" s="146"/>
      <c r="AC189" s="146"/>
      <c r="AD189" s="146"/>
      <c r="AE189" s="146"/>
      <c r="AF189" s="146">
        <v>1</v>
      </c>
      <c r="AG189" s="299">
        <v>43215</v>
      </c>
      <c r="AH189" s="273">
        <f t="shared" si="10"/>
        <v>1</v>
      </c>
      <c r="AI189" s="146"/>
      <c r="AJ189" s="146" t="s">
        <v>2479</v>
      </c>
      <c r="AK189" s="146" t="s">
        <v>2480</v>
      </c>
      <c r="AL189" s="146"/>
      <c r="AM189" s="146"/>
      <c r="AN189" s="146"/>
      <c r="AO189" s="146"/>
      <c r="AP189" s="146"/>
      <c r="AQ189" s="146"/>
      <c r="AR189" s="146"/>
      <c r="AS189" s="146"/>
    </row>
    <row r="190" spans="1:45" s="222" customFormat="1" x14ac:dyDescent="0.2">
      <c r="A190" s="146"/>
      <c r="B190" s="296" t="s">
        <v>1947</v>
      </c>
      <c r="C190" s="296" t="s">
        <v>1948</v>
      </c>
      <c r="D190" s="296" t="s">
        <v>1949</v>
      </c>
      <c r="E190" s="297">
        <v>201607130</v>
      </c>
      <c r="F190" s="296" t="s">
        <v>1411</v>
      </c>
      <c r="G190" s="296" t="s">
        <v>1407</v>
      </c>
      <c r="H190" s="146"/>
      <c r="I190" s="146"/>
      <c r="J190" s="146"/>
      <c r="K190" s="146"/>
      <c r="L190" s="146"/>
      <c r="M190" s="146"/>
      <c r="N190" s="146"/>
      <c r="O190" s="146"/>
      <c r="P190" s="287">
        <f t="shared" si="8"/>
        <v>0</v>
      </c>
      <c r="Q190" s="146"/>
      <c r="R190" s="146"/>
      <c r="S190" s="146"/>
      <c r="T190" s="146"/>
      <c r="U190" s="146"/>
      <c r="V190" s="146"/>
      <c r="W190" s="146"/>
      <c r="X190" s="269"/>
      <c r="Y190" s="273">
        <f t="shared" si="9"/>
        <v>0</v>
      </c>
      <c r="Z190" s="146"/>
      <c r="AA190" s="146"/>
      <c r="AB190" s="146"/>
      <c r="AC190" s="146"/>
      <c r="AD190" s="146"/>
      <c r="AE190" s="146"/>
      <c r="AF190" s="146">
        <v>1</v>
      </c>
      <c r="AG190" s="299">
        <v>43452</v>
      </c>
      <c r="AH190" s="273">
        <f t="shared" si="10"/>
        <v>1</v>
      </c>
      <c r="AI190" s="146"/>
      <c r="AJ190" s="146" t="s">
        <v>2479</v>
      </c>
      <c r="AK190" s="146" t="s">
        <v>2480</v>
      </c>
      <c r="AL190" s="146"/>
      <c r="AM190" s="146"/>
      <c r="AN190" s="146"/>
      <c r="AO190" s="146"/>
      <c r="AP190" s="146"/>
      <c r="AQ190" s="146"/>
      <c r="AR190" s="146"/>
      <c r="AS190" s="146"/>
    </row>
    <row r="191" spans="1:45" s="222" customFormat="1" x14ac:dyDescent="0.2">
      <c r="A191" s="146"/>
      <c r="B191" s="296" t="s">
        <v>1947</v>
      </c>
      <c r="C191" s="296" t="s">
        <v>1950</v>
      </c>
      <c r="D191" s="296" t="s">
        <v>1951</v>
      </c>
      <c r="E191" s="297">
        <v>201607134</v>
      </c>
      <c r="F191" s="296" t="s">
        <v>1411</v>
      </c>
      <c r="G191" s="296" t="s">
        <v>1407</v>
      </c>
      <c r="H191" s="146"/>
      <c r="I191" s="146"/>
      <c r="J191" s="146"/>
      <c r="K191" s="146"/>
      <c r="L191" s="146"/>
      <c r="M191" s="146"/>
      <c r="N191" s="146"/>
      <c r="O191" s="146"/>
      <c r="P191" s="287">
        <f t="shared" si="8"/>
        <v>0</v>
      </c>
      <c r="Q191" s="146"/>
      <c r="R191" s="146"/>
      <c r="S191" s="146"/>
      <c r="T191" s="146"/>
      <c r="U191" s="146"/>
      <c r="V191" s="146"/>
      <c r="W191" s="146"/>
      <c r="X191" s="269"/>
      <c r="Y191" s="273">
        <f t="shared" si="9"/>
        <v>0</v>
      </c>
      <c r="Z191" s="146"/>
      <c r="AA191" s="146"/>
      <c r="AB191" s="146"/>
      <c r="AC191" s="146"/>
      <c r="AD191" s="146"/>
      <c r="AE191" s="146"/>
      <c r="AF191" s="146">
        <v>1</v>
      </c>
      <c r="AG191" s="299">
        <v>43455</v>
      </c>
      <c r="AH191" s="273">
        <f t="shared" si="10"/>
        <v>1</v>
      </c>
      <c r="AI191" s="146"/>
      <c r="AJ191" s="146" t="s">
        <v>2479</v>
      </c>
      <c r="AK191" s="146" t="s">
        <v>2480</v>
      </c>
      <c r="AL191" s="146"/>
      <c r="AM191" s="146"/>
      <c r="AN191" s="146"/>
      <c r="AO191" s="146"/>
      <c r="AP191" s="146"/>
      <c r="AQ191" s="146"/>
      <c r="AR191" s="146"/>
      <c r="AS191" s="146"/>
    </row>
    <row r="192" spans="1:45" s="222" customFormat="1" x14ac:dyDescent="0.2">
      <c r="A192" s="146"/>
      <c r="B192" s="296" t="s">
        <v>1947</v>
      </c>
      <c r="C192" s="296" t="s">
        <v>1952</v>
      </c>
      <c r="D192" s="296" t="s">
        <v>1953</v>
      </c>
      <c r="E192" s="297">
        <v>201607135</v>
      </c>
      <c r="F192" s="296" t="s">
        <v>1411</v>
      </c>
      <c r="G192" s="296" t="s">
        <v>1407</v>
      </c>
      <c r="H192" s="146"/>
      <c r="I192" s="146"/>
      <c r="J192" s="146"/>
      <c r="K192" s="146"/>
      <c r="L192" s="146"/>
      <c r="M192" s="146"/>
      <c r="N192" s="146"/>
      <c r="O192" s="146"/>
      <c r="P192" s="287">
        <f t="shared" si="8"/>
        <v>0</v>
      </c>
      <c r="Q192" s="146"/>
      <c r="R192" s="146"/>
      <c r="S192" s="146"/>
      <c r="T192" s="146"/>
      <c r="U192" s="146"/>
      <c r="V192" s="146"/>
      <c r="W192" s="146"/>
      <c r="X192" s="269"/>
      <c r="Y192" s="273">
        <f t="shared" si="9"/>
        <v>0</v>
      </c>
      <c r="Z192" s="146"/>
      <c r="AA192" s="146"/>
      <c r="AB192" s="146"/>
      <c r="AC192" s="146"/>
      <c r="AD192" s="146"/>
      <c r="AE192" s="146"/>
      <c r="AF192" s="146">
        <v>1</v>
      </c>
      <c r="AG192" s="299">
        <v>43455</v>
      </c>
      <c r="AH192" s="273">
        <f t="shared" si="10"/>
        <v>1</v>
      </c>
      <c r="AI192" s="146"/>
      <c r="AJ192" s="146" t="s">
        <v>2479</v>
      </c>
      <c r="AK192" s="146" t="s">
        <v>2480</v>
      </c>
      <c r="AL192" s="146"/>
      <c r="AM192" s="146"/>
      <c r="AN192" s="146"/>
      <c r="AO192" s="146"/>
      <c r="AP192" s="146"/>
      <c r="AQ192" s="146"/>
      <c r="AR192" s="146"/>
      <c r="AS192" s="146"/>
    </row>
    <row r="193" spans="1:45" s="222" customFormat="1" x14ac:dyDescent="0.2">
      <c r="A193" s="146"/>
      <c r="B193" s="296" t="s">
        <v>1947</v>
      </c>
      <c r="C193" s="296" t="s">
        <v>1954</v>
      </c>
      <c r="D193" s="296" t="s">
        <v>1955</v>
      </c>
      <c r="E193" s="297">
        <v>201607140</v>
      </c>
      <c r="F193" s="296" t="s">
        <v>1411</v>
      </c>
      <c r="G193" s="296" t="s">
        <v>1407</v>
      </c>
      <c r="H193" s="146"/>
      <c r="I193" s="146"/>
      <c r="J193" s="146"/>
      <c r="K193" s="146"/>
      <c r="L193" s="146"/>
      <c r="M193" s="146"/>
      <c r="N193" s="146"/>
      <c r="O193" s="146"/>
      <c r="P193" s="287">
        <f t="shared" si="8"/>
        <v>0</v>
      </c>
      <c r="Q193" s="146"/>
      <c r="R193" s="146"/>
      <c r="S193" s="146"/>
      <c r="T193" s="146"/>
      <c r="U193" s="146"/>
      <c r="V193" s="146"/>
      <c r="W193" s="146"/>
      <c r="X193" s="269"/>
      <c r="Y193" s="273">
        <f t="shared" si="9"/>
        <v>0</v>
      </c>
      <c r="Z193" s="146"/>
      <c r="AA193" s="146"/>
      <c r="AB193" s="146"/>
      <c r="AC193" s="146"/>
      <c r="AD193" s="146"/>
      <c r="AE193" s="146"/>
      <c r="AF193" s="146">
        <v>1</v>
      </c>
      <c r="AG193" s="299">
        <v>43432</v>
      </c>
      <c r="AH193" s="273">
        <f t="shared" si="10"/>
        <v>1</v>
      </c>
      <c r="AI193" s="146"/>
      <c r="AJ193" s="146" t="s">
        <v>2479</v>
      </c>
      <c r="AK193" s="146" t="s">
        <v>2480</v>
      </c>
      <c r="AL193" s="146"/>
      <c r="AM193" s="146"/>
      <c r="AN193" s="146"/>
      <c r="AO193" s="146"/>
      <c r="AP193" s="146"/>
      <c r="AQ193" s="146"/>
      <c r="AR193" s="146"/>
      <c r="AS193" s="146"/>
    </row>
    <row r="194" spans="1:45" s="222" customFormat="1" x14ac:dyDescent="0.2">
      <c r="A194" s="146"/>
      <c r="B194" s="296" t="s">
        <v>1947</v>
      </c>
      <c r="C194" s="296" t="s">
        <v>1956</v>
      </c>
      <c r="D194" s="296" t="s">
        <v>1957</v>
      </c>
      <c r="E194" s="297">
        <v>201607141</v>
      </c>
      <c r="F194" s="296" t="s">
        <v>1411</v>
      </c>
      <c r="G194" s="296" t="s">
        <v>1407</v>
      </c>
      <c r="H194" s="146"/>
      <c r="I194" s="146"/>
      <c r="J194" s="146"/>
      <c r="K194" s="146"/>
      <c r="L194" s="146"/>
      <c r="M194" s="146"/>
      <c r="N194" s="146"/>
      <c r="O194" s="146"/>
      <c r="P194" s="287">
        <f t="shared" si="8"/>
        <v>0</v>
      </c>
      <c r="Q194" s="146"/>
      <c r="R194" s="146"/>
      <c r="S194" s="146"/>
      <c r="T194" s="146"/>
      <c r="U194" s="146"/>
      <c r="V194" s="146"/>
      <c r="W194" s="146"/>
      <c r="X194" s="269"/>
      <c r="Y194" s="273">
        <f t="shared" si="9"/>
        <v>0</v>
      </c>
      <c r="Z194" s="146"/>
      <c r="AA194" s="146"/>
      <c r="AB194" s="146"/>
      <c r="AC194" s="146"/>
      <c r="AD194" s="146"/>
      <c r="AE194" s="146"/>
      <c r="AF194" s="146">
        <v>1</v>
      </c>
      <c r="AG194" s="299">
        <v>43419</v>
      </c>
      <c r="AH194" s="273">
        <f t="shared" si="10"/>
        <v>1</v>
      </c>
      <c r="AI194" s="146"/>
      <c r="AJ194" s="146" t="s">
        <v>2479</v>
      </c>
      <c r="AK194" s="146" t="s">
        <v>2480</v>
      </c>
      <c r="AL194" s="146"/>
      <c r="AM194" s="146"/>
      <c r="AN194" s="146"/>
      <c r="AO194" s="146"/>
      <c r="AP194" s="146"/>
      <c r="AQ194" s="146"/>
      <c r="AR194" s="146"/>
      <c r="AS194" s="146"/>
    </row>
    <row r="195" spans="1:45" s="222" customFormat="1" x14ac:dyDescent="0.2">
      <c r="A195" s="146"/>
      <c r="B195" s="296" t="s">
        <v>1947</v>
      </c>
      <c r="C195" s="296" t="s">
        <v>1958</v>
      </c>
      <c r="D195" s="296" t="s">
        <v>1959</v>
      </c>
      <c r="E195" s="297">
        <v>201607142</v>
      </c>
      <c r="F195" s="296" t="s">
        <v>1411</v>
      </c>
      <c r="G195" s="296" t="s">
        <v>1407</v>
      </c>
      <c r="H195" s="146"/>
      <c r="I195" s="146"/>
      <c r="J195" s="146"/>
      <c r="K195" s="146"/>
      <c r="L195" s="146"/>
      <c r="M195" s="146"/>
      <c r="N195" s="146"/>
      <c r="O195" s="146"/>
      <c r="P195" s="287">
        <f t="shared" si="8"/>
        <v>0</v>
      </c>
      <c r="Q195" s="146"/>
      <c r="R195" s="146"/>
      <c r="S195" s="146"/>
      <c r="T195" s="146"/>
      <c r="U195" s="146"/>
      <c r="V195" s="146"/>
      <c r="W195" s="146"/>
      <c r="X195" s="269"/>
      <c r="Y195" s="273">
        <f t="shared" si="9"/>
        <v>0</v>
      </c>
      <c r="Z195" s="146"/>
      <c r="AA195" s="146"/>
      <c r="AB195" s="146"/>
      <c r="AC195" s="146"/>
      <c r="AD195" s="146"/>
      <c r="AE195" s="146"/>
      <c r="AF195" s="146">
        <v>1</v>
      </c>
      <c r="AG195" s="299">
        <v>43419</v>
      </c>
      <c r="AH195" s="273">
        <f t="shared" si="10"/>
        <v>1</v>
      </c>
      <c r="AI195" s="146"/>
      <c r="AJ195" s="146" t="s">
        <v>2479</v>
      </c>
      <c r="AK195" s="146" t="s">
        <v>2480</v>
      </c>
      <c r="AL195" s="146"/>
      <c r="AM195" s="146"/>
      <c r="AN195" s="146"/>
      <c r="AO195" s="146"/>
      <c r="AP195" s="146"/>
      <c r="AQ195" s="146"/>
      <c r="AR195" s="146"/>
      <c r="AS195" s="146"/>
    </row>
    <row r="196" spans="1:45" s="222" customFormat="1" x14ac:dyDescent="0.2">
      <c r="A196" s="146"/>
      <c r="B196" s="296" t="s">
        <v>1960</v>
      </c>
      <c r="C196" s="296" t="s">
        <v>1961</v>
      </c>
      <c r="D196" s="296" t="s">
        <v>1962</v>
      </c>
      <c r="E196" s="297">
        <v>201505583</v>
      </c>
      <c r="F196" s="296" t="s">
        <v>1406</v>
      </c>
      <c r="G196" s="296" t="s">
        <v>1407</v>
      </c>
      <c r="H196" s="146"/>
      <c r="I196" s="146"/>
      <c r="J196" s="146"/>
      <c r="K196" s="146"/>
      <c r="L196" s="146"/>
      <c r="M196" s="146"/>
      <c r="N196" s="146"/>
      <c r="O196" s="146"/>
      <c r="P196" s="287">
        <f t="shared" si="8"/>
        <v>0</v>
      </c>
      <c r="Q196" s="146"/>
      <c r="R196" s="146"/>
      <c r="S196" s="146"/>
      <c r="T196" s="146"/>
      <c r="U196" s="146"/>
      <c r="V196" s="146"/>
      <c r="W196" s="146"/>
      <c r="X196" s="269"/>
      <c r="Y196" s="273">
        <f t="shared" si="9"/>
        <v>0</v>
      </c>
      <c r="Z196" s="146"/>
      <c r="AA196" s="146"/>
      <c r="AB196" s="146"/>
      <c r="AC196" s="146"/>
      <c r="AD196" s="146"/>
      <c r="AE196" s="146"/>
      <c r="AF196" s="146">
        <v>1</v>
      </c>
      <c r="AG196" s="299">
        <v>43437</v>
      </c>
      <c r="AH196" s="273">
        <f t="shared" si="10"/>
        <v>1</v>
      </c>
      <c r="AI196" s="146"/>
      <c r="AJ196" s="146" t="s">
        <v>2479</v>
      </c>
      <c r="AK196" s="146" t="s">
        <v>2480</v>
      </c>
      <c r="AL196" s="146"/>
      <c r="AM196" s="146"/>
      <c r="AN196" s="146"/>
      <c r="AO196" s="146"/>
      <c r="AP196" s="146"/>
      <c r="AQ196" s="146"/>
      <c r="AR196" s="146"/>
      <c r="AS196" s="146"/>
    </row>
    <row r="197" spans="1:45" s="222" customFormat="1" x14ac:dyDescent="0.2">
      <c r="A197" s="146"/>
      <c r="B197" s="296" t="s">
        <v>1963</v>
      </c>
      <c r="C197" s="296" t="s">
        <v>1964</v>
      </c>
      <c r="D197" s="296" t="s">
        <v>1965</v>
      </c>
      <c r="E197" s="297">
        <v>201505582</v>
      </c>
      <c r="F197" s="296" t="s">
        <v>1406</v>
      </c>
      <c r="G197" s="296" t="s">
        <v>1407</v>
      </c>
      <c r="H197" s="146"/>
      <c r="I197" s="146"/>
      <c r="J197" s="146"/>
      <c r="K197" s="146"/>
      <c r="L197" s="146"/>
      <c r="M197" s="146"/>
      <c r="N197" s="146"/>
      <c r="O197" s="146"/>
      <c r="P197" s="287">
        <f t="shared" si="8"/>
        <v>0</v>
      </c>
      <c r="Q197" s="146"/>
      <c r="R197" s="146"/>
      <c r="S197" s="146"/>
      <c r="T197" s="146"/>
      <c r="U197" s="146"/>
      <c r="V197" s="146"/>
      <c r="W197" s="146"/>
      <c r="X197" s="269"/>
      <c r="Y197" s="273">
        <f t="shared" si="9"/>
        <v>0</v>
      </c>
      <c r="Z197" s="146"/>
      <c r="AA197" s="146"/>
      <c r="AB197" s="146"/>
      <c r="AC197" s="146"/>
      <c r="AD197" s="146"/>
      <c r="AE197" s="146"/>
      <c r="AF197" s="146">
        <v>1</v>
      </c>
      <c r="AG197" s="299">
        <v>43437</v>
      </c>
      <c r="AH197" s="273">
        <f t="shared" si="10"/>
        <v>1</v>
      </c>
      <c r="AI197" s="146"/>
      <c r="AJ197" s="146" t="s">
        <v>2479</v>
      </c>
      <c r="AK197" s="146" t="s">
        <v>2480</v>
      </c>
      <c r="AL197" s="146"/>
      <c r="AM197" s="146"/>
      <c r="AN197" s="146"/>
      <c r="AO197" s="146"/>
      <c r="AP197" s="146"/>
      <c r="AQ197" s="146"/>
      <c r="AR197" s="146"/>
      <c r="AS197" s="146"/>
    </row>
    <row r="198" spans="1:45" s="222" customFormat="1" x14ac:dyDescent="0.2">
      <c r="A198" s="146"/>
      <c r="B198" s="296" t="s">
        <v>1966</v>
      </c>
      <c r="C198" s="296" t="s">
        <v>1967</v>
      </c>
      <c r="D198" s="296" t="s">
        <v>1968</v>
      </c>
      <c r="E198" s="297">
        <v>201505577</v>
      </c>
      <c r="F198" s="296" t="s">
        <v>1406</v>
      </c>
      <c r="G198" s="296" t="s">
        <v>1407</v>
      </c>
      <c r="H198" s="146"/>
      <c r="I198" s="146"/>
      <c r="J198" s="146"/>
      <c r="K198" s="146"/>
      <c r="L198" s="146"/>
      <c r="M198" s="146"/>
      <c r="N198" s="146"/>
      <c r="O198" s="146"/>
      <c r="P198" s="287">
        <f t="shared" si="8"/>
        <v>0</v>
      </c>
      <c r="Q198" s="146"/>
      <c r="R198" s="146"/>
      <c r="S198" s="146"/>
      <c r="T198" s="146"/>
      <c r="U198" s="146"/>
      <c r="V198" s="146"/>
      <c r="W198" s="146"/>
      <c r="X198" s="269"/>
      <c r="Y198" s="273">
        <f t="shared" si="9"/>
        <v>0</v>
      </c>
      <c r="Z198" s="146"/>
      <c r="AA198" s="146"/>
      <c r="AB198" s="146"/>
      <c r="AC198" s="146"/>
      <c r="AD198" s="146"/>
      <c r="AE198" s="146"/>
      <c r="AF198" s="146">
        <v>1</v>
      </c>
      <c r="AG198" s="299">
        <v>43437</v>
      </c>
      <c r="AH198" s="273">
        <f t="shared" si="10"/>
        <v>1</v>
      </c>
      <c r="AI198" s="146"/>
      <c r="AJ198" s="146" t="s">
        <v>2479</v>
      </c>
      <c r="AK198" s="146" t="s">
        <v>2480</v>
      </c>
      <c r="AL198" s="146"/>
      <c r="AM198" s="146"/>
      <c r="AN198" s="146"/>
      <c r="AO198" s="146"/>
      <c r="AP198" s="146"/>
      <c r="AQ198" s="146"/>
      <c r="AR198" s="146"/>
      <c r="AS198" s="146"/>
    </row>
    <row r="199" spans="1:45" s="222" customFormat="1" x14ac:dyDescent="0.2">
      <c r="A199" s="146"/>
      <c r="B199" s="296" t="s">
        <v>1969</v>
      </c>
      <c r="C199" s="296" t="s">
        <v>1970</v>
      </c>
      <c r="D199" s="296" t="s">
        <v>1971</v>
      </c>
      <c r="E199" s="297">
        <v>201505572</v>
      </c>
      <c r="F199" s="296" t="s">
        <v>1406</v>
      </c>
      <c r="G199" s="296" t="s">
        <v>1407</v>
      </c>
      <c r="H199" s="146"/>
      <c r="I199" s="146"/>
      <c r="J199" s="146"/>
      <c r="K199" s="146"/>
      <c r="L199" s="146"/>
      <c r="M199" s="146"/>
      <c r="N199" s="146"/>
      <c r="O199" s="146"/>
      <c r="P199" s="287">
        <f t="shared" si="8"/>
        <v>0</v>
      </c>
      <c r="Q199" s="146"/>
      <c r="R199" s="146"/>
      <c r="S199" s="146"/>
      <c r="T199" s="146"/>
      <c r="U199" s="146"/>
      <c r="V199" s="146"/>
      <c r="W199" s="146"/>
      <c r="X199" s="269"/>
      <c r="Y199" s="273">
        <f t="shared" si="9"/>
        <v>0</v>
      </c>
      <c r="Z199" s="146"/>
      <c r="AA199" s="146"/>
      <c r="AB199" s="146"/>
      <c r="AC199" s="146"/>
      <c r="AD199" s="146"/>
      <c r="AE199" s="146"/>
      <c r="AF199" s="146">
        <v>1</v>
      </c>
      <c r="AG199" s="299">
        <v>43437</v>
      </c>
      <c r="AH199" s="273">
        <f t="shared" si="10"/>
        <v>1</v>
      </c>
      <c r="AI199" s="146"/>
      <c r="AJ199" s="146" t="s">
        <v>2479</v>
      </c>
      <c r="AK199" s="146" t="s">
        <v>2480</v>
      </c>
      <c r="AL199" s="146"/>
      <c r="AM199" s="146"/>
      <c r="AN199" s="146"/>
      <c r="AO199" s="146"/>
      <c r="AP199" s="146"/>
      <c r="AQ199" s="146"/>
      <c r="AR199" s="146"/>
      <c r="AS199" s="146"/>
    </row>
    <row r="200" spans="1:45" s="222" customFormat="1" x14ac:dyDescent="0.2">
      <c r="A200" s="146"/>
      <c r="B200" s="296" t="s">
        <v>1972</v>
      </c>
      <c r="C200" s="296" t="s">
        <v>1973</v>
      </c>
      <c r="D200" s="296" t="s">
        <v>1974</v>
      </c>
      <c r="E200" s="297">
        <v>201505588</v>
      </c>
      <c r="F200" s="296" t="s">
        <v>1406</v>
      </c>
      <c r="G200" s="296" t="s">
        <v>1407</v>
      </c>
      <c r="H200" s="146"/>
      <c r="I200" s="146"/>
      <c r="J200" s="146"/>
      <c r="K200" s="146"/>
      <c r="L200" s="146"/>
      <c r="M200" s="146"/>
      <c r="N200" s="146"/>
      <c r="O200" s="146"/>
      <c r="P200" s="287">
        <f t="shared" si="8"/>
        <v>0</v>
      </c>
      <c r="Q200" s="146"/>
      <c r="R200" s="146"/>
      <c r="S200" s="146"/>
      <c r="T200" s="146"/>
      <c r="U200" s="146"/>
      <c r="V200" s="146"/>
      <c r="W200" s="146"/>
      <c r="X200" s="269"/>
      <c r="Y200" s="273">
        <f t="shared" si="9"/>
        <v>0</v>
      </c>
      <c r="Z200" s="146"/>
      <c r="AA200" s="146"/>
      <c r="AB200" s="146"/>
      <c r="AC200" s="146"/>
      <c r="AD200" s="146"/>
      <c r="AE200" s="146"/>
      <c r="AF200" s="146">
        <v>1</v>
      </c>
      <c r="AG200" s="299">
        <v>43437</v>
      </c>
      <c r="AH200" s="273">
        <f t="shared" si="10"/>
        <v>1</v>
      </c>
      <c r="AI200" s="146"/>
      <c r="AJ200" s="146" t="s">
        <v>2479</v>
      </c>
      <c r="AK200" s="146" t="s">
        <v>2480</v>
      </c>
      <c r="AL200" s="146"/>
      <c r="AM200" s="146"/>
      <c r="AN200" s="146"/>
      <c r="AO200" s="146"/>
      <c r="AP200" s="146"/>
      <c r="AQ200" s="146"/>
      <c r="AR200" s="146"/>
      <c r="AS200" s="146"/>
    </row>
    <row r="201" spans="1:45" s="222" customFormat="1" x14ac:dyDescent="0.2">
      <c r="A201" s="146"/>
      <c r="B201" s="296" t="s">
        <v>1975</v>
      </c>
      <c r="C201" s="296" t="s">
        <v>1976</v>
      </c>
      <c r="D201" s="296" t="s">
        <v>1977</v>
      </c>
      <c r="E201" s="297">
        <v>201605906</v>
      </c>
      <c r="F201" s="296" t="s">
        <v>1406</v>
      </c>
      <c r="G201" s="296" t="s">
        <v>1407</v>
      </c>
      <c r="H201" s="146"/>
      <c r="I201" s="146"/>
      <c r="J201" s="146"/>
      <c r="K201" s="146"/>
      <c r="L201" s="146"/>
      <c r="M201" s="146"/>
      <c r="N201" s="146"/>
      <c r="O201" s="146"/>
      <c r="P201" s="287">
        <f t="shared" si="8"/>
        <v>0</v>
      </c>
      <c r="Q201" s="146"/>
      <c r="R201" s="146"/>
      <c r="S201" s="146"/>
      <c r="T201" s="146"/>
      <c r="U201" s="146"/>
      <c r="V201" s="146"/>
      <c r="W201" s="146"/>
      <c r="X201" s="269"/>
      <c r="Y201" s="273">
        <f t="shared" si="9"/>
        <v>0</v>
      </c>
      <c r="Z201" s="146"/>
      <c r="AA201" s="146"/>
      <c r="AB201" s="146"/>
      <c r="AC201" s="146"/>
      <c r="AD201" s="146"/>
      <c r="AE201" s="146"/>
      <c r="AF201" s="146">
        <v>1</v>
      </c>
      <c r="AG201" s="299">
        <v>43186</v>
      </c>
      <c r="AH201" s="273">
        <f t="shared" si="10"/>
        <v>1</v>
      </c>
      <c r="AI201" s="146"/>
      <c r="AJ201" s="146" t="s">
        <v>2479</v>
      </c>
      <c r="AK201" s="146" t="s">
        <v>2480</v>
      </c>
      <c r="AL201" s="146"/>
      <c r="AM201" s="146"/>
      <c r="AN201" s="146"/>
      <c r="AO201" s="146"/>
      <c r="AP201" s="146"/>
      <c r="AQ201" s="146"/>
      <c r="AR201" s="146"/>
      <c r="AS201" s="146"/>
    </row>
    <row r="202" spans="1:45" s="222" customFormat="1" x14ac:dyDescent="0.2">
      <c r="A202" s="146"/>
      <c r="B202" s="296" t="s">
        <v>1978</v>
      </c>
      <c r="C202" s="296" t="s">
        <v>1979</v>
      </c>
      <c r="D202" s="296" t="s">
        <v>1980</v>
      </c>
      <c r="E202" s="297">
        <v>201605908</v>
      </c>
      <c r="F202" s="296" t="s">
        <v>1406</v>
      </c>
      <c r="G202" s="296" t="s">
        <v>1407</v>
      </c>
      <c r="H202" s="146"/>
      <c r="I202" s="146"/>
      <c r="J202" s="146"/>
      <c r="K202" s="146"/>
      <c r="L202" s="146"/>
      <c r="M202" s="146"/>
      <c r="N202" s="146"/>
      <c r="O202" s="146"/>
      <c r="P202" s="287">
        <f t="shared" si="8"/>
        <v>0</v>
      </c>
      <c r="Q202" s="146"/>
      <c r="R202" s="146"/>
      <c r="S202" s="146"/>
      <c r="T202" s="146"/>
      <c r="U202" s="146"/>
      <c r="V202" s="146"/>
      <c r="W202" s="146"/>
      <c r="X202" s="269"/>
      <c r="Y202" s="273">
        <f t="shared" si="9"/>
        <v>0</v>
      </c>
      <c r="Z202" s="146"/>
      <c r="AA202" s="146"/>
      <c r="AB202" s="146"/>
      <c r="AC202" s="146"/>
      <c r="AD202" s="146"/>
      <c r="AE202" s="146"/>
      <c r="AF202" s="146">
        <v>1</v>
      </c>
      <c r="AG202" s="299">
        <v>43186</v>
      </c>
      <c r="AH202" s="273">
        <f t="shared" si="10"/>
        <v>1</v>
      </c>
      <c r="AI202" s="146"/>
      <c r="AJ202" s="146" t="s">
        <v>2479</v>
      </c>
      <c r="AK202" s="146" t="s">
        <v>2480</v>
      </c>
      <c r="AL202" s="146"/>
      <c r="AM202" s="146"/>
      <c r="AN202" s="146"/>
      <c r="AO202" s="146"/>
      <c r="AP202" s="146"/>
      <c r="AQ202" s="146"/>
      <c r="AR202" s="146"/>
      <c r="AS202" s="146"/>
    </row>
    <row r="203" spans="1:45" s="222" customFormat="1" x14ac:dyDescent="0.2">
      <c r="A203" s="146"/>
      <c r="B203" s="296" t="s">
        <v>1981</v>
      </c>
      <c r="C203" s="296" t="s">
        <v>1982</v>
      </c>
      <c r="D203" s="296" t="s">
        <v>1983</v>
      </c>
      <c r="E203" s="297">
        <v>201605911</v>
      </c>
      <c r="F203" s="296" t="s">
        <v>1406</v>
      </c>
      <c r="G203" s="296" t="s">
        <v>1407</v>
      </c>
      <c r="H203" s="146"/>
      <c r="I203" s="146"/>
      <c r="J203" s="146"/>
      <c r="K203" s="146"/>
      <c r="L203" s="146"/>
      <c r="M203" s="146"/>
      <c r="N203" s="146"/>
      <c r="O203" s="146"/>
      <c r="P203" s="287">
        <f t="shared" si="8"/>
        <v>0</v>
      </c>
      <c r="Q203" s="146"/>
      <c r="R203" s="146"/>
      <c r="S203" s="146"/>
      <c r="T203" s="146"/>
      <c r="U203" s="146"/>
      <c r="V203" s="146"/>
      <c r="W203" s="146"/>
      <c r="X203" s="269"/>
      <c r="Y203" s="273">
        <f t="shared" si="9"/>
        <v>0</v>
      </c>
      <c r="Z203" s="146"/>
      <c r="AA203" s="146"/>
      <c r="AB203" s="146"/>
      <c r="AC203" s="146"/>
      <c r="AD203" s="146"/>
      <c r="AE203" s="146"/>
      <c r="AF203" s="146">
        <v>1</v>
      </c>
      <c r="AG203" s="299">
        <v>43215</v>
      </c>
      <c r="AH203" s="273">
        <f t="shared" si="10"/>
        <v>1</v>
      </c>
      <c r="AI203" s="146"/>
      <c r="AJ203" s="146" t="s">
        <v>2479</v>
      </c>
      <c r="AK203" s="146" t="s">
        <v>2480</v>
      </c>
      <c r="AL203" s="146"/>
      <c r="AM203" s="146"/>
      <c r="AN203" s="146"/>
      <c r="AO203" s="146"/>
      <c r="AP203" s="146"/>
      <c r="AQ203" s="146"/>
      <c r="AR203" s="146"/>
      <c r="AS203" s="146"/>
    </row>
    <row r="204" spans="1:45" s="222" customFormat="1" x14ac:dyDescent="0.2">
      <c r="A204" s="146"/>
      <c r="B204" s="296" t="s">
        <v>1984</v>
      </c>
      <c r="C204" s="296" t="s">
        <v>1985</v>
      </c>
      <c r="D204" s="296" t="s">
        <v>1986</v>
      </c>
      <c r="E204" s="297">
        <v>201800129</v>
      </c>
      <c r="F204" s="296" t="s">
        <v>1406</v>
      </c>
      <c r="G204" s="296" t="s">
        <v>1407</v>
      </c>
      <c r="H204" s="146"/>
      <c r="I204" s="146"/>
      <c r="J204" s="146"/>
      <c r="K204" s="146"/>
      <c r="L204" s="146"/>
      <c r="M204" s="146"/>
      <c r="N204" s="146"/>
      <c r="O204" s="146"/>
      <c r="P204" s="287">
        <f t="shared" si="8"/>
        <v>0</v>
      </c>
      <c r="Q204" s="146"/>
      <c r="R204" s="146"/>
      <c r="S204" s="146"/>
      <c r="T204" s="146"/>
      <c r="U204" s="146"/>
      <c r="V204" s="146"/>
      <c r="W204" s="146"/>
      <c r="X204" s="269"/>
      <c r="Y204" s="273">
        <f t="shared" si="9"/>
        <v>0</v>
      </c>
      <c r="Z204" s="146"/>
      <c r="AA204" s="146"/>
      <c r="AB204" s="146"/>
      <c r="AC204" s="146"/>
      <c r="AD204" s="146"/>
      <c r="AE204" s="146"/>
      <c r="AF204" s="146">
        <v>1</v>
      </c>
      <c r="AG204" s="299">
        <v>43361</v>
      </c>
      <c r="AH204" s="273">
        <f t="shared" si="10"/>
        <v>1</v>
      </c>
      <c r="AI204" s="146"/>
      <c r="AJ204" s="146" t="s">
        <v>2479</v>
      </c>
      <c r="AK204" s="146" t="s">
        <v>2479</v>
      </c>
      <c r="AL204" s="146"/>
      <c r="AM204" s="146"/>
      <c r="AN204" s="146"/>
      <c r="AO204" s="146"/>
      <c r="AP204" s="146"/>
      <c r="AQ204" s="146"/>
      <c r="AR204" s="146"/>
      <c r="AS204" s="146"/>
    </row>
    <row r="205" spans="1:45" s="222" customFormat="1" x14ac:dyDescent="0.2">
      <c r="A205" s="146"/>
      <c r="B205" s="296" t="s">
        <v>1987</v>
      </c>
      <c r="C205" s="296" t="s">
        <v>1988</v>
      </c>
      <c r="D205" s="296" t="s">
        <v>1989</v>
      </c>
      <c r="E205" s="297">
        <v>201505929</v>
      </c>
      <c r="F205" s="296" t="s">
        <v>1411</v>
      </c>
      <c r="G205" s="296" t="s">
        <v>1407</v>
      </c>
      <c r="H205" s="146"/>
      <c r="I205" s="146"/>
      <c r="J205" s="146"/>
      <c r="K205" s="146"/>
      <c r="L205" s="146"/>
      <c r="M205" s="146"/>
      <c r="N205" s="146"/>
      <c r="O205" s="146"/>
      <c r="P205" s="287">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146">
        <v>1</v>
      </c>
      <c r="AG205" s="299">
        <v>43229</v>
      </c>
      <c r="AH205" s="273">
        <f t="shared" si="10"/>
        <v>1</v>
      </c>
      <c r="AI205" s="146"/>
      <c r="AJ205" s="146" t="s">
        <v>2479</v>
      </c>
      <c r="AK205" s="146" t="s">
        <v>2480</v>
      </c>
      <c r="AL205" s="146"/>
      <c r="AM205" s="146"/>
      <c r="AN205" s="146"/>
      <c r="AO205" s="146"/>
      <c r="AP205" s="146"/>
      <c r="AQ205" s="146"/>
      <c r="AR205" s="146"/>
      <c r="AS205" s="146"/>
    </row>
    <row r="206" spans="1:45" s="222" customFormat="1" x14ac:dyDescent="0.2">
      <c r="A206" s="146"/>
      <c r="B206" s="296" t="s">
        <v>1987</v>
      </c>
      <c r="C206" s="296" t="s">
        <v>1990</v>
      </c>
      <c r="D206" s="296" t="s">
        <v>1991</v>
      </c>
      <c r="E206" s="297">
        <v>201505932</v>
      </c>
      <c r="F206" s="296" t="s">
        <v>1411</v>
      </c>
      <c r="G206" s="296" t="s">
        <v>1407</v>
      </c>
      <c r="H206" s="146"/>
      <c r="I206" s="146"/>
      <c r="J206" s="146"/>
      <c r="K206" s="146"/>
      <c r="L206" s="146"/>
      <c r="M206" s="146"/>
      <c r="N206" s="146"/>
      <c r="O206" s="146"/>
      <c r="P206" s="287">
        <f t="shared" si="11"/>
        <v>0</v>
      </c>
      <c r="Q206" s="146"/>
      <c r="R206" s="146"/>
      <c r="S206" s="146"/>
      <c r="T206" s="146"/>
      <c r="U206" s="146"/>
      <c r="V206" s="146"/>
      <c r="W206" s="146"/>
      <c r="X206" s="269"/>
      <c r="Y206" s="273">
        <f t="shared" si="12"/>
        <v>0</v>
      </c>
      <c r="Z206" s="146"/>
      <c r="AA206" s="146"/>
      <c r="AB206" s="146"/>
      <c r="AC206" s="146"/>
      <c r="AD206" s="146"/>
      <c r="AE206" s="146"/>
      <c r="AF206" s="146">
        <v>1</v>
      </c>
      <c r="AG206" s="299">
        <v>43229</v>
      </c>
      <c r="AH206" s="273">
        <f t="shared" si="10"/>
        <v>1</v>
      </c>
      <c r="AI206" s="146"/>
      <c r="AJ206" s="146" t="s">
        <v>2479</v>
      </c>
      <c r="AK206" s="146" t="s">
        <v>2480</v>
      </c>
      <c r="AL206" s="146"/>
      <c r="AM206" s="146"/>
      <c r="AN206" s="146"/>
      <c r="AO206" s="146"/>
      <c r="AP206" s="146"/>
      <c r="AQ206" s="146"/>
      <c r="AR206" s="146"/>
      <c r="AS206" s="146"/>
    </row>
    <row r="207" spans="1:45" s="222" customFormat="1" x14ac:dyDescent="0.2">
      <c r="A207" s="146"/>
      <c r="B207" s="296" t="s">
        <v>1987</v>
      </c>
      <c r="C207" s="296" t="s">
        <v>1992</v>
      </c>
      <c r="D207" s="296" t="s">
        <v>1993</v>
      </c>
      <c r="E207" s="297">
        <v>201505935</v>
      </c>
      <c r="F207" s="296" t="s">
        <v>1411</v>
      </c>
      <c r="G207" s="296" t="s">
        <v>1407</v>
      </c>
      <c r="H207" s="146"/>
      <c r="I207" s="146"/>
      <c r="J207" s="146"/>
      <c r="K207" s="146"/>
      <c r="L207" s="146"/>
      <c r="M207" s="146"/>
      <c r="N207" s="146"/>
      <c r="O207" s="146"/>
      <c r="P207" s="287">
        <f t="shared" si="11"/>
        <v>0</v>
      </c>
      <c r="Q207" s="146"/>
      <c r="R207" s="146"/>
      <c r="S207" s="146"/>
      <c r="T207" s="146"/>
      <c r="U207" s="146"/>
      <c r="V207" s="146"/>
      <c r="W207" s="146"/>
      <c r="X207" s="269"/>
      <c r="Y207" s="273">
        <f t="shared" si="12"/>
        <v>0</v>
      </c>
      <c r="Z207" s="146"/>
      <c r="AA207" s="146"/>
      <c r="AB207" s="146"/>
      <c r="AC207" s="146"/>
      <c r="AD207" s="146"/>
      <c r="AE207" s="146"/>
      <c r="AF207" s="146">
        <v>1</v>
      </c>
      <c r="AG207" s="299">
        <v>43229</v>
      </c>
      <c r="AH207" s="273">
        <f t="shared" si="10"/>
        <v>1</v>
      </c>
      <c r="AI207" s="146"/>
      <c r="AJ207" s="146" t="s">
        <v>2479</v>
      </c>
      <c r="AK207" s="146" t="s">
        <v>2480</v>
      </c>
      <c r="AL207" s="146"/>
      <c r="AM207" s="146"/>
      <c r="AN207" s="146"/>
      <c r="AO207" s="146"/>
      <c r="AP207" s="146"/>
      <c r="AQ207" s="146"/>
      <c r="AR207" s="146"/>
      <c r="AS207" s="146"/>
    </row>
    <row r="208" spans="1:45" s="222" customFormat="1" x14ac:dyDescent="0.2">
      <c r="A208" s="146"/>
      <c r="B208" s="296" t="s">
        <v>1987</v>
      </c>
      <c r="C208" s="296" t="s">
        <v>1994</v>
      </c>
      <c r="D208" s="296" t="s">
        <v>1995</v>
      </c>
      <c r="E208" s="297">
        <v>201505936</v>
      </c>
      <c r="F208" s="296" t="s">
        <v>1411</v>
      </c>
      <c r="G208" s="296" t="s">
        <v>1407</v>
      </c>
      <c r="H208" s="146"/>
      <c r="I208" s="146"/>
      <c r="J208" s="146"/>
      <c r="K208" s="146"/>
      <c r="L208" s="146"/>
      <c r="M208" s="146"/>
      <c r="N208" s="146"/>
      <c r="O208" s="146"/>
      <c r="P208" s="287">
        <f t="shared" si="11"/>
        <v>0</v>
      </c>
      <c r="Q208" s="146"/>
      <c r="R208" s="146"/>
      <c r="S208" s="146"/>
      <c r="T208" s="146"/>
      <c r="U208" s="146"/>
      <c r="V208" s="146"/>
      <c r="W208" s="146"/>
      <c r="X208" s="269"/>
      <c r="Y208" s="273">
        <f t="shared" si="12"/>
        <v>0</v>
      </c>
      <c r="Z208" s="146"/>
      <c r="AA208" s="146"/>
      <c r="AB208" s="146"/>
      <c r="AC208" s="146"/>
      <c r="AD208" s="146"/>
      <c r="AE208" s="146"/>
      <c r="AF208" s="146">
        <v>1</v>
      </c>
      <c r="AG208" s="299">
        <v>43229</v>
      </c>
      <c r="AH208" s="273">
        <f t="shared" si="10"/>
        <v>1</v>
      </c>
      <c r="AI208" s="146"/>
      <c r="AJ208" s="146" t="s">
        <v>2479</v>
      </c>
      <c r="AK208" s="146" t="s">
        <v>2480</v>
      </c>
      <c r="AL208" s="146"/>
      <c r="AM208" s="146"/>
      <c r="AN208" s="146"/>
      <c r="AO208" s="146"/>
      <c r="AP208" s="146"/>
      <c r="AQ208" s="146"/>
      <c r="AR208" s="146"/>
      <c r="AS208" s="146"/>
    </row>
    <row r="209" spans="1:45" s="222" customFormat="1" x14ac:dyDescent="0.2">
      <c r="A209" s="146"/>
      <c r="B209" s="296" t="s">
        <v>1987</v>
      </c>
      <c r="C209" s="296" t="s">
        <v>1996</v>
      </c>
      <c r="D209" s="296" t="s">
        <v>1997</v>
      </c>
      <c r="E209" s="297">
        <v>201505937</v>
      </c>
      <c r="F209" s="296" t="s">
        <v>1411</v>
      </c>
      <c r="G209" s="296" t="s">
        <v>1407</v>
      </c>
      <c r="H209" s="146"/>
      <c r="I209" s="146"/>
      <c r="J209" s="146"/>
      <c r="K209" s="146"/>
      <c r="L209" s="146"/>
      <c r="M209" s="146"/>
      <c r="N209" s="146"/>
      <c r="O209" s="146"/>
      <c r="P209" s="287">
        <f t="shared" si="11"/>
        <v>0</v>
      </c>
      <c r="Q209" s="146"/>
      <c r="R209" s="146"/>
      <c r="S209" s="146"/>
      <c r="T209" s="146"/>
      <c r="U209" s="146"/>
      <c r="V209" s="146"/>
      <c r="W209" s="146"/>
      <c r="X209" s="269"/>
      <c r="Y209" s="273">
        <f t="shared" si="12"/>
        <v>0</v>
      </c>
      <c r="Z209" s="146"/>
      <c r="AA209" s="146"/>
      <c r="AB209" s="146"/>
      <c r="AC209" s="146"/>
      <c r="AD209" s="146"/>
      <c r="AE209" s="146"/>
      <c r="AF209" s="146">
        <v>1</v>
      </c>
      <c r="AG209" s="299">
        <v>43229</v>
      </c>
      <c r="AH209" s="273">
        <f t="shared" si="10"/>
        <v>1</v>
      </c>
      <c r="AI209" s="146"/>
      <c r="AJ209" s="146" t="s">
        <v>2479</v>
      </c>
      <c r="AK209" s="146" t="s">
        <v>2480</v>
      </c>
      <c r="AL209" s="146"/>
      <c r="AM209" s="146"/>
      <c r="AN209" s="146"/>
      <c r="AO209" s="146"/>
      <c r="AP209" s="146"/>
      <c r="AQ209" s="146"/>
      <c r="AR209" s="146"/>
      <c r="AS209" s="146"/>
    </row>
    <row r="210" spans="1:45" s="222" customFormat="1" x14ac:dyDescent="0.2">
      <c r="A210" s="146"/>
      <c r="B210" s="296" t="s">
        <v>1987</v>
      </c>
      <c r="C210" s="296" t="s">
        <v>1998</v>
      </c>
      <c r="D210" s="296" t="s">
        <v>1999</v>
      </c>
      <c r="E210" s="297">
        <v>201505939</v>
      </c>
      <c r="F210" s="296" t="s">
        <v>1411</v>
      </c>
      <c r="G210" s="296" t="s">
        <v>1407</v>
      </c>
      <c r="H210" s="146"/>
      <c r="I210" s="146"/>
      <c r="J210" s="146"/>
      <c r="K210" s="146"/>
      <c r="L210" s="146"/>
      <c r="M210" s="146"/>
      <c r="N210" s="146"/>
      <c r="O210" s="146"/>
      <c r="P210" s="287">
        <f t="shared" si="11"/>
        <v>0</v>
      </c>
      <c r="Q210" s="146"/>
      <c r="R210" s="146"/>
      <c r="S210" s="146"/>
      <c r="T210" s="146"/>
      <c r="U210" s="146"/>
      <c r="V210" s="146"/>
      <c r="W210" s="146"/>
      <c r="X210" s="269"/>
      <c r="Y210" s="273">
        <f t="shared" si="12"/>
        <v>0</v>
      </c>
      <c r="Z210" s="146"/>
      <c r="AA210" s="146"/>
      <c r="AB210" s="146"/>
      <c r="AC210" s="146"/>
      <c r="AD210" s="146"/>
      <c r="AE210" s="146"/>
      <c r="AF210" s="146">
        <v>1</v>
      </c>
      <c r="AG210" s="299">
        <v>43229</v>
      </c>
      <c r="AH210" s="273">
        <f t="shared" si="10"/>
        <v>1</v>
      </c>
      <c r="AI210" s="146"/>
      <c r="AJ210" s="146" t="s">
        <v>2479</v>
      </c>
      <c r="AK210" s="146" t="s">
        <v>2480</v>
      </c>
      <c r="AL210" s="146"/>
      <c r="AM210" s="146"/>
      <c r="AN210" s="146"/>
      <c r="AO210" s="146"/>
      <c r="AP210" s="146"/>
      <c r="AQ210" s="146"/>
      <c r="AR210" s="146"/>
      <c r="AS210" s="146"/>
    </row>
    <row r="211" spans="1:45" s="222" customFormat="1" x14ac:dyDescent="0.2">
      <c r="A211" s="146"/>
      <c r="B211" s="296" t="s">
        <v>2000</v>
      </c>
      <c r="C211" s="296" t="s">
        <v>2001</v>
      </c>
      <c r="D211" s="296" t="s">
        <v>2002</v>
      </c>
      <c r="E211" s="297">
        <v>201606936</v>
      </c>
      <c r="F211" s="296" t="s">
        <v>1411</v>
      </c>
      <c r="G211" s="296" t="s">
        <v>1407</v>
      </c>
      <c r="H211" s="146"/>
      <c r="I211" s="146"/>
      <c r="J211" s="146"/>
      <c r="K211" s="146"/>
      <c r="L211" s="146"/>
      <c r="M211" s="146"/>
      <c r="N211" s="146"/>
      <c r="O211" s="146"/>
      <c r="P211" s="287">
        <f t="shared" si="11"/>
        <v>0</v>
      </c>
      <c r="Q211" s="146"/>
      <c r="R211" s="146"/>
      <c r="S211" s="146"/>
      <c r="T211" s="146"/>
      <c r="U211" s="146"/>
      <c r="V211" s="146"/>
      <c r="W211" s="146"/>
      <c r="X211" s="269"/>
      <c r="Y211" s="273">
        <f t="shared" si="12"/>
        <v>0</v>
      </c>
      <c r="Z211" s="146"/>
      <c r="AA211" s="146"/>
      <c r="AB211" s="146"/>
      <c r="AC211" s="146"/>
      <c r="AD211" s="146"/>
      <c r="AE211" s="146"/>
      <c r="AF211" s="146">
        <v>1</v>
      </c>
      <c r="AG211" s="299">
        <v>43328</v>
      </c>
      <c r="AH211" s="273">
        <f t="shared" si="10"/>
        <v>1</v>
      </c>
      <c r="AI211" s="146"/>
      <c r="AJ211" s="146" t="s">
        <v>2479</v>
      </c>
      <c r="AK211" s="146" t="s">
        <v>2480</v>
      </c>
      <c r="AL211" s="146"/>
      <c r="AM211" s="146"/>
      <c r="AN211" s="146"/>
      <c r="AO211" s="146"/>
      <c r="AP211" s="146"/>
      <c r="AQ211" s="146"/>
      <c r="AR211" s="146"/>
      <c r="AS211" s="146"/>
    </row>
    <row r="212" spans="1:45" s="222" customFormat="1" x14ac:dyDescent="0.2">
      <c r="A212" s="146"/>
      <c r="B212" s="296" t="s">
        <v>2000</v>
      </c>
      <c r="C212" s="296" t="s">
        <v>2003</v>
      </c>
      <c r="D212" s="296" t="s">
        <v>2004</v>
      </c>
      <c r="E212" s="297">
        <v>201606937</v>
      </c>
      <c r="F212" s="296" t="s">
        <v>1411</v>
      </c>
      <c r="G212" s="296" t="s">
        <v>1407</v>
      </c>
      <c r="H212" s="146"/>
      <c r="I212" s="146"/>
      <c r="J212" s="146"/>
      <c r="K212" s="146"/>
      <c r="L212" s="146"/>
      <c r="M212" s="146"/>
      <c r="N212" s="146"/>
      <c r="O212" s="146"/>
      <c r="P212" s="287">
        <f t="shared" si="11"/>
        <v>0</v>
      </c>
      <c r="Q212" s="146"/>
      <c r="R212" s="146"/>
      <c r="S212" s="146"/>
      <c r="T212" s="146"/>
      <c r="U212" s="146"/>
      <c r="V212" s="146"/>
      <c r="W212" s="146"/>
      <c r="X212" s="269"/>
      <c r="Y212" s="273">
        <f t="shared" si="12"/>
        <v>0</v>
      </c>
      <c r="Z212" s="146"/>
      <c r="AA212" s="146"/>
      <c r="AB212" s="146"/>
      <c r="AC212" s="146"/>
      <c r="AD212" s="146"/>
      <c r="AE212" s="146"/>
      <c r="AF212" s="146">
        <v>1</v>
      </c>
      <c r="AG212" s="299">
        <v>43328</v>
      </c>
      <c r="AH212" s="273">
        <f t="shared" si="10"/>
        <v>1</v>
      </c>
      <c r="AI212" s="146"/>
      <c r="AJ212" s="146" t="s">
        <v>2479</v>
      </c>
      <c r="AK212" s="146" t="s">
        <v>2480</v>
      </c>
      <c r="AL212" s="146"/>
      <c r="AM212" s="146"/>
      <c r="AN212" s="146"/>
      <c r="AO212" s="146"/>
      <c r="AP212" s="146"/>
      <c r="AQ212" s="146"/>
      <c r="AR212" s="146"/>
      <c r="AS212" s="146"/>
    </row>
    <row r="213" spans="1:45" s="222" customFormat="1" x14ac:dyDescent="0.2">
      <c r="A213" s="146"/>
      <c r="B213" s="296" t="s">
        <v>2000</v>
      </c>
      <c r="C213" s="296" t="s">
        <v>2005</v>
      </c>
      <c r="D213" s="296" t="s">
        <v>2006</v>
      </c>
      <c r="E213" s="297">
        <v>201606938</v>
      </c>
      <c r="F213" s="296" t="s">
        <v>1411</v>
      </c>
      <c r="G213" s="296" t="s">
        <v>1407</v>
      </c>
      <c r="H213" s="146"/>
      <c r="I213" s="146"/>
      <c r="J213" s="146"/>
      <c r="K213" s="146"/>
      <c r="L213" s="146"/>
      <c r="M213" s="146"/>
      <c r="N213" s="146"/>
      <c r="O213" s="146"/>
      <c r="P213" s="287">
        <f t="shared" si="11"/>
        <v>0</v>
      </c>
      <c r="Q213" s="146"/>
      <c r="R213" s="146"/>
      <c r="S213" s="146"/>
      <c r="T213" s="146"/>
      <c r="U213" s="146"/>
      <c r="V213" s="146"/>
      <c r="W213" s="146"/>
      <c r="X213" s="269"/>
      <c r="Y213" s="273">
        <f t="shared" si="12"/>
        <v>0</v>
      </c>
      <c r="Z213" s="146"/>
      <c r="AA213" s="146"/>
      <c r="AB213" s="146"/>
      <c r="AC213" s="146"/>
      <c r="AD213" s="146"/>
      <c r="AE213" s="146"/>
      <c r="AF213" s="146">
        <v>1</v>
      </c>
      <c r="AG213" s="299">
        <v>43328</v>
      </c>
      <c r="AH213" s="273">
        <f t="shared" si="10"/>
        <v>1</v>
      </c>
      <c r="AI213" s="146"/>
      <c r="AJ213" s="146" t="s">
        <v>2479</v>
      </c>
      <c r="AK213" s="146" t="s">
        <v>2480</v>
      </c>
      <c r="AL213" s="146"/>
      <c r="AM213" s="146"/>
      <c r="AN213" s="146"/>
      <c r="AO213" s="146"/>
      <c r="AP213" s="146"/>
      <c r="AQ213" s="146"/>
      <c r="AR213" s="146"/>
      <c r="AS213" s="146"/>
    </row>
    <row r="214" spans="1:45" s="222" customFormat="1" x14ac:dyDescent="0.2">
      <c r="A214" s="146"/>
      <c r="B214" s="296" t="s">
        <v>2000</v>
      </c>
      <c r="C214" s="296" t="s">
        <v>2007</v>
      </c>
      <c r="D214" s="296" t="s">
        <v>2008</v>
      </c>
      <c r="E214" s="297">
        <v>201606939</v>
      </c>
      <c r="F214" s="296" t="s">
        <v>1411</v>
      </c>
      <c r="G214" s="296" t="s">
        <v>1407</v>
      </c>
      <c r="H214" s="146"/>
      <c r="I214" s="146"/>
      <c r="J214" s="146"/>
      <c r="K214" s="146"/>
      <c r="L214" s="146"/>
      <c r="M214" s="146"/>
      <c r="N214" s="146"/>
      <c r="O214" s="146"/>
      <c r="P214" s="287">
        <f t="shared" si="11"/>
        <v>0</v>
      </c>
      <c r="Q214" s="146"/>
      <c r="R214" s="146"/>
      <c r="S214" s="146"/>
      <c r="T214" s="146"/>
      <c r="U214" s="146"/>
      <c r="V214" s="146"/>
      <c r="W214" s="146"/>
      <c r="X214" s="269"/>
      <c r="Y214" s="273">
        <f t="shared" si="12"/>
        <v>0</v>
      </c>
      <c r="Z214" s="146"/>
      <c r="AA214" s="146"/>
      <c r="AB214" s="146"/>
      <c r="AC214" s="146"/>
      <c r="AD214" s="146"/>
      <c r="AE214" s="146"/>
      <c r="AF214" s="146">
        <v>1</v>
      </c>
      <c r="AG214" s="299">
        <v>43328</v>
      </c>
      <c r="AH214" s="273">
        <f t="shared" si="10"/>
        <v>1</v>
      </c>
      <c r="AI214" s="146"/>
      <c r="AJ214" s="146" t="s">
        <v>2479</v>
      </c>
      <c r="AK214" s="146" t="s">
        <v>2480</v>
      </c>
      <c r="AL214" s="146"/>
      <c r="AM214" s="146"/>
      <c r="AN214" s="146"/>
      <c r="AO214" s="146"/>
      <c r="AP214" s="146"/>
      <c r="AQ214" s="146"/>
      <c r="AR214" s="146"/>
      <c r="AS214" s="146"/>
    </row>
    <row r="215" spans="1:45" s="222" customFormat="1" x14ac:dyDescent="0.2">
      <c r="A215" s="146"/>
      <c r="B215" s="296" t="s">
        <v>2000</v>
      </c>
      <c r="C215" s="296" t="s">
        <v>2009</v>
      </c>
      <c r="D215" s="296" t="s">
        <v>2010</v>
      </c>
      <c r="E215" s="297">
        <v>201606940</v>
      </c>
      <c r="F215" s="296" t="s">
        <v>1411</v>
      </c>
      <c r="G215" s="296" t="s">
        <v>1407</v>
      </c>
      <c r="H215" s="146"/>
      <c r="I215" s="146"/>
      <c r="J215" s="146"/>
      <c r="K215" s="146"/>
      <c r="L215" s="146"/>
      <c r="M215" s="146"/>
      <c r="N215" s="146"/>
      <c r="O215" s="146"/>
      <c r="P215" s="287">
        <f t="shared" si="11"/>
        <v>0</v>
      </c>
      <c r="Q215" s="146"/>
      <c r="R215" s="146"/>
      <c r="S215" s="146"/>
      <c r="T215" s="146"/>
      <c r="U215" s="146"/>
      <c r="V215" s="146"/>
      <c r="W215" s="146"/>
      <c r="X215" s="269"/>
      <c r="Y215" s="273">
        <f t="shared" si="12"/>
        <v>0</v>
      </c>
      <c r="Z215" s="146"/>
      <c r="AA215" s="146"/>
      <c r="AB215" s="146"/>
      <c r="AC215" s="146"/>
      <c r="AD215" s="146"/>
      <c r="AE215" s="146"/>
      <c r="AF215" s="146">
        <v>1</v>
      </c>
      <c r="AG215" s="299">
        <v>43328</v>
      </c>
      <c r="AH215" s="273">
        <f t="shared" si="10"/>
        <v>1</v>
      </c>
      <c r="AI215" s="146"/>
      <c r="AJ215" s="146" t="s">
        <v>2479</v>
      </c>
      <c r="AK215" s="146" t="s">
        <v>2480</v>
      </c>
      <c r="AL215" s="146"/>
      <c r="AM215" s="146"/>
      <c r="AN215" s="146"/>
      <c r="AO215" s="146"/>
      <c r="AP215" s="146"/>
      <c r="AQ215" s="146"/>
      <c r="AR215" s="146"/>
      <c r="AS215" s="146"/>
    </row>
    <row r="216" spans="1:45" s="222" customFormat="1" x14ac:dyDescent="0.2">
      <c r="A216" s="146"/>
      <c r="B216" s="296" t="s">
        <v>2000</v>
      </c>
      <c r="C216" s="296" t="s">
        <v>2011</v>
      </c>
      <c r="D216" s="296" t="s">
        <v>2012</v>
      </c>
      <c r="E216" s="297">
        <v>201606941</v>
      </c>
      <c r="F216" s="296" t="s">
        <v>1411</v>
      </c>
      <c r="G216" s="296" t="s">
        <v>1407</v>
      </c>
      <c r="H216" s="146"/>
      <c r="I216" s="146"/>
      <c r="J216" s="146"/>
      <c r="K216" s="146"/>
      <c r="L216" s="146"/>
      <c r="M216" s="146"/>
      <c r="N216" s="146"/>
      <c r="O216" s="146"/>
      <c r="P216" s="287">
        <f t="shared" si="11"/>
        <v>0</v>
      </c>
      <c r="Q216" s="146"/>
      <c r="R216" s="146"/>
      <c r="S216" s="146"/>
      <c r="T216" s="146"/>
      <c r="U216" s="146"/>
      <c r="V216" s="146"/>
      <c r="W216" s="146"/>
      <c r="X216" s="269"/>
      <c r="Y216" s="273">
        <f t="shared" si="12"/>
        <v>0</v>
      </c>
      <c r="Z216" s="146"/>
      <c r="AA216" s="146"/>
      <c r="AB216" s="146"/>
      <c r="AC216" s="146"/>
      <c r="AD216" s="146"/>
      <c r="AE216" s="146"/>
      <c r="AF216" s="146">
        <v>1</v>
      </c>
      <c r="AG216" s="299">
        <v>43328</v>
      </c>
      <c r="AH216" s="273">
        <f t="shared" si="10"/>
        <v>1</v>
      </c>
      <c r="AI216" s="146"/>
      <c r="AJ216" s="146" t="s">
        <v>2479</v>
      </c>
      <c r="AK216" s="146" t="s">
        <v>2480</v>
      </c>
      <c r="AL216" s="146"/>
      <c r="AM216" s="146"/>
      <c r="AN216" s="146"/>
      <c r="AO216" s="146"/>
      <c r="AP216" s="146"/>
      <c r="AQ216" s="146"/>
      <c r="AR216" s="146"/>
      <c r="AS216" s="146"/>
    </row>
    <row r="217" spans="1:45" s="222" customFormat="1" x14ac:dyDescent="0.2">
      <c r="A217" s="146"/>
      <c r="B217" s="296" t="s">
        <v>2013</v>
      </c>
      <c r="C217" s="296" t="s">
        <v>2014</v>
      </c>
      <c r="D217" s="296" t="s">
        <v>2015</v>
      </c>
      <c r="E217" s="297">
        <v>201606942</v>
      </c>
      <c r="F217" s="296" t="s">
        <v>1411</v>
      </c>
      <c r="G217" s="296" t="s">
        <v>1407</v>
      </c>
      <c r="H217" s="146"/>
      <c r="I217" s="146"/>
      <c r="J217" s="146"/>
      <c r="K217" s="146"/>
      <c r="L217" s="146"/>
      <c r="M217" s="146"/>
      <c r="N217" s="146"/>
      <c r="O217" s="146"/>
      <c r="P217" s="287">
        <f t="shared" si="11"/>
        <v>0</v>
      </c>
      <c r="Q217" s="146"/>
      <c r="R217" s="146"/>
      <c r="S217" s="146"/>
      <c r="T217" s="146"/>
      <c r="U217" s="146"/>
      <c r="V217" s="146"/>
      <c r="W217" s="146"/>
      <c r="X217" s="269"/>
      <c r="Y217" s="273">
        <f t="shared" si="12"/>
        <v>0</v>
      </c>
      <c r="Z217" s="146"/>
      <c r="AA217" s="146"/>
      <c r="AB217" s="146"/>
      <c r="AC217" s="146"/>
      <c r="AD217" s="146"/>
      <c r="AE217" s="146"/>
      <c r="AF217" s="146">
        <v>1</v>
      </c>
      <c r="AG217" s="299">
        <v>43265</v>
      </c>
      <c r="AH217" s="273">
        <f t="shared" si="10"/>
        <v>1</v>
      </c>
      <c r="AI217" s="146"/>
      <c r="AJ217" s="146" t="s">
        <v>2479</v>
      </c>
      <c r="AK217" s="146" t="s">
        <v>2480</v>
      </c>
      <c r="AL217" s="146"/>
      <c r="AM217" s="146"/>
      <c r="AN217" s="146"/>
      <c r="AO217" s="146"/>
      <c r="AP217" s="146"/>
      <c r="AQ217" s="146"/>
      <c r="AR217" s="146"/>
      <c r="AS217" s="146"/>
    </row>
    <row r="218" spans="1:45" s="222" customFormat="1" x14ac:dyDescent="0.2">
      <c r="A218" s="146"/>
      <c r="B218" s="296" t="s">
        <v>2013</v>
      </c>
      <c r="C218" s="296" t="s">
        <v>2016</v>
      </c>
      <c r="D218" s="296" t="s">
        <v>2017</v>
      </c>
      <c r="E218" s="297">
        <v>201606944</v>
      </c>
      <c r="F218" s="296" t="s">
        <v>1411</v>
      </c>
      <c r="G218" s="296" t="s">
        <v>1407</v>
      </c>
      <c r="H218" s="146"/>
      <c r="I218" s="146"/>
      <c r="J218" s="146"/>
      <c r="K218" s="146"/>
      <c r="L218" s="146"/>
      <c r="M218" s="146"/>
      <c r="N218" s="146"/>
      <c r="O218" s="146"/>
      <c r="P218" s="287">
        <f t="shared" si="11"/>
        <v>0</v>
      </c>
      <c r="Q218" s="146"/>
      <c r="R218" s="146"/>
      <c r="S218" s="146"/>
      <c r="T218" s="146"/>
      <c r="U218" s="146"/>
      <c r="V218" s="146"/>
      <c r="W218" s="146"/>
      <c r="X218" s="269"/>
      <c r="Y218" s="273">
        <f t="shared" si="12"/>
        <v>0</v>
      </c>
      <c r="Z218" s="146"/>
      <c r="AA218" s="146"/>
      <c r="AB218" s="146"/>
      <c r="AC218" s="146"/>
      <c r="AD218" s="146"/>
      <c r="AE218" s="146"/>
      <c r="AF218" s="146">
        <v>1</v>
      </c>
      <c r="AG218" s="299">
        <v>43265</v>
      </c>
      <c r="AH218" s="273">
        <f t="shared" si="10"/>
        <v>1</v>
      </c>
      <c r="AI218" s="146"/>
      <c r="AJ218" s="146" t="s">
        <v>2479</v>
      </c>
      <c r="AK218" s="146" t="s">
        <v>2480</v>
      </c>
      <c r="AL218" s="146"/>
      <c r="AM218" s="146"/>
      <c r="AN218" s="146"/>
      <c r="AO218" s="146"/>
      <c r="AP218" s="146"/>
      <c r="AQ218" s="146"/>
      <c r="AR218" s="146"/>
      <c r="AS218" s="146"/>
    </row>
    <row r="219" spans="1:45" s="222" customFormat="1" x14ac:dyDescent="0.2">
      <c r="A219" s="146"/>
      <c r="B219" s="296" t="s">
        <v>2013</v>
      </c>
      <c r="C219" s="296" t="s">
        <v>2018</v>
      </c>
      <c r="D219" s="296" t="s">
        <v>2019</v>
      </c>
      <c r="E219" s="297">
        <v>201606945</v>
      </c>
      <c r="F219" s="296" t="s">
        <v>1411</v>
      </c>
      <c r="G219" s="296" t="s">
        <v>1407</v>
      </c>
      <c r="H219" s="146"/>
      <c r="I219" s="146"/>
      <c r="J219" s="146"/>
      <c r="K219" s="146"/>
      <c r="L219" s="146"/>
      <c r="M219" s="146"/>
      <c r="N219" s="146"/>
      <c r="O219" s="146"/>
      <c r="P219" s="287">
        <f t="shared" si="11"/>
        <v>0</v>
      </c>
      <c r="Q219" s="146"/>
      <c r="R219" s="146"/>
      <c r="S219" s="146"/>
      <c r="T219" s="146"/>
      <c r="U219" s="146"/>
      <c r="V219" s="146"/>
      <c r="W219" s="146"/>
      <c r="X219" s="269"/>
      <c r="Y219" s="273">
        <f t="shared" si="12"/>
        <v>0</v>
      </c>
      <c r="Z219" s="146"/>
      <c r="AA219" s="146"/>
      <c r="AB219" s="146"/>
      <c r="AC219" s="146"/>
      <c r="AD219" s="146"/>
      <c r="AE219" s="146"/>
      <c r="AF219" s="146">
        <v>1</v>
      </c>
      <c r="AG219" s="299">
        <v>43265</v>
      </c>
      <c r="AH219" s="273">
        <f t="shared" si="10"/>
        <v>1</v>
      </c>
      <c r="AI219" s="146"/>
      <c r="AJ219" s="146" t="s">
        <v>2479</v>
      </c>
      <c r="AK219" s="146" t="s">
        <v>2480</v>
      </c>
      <c r="AL219" s="146"/>
      <c r="AM219" s="146"/>
      <c r="AN219" s="146"/>
      <c r="AO219" s="146"/>
      <c r="AP219" s="146"/>
      <c r="AQ219" s="146"/>
      <c r="AR219" s="146"/>
      <c r="AS219" s="146"/>
    </row>
    <row r="220" spans="1:45" s="222" customFormat="1" x14ac:dyDescent="0.2">
      <c r="A220" s="146"/>
      <c r="B220" s="296" t="s">
        <v>2013</v>
      </c>
      <c r="C220" s="296" t="s">
        <v>2020</v>
      </c>
      <c r="D220" s="296" t="s">
        <v>2021</v>
      </c>
      <c r="E220" s="297">
        <v>201606956</v>
      </c>
      <c r="F220" s="296" t="s">
        <v>1411</v>
      </c>
      <c r="G220" s="296" t="s">
        <v>1407</v>
      </c>
      <c r="H220" s="146"/>
      <c r="I220" s="146"/>
      <c r="J220" s="146"/>
      <c r="K220" s="146"/>
      <c r="L220" s="146"/>
      <c r="M220" s="146"/>
      <c r="N220" s="146"/>
      <c r="O220" s="146"/>
      <c r="P220" s="287">
        <f t="shared" si="11"/>
        <v>0</v>
      </c>
      <c r="Q220" s="146"/>
      <c r="R220" s="146"/>
      <c r="S220" s="146"/>
      <c r="T220" s="146"/>
      <c r="U220" s="146"/>
      <c r="V220" s="146"/>
      <c r="W220" s="146"/>
      <c r="X220" s="269"/>
      <c r="Y220" s="273">
        <f t="shared" si="12"/>
        <v>0</v>
      </c>
      <c r="Z220" s="146"/>
      <c r="AA220" s="146"/>
      <c r="AB220" s="146"/>
      <c r="AC220" s="146"/>
      <c r="AD220" s="146"/>
      <c r="AE220" s="146"/>
      <c r="AF220" s="146">
        <v>1</v>
      </c>
      <c r="AG220" s="299">
        <v>43277</v>
      </c>
      <c r="AH220" s="273">
        <f t="shared" si="10"/>
        <v>1</v>
      </c>
      <c r="AI220" s="146"/>
      <c r="AJ220" s="146" t="s">
        <v>2479</v>
      </c>
      <c r="AK220" s="146" t="s">
        <v>2480</v>
      </c>
      <c r="AL220" s="146"/>
      <c r="AM220" s="146"/>
      <c r="AN220" s="146"/>
      <c r="AO220" s="146"/>
      <c r="AP220" s="146"/>
      <c r="AQ220" s="146"/>
      <c r="AR220" s="146"/>
      <c r="AS220" s="146"/>
    </row>
    <row r="221" spans="1:45" s="222" customFormat="1" x14ac:dyDescent="0.2">
      <c r="A221" s="146"/>
      <c r="B221" s="296" t="s">
        <v>2013</v>
      </c>
      <c r="C221" s="296" t="s">
        <v>2022</v>
      </c>
      <c r="D221" s="296" t="s">
        <v>2023</v>
      </c>
      <c r="E221" s="297">
        <v>201606957</v>
      </c>
      <c r="F221" s="296" t="s">
        <v>1411</v>
      </c>
      <c r="G221" s="296" t="s">
        <v>1407</v>
      </c>
      <c r="H221" s="146"/>
      <c r="I221" s="146"/>
      <c r="J221" s="146"/>
      <c r="K221" s="146"/>
      <c r="L221" s="146"/>
      <c r="M221" s="146"/>
      <c r="N221" s="146"/>
      <c r="O221" s="146"/>
      <c r="P221" s="287">
        <f t="shared" si="11"/>
        <v>0</v>
      </c>
      <c r="Q221" s="146"/>
      <c r="R221" s="146"/>
      <c r="S221" s="146"/>
      <c r="T221" s="146"/>
      <c r="U221" s="146"/>
      <c r="V221" s="146"/>
      <c r="W221" s="146"/>
      <c r="X221" s="269"/>
      <c r="Y221" s="273">
        <f t="shared" si="12"/>
        <v>0</v>
      </c>
      <c r="Z221" s="146"/>
      <c r="AA221" s="146"/>
      <c r="AB221" s="146"/>
      <c r="AC221" s="146"/>
      <c r="AD221" s="146"/>
      <c r="AE221" s="146"/>
      <c r="AF221" s="146">
        <v>1</v>
      </c>
      <c r="AG221" s="299">
        <v>43277</v>
      </c>
      <c r="AH221" s="273">
        <f t="shared" si="10"/>
        <v>1</v>
      </c>
      <c r="AI221" s="146"/>
      <c r="AJ221" s="146" t="s">
        <v>2479</v>
      </c>
      <c r="AK221" s="146" t="s">
        <v>2480</v>
      </c>
      <c r="AL221" s="146"/>
      <c r="AM221" s="146"/>
      <c r="AN221" s="146"/>
      <c r="AO221" s="146"/>
      <c r="AP221" s="146"/>
      <c r="AQ221" s="146"/>
      <c r="AR221" s="146"/>
      <c r="AS221" s="146"/>
    </row>
    <row r="222" spans="1:45" s="222" customFormat="1" x14ac:dyDescent="0.2">
      <c r="A222" s="146"/>
      <c r="B222" s="296" t="s">
        <v>2013</v>
      </c>
      <c r="C222" s="296" t="s">
        <v>2024</v>
      </c>
      <c r="D222" s="296" t="s">
        <v>2025</v>
      </c>
      <c r="E222" s="297">
        <v>201606958</v>
      </c>
      <c r="F222" s="296" t="s">
        <v>1411</v>
      </c>
      <c r="G222" s="296" t="s">
        <v>1407</v>
      </c>
      <c r="H222" s="146"/>
      <c r="I222" s="146"/>
      <c r="J222" s="146"/>
      <c r="K222" s="146"/>
      <c r="L222" s="146"/>
      <c r="M222" s="146"/>
      <c r="N222" s="146"/>
      <c r="O222" s="146"/>
      <c r="P222" s="287">
        <f t="shared" si="11"/>
        <v>0</v>
      </c>
      <c r="Q222" s="146"/>
      <c r="R222" s="146"/>
      <c r="S222" s="146"/>
      <c r="T222" s="146"/>
      <c r="U222" s="146"/>
      <c r="V222" s="146"/>
      <c r="W222" s="146"/>
      <c r="X222" s="269"/>
      <c r="Y222" s="273">
        <f t="shared" si="12"/>
        <v>0</v>
      </c>
      <c r="Z222" s="146"/>
      <c r="AA222" s="146"/>
      <c r="AB222" s="146"/>
      <c r="AC222" s="146"/>
      <c r="AD222" s="146"/>
      <c r="AE222" s="146"/>
      <c r="AF222" s="146">
        <v>1</v>
      </c>
      <c r="AG222" s="299">
        <v>43277</v>
      </c>
      <c r="AH222" s="273">
        <f t="shared" si="10"/>
        <v>1</v>
      </c>
      <c r="AI222" s="146"/>
      <c r="AJ222" s="146" t="s">
        <v>2479</v>
      </c>
      <c r="AK222" s="146" t="s">
        <v>2480</v>
      </c>
      <c r="AL222" s="146"/>
      <c r="AM222" s="146"/>
      <c r="AN222" s="146"/>
      <c r="AO222" s="146"/>
      <c r="AP222" s="146"/>
      <c r="AQ222" s="146"/>
      <c r="AR222" s="146"/>
      <c r="AS222" s="146"/>
    </row>
    <row r="223" spans="1:45" s="222" customFormat="1" x14ac:dyDescent="0.2">
      <c r="A223" s="146"/>
      <c r="B223" s="296" t="s">
        <v>2026</v>
      </c>
      <c r="C223" s="296" t="s">
        <v>2027</v>
      </c>
      <c r="D223" s="296" t="s">
        <v>2028</v>
      </c>
      <c r="E223" s="297">
        <v>201606959</v>
      </c>
      <c r="F223" s="296" t="s">
        <v>1411</v>
      </c>
      <c r="G223" s="296" t="s">
        <v>1407</v>
      </c>
      <c r="H223" s="146"/>
      <c r="I223" s="146"/>
      <c r="J223" s="146"/>
      <c r="K223" s="146"/>
      <c r="L223" s="146"/>
      <c r="M223" s="146"/>
      <c r="N223" s="146"/>
      <c r="O223" s="146"/>
      <c r="P223" s="287">
        <f t="shared" si="11"/>
        <v>0</v>
      </c>
      <c r="Q223" s="146"/>
      <c r="R223" s="146"/>
      <c r="S223" s="146"/>
      <c r="T223" s="146"/>
      <c r="U223" s="146"/>
      <c r="V223" s="146"/>
      <c r="W223" s="146"/>
      <c r="X223" s="269"/>
      <c r="Y223" s="273">
        <f t="shared" si="12"/>
        <v>0</v>
      </c>
      <c r="Z223" s="146"/>
      <c r="AA223" s="146"/>
      <c r="AB223" s="146"/>
      <c r="AC223" s="146"/>
      <c r="AD223" s="146"/>
      <c r="AE223" s="146"/>
      <c r="AF223" s="146">
        <v>1</v>
      </c>
      <c r="AG223" s="299">
        <v>43220</v>
      </c>
      <c r="AH223" s="273">
        <f t="shared" si="10"/>
        <v>1</v>
      </c>
      <c r="AI223" s="146"/>
      <c r="AJ223" s="146" t="s">
        <v>2479</v>
      </c>
      <c r="AK223" s="146" t="s">
        <v>2480</v>
      </c>
      <c r="AL223" s="146"/>
      <c r="AM223" s="146"/>
      <c r="AN223" s="146"/>
      <c r="AO223" s="146"/>
      <c r="AP223" s="146"/>
      <c r="AQ223" s="146"/>
      <c r="AR223" s="146"/>
      <c r="AS223" s="146"/>
    </row>
    <row r="224" spans="1:45" s="222" customFormat="1" x14ac:dyDescent="0.2">
      <c r="A224" s="146"/>
      <c r="B224" s="296" t="s">
        <v>2026</v>
      </c>
      <c r="C224" s="296" t="s">
        <v>2029</v>
      </c>
      <c r="D224" s="296" t="s">
        <v>2030</v>
      </c>
      <c r="E224" s="297">
        <v>201606960</v>
      </c>
      <c r="F224" s="296" t="s">
        <v>1411</v>
      </c>
      <c r="G224" s="296" t="s">
        <v>1407</v>
      </c>
      <c r="H224" s="146"/>
      <c r="I224" s="146"/>
      <c r="J224" s="146"/>
      <c r="K224" s="146"/>
      <c r="L224" s="146"/>
      <c r="M224" s="146"/>
      <c r="N224" s="146"/>
      <c r="O224" s="146"/>
      <c r="P224" s="287">
        <f t="shared" si="11"/>
        <v>0</v>
      </c>
      <c r="Q224" s="146"/>
      <c r="R224" s="146"/>
      <c r="S224" s="146"/>
      <c r="T224" s="146"/>
      <c r="U224" s="146"/>
      <c r="V224" s="146"/>
      <c r="W224" s="146"/>
      <c r="X224" s="269"/>
      <c r="Y224" s="273">
        <f t="shared" si="12"/>
        <v>0</v>
      </c>
      <c r="Z224" s="146"/>
      <c r="AA224" s="146"/>
      <c r="AB224" s="146"/>
      <c r="AC224" s="146"/>
      <c r="AD224" s="146"/>
      <c r="AE224" s="146"/>
      <c r="AF224" s="146">
        <v>1</v>
      </c>
      <c r="AG224" s="299">
        <v>43220</v>
      </c>
      <c r="AH224" s="273">
        <f t="shared" si="10"/>
        <v>1</v>
      </c>
      <c r="AI224" s="146"/>
      <c r="AJ224" s="146" t="s">
        <v>2479</v>
      </c>
      <c r="AK224" s="146" t="s">
        <v>2480</v>
      </c>
      <c r="AL224" s="146"/>
      <c r="AM224" s="146"/>
      <c r="AN224" s="146"/>
      <c r="AO224" s="146"/>
      <c r="AP224" s="146"/>
      <c r="AQ224" s="146"/>
      <c r="AR224" s="146"/>
      <c r="AS224" s="146"/>
    </row>
    <row r="225" spans="1:45" s="222" customFormat="1" x14ac:dyDescent="0.2">
      <c r="A225" s="146"/>
      <c r="B225" s="296" t="s">
        <v>2026</v>
      </c>
      <c r="C225" s="296" t="s">
        <v>2031</v>
      </c>
      <c r="D225" s="296" t="s">
        <v>2032</v>
      </c>
      <c r="E225" s="297">
        <v>201606961</v>
      </c>
      <c r="F225" s="296" t="s">
        <v>1411</v>
      </c>
      <c r="G225" s="296" t="s">
        <v>1407</v>
      </c>
      <c r="H225" s="146"/>
      <c r="I225" s="146"/>
      <c r="J225" s="146"/>
      <c r="K225" s="146"/>
      <c r="L225" s="146"/>
      <c r="M225" s="146"/>
      <c r="N225" s="146"/>
      <c r="O225" s="146"/>
      <c r="P225" s="287">
        <f t="shared" si="11"/>
        <v>0</v>
      </c>
      <c r="Q225" s="146"/>
      <c r="R225" s="146"/>
      <c r="S225" s="146"/>
      <c r="T225" s="146"/>
      <c r="U225" s="146"/>
      <c r="V225" s="146"/>
      <c r="W225" s="146"/>
      <c r="X225" s="269"/>
      <c r="Y225" s="273">
        <f t="shared" si="12"/>
        <v>0</v>
      </c>
      <c r="Z225" s="146"/>
      <c r="AA225" s="146"/>
      <c r="AB225" s="146"/>
      <c r="AC225" s="146"/>
      <c r="AD225" s="146"/>
      <c r="AE225" s="146"/>
      <c r="AF225" s="146">
        <v>1</v>
      </c>
      <c r="AG225" s="299">
        <v>43220</v>
      </c>
      <c r="AH225" s="273">
        <f t="shared" ref="AH225:AH288" si="13">SUM(Z225:AF225)</f>
        <v>1</v>
      </c>
      <c r="AI225" s="146"/>
      <c r="AJ225" s="146" t="s">
        <v>2479</v>
      </c>
      <c r="AK225" s="146" t="s">
        <v>2480</v>
      </c>
      <c r="AL225" s="146"/>
      <c r="AM225" s="146"/>
      <c r="AN225" s="146"/>
      <c r="AO225" s="146"/>
      <c r="AP225" s="146"/>
      <c r="AQ225" s="146"/>
      <c r="AR225" s="146"/>
      <c r="AS225" s="146"/>
    </row>
    <row r="226" spans="1:45" s="222" customFormat="1" x14ac:dyDescent="0.2">
      <c r="A226" s="146"/>
      <c r="B226" s="296" t="s">
        <v>2026</v>
      </c>
      <c r="C226" s="296" t="s">
        <v>2033</v>
      </c>
      <c r="D226" s="296" t="s">
        <v>2034</v>
      </c>
      <c r="E226" s="297">
        <v>201606963</v>
      </c>
      <c r="F226" s="296" t="s">
        <v>1411</v>
      </c>
      <c r="G226" s="296" t="s">
        <v>1407</v>
      </c>
      <c r="H226" s="146"/>
      <c r="I226" s="146"/>
      <c r="J226" s="146"/>
      <c r="K226" s="146"/>
      <c r="L226" s="146"/>
      <c r="M226" s="146"/>
      <c r="N226" s="146"/>
      <c r="O226" s="146"/>
      <c r="P226" s="287">
        <f t="shared" si="11"/>
        <v>0</v>
      </c>
      <c r="Q226" s="146"/>
      <c r="R226" s="146"/>
      <c r="S226" s="146"/>
      <c r="T226" s="146"/>
      <c r="U226" s="146"/>
      <c r="V226" s="146"/>
      <c r="W226" s="146"/>
      <c r="X226" s="269"/>
      <c r="Y226" s="273">
        <f t="shared" si="12"/>
        <v>0</v>
      </c>
      <c r="Z226" s="146"/>
      <c r="AA226" s="146"/>
      <c r="AB226" s="146"/>
      <c r="AC226" s="146"/>
      <c r="AD226" s="146"/>
      <c r="AE226" s="146"/>
      <c r="AF226" s="146">
        <v>1</v>
      </c>
      <c r="AG226" s="299">
        <v>43220</v>
      </c>
      <c r="AH226" s="273">
        <f t="shared" si="13"/>
        <v>1</v>
      </c>
      <c r="AI226" s="146"/>
      <c r="AJ226" s="146" t="s">
        <v>2479</v>
      </c>
      <c r="AK226" s="146" t="s">
        <v>2480</v>
      </c>
      <c r="AL226" s="146"/>
      <c r="AM226" s="146"/>
      <c r="AN226" s="146"/>
      <c r="AO226" s="146"/>
      <c r="AP226" s="146"/>
      <c r="AQ226" s="146"/>
      <c r="AR226" s="146"/>
      <c r="AS226" s="146"/>
    </row>
    <row r="227" spans="1:45" s="222" customFormat="1" x14ac:dyDescent="0.2">
      <c r="A227" s="146"/>
      <c r="B227" s="296" t="s">
        <v>2026</v>
      </c>
      <c r="C227" s="296" t="s">
        <v>2035</v>
      </c>
      <c r="D227" s="296" t="s">
        <v>2036</v>
      </c>
      <c r="E227" s="297">
        <v>201606964</v>
      </c>
      <c r="F227" s="296" t="s">
        <v>1411</v>
      </c>
      <c r="G227" s="296" t="s">
        <v>1407</v>
      </c>
      <c r="H227" s="146"/>
      <c r="I227" s="146"/>
      <c r="J227" s="146"/>
      <c r="K227" s="146"/>
      <c r="L227" s="146"/>
      <c r="M227" s="146"/>
      <c r="N227" s="146"/>
      <c r="O227" s="146"/>
      <c r="P227" s="287">
        <f t="shared" si="11"/>
        <v>0</v>
      </c>
      <c r="Q227" s="146"/>
      <c r="R227" s="146"/>
      <c r="S227" s="146"/>
      <c r="T227" s="146"/>
      <c r="U227" s="146"/>
      <c r="V227" s="146"/>
      <c r="W227" s="146"/>
      <c r="X227" s="269"/>
      <c r="Y227" s="273">
        <f t="shared" si="12"/>
        <v>0</v>
      </c>
      <c r="Z227" s="146"/>
      <c r="AA227" s="146"/>
      <c r="AB227" s="146"/>
      <c r="AC227" s="146"/>
      <c r="AD227" s="146"/>
      <c r="AE227" s="146"/>
      <c r="AF227" s="146">
        <v>1</v>
      </c>
      <c r="AG227" s="299">
        <v>43220</v>
      </c>
      <c r="AH227" s="273">
        <f t="shared" si="13"/>
        <v>1</v>
      </c>
      <c r="AI227" s="146"/>
      <c r="AJ227" s="146" t="s">
        <v>2479</v>
      </c>
      <c r="AK227" s="146" t="s">
        <v>2480</v>
      </c>
      <c r="AL227" s="146"/>
      <c r="AM227" s="146"/>
      <c r="AN227" s="146"/>
      <c r="AO227" s="146"/>
      <c r="AP227" s="146"/>
      <c r="AQ227" s="146"/>
      <c r="AR227" s="146"/>
      <c r="AS227" s="146"/>
    </row>
    <row r="228" spans="1:45" s="222" customFormat="1" x14ac:dyDescent="0.2">
      <c r="A228" s="146"/>
      <c r="B228" s="296" t="s">
        <v>2026</v>
      </c>
      <c r="C228" s="296" t="s">
        <v>2037</v>
      </c>
      <c r="D228" s="296" t="s">
        <v>2038</v>
      </c>
      <c r="E228" s="297">
        <v>201606966</v>
      </c>
      <c r="F228" s="296" t="s">
        <v>1411</v>
      </c>
      <c r="G228" s="296" t="s">
        <v>1407</v>
      </c>
      <c r="H228" s="146"/>
      <c r="I228" s="146"/>
      <c r="J228" s="146"/>
      <c r="K228" s="146"/>
      <c r="L228" s="146"/>
      <c r="M228" s="146"/>
      <c r="N228" s="146"/>
      <c r="O228" s="146"/>
      <c r="P228" s="287">
        <f t="shared" si="11"/>
        <v>0</v>
      </c>
      <c r="Q228" s="146"/>
      <c r="R228" s="146"/>
      <c r="S228" s="146"/>
      <c r="T228" s="146"/>
      <c r="U228" s="146"/>
      <c r="V228" s="146"/>
      <c r="W228" s="146"/>
      <c r="X228" s="269"/>
      <c r="Y228" s="273">
        <f t="shared" si="12"/>
        <v>0</v>
      </c>
      <c r="Z228" s="146"/>
      <c r="AA228" s="146"/>
      <c r="AB228" s="146"/>
      <c r="AC228" s="146"/>
      <c r="AD228" s="146"/>
      <c r="AE228" s="146"/>
      <c r="AF228" s="146">
        <v>1</v>
      </c>
      <c r="AG228" s="299">
        <v>43220</v>
      </c>
      <c r="AH228" s="273">
        <f t="shared" si="13"/>
        <v>1</v>
      </c>
      <c r="AI228" s="146"/>
      <c r="AJ228" s="146" t="s">
        <v>2479</v>
      </c>
      <c r="AK228" s="146" t="s">
        <v>2480</v>
      </c>
      <c r="AL228" s="146"/>
      <c r="AM228" s="146"/>
      <c r="AN228" s="146"/>
      <c r="AO228" s="146"/>
      <c r="AP228" s="146"/>
      <c r="AQ228" s="146"/>
      <c r="AR228" s="146"/>
      <c r="AS228" s="146"/>
    </row>
    <row r="229" spans="1:45" s="222" customFormat="1" x14ac:dyDescent="0.2">
      <c r="A229" s="146"/>
      <c r="B229" s="296" t="s">
        <v>2039</v>
      </c>
      <c r="C229" s="296" t="s">
        <v>2040</v>
      </c>
      <c r="D229" s="296" t="s">
        <v>2041</v>
      </c>
      <c r="E229" s="297">
        <v>201606967</v>
      </c>
      <c r="F229" s="296" t="s">
        <v>1411</v>
      </c>
      <c r="G229" s="296" t="s">
        <v>1407</v>
      </c>
      <c r="H229" s="146"/>
      <c r="I229" s="146"/>
      <c r="J229" s="146"/>
      <c r="K229" s="146"/>
      <c r="L229" s="146"/>
      <c r="M229" s="146"/>
      <c r="N229" s="146"/>
      <c r="O229" s="146"/>
      <c r="P229" s="287">
        <f t="shared" si="11"/>
        <v>0</v>
      </c>
      <c r="Q229" s="146"/>
      <c r="R229" s="146"/>
      <c r="S229" s="146"/>
      <c r="T229" s="146"/>
      <c r="U229" s="146"/>
      <c r="V229" s="146"/>
      <c r="W229" s="146"/>
      <c r="X229" s="269"/>
      <c r="Y229" s="273">
        <f t="shared" si="12"/>
        <v>0</v>
      </c>
      <c r="Z229" s="146"/>
      <c r="AA229" s="146"/>
      <c r="AB229" s="146"/>
      <c r="AC229" s="146"/>
      <c r="AD229" s="146"/>
      <c r="AE229" s="146"/>
      <c r="AF229" s="146">
        <v>1</v>
      </c>
      <c r="AG229" s="299">
        <v>43193</v>
      </c>
      <c r="AH229" s="273">
        <f t="shared" si="13"/>
        <v>1</v>
      </c>
      <c r="AI229" s="146"/>
      <c r="AJ229" s="146" t="s">
        <v>2479</v>
      </c>
      <c r="AK229" s="146" t="s">
        <v>2480</v>
      </c>
      <c r="AL229" s="146"/>
      <c r="AM229" s="146"/>
      <c r="AN229" s="146"/>
      <c r="AO229" s="146"/>
      <c r="AP229" s="146"/>
      <c r="AQ229" s="146"/>
      <c r="AR229" s="146"/>
      <c r="AS229" s="146"/>
    </row>
    <row r="230" spans="1:45" s="222" customFormat="1" x14ac:dyDescent="0.2">
      <c r="A230" s="146"/>
      <c r="B230" s="296" t="s">
        <v>2039</v>
      </c>
      <c r="C230" s="296" t="s">
        <v>2042</v>
      </c>
      <c r="D230" s="296" t="s">
        <v>2043</v>
      </c>
      <c r="E230" s="297">
        <v>201606968</v>
      </c>
      <c r="F230" s="296" t="s">
        <v>1411</v>
      </c>
      <c r="G230" s="296" t="s">
        <v>1407</v>
      </c>
      <c r="H230" s="146"/>
      <c r="I230" s="146"/>
      <c r="J230" s="146"/>
      <c r="K230" s="146"/>
      <c r="L230" s="146"/>
      <c r="M230" s="146"/>
      <c r="N230" s="146"/>
      <c r="O230" s="146"/>
      <c r="P230" s="287">
        <f t="shared" si="11"/>
        <v>0</v>
      </c>
      <c r="Q230" s="146"/>
      <c r="R230" s="146"/>
      <c r="S230" s="146"/>
      <c r="T230" s="146"/>
      <c r="U230" s="146"/>
      <c r="V230" s="146"/>
      <c r="W230" s="146"/>
      <c r="X230" s="269"/>
      <c r="Y230" s="273">
        <f t="shared" si="12"/>
        <v>0</v>
      </c>
      <c r="Z230" s="146"/>
      <c r="AA230" s="146"/>
      <c r="AB230" s="146"/>
      <c r="AC230" s="146"/>
      <c r="AD230" s="146"/>
      <c r="AE230" s="146"/>
      <c r="AF230" s="146">
        <v>1</v>
      </c>
      <c r="AG230" s="299">
        <v>43193</v>
      </c>
      <c r="AH230" s="273">
        <f t="shared" si="13"/>
        <v>1</v>
      </c>
      <c r="AI230" s="146"/>
      <c r="AJ230" s="146" t="s">
        <v>2479</v>
      </c>
      <c r="AK230" s="146" t="s">
        <v>2480</v>
      </c>
      <c r="AL230" s="146"/>
      <c r="AM230" s="146"/>
      <c r="AN230" s="146"/>
      <c r="AO230" s="146"/>
      <c r="AP230" s="146"/>
      <c r="AQ230" s="146"/>
      <c r="AR230" s="146"/>
      <c r="AS230" s="146"/>
    </row>
    <row r="231" spans="1:45" s="222" customFormat="1" x14ac:dyDescent="0.2">
      <c r="A231" s="146"/>
      <c r="B231" s="296" t="s">
        <v>2039</v>
      </c>
      <c r="C231" s="296" t="s">
        <v>2044</v>
      </c>
      <c r="D231" s="296" t="s">
        <v>2045</v>
      </c>
      <c r="E231" s="297">
        <v>201606969</v>
      </c>
      <c r="F231" s="296" t="s">
        <v>1411</v>
      </c>
      <c r="G231" s="296" t="s">
        <v>1407</v>
      </c>
      <c r="H231" s="146"/>
      <c r="I231" s="146"/>
      <c r="J231" s="146"/>
      <c r="K231" s="146"/>
      <c r="L231" s="146"/>
      <c r="M231" s="146"/>
      <c r="N231" s="146"/>
      <c r="O231" s="146"/>
      <c r="P231" s="287">
        <f t="shared" si="11"/>
        <v>0</v>
      </c>
      <c r="Q231" s="146"/>
      <c r="R231" s="146"/>
      <c r="S231" s="146"/>
      <c r="T231" s="146"/>
      <c r="U231" s="146"/>
      <c r="V231" s="146"/>
      <c r="W231" s="146"/>
      <c r="X231" s="269"/>
      <c r="Y231" s="273">
        <f t="shared" si="12"/>
        <v>0</v>
      </c>
      <c r="Z231" s="146"/>
      <c r="AA231" s="146"/>
      <c r="AB231" s="146"/>
      <c r="AC231" s="146"/>
      <c r="AD231" s="146"/>
      <c r="AE231" s="146"/>
      <c r="AF231" s="146">
        <v>1</v>
      </c>
      <c r="AG231" s="299">
        <v>43193</v>
      </c>
      <c r="AH231" s="273">
        <f t="shared" si="13"/>
        <v>1</v>
      </c>
      <c r="AI231" s="146"/>
      <c r="AJ231" s="146" t="s">
        <v>2479</v>
      </c>
      <c r="AK231" s="146" t="s">
        <v>2480</v>
      </c>
      <c r="AL231" s="146"/>
      <c r="AM231" s="146"/>
      <c r="AN231" s="146"/>
      <c r="AO231" s="146"/>
      <c r="AP231" s="146"/>
      <c r="AQ231" s="146"/>
      <c r="AR231" s="146"/>
      <c r="AS231" s="146"/>
    </row>
    <row r="232" spans="1:45" s="222" customFormat="1" x14ac:dyDescent="0.2">
      <c r="A232" s="146"/>
      <c r="B232" s="296" t="s">
        <v>2039</v>
      </c>
      <c r="C232" s="296" t="s">
        <v>2046</v>
      </c>
      <c r="D232" s="296" t="s">
        <v>2047</v>
      </c>
      <c r="E232" s="297">
        <v>201606970</v>
      </c>
      <c r="F232" s="296" t="s">
        <v>1411</v>
      </c>
      <c r="G232" s="296" t="s">
        <v>1407</v>
      </c>
      <c r="H232" s="146"/>
      <c r="I232" s="146"/>
      <c r="J232" s="146"/>
      <c r="K232" s="146"/>
      <c r="L232" s="146"/>
      <c r="M232" s="146"/>
      <c r="N232" s="146"/>
      <c r="O232" s="146"/>
      <c r="P232" s="287">
        <f t="shared" si="11"/>
        <v>0</v>
      </c>
      <c r="Q232" s="146"/>
      <c r="R232" s="146"/>
      <c r="S232" s="146"/>
      <c r="T232" s="146"/>
      <c r="U232" s="146"/>
      <c r="V232" s="146"/>
      <c r="W232" s="146"/>
      <c r="X232" s="269"/>
      <c r="Y232" s="273">
        <f t="shared" si="12"/>
        <v>0</v>
      </c>
      <c r="Z232" s="146"/>
      <c r="AA232" s="146"/>
      <c r="AB232" s="146"/>
      <c r="AC232" s="146"/>
      <c r="AD232" s="146"/>
      <c r="AE232" s="146"/>
      <c r="AF232" s="146">
        <v>1</v>
      </c>
      <c r="AG232" s="299">
        <v>43193</v>
      </c>
      <c r="AH232" s="273">
        <f t="shared" si="13"/>
        <v>1</v>
      </c>
      <c r="AI232" s="146"/>
      <c r="AJ232" s="146" t="s">
        <v>2479</v>
      </c>
      <c r="AK232" s="146" t="s">
        <v>2480</v>
      </c>
      <c r="AL232" s="146"/>
      <c r="AM232" s="146"/>
      <c r="AN232" s="146"/>
      <c r="AO232" s="146"/>
      <c r="AP232" s="146"/>
      <c r="AQ232" s="146"/>
      <c r="AR232" s="146"/>
      <c r="AS232" s="146"/>
    </row>
    <row r="233" spans="1:45" s="222" customFormat="1" x14ac:dyDescent="0.2">
      <c r="A233" s="146"/>
      <c r="B233" s="296" t="s">
        <v>2039</v>
      </c>
      <c r="C233" s="296" t="s">
        <v>2048</v>
      </c>
      <c r="D233" s="296" t="s">
        <v>2049</v>
      </c>
      <c r="E233" s="297">
        <v>201606971</v>
      </c>
      <c r="F233" s="296" t="s">
        <v>1411</v>
      </c>
      <c r="G233" s="296" t="s">
        <v>1407</v>
      </c>
      <c r="H233" s="146"/>
      <c r="I233" s="146"/>
      <c r="J233" s="146"/>
      <c r="K233" s="146"/>
      <c r="L233" s="146"/>
      <c r="M233" s="146"/>
      <c r="N233" s="146"/>
      <c r="O233" s="146"/>
      <c r="P233" s="287">
        <f t="shared" si="11"/>
        <v>0</v>
      </c>
      <c r="Q233" s="146"/>
      <c r="R233" s="146"/>
      <c r="S233" s="146"/>
      <c r="T233" s="146"/>
      <c r="U233" s="146"/>
      <c r="V233" s="146"/>
      <c r="W233" s="146"/>
      <c r="X233" s="269"/>
      <c r="Y233" s="273">
        <f t="shared" si="12"/>
        <v>0</v>
      </c>
      <c r="Z233" s="146"/>
      <c r="AA233" s="146"/>
      <c r="AB233" s="146"/>
      <c r="AC233" s="146"/>
      <c r="AD233" s="146"/>
      <c r="AE233" s="146"/>
      <c r="AF233" s="146">
        <v>1</v>
      </c>
      <c r="AG233" s="299">
        <v>43193</v>
      </c>
      <c r="AH233" s="273">
        <f t="shared" si="13"/>
        <v>1</v>
      </c>
      <c r="AI233" s="146"/>
      <c r="AJ233" s="146" t="s">
        <v>2479</v>
      </c>
      <c r="AK233" s="146" t="s">
        <v>2480</v>
      </c>
      <c r="AL233" s="146"/>
      <c r="AM233" s="146"/>
      <c r="AN233" s="146"/>
      <c r="AO233" s="146"/>
      <c r="AP233" s="146"/>
      <c r="AQ233" s="146"/>
      <c r="AR233" s="146"/>
      <c r="AS233" s="146"/>
    </row>
    <row r="234" spans="1:45" s="222" customFormat="1" x14ac:dyDescent="0.2">
      <c r="A234" s="146"/>
      <c r="B234" s="296" t="s">
        <v>2050</v>
      </c>
      <c r="C234" s="296" t="s">
        <v>2051</v>
      </c>
      <c r="D234" s="296" t="s">
        <v>2052</v>
      </c>
      <c r="E234" s="297">
        <v>201606918</v>
      </c>
      <c r="F234" s="296" t="s">
        <v>1411</v>
      </c>
      <c r="G234" s="296" t="s">
        <v>1407</v>
      </c>
      <c r="H234" s="146"/>
      <c r="I234" s="146"/>
      <c r="J234" s="146"/>
      <c r="K234" s="146"/>
      <c r="L234" s="146"/>
      <c r="M234" s="146"/>
      <c r="N234" s="146"/>
      <c r="O234" s="146"/>
      <c r="P234" s="287">
        <f t="shared" si="11"/>
        <v>0</v>
      </c>
      <c r="Q234" s="146"/>
      <c r="R234" s="146"/>
      <c r="S234" s="146"/>
      <c r="T234" s="146"/>
      <c r="U234" s="146"/>
      <c r="V234" s="146"/>
      <c r="W234" s="146"/>
      <c r="X234" s="269"/>
      <c r="Y234" s="273">
        <f t="shared" si="12"/>
        <v>0</v>
      </c>
      <c r="Z234" s="146"/>
      <c r="AA234" s="146"/>
      <c r="AB234" s="146"/>
      <c r="AC234" s="146"/>
      <c r="AD234" s="146"/>
      <c r="AE234" s="146"/>
      <c r="AF234" s="146">
        <v>1</v>
      </c>
      <c r="AG234" s="299">
        <v>43173</v>
      </c>
      <c r="AH234" s="273">
        <f t="shared" si="13"/>
        <v>1</v>
      </c>
      <c r="AI234" s="146"/>
      <c r="AJ234" s="146" t="s">
        <v>2479</v>
      </c>
      <c r="AK234" s="146" t="s">
        <v>2480</v>
      </c>
      <c r="AL234" s="146"/>
      <c r="AM234" s="146"/>
      <c r="AN234" s="146"/>
      <c r="AO234" s="146"/>
      <c r="AP234" s="146"/>
      <c r="AQ234" s="146"/>
      <c r="AR234" s="146"/>
      <c r="AS234" s="146"/>
    </row>
    <row r="235" spans="1:45" s="222" customFormat="1" x14ac:dyDescent="0.2">
      <c r="A235" s="146"/>
      <c r="B235" s="296" t="s">
        <v>2050</v>
      </c>
      <c r="C235" s="296" t="s">
        <v>2053</v>
      </c>
      <c r="D235" s="296" t="s">
        <v>2054</v>
      </c>
      <c r="E235" s="297">
        <v>201606920</v>
      </c>
      <c r="F235" s="296" t="s">
        <v>1411</v>
      </c>
      <c r="G235" s="296" t="s">
        <v>1407</v>
      </c>
      <c r="H235" s="146"/>
      <c r="I235" s="146"/>
      <c r="J235" s="146"/>
      <c r="K235" s="146"/>
      <c r="L235" s="146"/>
      <c r="M235" s="146"/>
      <c r="N235" s="146"/>
      <c r="O235" s="146"/>
      <c r="P235" s="287">
        <f t="shared" si="11"/>
        <v>0</v>
      </c>
      <c r="Q235" s="146"/>
      <c r="R235" s="146"/>
      <c r="S235" s="146"/>
      <c r="T235" s="146"/>
      <c r="U235" s="146"/>
      <c r="V235" s="146"/>
      <c r="W235" s="146"/>
      <c r="X235" s="269"/>
      <c r="Y235" s="273">
        <f t="shared" si="12"/>
        <v>0</v>
      </c>
      <c r="Z235" s="146"/>
      <c r="AA235" s="146"/>
      <c r="AB235" s="146"/>
      <c r="AC235" s="146"/>
      <c r="AD235" s="146"/>
      <c r="AE235" s="146"/>
      <c r="AF235" s="146">
        <v>1</v>
      </c>
      <c r="AG235" s="299">
        <v>43173</v>
      </c>
      <c r="AH235" s="273">
        <f t="shared" si="13"/>
        <v>1</v>
      </c>
      <c r="AI235" s="146"/>
      <c r="AJ235" s="146" t="s">
        <v>2479</v>
      </c>
      <c r="AK235" s="146" t="s">
        <v>2480</v>
      </c>
      <c r="AL235" s="146"/>
      <c r="AM235" s="146"/>
      <c r="AN235" s="146"/>
      <c r="AO235" s="146"/>
      <c r="AP235" s="146"/>
      <c r="AQ235" s="146"/>
      <c r="AR235" s="146"/>
      <c r="AS235" s="146"/>
    </row>
    <row r="236" spans="1:45" s="222" customFormat="1" x14ac:dyDescent="0.2">
      <c r="A236" s="146"/>
      <c r="B236" s="296" t="s">
        <v>2050</v>
      </c>
      <c r="C236" s="296" t="s">
        <v>2055</v>
      </c>
      <c r="D236" s="296" t="s">
        <v>2056</v>
      </c>
      <c r="E236" s="297">
        <v>201606921</v>
      </c>
      <c r="F236" s="296" t="s">
        <v>1411</v>
      </c>
      <c r="G236" s="296" t="s">
        <v>1407</v>
      </c>
      <c r="H236" s="146"/>
      <c r="I236" s="146"/>
      <c r="J236" s="146"/>
      <c r="K236" s="146"/>
      <c r="L236" s="146"/>
      <c r="M236" s="146"/>
      <c r="N236" s="146"/>
      <c r="O236" s="146"/>
      <c r="P236" s="287">
        <f t="shared" si="11"/>
        <v>0</v>
      </c>
      <c r="Q236" s="146"/>
      <c r="R236" s="146"/>
      <c r="S236" s="146"/>
      <c r="T236" s="146"/>
      <c r="U236" s="146"/>
      <c r="V236" s="146"/>
      <c r="W236" s="146"/>
      <c r="X236" s="269"/>
      <c r="Y236" s="273">
        <f t="shared" si="12"/>
        <v>0</v>
      </c>
      <c r="Z236" s="146"/>
      <c r="AA236" s="146"/>
      <c r="AB236" s="146"/>
      <c r="AC236" s="146"/>
      <c r="AD236" s="146"/>
      <c r="AE236" s="146"/>
      <c r="AF236" s="146">
        <v>1</v>
      </c>
      <c r="AG236" s="299">
        <v>43173</v>
      </c>
      <c r="AH236" s="273">
        <f t="shared" si="13"/>
        <v>1</v>
      </c>
      <c r="AI236" s="146"/>
      <c r="AJ236" s="146" t="s">
        <v>2479</v>
      </c>
      <c r="AK236" s="146" t="s">
        <v>2480</v>
      </c>
      <c r="AL236" s="146"/>
      <c r="AM236" s="146"/>
      <c r="AN236" s="146"/>
      <c r="AO236" s="146"/>
      <c r="AP236" s="146"/>
      <c r="AQ236" s="146"/>
      <c r="AR236" s="146"/>
      <c r="AS236" s="146"/>
    </row>
    <row r="237" spans="1:45" s="222" customFormat="1" x14ac:dyDescent="0.2">
      <c r="A237" s="146"/>
      <c r="B237" s="296" t="s">
        <v>2057</v>
      </c>
      <c r="C237" s="296" t="s">
        <v>2058</v>
      </c>
      <c r="D237" s="296" t="s">
        <v>2059</v>
      </c>
      <c r="E237" s="297">
        <v>201606923</v>
      </c>
      <c r="F237" s="296" t="s">
        <v>1411</v>
      </c>
      <c r="G237" s="296" t="s">
        <v>1407</v>
      </c>
      <c r="H237" s="146"/>
      <c r="I237" s="146"/>
      <c r="J237" s="146"/>
      <c r="K237" s="146"/>
      <c r="L237" s="146"/>
      <c r="M237" s="146"/>
      <c r="N237" s="146"/>
      <c r="O237" s="146"/>
      <c r="P237" s="287">
        <f t="shared" si="11"/>
        <v>0</v>
      </c>
      <c r="Q237" s="146"/>
      <c r="R237" s="146"/>
      <c r="S237" s="146"/>
      <c r="T237" s="146"/>
      <c r="U237" s="146"/>
      <c r="V237" s="146"/>
      <c r="W237" s="146"/>
      <c r="X237" s="269"/>
      <c r="Y237" s="273">
        <f t="shared" si="12"/>
        <v>0</v>
      </c>
      <c r="Z237" s="146"/>
      <c r="AA237" s="146"/>
      <c r="AB237" s="146"/>
      <c r="AC237" s="146"/>
      <c r="AD237" s="146"/>
      <c r="AE237" s="146"/>
      <c r="AF237" s="146">
        <v>1</v>
      </c>
      <c r="AG237" s="299">
        <v>43166</v>
      </c>
      <c r="AH237" s="273">
        <f t="shared" si="13"/>
        <v>1</v>
      </c>
      <c r="AI237" s="146"/>
      <c r="AJ237" s="146" t="s">
        <v>2479</v>
      </c>
      <c r="AK237" s="146" t="s">
        <v>2480</v>
      </c>
      <c r="AL237" s="146"/>
      <c r="AM237" s="146"/>
      <c r="AN237" s="146"/>
      <c r="AO237" s="146"/>
      <c r="AP237" s="146"/>
      <c r="AQ237" s="146"/>
      <c r="AR237" s="146"/>
      <c r="AS237" s="146"/>
    </row>
    <row r="238" spans="1:45" s="222" customFormat="1" x14ac:dyDescent="0.2">
      <c r="A238" s="146"/>
      <c r="B238" s="296" t="s">
        <v>2057</v>
      </c>
      <c r="C238" s="296" t="s">
        <v>2060</v>
      </c>
      <c r="D238" s="296" t="s">
        <v>2061</v>
      </c>
      <c r="E238" s="297">
        <v>201606925</v>
      </c>
      <c r="F238" s="296" t="s">
        <v>1411</v>
      </c>
      <c r="G238" s="296" t="s">
        <v>1407</v>
      </c>
      <c r="H238" s="146"/>
      <c r="I238" s="146"/>
      <c r="J238" s="146"/>
      <c r="K238" s="146"/>
      <c r="L238" s="146"/>
      <c r="M238" s="146"/>
      <c r="N238" s="146"/>
      <c r="O238" s="146"/>
      <c r="P238" s="287">
        <f t="shared" si="11"/>
        <v>0</v>
      </c>
      <c r="Q238" s="146"/>
      <c r="R238" s="146"/>
      <c r="S238" s="146"/>
      <c r="T238" s="146"/>
      <c r="U238" s="146"/>
      <c r="V238" s="146"/>
      <c r="W238" s="146"/>
      <c r="X238" s="269"/>
      <c r="Y238" s="273">
        <f t="shared" si="12"/>
        <v>0</v>
      </c>
      <c r="Z238" s="146"/>
      <c r="AA238" s="146"/>
      <c r="AB238" s="146"/>
      <c r="AC238" s="146"/>
      <c r="AD238" s="146"/>
      <c r="AE238" s="146"/>
      <c r="AF238" s="146">
        <v>1</v>
      </c>
      <c r="AG238" s="299">
        <v>43166</v>
      </c>
      <c r="AH238" s="273">
        <f t="shared" si="13"/>
        <v>1</v>
      </c>
      <c r="AI238" s="146"/>
      <c r="AJ238" s="146" t="s">
        <v>2479</v>
      </c>
      <c r="AK238" s="146" t="s">
        <v>2480</v>
      </c>
      <c r="AL238" s="146"/>
      <c r="AM238" s="146"/>
      <c r="AN238" s="146"/>
      <c r="AO238" s="146"/>
      <c r="AP238" s="146"/>
      <c r="AQ238" s="146"/>
      <c r="AR238" s="146"/>
      <c r="AS238" s="146"/>
    </row>
    <row r="239" spans="1:45" s="222" customFormat="1" x14ac:dyDescent="0.2">
      <c r="A239" s="146"/>
      <c r="B239" s="296" t="s">
        <v>2057</v>
      </c>
      <c r="C239" s="296" t="s">
        <v>2062</v>
      </c>
      <c r="D239" s="296" t="s">
        <v>2063</v>
      </c>
      <c r="E239" s="297">
        <v>201606926</v>
      </c>
      <c r="F239" s="296" t="s">
        <v>1411</v>
      </c>
      <c r="G239" s="296" t="s">
        <v>1407</v>
      </c>
      <c r="H239" s="146"/>
      <c r="I239" s="146"/>
      <c r="J239" s="146"/>
      <c r="K239" s="146"/>
      <c r="L239" s="146"/>
      <c r="M239" s="146"/>
      <c r="N239" s="146"/>
      <c r="O239" s="146"/>
      <c r="P239" s="287">
        <f t="shared" si="11"/>
        <v>0</v>
      </c>
      <c r="Q239" s="146"/>
      <c r="R239" s="146"/>
      <c r="S239" s="146"/>
      <c r="T239" s="146"/>
      <c r="U239" s="146"/>
      <c r="V239" s="146"/>
      <c r="W239" s="146"/>
      <c r="X239" s="269"/>
      <c r="Y239" s="273">
        <f t="shared" si="12"/>
        <v>0</v>
      </c>
      <c r="Z239" s="146"/>
      <c r="AA239" s="146"/>
      <c r="AB239" s="146"/>
      <c r="AC239" s="146"/>
      <c r="AD239" s="146"/>
      <c r="AE239" s="146"/>
      <c r="AF239" s="146">
        <v>1</v>
      </c>
      <c r="AG239" s="299">
        <v>43166</v>
      </c>
      <c r="AH239" s="273">
        <f t="shared" si="13"/>
        <v>1</v>
      </c>
      <c r="AI239" s="146"/>
      <c r="AJ239" s="146" t="s">
        <v>2479</v>
      </c>
      <c r="AK239" s="146" t="s">
        <v>2480</v>
      </c>
      <c r="AL239" s="146"/>
      <c r="AM239" s="146"/>
      <c r="AN239" s="146"/>
      <c r="AO239" s="146"/>
      <c r="AP239" s="146"/>
      <c r="AQ239" s="146"/>
      <c r="AR239" s="146"/>
      <c r="AS239" s="146"/>
    </row>
    <row r="240" spans="1:45" s="222" customFormat="1" x14ac:dyDescent="0.2">
      <c r="A240" s="146"/>
      <c r="B240" s="296" t="s">
        <v>2057</v>
      </c>
      <c r="C240" s="296" t="s">
        <v>2064</v>
      </c>
      <c r="D240" s="296" t="s">
        <v>2065</v>
      </c>
      <c r="E240" s="297">
        <v>201606927</v>
      </c>
      <c r="F240" s="296" t="s">
        <v>1411</v>
      </c>
      <c r="G240" s="296" t="s">
        <v>1407</v>
      </c>
      <c r="H240" s="146"/>
      <c r="I240" s="146"/>
      <c r="J240" s="146"/>
      <c r="K240" s="146"/>
      <c r="L240" s="146"/>
      <c r="M240" s="146"/>
      <c r="N240" s="146"/>
      <c r="O240" s="146"/>
      <c r="P240" s="287">
        <f t="shared" si="11"/>
        <v>0</v>
      </c>
      <c r="Q240" s="146"/>
      <c r="R240" s="146"/>
      <c r="S240" s="146"/>
      <c r="T240" s="146"/>
      <c r="U240" s="146"/>
      <c r="V240" s="146"/>
      <c r="W240" s="146"/>
      <c r="X240" s="269"/>
      <c r="Y240" s="273">
        <f t="shared" si="12"/>
        <v>0</v>
      </c>
      <c r="Z240" s="146"/>
      <c r="AA240" s="146"/>
      <c r="AB240" s="146"/>
      <c r="AC240" s="146"/>
      <c r="AD240" s="146"/>
      <c r="AE240" s="146"/>
      <c r="AF240" s="146">
        <v>1</v>
      </c>
      <c r="AG240" s="299">
        <v>43164</v>
      </c>
      <c r="AH240" s="273">
        <f t="shared" si="13"/>
        <v>1</v>
      </c>
      <c r="AI240" s="146"/>
      <c r="AJ240" s="146" t="s">
        <v>2479</v>
      </c>
      <c r="AK240" s="146" t="s">
        <v>2480</v>
      </c>
      <c r="AL240" s="146"/>
      <c r="AM240" s="146"/>
      <c r="AN240" s="146"/>
      <c r="AO240" s="146"/>
      <c r="AP240" s="146"/>
      <c r="AQ240" s="146"/>
      <c r="AR240" s="146"/>
      <c r="AS240" s="146"/>
    </row>
    <row r="241" spans="1:45" s="222" customFormat="1" x14ac:dyDescent="0.2">
      <c r="A241" s="146"/>
      <c r="B241" s="296" t="s">
        <v>2066</v>
      </c>
      <c r="C241" s="296" t="s">
        <v>2067</v>
      </c>
      <c r="D241" s="296" t="s">
        <v>2068</v>
      </c>
      <c r="E241" s="297">
        <v>201606931</v>
      </c>
      <c r="F241" s="296" t="s">
        <v>1411</v>
      </c>
      <c r="G241" s="296" t="s">
        <v>1407</v>
      </c>
      <c r="H241" s="146"/>
      <c r="I241" s="146"/>
      <c r="J241" s="146"/>
      <c r="K241" s="146"/>
      <c r="L241" s="146"/>
      <c r="M241" s="146"/>
      <c r="N241" s="146"/>
      <c r="O241" s="146"/>
      <c r="P241" s="287">
        <f t="shared" si="11"/>
        <v>0</v>
      </c>
      <c r="Q241" s="146"/>
      <c r="R241" s="146"/>
      <c r="S241" s="146"/>
      <c r="T241" s="146"/>
      <c r="U241" s="146"/>
      <c r="V241" s="146"/>
      <c r="W241" s="146"/>
      <c r="X241" s="269"/>
      <c r="Y241" s="273">
        <f t="shared" si="12"/>
        <v>0</v>
      </c>
      <c r="Z241" s="146"/>
      <c r="AA241" s="146"/>
      <c r="AB241" s="146"/>
      <c r="AC241" s="146"/>
      <c r="AD241" s="146"/>
      <c r="AE241" s="146"/>
      <c r="AF241" s="146">
        <v>1</v>
      </c>
      <c r="AG241" s="299">
        <v>43227</v>
      </c>
      <c r="AH241" s="273">
        <f t="shared" si="13"/>
        <v>1</v>
      </c>
      <c r="AI241" s="146"/>
      <c r="AJ241" s="146" t="s">
        <v>2479</v>
      </c>
      <c r="AK241" s="146" t="s">
        <v>2480</v>
      </c>
      <c r="AL241" s="146"/>
      <c r="AM241" s="146"/>
      <c r="AN241" s="146"/>
      <c r="AO241" s="146"/>
      <c r="AP241" s="146"/>
      <c r="AQ241" s="146"/>
      <c r="AR241" s="146"/>
      <c r="AS241" s="146"/>
    </row>
    <row r="242" spans="1:45" s="222" customFormat="1" x14ac:dyDescent="0.2">
      <c r="A242" s="146"/>
      <c r="B242" s="296" t="s">
        <v>2066</v>
      </c>
      <c r="C242" s="296" t="s">
        <v>2069</v>
      </c>
      <c r="D242" s="296" t="s">
        <v>2070</v>
      </c>
      <c r="E242" s="297">
        <v>201606932</v>
      </c>
      <c r="F242" s="296" t="s">
        <v>1411</v>
      </c>
      <c r="G242" s="296" t="s">
        <v>1407</v>
      </c>
      <c r="H242" s="146"/>
      <c r="I242" s="146"/>
      <c r="J242" s="146"/>
      <c r="K242" s="146"/>
      <c r="L242" s="146"/>
      <c r="M242" s="146"/>
      <c r="N242" s="146"/>
      <c r="O242" s="146"/>
      <c r="P242" s="287">
        <f t="shared" si="11"/>
        <v>0</v>
      </c>
      <c r="Q242" s="146"/>
      <c r="R242" s="146"/>
      <c r="S242" s="146"/>
      <c r="T242" s="146"/>
      <c r="U242" s="146"/>
      <c r="V242" s="146"/>
      <c r="W242" s="146"/>
      <c r="X242" s="269"/>
      <c r="Y242" s="273">
        <f t="shared" si="12"/>
        <v>0</v>
      </c>
      <c r="Z242" s="146"/>
      <c r="AA242" s="146"/>
      <c r="AB242" s="146"/>
      <c r="AC242" s="146"/>
      <c r="AD242" s="146"/>
      <c r="AE242" s="146"/>
      <c r="AF242" s="146">
        <v>1</v>
      </c>
      <c r="AG242" s="299">
        <v>43229</v>
      </c>
      <c r="AH242" s="273">
        <f t="shared" si="13"/>
        <v>1</v>
      </c>
      <c r="AI242" s="146"/>
      <c r="AJ242" s="146" t="s">
        <v>2479</v>
      </c>
      <c r="AK242" s="146" t="s">
        <v>2480</v>
      </c>
      <c r="AL242" s="146"/>
      <c r="AM242" s="146"/>
      <c r="AN242" s="146"/>
      <c r="AO242" s="146"/>
      <c r="AP242" s="146"/>
      <c r="AQ242" s="146"/>
      <c r="AR242" s="146"/>
      <c r="AS242" s="146"/>
    </row>
    <row r="243" spans="1:45" s="222" customFormat="1" x14ac:dyDescent="0.2">
      <c r="A243" s="146"/>
      <c r="B243" s="296" t="s">
        <v>2066</v>
      </c>
      <c r="C243" s="296" t="s">
        <v>2071</v>
      </c>
      <c r="D243" s="296" t="s">
        <v>2072</v>
      </c>
      <c r="E243" s="297">
        <v>201606933</v>
      </c>
      <c r="F243" s="296" t="s">
        <v>1411</v>
      </c>
      <c r="G243" s="296" t="s">
        <v>1407</v>
      </c>
      <c r="H243" s="146"/>
      <c r="I243" s="146"/>
      <c r="J243" s="146"/>
      <c r="K243" s="146"/>
      <c r="L243" s="146"/>
      <c r="M243" s="146"/>
      <c r="N243" s="146"/>
      <c r="O243" s="146"/>
      <c r="P243" s="287">
        <f t="shared" si="11"/>
        <v>0</v>
      </c>
      <c r="Q243" s="146"/>
      <c r="R243" s="146"/>
      <c r="S243" s="146"/>
      <c r="T243" s="146"/>
      <c r="U243" s="146"/>
      <c r="V243" s="146"/>
      <c r="W243" s="146"/>
      <c r="X243" s="269"/>
      <c r="Y243" s="273">
        <f t="shared" si="12"/>
        <v>0</v>
      </c>
      <c r="Z243" s="146"/>
      <c r="AA243" s="146"/>
      <c r="AB243" s="146"/>
      <c r="AC243" s="146"/>
      <c r="AD243" s="146"/>
      <c r="AE243" s="146"/>
      <c r="AF243" s="146">
        <v>1</v>
      </c>
      <c r="AG243" s="299">
        <v>43229</v>
      </c>
      <c r="AH243" s="273">
        <f t="shared" si="13"/>
        <v>1</v>
      </c>
      <c r="AI243" s="146"/>
      <c r="AJ243" s="146" t="s">
        <v>2479</v>
      </c>
      <c r="AK243" s="146" t="s">
        <v>2480</v>
      </c>
      <c r="AL243" s="146"/>
      <c r="AM243" s="146"/>
      <c r="AN243" s="146"/>
      <c r="AO243" s="146"/>
      <c r="AP243" s="146"/>
      <c r="AQ243" s="146"/>
      <c r="AR243" s="146"/>
      <c r="AS243" s="146"/>
    </row>
    <row r="244" spans="1:45" s="222" customFormat="1" x14ac:dyDescent="0.2">
      <c r="A244" s="146"/>
      <c r="B244" s="296" t="s">
        <v>2066</v>
      </c>
      <c r="C244" s="296" t="s">
        <v>2073</v>
      </c>
      <c r="D244" s="296" t="s">
        <v>2074</v>
      </c>
      <c r="E244" s="297">
        <v>201606934</v>
      </c>
      <c r="F244" s="296" t="s">
        <v>1411</v>
      </c>
      <c r="G244" s="296" t="s">
        <v>1407</v>
      </c>
      <c r="H244" s="146"/>
      <c r="I244" s="146"/>
      <c r="J244" s="146"/>
      <c r="K244" s="146"/>
      <c r="L244" s="146"/>
      <c r="M244" s="146"/>
      <c r="N244" s="146"/>
      <c r="O244" s="146"/>
      <c r="P244" s="287">
        <f t="shared" si="11"/>
        <v>0</v>
      </c>
      <c r="Q244" s="146"/>
      <c r="R244" s="146"/>
      <c r="S244" s="146"/>
      <c r="T244" s="146"/>
      <c r="U244" s="146"/>
      <c r="V244" s="146"/>
      <c r="W244" s="146"/>
      <c r="X244" s="269"/>
      <c r="Y244" s="273">
        <f t="shared" si="12"/>
        <v>0</v>
      </c>
      <c r="Z244" s="146"/>
      <c r="AA244" s="146"/>
      <c r="AB244" s="146"/>
      <c r="AC244" s="146"/>
      <c r="AD244" s="146"/>
      <c r="AE244" s="146"/>
      <c r="AF244" s="146">
        <v>1</v>
      </c>
      <c r="AG244" s="299">
        <v>43229</v>
      </c>
      <c r="AH244" s="273">
        <f t="shared" si="13"/>
        <v>1</v>
      </c>
      <c r="AI244" s="146"/>
      <c r="AJ244" s="146" t="s">
        <v>2479</v>
      </c>
      <c r="AK244" s="146" t="s">
        <v>2480</v>
      </c>
      <c r="AL244" s="146"/>
      <c r="AM244" s="146"/>
      <c r="AN244" s="146"/>
      <c r="AO244" s="146"/>
      <c r="AP244" s="146"/>
      <c r="AQ244" s="146"/>
      <c r="AR244" s="146"/>
      <c r="AS244" s="146"/>
    </row>
    <row r="245" spans="1:45" s="222" customFormat="1" x14ac:dyDescent="0.2">
      <c r="A245" s="146"/>
      <c r="B245" s="296" t="s">
        <v>2066</v>
      </c>
      <c r="C245" s="296" t="s">
        <v>2075</v>
      </c>
      <c r="D245" s="296" t="s">
        <v>2076</v>
      </c>
      <c r="E245" s="297">
        <v>201606935</v>
      </c>
      <c r="F245" s="296" t="s">
        <v>1411</v>
      </c>
      <c r="G245" s="296" t="s">
        <v>1407</v>
      </c>
      <c r="H245" s="146"/>
      <c r="I245" s="146"/>
      <c r="J245" s="146"/>
      <c r="K245" s="146"/>
      <c r="L245" s="146"/>
      <c r="M245" s="146"/>
      <c r="N245" s="146"/>
      <c r="O245" s="146"/>
      <c r="P245" s="287">
        <f t="shared" si="11"/>
        <v>0</v>
      </c>
      <c r="Q245" s="146"/>
      <c r="R245" s="146"/>
      <c r="S245" s="146"/>
      <c r="T245" s="146"/>
      <c r="U245" s="146"/>
      <c r="V245" s="146"/>
      <c r="W245" s="146"/>
      <c r="X245" s="269"/>
      <c r="Y245" s="273">
        <f t="shared" si="12"/>
        <v>0</v>
      </c>
      <c r="Z245" s="146"/>
      <c r="AA245" s="146"/>
      <c r="AB245" s="146"/>
      <c r="AC245" s="146"/>
      <c r="AD245" s="146"/>
      <c r="AE245" s="146"/>
      <c r="AF245" s="146">
        <v>1</v>
      </c>
      <c r="AG245" s="299">
        <v>43229</v>
      </c>
      <c r="AH245" s="273">
        <f t="shared" si="13"/>
        <v>1</v>
      </c>
      <c r="AI245" s="146"/>
      <c r="AJ245" s="146" t="s">
        <v>2479</v>
      </c>
      <c r="AK245" s="146" t="s">
        <v>2480</v>
      </c>
      <c r="AL245" s="146"/>
      <c r="AM245" s="146"/>
      <c r="AN245" s="146"/>
      <c r="AO245" s="146"/>
      <c r="AP245" s="146"/>
      <c r="AQ245" s="146"/>
      <c r="AR245" s="146"/>
      <c r="AS245" s="146"/>
    </row>
    <row r="246" spans="1:45" s="222" customFormat="1" x14ac:dyDescent="0.2">
      <c r="A246" s="146"/>
      <c r="B246" s="296" t="s">
        <v>2077</v>
      </c>
      <c r="C246" s="296" t="s">
        <v>2078</v>
      </c>
      <c r="D246" s="296" t="s">
        <v>2079</v>
      </c>
      <c r="E246" s="297">
        <v>201606690</v>
      </c>
      <c r="F246" s="296" t="s">
        <v>1411</v>
      </c>
      <c r="G246" s="296" t="s">
        <v>1407</v>
      </c>
      <c r="H246" s="146"/>
      <c r="I246" s="146"/>
      <c r="J246" s="146"/>
      <c r="K246" s="146"/>
      <c r="L246" s="146"/>
      <c r="M246" s="146"/>
      <c r="N246" s="146"/>
      <c r="O246" s="146"/>
      <c r="P246" s="287">
        <f t="shared" si="11"/>
        <v>0</v>
      </c>
      <c r="Q246" s="146"/>
      <c r="R246" s="146"/>
      <c r="S246" s="146"/>
      <c r="T246" s="146"/>
      <c r="U246" s="146"/>
      <c r="V246" s="146"/>
      <c r="W246" s="146"/>
      <c r="X246" s="269"/>
      <c r="Y246" s="273">
        <f t="shared" si="12"/>
        <v>0</v>
      </c>
      <c r="Z246" s="146"/>
      <c r="AA246" s="146"/>
      <c r="AB246" s="146"/>
      <c r="AC246" s="146"/>
      <c r="AD246" s="146"/>
      <c r="AE246" s="146"/>
      <c r="AF246" s="146">
        <v>1</v>
      </c>
      <c r="AG246" s="299">
        <v>43244</v>
      </c>
      <c r="AH246" s="273">
        <f t="shared" si="13"/>
        <v>1</v>
      </c>
      <c r="AI246" s="146"/>
      <c r="AJ246" s="146" t="s">
        <v>2479</v>
      </c>
      <c r="AK246" s="146" t="s">
        <v>2480</v>
      </c>
      <c r="AL246" s="146"/>
      <c r="AM246" s="146"/>
      <c r="AN246" s="146"/>
      <c r="AO246" s="146"/>
      <c r="AP246" s="146"/>
      <c r="AQ246" s="146"/>
      <c r="AR246" s="146"/>
      <c r="AS246" s="146"/>
    </row>
    <row r="247" spans="1:45" s="222" customFormat="1" x14ac:dyDescent="0.2">
      <c r="A247" s="146"/>
      <c r="B247" s="296" t="s">
        <v>2080</v>
      </c>
      <c r="C247" s="296" t="s">
        <v>2081</v>
      </c>
      <c r="D247" s="296" t="s">
        <v>2082</v>
      </c>
      <c r="E247" s="297">
        <v>201606695</v>
      </c>
      <c r="F247" s="296" t="s">
        <v>1411</v>
      </c>
      <c r="G247" s="296" t="s">
        <v>1407</v>
      </c>
      <c r="H247" s="146"/>
      <c r="I247" s="146"/>
      <c r="J247" s="146"/>
      <c r="K247" s="146"/>
      <c r="L247" s="146"/>
      <c r="M247" s="146"/>
      <c r="N247" s="146"/>
      <c r="O247" s="146"/>
      <c r="P247" s="287">
        <f t="shared" si="11"/>
        <v>0</v>
      </c>
      <c r="Q247" s="146"/>
      <c r="R247" s="146"/>
      <c r="S247" s="146"/>
      <c r="T247" s="146"/>
      <c r="U247" s="146"/>
      <c r="V247" s="146"/>
      <c r="W247" s="146"/>
      <c r="X247" s="269"/>
      <c r="Y247" s="273">
        <f t="shared" si="12"/>
        <v>0</v>
      </c>
      <c r="Z247" s="146"/>
      <c r="AA247" s="146"/>
      <c r="AB247" s="146"/>
      <c r="AC247" s="146"/>
      <c r="AD247" s="146"/>
      <c r="AE247" s="146"/>
      <c r="AF247" s="146">
        <v>1</v>
      </c>
      <c r="AG247" s="299">
        <v>43244</v>
      </c>
      <c r="AH247" s="273">
        <f t="shared" si="13"/>
        <v>1</v>
      </c>
      <c r="AI247" s="146"/>
      <c r="AJ247" s="146" t="s">
        <v>2479</v>
      </c>
      <c r="AK247" s="146" t="s">
        <v>2480</v>
      </c>
      <c r="AL247" s="146"/>
      <c r="AM247" s="146"/>
      <c r="AN247" s="146"/>
      <c r="AO247" s="146"/>
      <c r="AP247" s="146"/>
      <c r="AQ247" s="146"/>
      <c r="AR247" s="146"/>
      <c r="AS247" s="146"/>
    </row>
    <row r="248" spans="1:45" s="222" customFormat="1" x14ac:dyDescent="0.2">
      <c r="A248" s="146"/>
      <c r="B248" s="296" t="s">
        <v>2083</v>
      </c>
      <c r="C248" s="296" t="s">
        <v>2084</v>
      </c>
      <c r="D248" s="296" t="s">
        <v>2085</v>
      </c>
      <c r="E248" s="297">
        <v>201702548</v>
      </c>
      <c r="F248" s="296" t="s">
        <v>1406</v>
      </c>
      <c r="G248" s="296" t="s">
        <v>1407</v>
      </c>
      <c r="H248" s="146"/>
      <c r="I248" s="146"/>
      <c r="J248" s="146"/>
      <c r="K248" s="146"/>
      <c r="L248" s="146"/>
      <c r="M248" s="146"/>
      <c r="N248" s="146"/>
      <c r="O248" s="146"/>
      <c r="P248" s="287">
        <f t="shared" si="11"/>
        <v>0</v>
      </c>
      <c r="Q248" s="146"/>
      <c r="R248" s="146"/>
      <c r="S248" s="146"/>
      <c r="T248" s="146"/>
      <c r="U248" s="146"/>
      <c r="V248" s="146"/>
      <c r="W248" s="146"/>
      <c r="X248" s="269"/>
      <c r="Y248" s="273">
        <f t="shared" si="12"/>
        <v>0</v>
      </c>
      <c r="Z248" s="146"/>
      <c r="AA248" s="146"/>
      <c r="AB248" s="146"/>
      <c r="AC248" s="146"/>
      <c r="AD248" s="146"/>
      <c r="AE248" s="146"/>
      <c r="AF248" s="146">
        <v>1</v>
      </c>
      <c r="AG248" s="299">
        <v>43201</v>
      </c>
      <c r="AH248" s="273">
        <f t="shared" si="13"/>
        <v>1</v>
      </c>
      <c r="AI248" s="146"/>
      <c r="AJ248" s="146" t="s">
        <v>2479</v>
      </c>
      <c r="AK248" s="146" t="s">
        <v>2480</v>
      </c>
      <c r="AL248" s="146"/>
      <c r="AM248" s="146"/>
      <c r="AN248" s="146"/>
      <c r="AO248" s="146"/>
      <c r="AP248" s="146"/>
      <c r="AQ248" s="146"/>
      <c r="AR248" s="146"/>
      <c r="AS248" s="146"/>
    </row>
    <row r="249" spans="1:45" s="222" customFormat="1" x14ac:dyDescent="0.2">
      <c r="A249" s="146"/>
      <c r="B249" s="296" t="s">
        <v>2086</v>
      </c>
      <c r="C249" s="296" t="s">
        <v>2087</v>
      </c>
      <c r="D249" s="296" t="s">
        <v>2088</v>
      </c>
      <c r="E249" s="297">
        <v>201702550</v>
      </c>
      <c r="F249" s="296" t="s">
        <v>1406</v>
      </c>
      <c r="G249" s="296" t="s">
        <v>1407</v>
      </c>
      <c r="H249" s="146"/>
      <c r="I249" s="146"/>
      <c r="J249" s="146"/>
      <c r="K249" s="146"/>
      <c r="L249" s="146"/>
      <c r="M249" s="146"/>
      <c r="N249" s="146"/>
      <c r="O249" s="146"/>
      <c r="P249" s="287">
        <f t="shared" si="11"/>
        <v>0</v>
      </c>
      <c r="Q249" s="146"/>
      <c r="R249" s="146"/>
      <c r="S249" s="146"/>
      <c r="T249" s="146"/>
      <c r="U249" s="146"/>
      <c r="V249" s="146"/>
      <c r="W249" s="146"/>
      <c r="X249" s="269"/>
      <c r="Y249" s="273">
        <f t="shared" si="12"/>
        <v>0</v>
      </c>
      <c r="Z249" s="146"/>
      <c r="AA249" s="146"/>
      <c r="AB249" s="146"/>
      <c r="AC249" s="146"/>
      <c r="AD249" s="146"/>
      <c r="AE249" s="146"/>
      <c r="AF249" s="146">
        <v>1</v>
      </c>
      <c r="AG249" s="299">
        <v>43215</v>
      </c>
      <c r="AH249" s="273">
        <f t="shared" si="13"/>
        <v>1</v>
      </c>
      <c r="AI249" s="146"/>
      <c r="AJ249" s="146" t="s">
        <v>2479</v>
      </c>
      <c r="AK249" s="146" t="s">
        <v>2480</v>
      </c>
      <c r="AL249" s="146"/>
      <c r="AM249" s="146"/>
      <c r="AN249" s="146"/>
      <c r="AO249" s="146"/>
      <c r="AP249" s="146"/>
      <c r="AQ249" s="146"/>
      <c r="AR249" s="146"/>
      <c r="AS249" s="146"/>
    </row>
    <row r="250" spans="1:45" s="222" customFormat="1" x14ac:dyDescent="0.2">
      <c r="A250" s="146"/>
      <c r="B250" s="296" t="s">
        <v>2089</v>
      </c>
      <c r="C250" s="296" t="s">
        <v>2090</v>
      </c>
      <c r="D250" s="296" t="s">
        <v>2085</v>
      </c>
      <c r="E250" s="297">
        <v>201702551</v>
      </c>
      <c r="F250" s="296" t="s">
        <v>1406</v>
      </c>
      <c r="G250" s="296" t="s">
        <v>1407</v>
      </c>
      <c r="H250" s="146"/>
      <c r="I250" s="146"/>
      <c r="J250" s="146"/>
      <c r="K250" s="146"/>
      <c r="L250" s="146"/>
      <c r="M250" s="146"/>
      <c r="N250" s="146"/>
      <c r="O250" s="146"/>
      <c r="P250" s="287">
        <f t="shared" si="11"/>
        <v>0</v>
      </c>
      <c r="Q250" s="146"/>
      <c r="R250" s="146"/>
      <c r="S250" s="146"/>
      <c r="T250" s="146"/>
      <c r="U250" s="146"/>
      <c r="V250" s="146"/>
      <c r="W250" s="146"/>
      <c r="X250" s="269"/>
      <c r="Y250" s="273">
        <f t="shared" si="12"/>
        <v>0</v>
      </c>
      <c r="Z250" s="146"/>
      <c r="AA250" s="146"/>
      <c r="AB250" s="146"/>
      <c r="AC250" s="146"/>
      <c r="AD250" s="146"/>
      <c r="AE250" s="146"/>
      <c r="AF250" s="146">
        <v>1</v>
      </c>
      <c r="AG250" s="299">
        <v>43201</v>
      </c>
      <c r="AH250" s="273">
        <f t="shared" si="13"/>
        <v>1</v>
      </c>
      <c r="AI250" s="146"/>
      <c r="AJ250" s="146" t="s">
        <v>2479</v>
      </c>
      <c r="AK250" s="146" t="s">
        <v>2480</v>
      </c>
      <c r="AL250" s="146"/>
      <c r="AM250" s="146"/>
      <c r="AN250" s="146"/>
      <c r="AO250" s="146"/>
      <c r="AP250" s="146"/>
      <c r="AQ250" s="146"/>
      <c r="AR250" s="146"/>
      <c r="AS250" s="146"/>
    </row>
    <row r="251" spans="1:45" s="222" customFormat="1" x14ac:dyDescent="0.2">
      <c r="A251" s="146"/>
      <c r="B251" s="296" t="s">
        <v>2091</v>
      </c>
      <c r="C251" s="296" t="s">
        <v>2092</v>
      </c>
      <c r="D251" s="296" t="s">
        <v>2093</v>
      </c>
      <c r="E251" s="297">
        <v>201702552</v>
      </c>
      <c r="F251" s="296" t="s">
        <v>1406</v>
      </c>
      <c r="G251" s="296" t="s">
        <v>1407</v>
      </c>
      <c r="H251" s="146"/>
      <c r="I251" s="146"/>
      <c r="J251" s="146"/>
      <c r="K251" s="146"/>
      <c r="L251" s="146"/>
      <c r="M251" s="146"/>
      <c r="N251" s="146"/>
      <c r="O251" s="146"/>
      <c r="P251" s="287">
        <f t="shared" si="11"/>
        <v>0</v>
      </c>
      <c r="Q251" s="146"/>
      <c r="R251" s="146"/>
      <c r="S251" s="146"/>
      <c r="T251" s="146"/>
      <c r="U251" s="146"/>
      <c r="V251" s="146"/>
      <c r="W251" s="146"/>
      <c r="X251" s="269"/>
      <c r="Y251" s="273">
        <f t="shared" si="12"/>
        <v>0</v>
      </c>
      <c r="Z251" s="146"/>
      <c r="AA251" s="146"/>
      <c r="AB251" s="146"/>
      <c r="AC251" s="146"/>
      <c r="AD251" s="146"/>
      <c r="AE251" s="146"/>
      <c r="AF251" s="146">
        <v>1</v>
      </c>
      <c r="AG251" s="299">
        <v>43202</v>
      </c>
      <c r="AH251" s="273">
        <f t="shared" si="13"/>
        <v>1</v>
      </c>
      <c r="AI251" s="146"/>
      <c r="AJ251" s="146" t="s">
        <v>2479</v>
      </c>
      <c r="AK251" s="146" t="s">
        <v>2480</v>
      </c>
      <c r="AL251" s="146"/>
      <c r="AM251" s="146"/>
      <c r="AN251" s="146"/>
      <c r="AO251" s="146"/>
      <c r="AP251" s="146"/>
      <c r="AQ251" s="146"/>
      <c r="AR251" s="146"/>
      <c r="AS251" s="146"/>
    </row>
    <row r="252" spans="1:45" s="222" customFormat="1" x14ac:dyDescent="0.2">
      <c r="A252" s="146"/>
      <c r="B252" s="296" t="s">
        <v>2094</v>
      </c>
      <c r="C252" s="296" t="s">
        <v>2095</v>
      </c>
      <c r="D252" s="296" t="s">
        <v>2085</v>
      </c>
      <c r="E252" s="297">
        <v>201702555</v>
      </c>
      <c r="F252" s="296" t="s">
        <v>1406</v>
      </c>
      <c r="G252" s="296" t="s">
        <v>1407</v>
      </c>
      <c r="H252" s="146"/>
      <c r="I252" s="146"/>
      <c r="J252" s="146"/>
      <c r="K252" s="146"/>
      <c r="L252" s="146"/>
      <c r="M252" s="146"/>
      <c r="N252" s="146"/>
      <c r="O252" s="146"/>
      <c r="P252" s="287">
        <f t="shared" si="11"/>
        <v>0</v>
      </c>
      <c r="Q252" s="146"/>
      <c r="R252" s="146"/>
      <c r="S252" s="146"/>
      <c r="T252" s="146"/>
      <c r="U252" s="146"/>
      <c r="V252" s="146"/>
      <c r="W252" s="146"/>
      <c r="X252" s="269"/>
      <c r="Y252" s="273">
        <f t="shared" si="12"/>
        <v>0</v>
      </c>
      <c r="Z252" s="146"/>
      <c r="AA252" s="146"/>
      <c r="AB252" s="146"/>
      <c r="AC252" s="146"/>
      <c r="AD252" s="146"/>
      <c r="AE252" s="146"/>
      <c r="AF252" s="146">
        <v>1</v>
      </c>
      <c r="AG252" s="299">
        <v>43202</v>
      </c>
      <c r="AH252" s="273">
        <f t="shared" si="13"/>
        <v>1</v>
      </c>
      <c r="AI252" s="146"/>
      <c r="AJ252" s="146" t="s">
        <v>2479</v>
      </c>
      <c r="AK252" s="146" t="s">
        <v>2480</v>
      </c>
      <c r="AL252" s="146"/>
      <c r="AM252" s="146"/>
      <c r="AN252" s="146"/>
      <c r="AO252" s="146"/>
      <c r="AP252" s="146"/>
      <c r="AQ252" s="146"/>
      <c r="AR252" s="146"/>
      <c r="AS252" s="146"/>
    </row>
    <row r="253" spans="1:45" s="222" customFormat="1" x14ac:dyDescent="0.2">
      <c r="A253" s="146"/>
      <c r="B253" s="296" t="s">
        <v>2096</v>
      </c>
      <c r="C253" s="296" t="s">
        <v>2097</v>
      </c>
      <c r="D253" s="296" t="s">
        <v>2098</v>
      </c>
      <c r="E253" s="297">
        <v>201703531</v>
      </c>
      <c r="F253" s="296" t="s">
        <v>1406</v>
      </c>
      <c r="G253" s="296" t="s">
        <v>1407</v>
      </c>
      <c r="H253" s="146"/>
      <c r="I253" s="146"/>
      <c r="J253" s="146"/>
      <c r="K253" s="146"/>
      <c r="L253" s="146"/>
      <c r="M253" s="146"/>
      <c r="N253" s="146"/>
      <c r="O253" s="146"/>
      <c r="P253" s="287">
        <f t="shared" si="11"/>
        <v>0</v>
      </c>
      <c r="Q253" s="146"/>
      <c r="R253" s="146"/>
      <c r="S253" s="146"/>
      <c r="T253" s="146"/>
      <c r="U253" s="146"/>
      <c r="V253" s="146"/>
      <c r="W253" s="146"/>
      <c r="X253" s="269"/>
      <c r="Y253" s="273">
        <f t="shared" si="12"/>
        <v>0</v>
      </c>
      <c r="Z253" s="146"/>
      <c r="AA253" s="146"/>
      <c r="AB253" s="146"/>
      <c r="AC253" s="146"/>
      <c r="AD253" s="146"/>
      <c r="AE253" s="146"/>
      <c r="AF253" s="146">
        <v>1</v>
      </c>
      <c r="AG253" s="299">
        <v>43202</v>
      </c>
      <c r="AH253" s="273">
        <f t="shared" si="13"/>
        <v>1</v>
      </c>
      <c r="AI253" s="146"/>
      <c r="AJ253" s="146" t="s">
        <v>2479</v>
      </c>
      <c r="AK253" s="146" t="s">
        <v>2480</v>
      </c>
      <c r="AL253" s="146"/>
      <c r="AM253" s="146"/>
      <c r="AN253" s="146"/>
      <c r="AO253" s="146"/>
      <c r="AP253" s="146"/>
      <c r="AQ253" s="146"/>
      <c r="AR253" s="146"/>
      <c r="AS253" s="146"/>
    </row>
    <row r="254" spans="1:45" s="222" customFormat="1" x14ac:dyDescent="0.2">
      <c r="A254" s="146"/>
      <c r="B254" s="296" t="s">
        <v>2099</v>
      </c>
      <c r="C254" s="296" t="s">
        <v>2100</v>
      </c>
      <c r="D254" s="296" t="s">
        <v>2101</v>
      </c>
      <c r="E254" s="297">
        <v>201703532</v>
      </c>
      <c r="F254" s="296" t="s">
        <v>1406</v>
      </c>
      <c r="G254" s="296" t="s">
        <v>1407</v>
      </c>
      <c r="H254" s="146"/>
      <c r="I254" s="146"/>
      <c r="J254" s="146"/>
      <c r="K254" s="146"/>
      <c r="L254" s="146"/>
      <c r="M254" s="146"/>
      <c r="N254" s="146"/>
      <c r="O254" s="146"/>
      <c r="P254" s="287">
        <f t="shared" si="11"/>
        <v>0</v>
      </c>
      <c r="Q254" s="146"/>
      <c r="R254" s="146"/>
      <c r="S254" s="146"/>
      <c r="T254" s="146"/>
      <c r="U254" s="146"/>
      <c r="V254" s="146"/>
      <c r="W254" s="146"/>
      <c r="X254" s="269"/>
      <c r="Y254" s="273">
        <f t="shared" si="12"/>
        <v>0</v>
      </c>
      <c r="Z254" s="146"/>
      <c r="AA254" s="146"/>
      <c r="AB254" s="146"/>
      <c r="AC254" s="146"/>
      <c r="AD254" s="146"/>
      <c r="AE254" s="146"/>
      <c r="AF254" s="146">
        <v>1</v>
      </c>
      <c r="AG254" s="299">
        <v>43202</v>
      </c>
      <c r="AH254" s="273">
        <f t="shared" si="13"/>
        <v>1</v>
      </c>
      <c r="AI254" s="146"/>
      <c r="AJ254" s="146" t="s">
        <v>2479</v>
      </c>
      <c r="AK254" s="146" t="s">
        <v>2480</v>
      </c>
      <c r="AL254" s="146"/>
      <c r="AM254" s="146"/>
      <c r="AN254" s="146"/>
      <c r="AO254" s="146"/>
      <c r="AP254" s="146"/>
      <c r="AQ254" s="146"/>
      <c r="AR254" s="146"/>
      <c r="AS254" s="146"/>
    </row>
    <row r="255" spans="1:45" s="222" customFormat="1" x14ac:dyDescent="0.2">
      <c r="A255" s="146"/>
      <c r="B255" s="296" t="s">
        <v>2102</v>
      </c>
      <c r="C255" s="296" t="s">
        <v>2103</v>
      </c>
      <c r="D255" s="296" t="s">
        <v>2104</v>
      </c>
      <c r="E255" s="297">
        <v>201703533</v>
      </c>
      <c r="F255" s="296" t="s">
        <v>1406</v>
      </c>
      <c r="G255" s="296" t="s">
        <v>1407</v>
      </c>
      <c r="H255" s="146"/>
      <c r="I255" s="146"/>
      <c r="J255" s="146"/>
      <c r="K255" s="146"/>
      <c r="L255" s="146"/>
      <c r="M255" s="146"/>
      <c r="N255" s="146"/>
      <c r="O255" s="146"/>
      <c r="P255" s="287">
        <f t="shared" si="11"/>
        <v>0</v>
      </c>
      <c r="Q255" s="146"/>
      <c r="R255" s="146"/>
      <c r="S255" s="146"/>
      <c r="T255" s="146"/>
      <c r="U255" s="146"/>
      <c r="V255" s="146"/>
      <c r="W255" s="146"/>
      <c r="X255" s="269"/>
      <c r="Y255" s="273">
        <f t="shared" si="12"/>
        <v>0</v>
      </c>
      <c r="Z255" s="146"/>
      <c r="AA255" s="146"/>
      <c r="AB255" s="146"/>
      <c r="AC255" s="146"/>
      <c r="AD255" s="146"/>
      <c r="AE255" s="146"/>
      <c r="AF255" s="146">
        <v>1</v>
      </c>
      <c r="AG255" s="299">
        <v>43202</v>
      </c>
      <c r="AH255" s="273">
        <f t="shared" si="13"/>
        <v>1</v>
      </c>
      <c r="AI255" s="146"/>
      <c r="AJ255" s="146" t="s">
        <v>2479</v>
      </c>
      <c r="AK255" s="146" t="s">
        <v>2480</v>
      </c>
      <c r="AL255" s="146"/>
      <c r="AM255" s="146"/>
      <c r="AN255" s="146"/>
      <c r="AO255" s="146"/>
      <c r="AP255" s="146"/>
      <c r="AQ255" s="146"/>
      <c r="AR255" s="146"/>
      <c r="AS255" s="146"/>
    </row>
    <row r="256" spans="1:45" s="222" customFormat="1" x14ac:dyDescent="0.2">
      <c r="A256" s="146"/>
      <c r="B256" s="296" t="s">
        <v>2105</v>
      </c>
      <c r="C256" s="296" t="s">
        <v>2106</v>
      </c>
      <c r="D256" s="296" t="s">
        <v>2101</v>
      </c>
      <c r="E256" s="297">
        <v>201703534</v>
      </c>
      <c r="F256" s="296" t="s">
        <v>1406</v>
      </c>
      <c r="G256" s="296" t="s">
        <v>1407</v>
      </c>
      <c r="H256" s="146"/>
      <c r="I256" s="146"/>
      <c r="J256" s="146"/>
      <c r="K256" s="146"/>
      <c r="L256" s="146"/>
      <c r="M256" s="146"/>
      <c r="N256" s="146"/>
      <c r="O256" s="146"/>
      <c r="P256" s="287">
        <f t="shared" si="11"/>
        <v>0</v>
      </c>
      <c r="Q256" s="146"/>
      <c r="R256" s="146"/>
      <c r="S256" s="146"/>
      <c r="T256" s="146"/>
      <c r="U256" s="146"/>
      <c r="V256" s="146"/>
      <c r="W256" s="146"/>
      <c r="X256" s="269"/>
      <c r="Y256" s="273">
        <f t="shared" si="12"/>
        <v>0</v>
      </c>
      <c r="Z256" s="146"/>
      <c r="AA256" s="146"/>
      <c r="AB256" s="146"/>
      <c r="AC256" s="146"/>
      <c r="AD256" s="146"/>
      <c r="AE256" s="146"/>
      <c r="AF256" s="146">
        <v>1</v>
      </c>
      <c r="AG256" s="299">
        <v>43202</v>
      </c>
      <c r="AH256" s="273">
        <f t="shared" si="13"/>
        <v>1</v>
      </c>
      <c r="AI256" s="146"/>
      <c r="AJ256" s="146" t="s">
        <v>2479</v>
      </c>
      <c r="AK256" s="146" t="s">
        <v>2480</v>
      </c>
      <c r="AL256" s="146"/>
      <c r="AM256" s="146"/>
      <c r="AN256" s="146"/>
      <c r="AO256" s="146"/>
      <c r="AP256" s="146"/>
      <c r="AQ256" s="146"/>
      <c r="AR256" s="146"/>
      <c r="AS256" s="146"/>
    </row>
    <row r="257" spans="1:45" s="222" customFormat="1" x14ac:dyDescent="0.2">
      <c r="A257" s="146"/>
      <c r="B257" s="296" t="s">
        <v>2107</v>
      </c>
      <c r="C257" s="296" t="s">
        <v>2108</v>
      </c>
      <c r="D257" s="296" t="s">
        <v>2109</v>
      </c>
      <c r="E257" s="297">
        <v>201703535</v>
      </c>
      <c r="F257" s="296" t="s">
        <v>1406</v>
      </c>
      <c r="G257" s="296" t="s">
        <v>1407</v>
      </c>
      <c r="H257" s="146"/>
      <c r="I257" s="146"/>
      <c r="J257" s="146"/>
      <c r="K257" s="146"/>
      <c r="L257" s="146"/>
      <c r="M257" s="146"/>
      <c r="N257" s="146"/>
      <c r="O257" s="146"/>
      <c r="P257" s="287">
        <f t="shared" si="11"/>
        <v>0</v>
      </c>
      <c r="Q257" s="146"/>
      <c r="R257" s="146"/>
      <c r="S257" s="146"/>
      <c r="T257" s="146"/>
      <c r="U257" s="146"/>
      <c r="V257" s="146"/>
      <c r="W257" s="146"/>
      <c r="X257" s="269"/>
      <c r="Y257" s="273">
        <f t="shared" si="12"/>
        <v>0</v>
      </c>
      <c r="Z257" s="146"/>
      <c r="AA257" s="146"/>
      <c r="AB257" s="146"/>
      <c r="AC257" s="146"/>
      <c r="AD257" s="146"/>
      <c r="AE257" s="146"/>
      <c r="AF257" s="146">
        <v>1</v>
      </c>
      <c r="AG257" s="299">
        <v>43186</v>
      </c>
      <c r="AH257" s="273">
        <f t="shared" si="13"/>
        <v>1</v>
      </c>
      <c r="AI257" s="146"/>
      <c r="AJ257" s="146" t="s">
        <v>2479</v>
      </c>
      <c r="AK257" s="146" t="s">
        <v>2480</v>
      </c>
      <c r="AL257" s="146"/>
      <c r="AM257" s="146"/>
      <c r="AN257" s="146"/>
      <c r="AO257" s="146"/>
      <c r="AP257" s="146"/>
      <c r="AQ257" s="146"/>
      <c r="AR257" s="146"/>
      <c r="AS257" s="146"/>
    </row>
    <row r="258" spans="1:45" s="222" customFormat="1" x14ac:dyDescent="0.2">
      <c r="A258" s="146"/>
      <c r="B258" s="296" t="s">
        <v>2110</v>
      </c>
      <c r="C258" s="296" t="s">
        <v>2111</v>
      </c>
      <c r="D258" s="296" t="s">
        <v>2112</v>
      </c>
      <c r="E258" s="297">
        <v>201703536</v>
      </c>
      <c r="F258" s="296" t="s">
        <v>1406</v>
      </c>
      <c r="G258" s="296" t="s">
        <v>1407</v>
      </c>
      <c r="H258" s="146"/>
      <c r="I258" s="146"/>
      <c r="J258" s="146"/>
      <c r="K258" s="146"/>
      <c r="L258" s="146"/>
      <c r="M258" s="146"/>
      <c r="N258" s="146"/>
      <c r="O258" s="146"/>
      <c r="P258" s="287">
        <f t="shared" si="11"/>
        <v>0</v>
      </c>
      <c r="Q258" s="146"/>
      <c r="R258" s="146"/>
      <c r="S258" s="146"/>
      <c r="T258" s="146"/>
      <c r="U258" s="146"/>
      <c r="V258" s="146"/>
      <c r="W258" s="146"/>
      <c r="X258" s="269"/>
      <c r="Y258" s="273">
        <f t="shared" si="12"/>
        <v>0</v>
      </c>
      <c r="Z258" s="146"/>
      <c r="AA258" s="146"/>
      <c r="AB258" s="146"/>
      <c r="AC258" s="146"/>
      <c r="AD258" s="146"/>
      <c r="AE258" s="146"/>
      <c r="AF258" s="146">
        <v>1</v>
      </c>
      <c r="AG258" s="299">
        <v>43202</v>
      </c>
      <c r="AH258" s="273">
        <f t="shared" si="13"/>
        <v>1</v>
      </c>
      <c r="AI258" s="146"/>
      <c r="AJ258" s="146" t="s">
        <v>2479</v>
      </c>
      <c r="AK258" s="146" t="s">
        <v>2480</v>
      </c>
      <c r="AL258" s="146"/>
      <c r="AM258" s="146"/>
      <c r="AN258" s="146"/>
      <c r="AO258" s="146"/>
      <c r="AP258" s="146"/>
      <c r="AQ258" s="146"/>
      <c r="AR258" s="146"/>
      <c r="AS258" s="146"/>
    </row>
    <row r="259" spans="1:45" s="222" customFormat="1" x14ac:dyDescent="0.2">
      <c r="A259" s="146"/>
      <c r="B259" s="296" t="s">
        <v>2113</v>
      </c>
      <c r="C259" s="296" t="s">
        <v>2114</v>
      </c>
      <c r="D259" s="296" t="s">
        <v>2098</v>
      </c>
      <c r="E259" s="297">
        <v>201703545</v>
      </c>
      <c r="F259" s="296" t="s">
        <v>1406</v>
      </c>
      <c r="G259" s="296" t="s">
        <v>1407</v>
      </c>
      <c r="H259" s="146"/>
      <c r="I259" s="146"/>
      <c r="J259" s="146"/>
      <c r="K259" s="146"/>
      <c r="L259" s="146"/>
      <c r="M259" s="146"/>
      <c r="N259" s="146"/>
      <c r="O259" s="146"/>
      <c r="P259" s="287">
        <f t="shared" si="11"/>
        <v>0</v>
      </c>
      <c r="Q259" s="146"/>
      <c r="R259" s="146"/>
      <c r="S259" s="146"/>
      <c r="T259" s="146"/>
      <c r="U259" s="146"/>
      <c r="V259" s="146"/>
      <c r="W259" s="146"/>
      <c r="X259" s="269"/>
      <c r="Y259" s="273">
        <f t="shared" si="12"/>
        <v>0</v>
      </c>
      <c r="Z259" s="146"/>
      <c r="AA259" s="146"/>
      <c r="AB259" s="146"/>
      <c r="AC259" s="146"/>
      <c r="AD259" s="146"/>
      <c r="AE259" s="146"/>
      <c r="AF259" s="146">
        <v>1</v>
      </c>
      <c r="AG259" s="299">
        <v>43215</v>
      </c>
      <c r="AH259" s="273">
        <f t="shared" si="13"/>
        <v>1</v>
      </c>
      <c r="AI259" s="146"/>
      <c r="AJ259" s="146" t="s">
        <v>2479</v>
      </c>
      <c r="AK259" s="146" t="s">
        <v>2480</v>
      </c>
      <c r="AL259" s="146"/>
      <c r="AM259" s="146"/>
      <c r="AN259" s="146"/>
      <c r="AO259" s="146"/>
      <c r="AP259" s="146"/>
      <c r="AQ259" s="146"/>
      <c r="AR259" s="146"/>
      <c r="AS259" s="146"/>
    </row>
    <row r="260" spans="1:45" s="222" customFormat="1" x14ac:dyDescent="0.2">
      <c r="A260" s="146"/>
      <c r="B260" s="296" t="s">
        <v>2115</v>
      </c>
      <c r="C260" s="296" t="s">
        <v>2116</v>
      </c>
      <c r="D260" s="296" t="s">
        <v>2117</v>
      </c>
      <c r="E260" s="297">
        <v>201703547</v>
      </c>
      <c r="F260" s="296" t="s">
        <v>1406</v>
      </c>
      <c r="G260" s="296" t="s">
        <v>1407</v>
      </c>
      <c r="H260" s="146"/>
      <c r="I260" s="146"/>
      <c r="J260" s="146"/>
      <c r="K260" s="146"/>
      <c r="L260" s="146"/>
      <c r="M260" s="146"/>
      <c r="N260" s="146"/>
      <c r="O260" s="146"/>
      <c r="P260" s="287">
        <f t="shared" si="11"/>
        <v>0</v>
      </c>
      <c r="Q260" s="146"/>
      <c r="R260" s="146"/>
      <c r="S260" s="146"/>
      <c r="T260" s="146"/>
      <c r="U260" s="146"/>
      <c r="V260" s="146"/>
      <c r="W260" s="146"/>
      <c r="X260" s="269"/>
      <c r="Y260" s="273">
        <f t="shared" si="12"/>
        <v>0</v>
      </c>
      <c r="Z260" s="146"/>
      <c r="AA260" s="146"/>
      <c r="AB260" s="146"/>
      <c r="AC260" s="146"/>
      <c r="AD260" s="146"/>
      <c r="AE260" s="146"/>
      <c r="AF260" s="146">
        <v>1</v>
      </c>
      <c r="AG260" s="299">
        <v>43202</v>
      </c>
      <c r="AH260" s="273">
        <f t="shared" si="13"/>
        <v>1</v>
      </c>
      <c r="AI260" s="146"/>
      <c r="AJ260" s="146" t="s">
        <v>2479</v>
      </c>
      <c r="AK260" s="146" t="s">
        <v>2480</v>
      </c>
      <c r="AL260" s="146"/>
      <c r="AM260" s="146"/>
      <c r="AN260" s="146"/>
      <c r="AO260" s="146"/>
      <c r="AP260" s="146"/>
      <c r="AQ260" s="146"/>
      <c r="AR260" s="146"/>
      <c r="AS260" s="146"/>
    </row>
    <row r="261" spans="1:45" s="222" customFormat="1" x14ac:dyDescent="0.2">
      <c r="A261" s="146"/>
      <c r="B261" s="296" t="s">
        <v>2118</v>
      </c>
      <c r="C261" s="296" t="s">
        <v>2119</v>
      </c>
      <c r="D261" s="296" t="s">
        <v>2120</v>
      </c>
      <c r="E261" s="297">
        <v>201703551</v>
      </c>
      <c r="F261" s="296" t="s">
        <v>1406</v>
      </c>
      <c r="G261" s="296" t="s">
        <v>1407</v>
      </c>
      <c r="H261" s="146"/>
      <c r="I261" s="146"/>
      <c r="J261" s="146"/>
      <c r="K261" s="146"/>
      <c r="L261" s="146"/>
      <c r="M261" s="146"/>
      <c r="N261" s="146"/>
      <c r="O261" s="146"/>
      <c r="P261" s="287">
        <f t="shared" si="11"/>
        <v>0</v>
      </c>
      <c r="Q261" s="146"/>
      <c r="R261" s="146"/>
      <c r="S261" s="146"/>
      <c r="T261" s="146"/>
      <c r="U261" s="146"/>
      <c r="V261" s="146"/>
      <c r="W261" s="146"/>
      <c r="X261" s="269"/>
      <c r="Y261" s="273">
        <f t="shared" si="12"/>
        <v>0</v>
      </c>
      <c r="Z261" s="146"/>
      <c r="AA261" s="146"/>
      <c r="AB261" s="146"/>
      <c r="AC261" s="146"/>
      <c r="AD261" s="146"/>
      <c r="AE261" s="146"/>
      <c r="AF261" s="146">
        <v>1</v>
      </c>
      <c r="AG261" s="299">
        <v>43202</v>
      </c>
      <c r="AH261" s="273">
        <f t="shared" si="13"/>
        <v>1</v>
      </c>
      <c r="AI261" s="146"/>
      <c r="AJ261" s="146" t="s">
        <v>2479</v>
      </c>
      <c r="AK261" s="146" t="s">
        <v>2480</v>
      </c>
      <c r="AL261" s="146"/>
      <c r="AM261" s="146"/>
      <c r="AN261" s="146"/>
      <c r="AO261" s="146"/>
      <c r="AP261" s="146"/>
      <c r="AQ261" s="146"/>
      <c r="AR261" s="146"/>
      <c r="AS261" s="146"/>
    </row>
    <row r="262" spans="1:45" s="222" customFormat="1" x14ac:dyDescent="0.2">
      <c r="A262" s="146"/>
      <c r="B262" s="296" t="s">
        <v>2121</v>
      </c>
      <c r="C262" s="296" t="s">
        <v>2122</v>
      </c>
      <c r="D262" s="296" t="s">
        <v>2104</v>
      </c>
      <c r="E262" s="297">
        <v>201703554</v>
      </c>
      <c r="F262" s="296" t="s">
        <v>1406</v>
      </c>
      <c r="G262" s="296" t="s">
        <v>1407</v>
      </c>
      <c r="H262" s="146"/>
      <c r="I262" s="146"/>
      <c r="J262" s="146"/>
      <c r="K262" s="146"/>
      <c r="L262" s="146"/>
      <c r="M262" s="146"/>
      <c r="N262" s="146"/>
      <c r="O262" s="146"/>
      <c r="P262" s="287">
        <f t="shared" si="11"/>
        <v>0</v>
      </c>
      <c r="Q262" s="146"/>
      <c r="R262" s="146"/>
      <c r="S262" s="146"/>
      <c r="T262" s="146"/>
      <c r="U262" s="146"/>
      <c r="V262" s="146"/>
      <c r="W262" s="146"/>
      <c r="X262" s="269"/>
      <c r="Y262" s="273">
        <f t="shared" si="12"/>
        <v>0</v>
      </c>
      <c r="Z262" s="146"/>
      <c r="AA262" s="146"/>
      <c r="AB262" s="146"/>
      <c r="AC262" s="146"/>
      <c r="AD262" s="146"/>
      <c r="AE262" s="146"/>
      <c r="AF262" s="146">
        <v>1</v>
      </c>
      <c r="AG262" s="299">
        <v>43203</v>
      </c>
      <c r="AH262" s="273">
        <f t="shared" si="13"/>
        <v>1</v>
      </c>
      <c r="AI262" s="146"/>
      <c r="AJ262" s="146" t="s">
        <v>2479</v>
      </c>
      <c r="AK262" s="146" t="s">
        <v>2480</v>
      </c>
      <c r="AL262" s="146"/>
      <c r="AM262" s="146"/>
      <c r="AN262" s="146"/>
      <c r="AO262" s="146"/>
      <c r="AP262" s="146"/>
      <c r="AQ262" s="146"/>
      <c r="AR262" s="146"/>
      <c r="AS262" s="146"/>
    </row>
    <row r="263" spans="1:45" s="222" customFormat="1" x14ac:dyDescent="0.2">
      <c r="A263" s="146"/>
      <c r="B263" s="296" t="s">
        <v>2123</v>
      </c>
      <c r="C263" s="296" t="s">
        <v>2124</v>
      </c>
      <c r="D263" s="296" t="s">
        <v>2098</v>
      </c>
      <c r="E263" s="297">
        <v>201703558</v>
      </c>
      <c r="F263" s="296" t="s">
        <v>1406</v>
      </c>
      <c r="G263" s="296" t="s">
        <v>1407</v>
      </c>
      <c r="H263" s="146"/>
      <c r="I263" s="146"/>
      <c r="J263" s="146"/>
      <c r="K263" s="146"/>
      <c r="L263" s="146"/>
      <c r="M263" s="146"/>
      <c r="N263" s="146"/>
      <c r="O263" s="146"/>
      <c r="P263" s="287">
        <f t="shared" si="11"/>
        <v>0</v>
      </c>
      <c r="Q263" s="146"/>
      <c r="R263" s="146"/>
      <c r="S263" s="146"/>
      <c r="T263" s="146"/>
      <c r="U263" s="146"/>
      <c r="V263" s="146"/>
      <c r="W263" s="146"/>
      <c r="X263" s="269"/>
      <c r="Y263" s="273">
        <f t="shared" si="12"/>
        <v>0</v>
      </c>
      <c r="Z263" s="146"/>
      <c r="AA263" s="146"/>
      <c r="AB263" s="146"/>
      <c r="AC263" s="146"/>
      <c r="AD263" s="146"/>
      <c r="AE263" s="146"/>
      <c r="AF263" s="146">
        <v>1</v>
      </c>
      <c r="AG263" s="299">
        <v>43203</v>
      </c>
      <c r="AH263" s="273">
        <f t="shared" si="13"/>
        <v>1</v>
      </c>
      <c r="AI263" s="146"/>
      <c r="AJ263" s="146" t="s">
        <v>2479</v>
      </c>
      <c r="AK263" s="146" t="s">
        <v>2480</v>
      </c>
      <c r="AL263" s="146"/>
      <c r="AM263" s="146"/>
      <c r="AN263" s="146"/>
      <c r="AO263" s="146"/>
      <c r="AP263" s="146"/>
      <c r="AQ263" s="146"/>
      <c r="AR263" s="146"/>
      <c r="AS263" s="146"/>
    </row>
    <row r="264" spans="1:45" s="222" customFormat="1" x14ac:dyDescent="0.2">
      <c r="A264" s="146"/>
      <c r="B264" s="296" t="s">
        <v>2125</v>
      </c>
      <c r="C264" s="296" t="s">
        <v>2126</v>
      </c>
      <c r="D264" s="296" t="s">
        <v>2127</v>
      </c>
      <c r="E264" s="297">
        <v>201703244</v>
      </c>
      <c r="F264" s="296" t="s">
        <v>1406</v>
      </c>
      <c r="G264" s="296" t="s">
        <v>1407</v>
      </c>
      <c r="H264" s="146"/>
      <c r="I264" s="146"/>
      <c r="J264" s="146"/>
      <c r="K264" s="146"/>
      <c r="L264" s="146"/>
      <c r="M264" s="146"/>
      <c r="N264" s="146"/>
      <c r="O264" s="146"/>
      <c r="P264" s="287">
        <f t="shared" si="11"/>
        <v>0</v>
      </c>
      <c r="Q264" s="146"/>
      <c r="R264" s="146"/>
      <c r="S264" s="146"/>
      <c r="T264" s="146"/>
      <c r="U264" s="146"/>
      <c r="V264" s="146"/>
      <c r="W264" s="146"/>
      <c r="X264" s="269"/>
      <c r="Y264" s="273">
        <f t="shared" si="12"/>
        <v>0</v>
      </c>
      <c r="Z264" s="146"/>
      <c r="AA264" s="146"/>
      <c r="AB264" s="146"/>
      <c r="AC264" s="146"/>
      <c r="AD264" s="146"/>
      <c r="AE264" s="146"/>
      <c r="AF264" s="146">
        <v>1</v>
      </c>
      <c r="AG264" s="299">
        <v>43203</v>
      </c>
      <c r="AH264" s="273">
        <f t="shared" si="13"/>
        <v>1</v>
      </c>
      <c r="AI264" s="146"/>
      <c r="AJ264" s="146" t="s">
        <v>2479</v>
      </c>
      <c r="AK264" s="146" t="s">
        <v>2480</v>
      </c>
      <c r="AL264" s="146"/>
      <c r="AM264" s="146"/>
      <c r="AN264" s="146"/>
      <c r="AO264" s="146"/>
      <c r="AP264" s="146"/>
      <c r="AQ264" s="146"/>
      <c r="AR264" s="146"/>
      <c r="AS264" s="146"/>
    </row>
    <row r="265" spans="1:45" s="222" customFormat="1" x14ac:dyDescent="0.2">
      <c r="A265" s="146"/>
      <c r="B265" s="296" t="s">
        <v>2128</v>
      </c>
      <c r="C265" s="296" t="s">
        <v>2129</v>
      </c>
      <c r="D265" s="296" t="s">
        <v>2130</v>
      </c>
      <c r="E265" s="297">
        <v>201703250</v>
      </c>
      <c r="F265" s="296" t="s">
        <v>1406</v>
      </c>
      <c r="G265" s="296" t="s">
        <v>1407</v>
      </c>
      <c r="H265" s="146"/>
      <c r="I265" s="146"/>
      <c r="J265" s="146"/>
      <c r="K265" s="146"/>
      <c r="L265" s="146"/>
      <c r="M265" s="146"/>
      <c r="N265" s="146"/>
      <c r="O265" s="146"/>
      <c r="P265" s="287">
        <f t="shared" si="11"/>
        <v>0</v>
      </c>
      <c r="Q265" s="146"/>
      <c r="R265" s="146"/>
      <c r="S265" s="146"/>
      <c r="T265" s="146"/>
      <c r="U265" s="146"/>
      <c r="V265" s="146"/>
      <c r="W265" s="146"/>
      <c r="X265" s="269"/>
      <c r="Y265" s="273">
        <f t="shared" si="12"/>
        <v>0</v>
      </c>
      <c r="Z265" s="146"/>
      <c r="AA265" s="146"/>
      <c r="AB265" s="146"/>
      <c r="AC265" s="146"/>
      <c r="AD265" s="146"/>
      <c r="AE265" s="146"/>
      <c r="AF265" s="146">
        <v>1</v>
      </c>
      <c r="AG265" s="299">
        <v>43182</v>
      </c>
      <c r="AH265" s="273">
        <f t="shared" si="13"/>
        <v>1</v>
      </c>
      <c r="AI265" s="146"/>
      <c r="AJ265" s="146" t="s">
        <v>2479</v>
      </c>
      <c r="AK265" s="146" t="s">
        <v>2480</v>
      </c>
      <c r="AL265" s="146"/>
      <c r="AM265" s="146"/>
      <c r="AN265" s="146"/>
      <c r="AO265" s="146"/>
      <c r="AP265" s="146"/>
      <c r="AQ265" s="146"/>
      <c r="AR265" s="146"/>
      <c r="AS265" s="146"/>
    </row>
    <row r="266" spans="1:45" s="222" customFormat="1" x14ac:dyDescent="0.2">
      <c r="A266" s="146"/>
      <c r="B266" s="296" t="s">
        <v>2131</v>
      </c>
      <c r="C266" s="296" t="s">
        <v>2132</v>
      </c>
      <c r="D266" s="296" t="s">
        <v>2133</v>
      </c>
      <c r="E266" s="297">
        <v>201703251</v>
      </c>
      <c r="F266" s="296" t="s">
        <v>1406</v>
      </c>
      <c r="G266" s="296" t="s">
        <v>1407</v>
      </c>
      <c r="H266" s="146"/>
      <c r="I266" s="146"/>
      <c r="J266" s="146"/>
      <c r="K266" s="146"/>
      <c r="L266" s="146"/>
      <c r="M266" s="146"/>
      <c r="N266" s="146"/>
      <c r="O266" s="146"/>
      <c r="P266" s="287">
        <f t="shared" si="11"/>
        <v>0</v>
      </c>
      <c r="Q266" s="146"/>
      <c r="R266" s="146"/>
      <c r="S266" s="146"/>
      <c r="T266" s="146"/>
      <c r="U266" s="146"/>
      <c r="V266" s="146"/>
      <c r="W266" s="146"/>
      <c r="X266" s="269"/>
      <c r="Y266" s="273">
        <f t="shared" si="12"/>
        <v>0</v>
      </c>
      <c r="Z266" s="146"/>
      <c r="AA266" s="146"/>
      <c r="AB266" s="146"/>
      <c r="AC266" s="146"/>
      <c r="AD266" s="146"/>
      <c r="AE266" s="146"/>
      <c r="AF266" s="146">
        <v>1</v>
      </c>
      <c r="AG266" s="299">
        <v>43182</v>
      </c>
      <c r="AH266" s="273">
        <f t="shared" si="13"/>
        <v>1</v>
      </c>
      <c r="AI266" s="146"/>
      <c r="AJ266" s="146" t="s">
        <v>2479</v>
      </c>
      <c r="AK266" s="146" t="s">
        <v>2480</v>
      </c>
      <c r="AL266" s="146"/>
      <c r="AM266" s="146"/>
      <c r="AN266" s="146"/>
      <c r="AO266" s="146"/>
      <c r="AP266" s="146"/>
      <c r="AQ266" s="146"/>
      <c r="AR266" s="146"/>
      <c r="AS266" s="146"/>
    </row>
    <row r="267" spans="1:45" s="222" customFormat="1" x14ac:dyDescent="0.2">
      <c r="A267" s="146"/>
      <c r="B267" s="296" t="s">
        <v>2134</v>
      </c>
      <c r="C267" s="296" t="s">
        <v>2135</v>
      </c>
      <c r="D267" s="296" t="s">
        <v>2130</v>
      </c>
      <c r="E267" s="297">
        <v>201703253</v>
      </c>
      <c r="F267" s="296" t="s">
        <v>1406</v>
      </c>
      <c r="G267" s="296" t="s">
        <v>1407</v>
      </c>
      <c r="H267" s="146"/>
      <c r="I267" s="146"/>
      <c r="J267" s="146"/>
      <c r="K267" s="146"/>
      <c r="L267" s="146"/>
      <c r="M267" s="146"/>
      <c r="N267" s="146"/>
      <c r="O267" s="146"/>
      <c r="P267" s="287">
        <f t="shared" si="11"/>
        <v>0</v>
      </c>
      <c r="Q267" s="146"/>
      <c r="R267" s="146"/>
      <c r="S267" s="146"/>
      <c r="T267" s="146"/>
      <c r="U267" s="146"/>
      <c r="V267" s="146"/>
      <c r="W267" s="146"/>
      <c r="X267" s="269"/>
      <c r="Y267" s="273">
        <f t="shared" si="12"/>
        <v>0</v>
      </c>
      <c r="Z267" s="146"/>
      <c r="AA267" s="146"/>
      <c r="AB267" s="146"/>
      <c r="AC267" s="146"/>
      <c r="AD267" s="146"/>
      <c r="AE267" s="146"/>
      <c r="AF267" s="146">
        <v>1</v>
      </c>
      <c r="AG267" s="299">
        <v>43182</v>
      </c>
      <c r="AH267" s="273">
        <f t="shared" si="13"/>
        <v>1</v>
      </c>
      <c r="AI267" s="146"/>
      <c r="AJ267" s="146" t="s">
        <v>2479</v>
      </c>
      <c r="AK267" s="146" t="s">
        <v>2480</v>
      </c>
      <c r="AL267" s="146"/>
      <c r="AM267" s="146"/>
      <c r="AN267" s="146"/>
      <c r="AO267" s="146"/>
      <c r="AP267" s="146"/>
      <c r="AQ267" s="146"/>
      <c r="AR267" s="146"/>
      <c r="AS267" s="146"/>
    </row>
    <row r="268" spans="1:45" s="222" customFormat="1" x14ac:dyDescent="0.2">
      <c r="A268" s="146"/>
      <c r="B268" s="296" t="s">
        <v>2136</v>
      </c>
      <c r="C268" s="296" t="s">
        <v>2137</v>
      </c>
      <c r="D268" s="296" t="s">
        <v>2138</v>
      </c>
      <c r="E268" s="297">
        <v>201703279</v>
      </c>
      <c r="F268" s="296" t="s">
        <v>1406</v>
      </c>
      <c r="G268" s="296" t="s">
        <v>1407</v>
      </c>
      <c r="H268" s="146"/>
      <c r="I268" s="146"/>
      <c r="J268" s="146"/>
      <c r="K268" s="146"/>
      <c r="L268" s="146"/>
      <c r="M268" s="146"/>
      <c r="N268" s="146"/>
      <c r="O268" s="146"/>
      <c r="P268" s="287">
        <f t="shared" si="11"/>
        <v>0</v>
      </c>
      <c r="Q268" s="146"/>
      <c r="R268" s="146"/>
      <c r="S268" s="146"/>
      <c r="T268" s="146"/>
      <c r="U268" s="146"/>
      <c r="V268" s="146"/>
      <c r="W268" s="146"/>
      <c r="X268" s="269"/>
      <c r="Y268" s="273">
        <f t="shared" si="12"/>
        <v>0</v>
      </c>
      <c r="Z268" s="146"/>
      <c r="AA268" s="146"/>
      <c r="AB268" s="146"/>
      <c r="AC268" s="146"/>
      <c r="AD268" s="146"/>
      <c r="AE268" s="146"/>
      <c r="AF268" s="146">
        <v>1</v>
      </c>
      <c r="AG268" s="299">
        <v>43203</v>
      </c>
      <c r="AH268" s="273">
        <f t="shared" si="13"/>
        <v>1</v>
      </c>
      <c r="AI268" s="146"/>
      <c r="AJ268" s="146" t="s">
        <v>2479</v>
      </c>
      <c r="AK268" s="146" t="s">
        <v>2480</v>
      </c>
      <c r="AL268" s="146"/>
      <c r="AM268" s="146"/>
      <c r="AN268" s="146"/>
      <c r="AO268" s="146"/>
      <c r="AP268" s="146"/>
      <c r="AQ268" s="146"/>
      <c r="AR268" s="146"/>
      <c r="AS268" s="146"/>
    </row>
    <row r="269" spans="1:45" s="222" customFormat="1" x14ac:dyDescent="0.2">
      <c r="A269" s="146"/>
      <c r="B269" s="296" t="s">
        <v>2139</v>
      </c>
      <c r="C269" s="296" t="s">
        <v>2140</v>
      </c>
      <c r="D269" s="296" t="s">
        <v>2141</v>
      </c>
      <c r="E269" s="297">
        <v>201703281</v>
      </c>
      <c r="F269" s="296" t="s">
        <v>1406</v>
      </c>
      <c r="G269" s="296" t="s">
        <v>1407</v>
      </c>
      <c r="H269" s="146"/>
      <c r="I269" s="146"/>
      <c r="J269" s="146"/>
      <c r="K269" s="146"/>
      <c r="L269" s="146"/>
      <c r="M269" s="146"/>
      <c r="N269" s="146"/>
      <c r="O269" s="146"/>
      <c r="P269" s="287">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146">
        <v>1</v>
      </c>
      <c r="AG269" s="299">
        <v>43203</v>
      </c>
      <c r="AH269" s="273">
        <f t="shared" si="13"/>
        <v>1</v>
      </c>
      <c r="AI269" s="146"/>
      <c r="AJ269" s="146" t="s">
        <v>2479</v>
      </c>
      <c r="AK269" s="146" t="s">
        <v>2480</v>
      </c>
      <c r="AL269" s="146"/>
      <c r="AM269" s="146"/>
      <c r="AN269" s="146"/>
      <c r="AO269" s="146"/>
      <c r="AP269" s="146"/>
      <c r="AQ269" s="146"/>
      <c r="AR269" s="146"/>
      <c r="AS269" s="146"/>
    </row>
    <row r="270" spans="1:45" s="222" customFormat="1" x14ac:dyDescent="0.2">
      <c r="A270" s="146"/>
      <c r="B270" s="296" t="s">
        <v>2142</v>
      </c>
      <c r="C270" s="296" t="s">
        <v>2143</v>
      </c>
      <c r="D270" s="296" t="s">
        <v>2144</v>
      </c>
      <c r="E270" s="297">
        <v>201703284</v>
      </c>
      <c r="F270" s="296" t="s">
        <v>1406</v>
      </c>
      <c r="G270" s="296" t="s">
        <v>1407</v>
      </c>
      <c r="H270" s="146"/>
      <c r="I270" s="146"/>
      <c r="J270" s="146"/>
      <c r="K270" s="146"/>
      <c r="L270" s="146"/>
      <c r="M270" s="146"/>
      <c r="N270" s="146"/>
      <c r="O270" s="146"/>
      <c r="P270" s="287">
        <f t="shared" si="14"/>
        <v>0</v>
      </c>
      <c r="Q270" s="146"/>
      <c r="R270" s="146"/>
      <c r="S270" s="146"/>
      <c r="T270" s="146"/>
      <c r="U270" s="146"/>
      <c r="V270" s="146"/>
      <c r="W270" s="146"/>
      <c r="X270" s="269"/>
      <c r="Y270" s="273">
        <f t="shared" si="15"/>
        <v>0</v>
      </c>
      <c r="Z270" s="146"/>
      <c r="AA270" s="146"/>
      <c r="AB270" s="146"/>
      <c r="AC270" s="146"/>
      <c r="AD270" s="146"/>
      <c r="AE270" s="146"/>
      <c r="AF270" s="146">
        <v>1</v>
      </c>
      <c r="AG270" s="299">
        <v>43203</v>
      </c>
      <c r="AH270" s="273">
        <f t="shared" si="13"/>
        <v>1</v>
      </c>
      <c r="AI270" s="146"/>
      <c r="AJ270" s="146" t="s">
        <v>2479</v>
      </c>
      <c r="AK270" s="146" t="s">
        <v>2480</v>
      </c>
      <c r="AL270" s="146"/>
      <c r="AM270" s="146"/>
      <c r="AN270" s="146"/>
      <c r="AO270" s="146"/>
      <c r="AP270" s="146"/>
      <c r="AQ270" s="146"/>
      <c r="AR270" s="146"/>
      <c r="AS270" s="146"/>
    </row>
    <row r="271" spans="1:45" s="222" customFormat="1" x14ac:dyDescent="0.2">
      <c r="A271" s="146"/>
      <c r="B271" s="296" t="s">
        <v>2145</v>
      </c>
      <c r="C271" s="296" t="s">
        <v>2146</v>
      </c>
      <c r="D271" s="296" t="s">
        <v>2147</v>
      </c>
      <c r="E271" s="297">
        <v>201703287</v>
      </c>
      <c r="F271" s="296" t="s">
        <v>1406</v>
      </c>
      <c r="G271" s="296" t="s">
        <v>1407</v>
      </c>
      <c r="H271" s="146"/>
      <c r="I271" s="146"/>
      <c r="J271" s="146"/>
      <c r="K271" s="146"/>
      <c r="L271" s="146"/>
      <c r="M271" s="146"/>
      <c r="N271" s="146"/>
      <c r="O271" s="146"/>
      <c r="P271" s="287">
        <f t="shared" si="14"/>
        <v>0</v>
      </c>
      <c r="Q271" s="146"/>
      <c r="R271" s="146"/>
      <c r="S271" s="146"/>
      <c r="T271" s="146"/>
      <c r="U271" s="146"/>
      <c r="V271" s="146"/>
      <c r="W271" s="146"/>
      <c r="X271" s="269"/>
      <c r="Y271" s="273">
        <f t="shared" si="15"/>
        <v>0</v>
      </c>
      <c r="Z271" s="146"/>
      <c r="AA271" s="146"/>
      <c r="AB271" s="146"/>
      <c r="AC271" s="146"/>
      <c r="AD271" s="146"/>
      <c r="AE271" s="146"/>
      <c r="AF271" s="146">
        <v>1</v>
      </c>
      <c r="AG271" s="299">
        <v>43203</v>
      </c>
      <c r="AH271" s="273">
        <f t="shared" si="13"/>
        <v>1</v>
      </c>
      <c r="AI271" s="146"/>
      <c r="AJ271" s="146" t="s">
        <v>2479</v>
      </c>
      <c r="AK271" s="146" t="s">
        <v>2480</v>
      </c>
      <c r="AL271" s="146"/>
      <c r="AM271" s="146"/>
      <c r="AN271" s="146"/>
      <c r="AO271" s="146"/>
      <c r="AP271" s="146"/>
      <c r="AQ271" s="146"/>
      <c r="AR271" s="146"/>
      <c r="AS271" s="146"/>
    </row>
    <row r="272" spans="1:45" s="222" customFormat="1" x14ac:dyDescent="0.2">
      <c r="A272" s="146"/>
      <c r="B272" s="296" t="s">
        <v>2148</v>
      </c>
      <c r="C272" s="296" t="s">
        <v>2149</v>
      </c>
      <c r="D272" s="296" t="s">
        <v>2141</v>
      </c>
      <c r="E272" s="297">
        <v>201703291</v>
      </c>
      <c r="F272" s="296" t="s">
        <v>1406</v>
      </c>
      <c r="G272" s="296" t="s">
        <v>1407</v>
      </c>
      <c r="H272" s="146"/>
      <c r="I272" s="146"/>
      <c r="J272" s="146"/>
      <c r="K272" s="146"/>
      <c r="L272" s="146"/>
      <c r="M272" s="146"/>
      <c r="N272" s="146"/>
      <c r="O272" s="146"/>
      <c r="P272" s="287">
        <f t="shared" si="14"/>
        <v>0</v>
      </c>
      <c r="Q272" s="146"/>
      <c r="R272" s="146"/>
      <c r="S272" s="146"/>
      <c r="T272" s="146"/>
      <c r="U272" s="146"/>
      <c r="V272" s="146"/>
      <c r="W272" s="146"/>
      <c r="X272" s="269"/>
      <c r="Y272" s="273">
        <f t="shared" si="15"/>
        <v>0</v>
      </c>
      <c r="Z272" s="146"/>
      <c r="AA272" s="146"/>
      <c r="AB272" s="146"/>
      <c r="AC272" s="146"/>
      <c r="AD272" s="146"/>
      <c r="AE272" s="146"/>
      <c r="AF272" s="146">
        <v>1</v>
      </c>
      <c r="AG272" s="299">
        <v>43203</v>
      </c>
      <c r="AH272" s="273">
        <f t="shared" si="13"/>
        <v>1</v>
      </c>
      <c r="AI272" s="146"/>
      <c r="AJ272" s="146" t="s">
        <v>2479</v>
      </c>
      <c r="AK272" s="146" t="s">
        <v>2480</v>
      </c>
      <c r="AL272" s="146"/>
      <c r="AM272" s="146"/>
      <c r="AN272" s="146"/>
      <c r="AO272" s="146"/>
      <c r="AP272" s="146"/>
      <c r="AQ272" s="146"/>
      <c r="AR272" s="146"/>
      <c r="AS272" s="146"/>
    </row>
    <row r="273" spans="1:45" s="222" customFormat="1" x14ac:dyDescent="0.2">
      <c r="A273" s="146"/>
      <c r="B273" s="296" t="s">
        <v>2150</v>
      </c>
      <c r="C273" s="296" t="s">
        <v>2151</v>
      </c>
      <c r="D273" s="296" t="s">
        <v>2152</v>
      </c>
      <c r="E273" s="297">
        <v>201606862</v>
      </c>
      <c r="F273" s="296" t="s">
        <v>1406</v>
      </c>
      <c r="G273" s="296" t="s">
        <v>1407</v>
      </c>
      <c r="H273" s="146"/>
      <c r="I273" s="146"/>
      <c r="J273" s="146"/>
      <c r="K273" s="146"/>
      <c r="L273" s="146"/>
      <c r="M273" s="146"/>
      <c r="N273" s="146"/>
      <c r="O273" s="146"/>
      <c r="P273" s="287">
        <f t="shared" si="14"/>
        <v>0</v>
      </c>
      <c r="Q273" s="146"/>
      <c r="R273" s="146"/>
      <c r="S273" s="146"/>
      <c r="T273" s="146"/>
      <c r="U273" s="146"/>
      <c r="V273" s="146"/>
      <c r="W273" s="146"/>
      <c r="X273" s="269"/>
      <c r="Y273" s="273">
        <f t="shared" si="15"/>
        <v>0</v>
      </c>
      <c r="Z273" s="146"/>
      <c r="AA273" s="146"/>
      <c r="AB273" s="146"/>
      <c r="AC273" s="146"/>
      <c r="AD273" s="146"/>
      <c r="AE273" s="146"/>
      <c r="AF273" s="146">
        <v>1</v>
      </c>
      <c r="AG273" s="299">
        <v>43297</v>
      </c>
      <c r="AH273" s="273">
        <f t="shared" si="13"/>
        <v>1</v>
      </c>
      <c r="AI273" s="146"/>
      <c r="AJ273" s="146" t="s">
        <v>2479</v>
      </c>
      <c r="AK273" s="146" t="s">
        <v>2480</v>
      </c>
      <c r="AL273" s="146"/>
      <c r="AM273" s="146"/>
      <c r="AN273" s="146"/>
      <c r="AO273" s="146"/>
      <c r="AP273" s="146"/>
      <c r="AQ273" s="146"/>
      <c r="AR273" s="146"/>
      <c r="AS273" s="146"/>
    </row>
    <row r="274" spans="1:45" s="222" customFormat="1" x14ac:dyDescent="0.2">
      <c r="A274" s="146"/>
      <c r="B274" s="296" t="s">
        <v>2153</v>
      </c>
      <c r="C274" s="296" t="s">
        <v>2154</v>
      </c>
      <c r="D274" s="296" t="s">
        <v>2155</v>
      </c>
      <c r="E274" s="297">
        <v>201607034</v>
      </c>
      <c r="F274" s="296" t="s">
        <v>1406</v>
      </c>
      <c r="G274" s="296" t="s">
        <v>1407</v>
      </c>
      <c r="H274" s="146"/>
      <c r="I274" s="146"/>
      <c r="J274" s="146"/>
      <c r="K274" s="146"/>
      <c r="L274" s="146"/>
      <c r="M274" s="146"/>
      <c r="N274" s="146"/>
      <c r="O274" s="146"/>
      <c r="P274" s="287">
        <f t="shared" si="14"/>
        <v>0</v>
      </c>
      <c r="Q274" s="146"/>
      <c r="R274" s="146"/>
      <c r="S274" s="146"/>
      <c r="T274" s="146"/>
      <c r="U274" s="146"/>
      <c r="V274" s="146"/>
      <c r="W274" s="146"/>
      <c r="X274" s="269"/>
      <c r="Y274" s="273">
        <f t="shared" si="15"/>
        <v>0</v>
      </c>
      <c r="Z274" s="146"/>
      <c r="AA274" s="146"/>
      <c r="AB274" s="146"/>
      <c r="AC274" s="146"/>
      <c r="AD274" s="146"/>
      <c r="AE274" s="146"/>
      <c r="AF274" s="146">
        <v>1</v>
      </c>
      <c r="AG274" s="299">
        <v>43297</v>
      </c>
      <c r="AH274" s="273">
        <f t="shared" si="13"/>
        <v>1</v>
      </c>
      <c r="AI274" s="146"/>
      <c r="AJ274" s="146" t="s">
        <v>2479</v>
      </c>
      <c r="AK274" s="146" t="s">
        <v>2480</v>
      </c>
      <c r="AL274" s="146"/>
      <c r="AM274" s="146"/>
      <c r="AN274" s="146"/>
      <c r="AO274" s="146"/>
      <c r="AP274" s="146"/>
      <c r="AQ274" s="146"/>
      <c r="AR274" s="146"/>
      <c r="AS274" s="146"/>
    </row>
    <row r="275" spans="1:45" s="222" customFormat="1" x14ac:dyDescent="0.2">
      <c r="A275" s="146"/>
      <c r="B275" s="296" t="s">
        <v>2156</v>
      </c>
      <c r="C275" s="296" t="s">
        <v>2157</v>
      </c>
      <c r="D275" s="296" t="s">
        <v>2158</v>
      </c>
      <c r="E275" s="297">
        <v>201607035</v>
      </c>
      <c r="F275" s="296" t="s">
        <v>1406</v>
      </c>
      <c r="G275" s="296" t="s">
        <v>1407</v>
      </c>
      <c r="H275" s="146"/>
      <c r="I275" s="146"/>
      <c r="J275" s="146"/>
      <c r="K275" s="146"/>
      <c r="L275" s="146"/>
      <c r="M275" s="146"/>
      <c r="N275" s="146"/>
      <c r="O275" s="146"/>
      <c r="P275" s="287">
        <f t="shared" si="14"/>
        <v>0</v>
      </c>
      <c r="Q275" s="146"/>
      <c r="R275" s="146"/>
      <c r="S275" s="146"/>
      <c r="T275" s="146"/>
      <c r="U275" s="146"/>
      <c r="V275" s="146"/>
      <c r="W275" s="146"/>
      <c r="X275" s="269"/>
      <c r="Y275" s="273">
        <f t="shared" si="15"/>
        <v>0</v>
      </c>
      <c r="Z275" s="146"/>
      <c r="AA275" s="146"/>
      <c r="AB275" s="146"/>
      <c r="AC275" s="146"/>
      <c r="AD275" s="146"/>
      <c r="AE275" s="146"/>
      <c r="AF275" s="146">
        <v>1</v>
      </c>
      <c r="AG275" s="299">
        <v>43297</v>
      </c>
      <c r="AH275" s="273">
        <f t="shared" si="13"/>
        <v>1</v>
      </c>
      <c r="AI275" s="146"/>
      <c r="AJ275" s="146" t="s">
        <v>2479</v>
      </c>
      <c r="AK275" s="146" t="s">
        <v>2480</v>
      </c>
      <c r="AL275" s="146"/>
      <c r="AM275" s="146"/>
      <c r="AN275" s="146"/>
      <c r="AO275" s="146"/>
      <c r="AP275" s="146"/>
      <c r="AQ275" s="146"/>
      <c r="AR275" s="146"/>
      <c r="AS275" s="146"/>
    </row>
    <row r="276" spans="1:45" s="222" customFormat="1" x14ac:dyDescent="0.2">
      <c r="A276" s="146"/>
      <c r="B276" s="296" t="s">
        <v>2159</v>
      </c>
      <c r="C276" s="296" t="s">
        <v>2160</v>
      </c>
      <c r="D276" s="296" t="s">
        <v>2161</v>
      </c>
      <c r="E276" s="297">
        <v>201607037</v>
      </c>
      <c r="F276" s="296" t="s">
        <v>1406</v>
      </c>
      <c r="G276" s="296" t="s">
        <v>1407</v>
      </c>
      <c r="H276" s="146"/>
      <c r="I276" s="146"/>
      <c r="J276" s="146"/>
      <c r="K276" s="146"/>
      <c r="L276" s="146"/>
      <c r="M276" s="146"/>
      <c r="N276" s="146"/>
      <c r="O276" s="146"/>
      <c r="P276" s="287">
        <f t="shared" si="14"/>
        <v>0</v>
      </c>
      <c r="Q276" s="146"/>
      <c r="R276" s="146"/>
      <c r="S276" s="146"/>
      <c r="T276" s="146"/>
      <c r="U276" s="146"/>
      <c r="V276" s="146"/>
      <c r="W276" s="146"/>
      <c r="X276" s="269"/>
      <c r="Y276" s="273">
        <f t="shared" si="15"/>
        <v>0</v>
      </c>
      <c r="Z276" s="146"/>
      <c r="AA276" s="146"/>
      <c r="AB276" s="146"/>
      <c r="AC276" s="146"/>
      <c r="AD276" s="146"/>
      <c r="AE276" s="146"/>
      <c r="AF276" s="146">
        <v>1</v>
      </c>
      <c r="AG276" s="299">
        <v>43297</v>
      </c>
      <c r="AH276" s="273">
        <f t="shared" si="13"/>
        <v>1</v>
      </c>
      <c r="AI276" s="146"/>
      <c r="AJ276" s="146" t="s">
        <v>2479</v>
      </c>
      <c r="AK276" s="146" t="s">
        <v>2480</v>
      </c>
      <c r="AL276" s="146"/>
      <c r="AM276" s="146"/>
      <c r="AN276" s="146"/>
      <c r="AO276" s="146"/>
      <c r="AP276" s="146"/>
      <c r="AQ276" s="146"/>
      <c r="AR276" s="146"/>
      <c r="AS276" s="146"/>
    </row>
    <row r="277" spans="1:45" s="222" customFormat="1" x14ac:dyDescent="0.2">
      <c r="A277" s="146"/>
      <c r="B277" s="296" t="s">
        <v>2162</v>
      </c>
      <c r="C277" s="296" t="s">
        <v>2163</v>
      </c>
      <c r="D277" s="296" t="s">
        <v>2164</v>
      </c>
      <c r="E277" s="297">
        <v>201607039</v>
      </c>
      <c r="F277" s="296" t="s">
        <v>1406</v>
      </c>
      <c r="G277" s="296" t="s">
        <v>1407</v>
      </c>
      <c r="H277" s="146"/>
      <c r="I277" s="146"/>
      <c r="J277" s="146"/>
      <c r="K277" s="146"/>
      <c r="L277" s="146"/>
      <c r="M277" s="146"/>
      <c r="N277" s="146"/>
      <c r="O277" s="146"/>
      <c r="P277" s="287">
        <f t="shared" si="14"/>
        <v>0</v>
      </c>
      <c r="Q277" s="146"/>
      <c r="R277" s="146"/>
      <c r="S277" s="146"/>
      <c r="T277" s="146"/>
      <c r="U277" s="146"/>
      <c r="V277" s="146"/>
      <c r="W277" s="146"/>
      <c r="X277" s="269"/>
      <c r="Y277" s="273">
        <f t="shared" si="15"/>
        <v>0</v>
      </c>
      <c r="Z277" s="146"/>
      <c r="AA277" s="146"/>
      <c r="AB277" s="146"/>
      <c r="AC277" s="146"/>
      <c r="AD277" s="146"/>
      <c r="AE277" s="146"/>
      <c r="AF277" s="146">
        <v>1</v>
      </c>
      <c r="AG277" s="299">
        <v>43378</v>
      </c>
      <c r="AH277" s="273">
        <f t="shared" si="13"/>
        <v>1</v>
      </c>
      <c r="AI277" s="146"/>
      <c r="AJ277" s="146" t="s">
        <v>2479</v>
      </c>
      <c r="AK277" s="146" t="s">
        <v>2480</v>
      </c>
      <c r="AL277" s="146"/>
      <c r="AM277" s="146"/>
      <c r="AN277" s="146"/>
      <c r="AO277" s="146"/>
      <c r="AP277" s="146"/>
      <c r="AQ277" s="146"/>
      <c r="AR277" s="146"/>
      <c r="AS277" s="146"/>
    </row>
    <row r="278" spans="1:45" s="222" customFormat="1" x14ac:dyDescent="0.2">
      <c r="A278" s="146"/>
      <c r="B278" s="296" t="s">
        <v>2165</v>
      </c>
      <c r="C278" s="296" t="s">
        <v>2166</v>
      </c>
      <c r="D278" s="296" t="s">
        <v>2167</v>
      </c>
      <c r="E278" s="297">
        <v>201607040</v>
      </c>
      <c r="F278" s="296" t="s">
        <v>1406</v>
      </c>
      <c r="G278" s="296" t="s">
        <v>1407</v>
      </c>
      <c r="H278" s="146"/>
      <c r="I278" s="146"/>
      <c r="J278" s="146"/>
      <c r="K278" s="146"/>
      <c r="L278" s="146"/>
      <c r="M278" s="146"/>
      <c r="N278" s="146"/>
      <c r="O278" s="146"/>
      <c r="P278" s="287">
        <f t="shared" si="14"/>
        <v>0</v>
      </c>
      <c r="Q278" s="146"/>
      <c r="R278" s="146"/>
      <c r="S278" s="146"/>
      <c r="T278" s="146"/>
      <c r="U278" s="146"/>
      <c r="V278" s="146"/>
      <c r="W278" s="146"/>
      <c r="X278" s="269"/>
      <c r="Y278" s="273">
        <f t="shared" si="15"/>
        <v>0</v>
      </c>
      <c r="Z278" s="146"/>
      <c r="AA278" s="146"/>
      <c r="AB278" s="146"/>
      <c r="AC278" s="146"/>
      <c r="AD278" s="146"/>
      <c r="AE278" s="146"/>
      <c r="AF278" s="146">
        <v>1</v>
      </c>
      <c r="AG278" s="299">
        <v>43374</v>
      </c>
      <c r="AH278" s="273">
        <f t="shared" si="13"/>
        <v>1</v>
      </c>
      <c r="AI278" s="146"/>
      <c r="AJ278" s="146" t="s">
        <v>2479</v>
      </c>
      <c r="AK278" s="146" t="s">
        <v>2480</v>
      </c>
      <c r="AL278" s="146"/>
      <c r="AM278" s="146"/>
      <c r="AN278" s="146"/>
      <c r="AO278" s="146"/>
      <c r="AP278" s="146"/>
      <c r="AQ278" s="146"/>
      <c r="AR278" s="146"/>
      <c r="AS278" s="146"/>
    </row>
    <row r="279" spans="1:45" s="222" customFormat="1" x14ac:dyDescent="0.2">
      <c r="A279" s="146"/>
      <c r="B279" s="296" t="s">
        <v>2168</v>
      </c>
      <c r="C279" s="296" t="s">
        <v>2169</v>
      </c>
      <c r="D279" s="296" t="s">
        <v>2170</v>
      </c>
      <c r="E279" s="297">
        <v>201607041</v>
      </c>
      <c r="F279" s="296" t="s">
        <v>1406</v>
      </c>
      <c r="G279" s="296" t="s">
        <v>1407</v>
      </c>
      <c r="H279" s="146"/>
      <c r="I279" s="146"/>
      <c r="J279" s="146"/>
      <c r="K279" s="146"/>
      <c r="L279" s="146"/>
      <c r="M279" s="146"/>
      <c r="N279" s="146"/>
      <c r="O279" s="146"/>
      <c r="P279" s="287">
        <f t="shared" si="14"/>
        <v>0</v>
      </c>
      <c r="Q279" s="146"/>
      <c r="R279" s="146"/>
      <c r="S279" s="146"/>
      <c r="T279" s="146"/>
      <c r="U279" s="146"/>
      <c r="V279" s="146"/>
      <c r="W279" s="146"/>
      <c r="X279" s="269"/>
      <c r="Y279" s="273">
        <f t="shared" si="15"/>
        <v>0</v>
      </c>
      <c r="Z279" s="146"/>
      <c r="AA279" s="146"/>
      <c r="AB279" s="146"/>
      <c r="AC279" s="146"/>
      <c r="AD279" s="146"/>
      <c r="AE279" s="146"/>
      <c r="AF279" s="146">
        <v>1</v>
      </c>
      <c r="AG279" s="299">
        <v>43374</v>
      </c>
      <c r="AH279" s="273">
        <f t="shared" si="13"/>
        <v>1</v>
      </c>
      <c r="AI279" s="146"/>
      <c r="AJ279" s="146" t="s">
        <v>2479</v>
      </c>
      <c r="AK279" s="146" t="s">
        <v>2480</v>
      </c>
      <c r="AL279" s="146"/>
      <c r="AM279" s="146"/>
      <c r="AN279" s="146"/>
      <c r="AO279" s="146"/>
      <c r="AP279" s="146"/>
      <c r="AQ279" s="146"/>
      <c r="AR279" s="146"/>
      <c r="AS279" s="146"/>
    </row>
    <row r="280" spans="1:45" s="222" customFormat="1" x14ac:dyDescent="0.2">
      <c r="A280" s="146"/>
      <c r="B280" s="296" t="s">
        <v>2171</v>
      </c>
      <c r="C280" s="296" t="s">
        <v>2172</v>
      </c>
      <c r="D280" s="296" t="s">
        <v>2173</v>
      </c>
      <c r="E280" s="297">
        <v>201607042</v>
      </c>
      <c r="F280" s="296" t="s">
        <v>1406</v>
      </c>
      <c r="G280" s="296" t="s">
        <v>1407</v>
      </c>
      <c r="H280" s="146"/>
      <c r="I280" s="146"/>
      <c r="J280" s="146"/>
      <c r="K280" s="146"/>
      <c r="L280" s="146"/>
      <c r="M280" s="146"/>
      <c r="N280" s="146"/>
      <c r="O280" s="146"/>
      <c r="P280" s="287">
        <f t="shared" si="14"/>
        <v>0</v>
      </c>
      <c r="Q280" s="146"/>
      <c r="R280" s="146"/>
      <c r="S280" s="146"/>
      <c r="T280" s="146"/>
      <c r="U280" s="146"/>
      <c r="V280" s="146"/>
      <c r="W280" s="146"/>
      <c r="X280" s="269"/>
      <c r="Y280" s="273">
        <f t="shared" si="15"/>
        <v>0</v>
      </c>
      <c r="Z280" s="146"/>
      <c r="AA280" s="146"/>
      <c r="AB280" s="146"/>
      <c r="AC280" s="146"/>
      <c r="AD280" s="146"/>
      <c r="AE280" s="146"/>
      <c r="AF280" s="146">
        <v>1</v>
      </c>
      <c r="AG280" s="299">
        <v>43398</v>
      </c>
      <c r="AH280" s="273">
        <f t="shared" si="13"/>
        <v>1</v>
      </c>
      <c r="AI280" s="146"/>
      <c r="AJ280" s="146" t="s">
        <v>2479</v>
      </c>
      <c r="AK280" s="146" t="s">
        <v>2480</v>
      </c>
      <c r="AL280" s="146"/>
      <c r="AM280" s="146"/>
      <c r="AN280" s="146"/>
      <c r="AO280" s="146"/>
      <c r="AP280" s="146"/>
      <c r="AQ280" s="146"/>
      <c r="AR280" s="146"/>
      <c r="AS280" s="146"/>
    </row>
    <row r="281" spans="1:45" s="222" customFormat="1" x14ac:dyDescent="0.2">
      <c r="A281" s="146"/>
      <c r="B281" s="296" t="s">
        <v>2174</v>
      </c>
      <c r="C281" s="296" t="s">
        <v>2175</v>
      </c>
      <c r="D281" s="296" t="s">
        <v>2176</v>
      </c>
      <c r="E281" s="297">
        <v>201607044</v>
      </c>
      <c r="F281" s="296" t="s">
        <v>1406</v>
      </c>
      <c r="G281" s="296" t="s">
        <v>1407</v>
      </c>
      <c r="H281" s="146"/>
      <c r="I281" s="146"/>
      <c r="J281" s="146"/>
      <c r="K281" s="146"/>
      <c r="L281" s="146"/>
      <c r="M281" s="146"/>
      <c r="N281" s="146"/>
      <c r="O281" s="146"/>
      <c r="P281" s="287">
        <f t="shared" si="14"/>
        <v>0</v>
      </c>
      <c r="Q281" s="146"/>
      <c r="R281" s="146"/>
      <c r="S281" s="146"/>
      <c r="T281" s="146"/>
      <c r="U281" s="146"/>
      <c r="V281" s="146"/>
      <c r="W281" s="146"/>
      <c r="X281" s="269"/>
      <c r="Y281" s="273">
        <f t="shared" si="15"/>
        <v>0</v>
      </c>
      <c r="Z281" s="146"/>
      <c r="AA281" s="146"/>
      <c r="AB281" s="146"/>
      <c r="AC281" s="146"/>
      <c r="AD281" s="146"/>
      <c r="AE281" s="146"/>
      <c r="AF281" s="146">
        <v>1</v>
      </c>
      <c r="AG281" s="299">
        <v>43406</v>
      </c>
      <c r="AH281" s="273">
        <f t="shared" si="13"/>
        <v>1</v>
      </c>
      <c r="AI281" s="146"/>
      <c r="AJ281" s="146" t="s">
        <v>2479</v>
      </c>
      <c r="AK281" s="146" t="s">
        <v>2480</v>
      </c>
      <c r="AL281" s="146"/>
      <c r="AM281" s="146"/>
      <c r="AN281" s="146"/>
      <c r="AO281" s="146"/>
      <c r="AP281" s="146"/>
      <c r="AQ281" s="146"/>
      <c r="AR281" s="146"/>
      <c r="AS281" s="146"/>
    </row>
    <row r="282" spans="1:45" s="222" customFormat="1" x14ac:dyDescent="0.2">
      <c r="A282" s="146"/>
      <c r="B282" s="296" t="s">
        <v>2177</v>
      </c>
      <c r="C282" s="296" t="s">
        <v>2178</v>
      </c>
      <c r="D282" s="296" t="s">
        <v>2179</v>
      </c>
      <c r="E282" s="297">
        <v>201607045</v>
      </c>
      <c r="F282" s="296" t="s">
        <v>1406</v>
      </c>
      <c r="G282" s="296" t="s">
        <v>1407</v>
      </c>
      <c r="H282" s="146"/>
      <c r="I282" s="146"/>
      <c r="J282" s="146"/>
      <c r="K282" s="146"/>
      <c r="L282" s="146"/>
      <c r="M282" s="146"/>
      <c r="N282" s="146"/>
      <c r="O282" s="146"/>
      <c r="P282" s="287">
        <f t="shared" si="14"/>
        <v>0</v>
      </c>
      <c r="Q282" s="146"/>
      <c r="R282" s="146"/>
      <c r="S282" s="146"/>
      <c r="T282" s="146"/>
      <c r="U282" s="146"/>
      <c r="V282" s="146"/>
      <c r="W282" s="146"/>
      <c r="X282" s="269"/>
      <c r="Y282" s="273">
        <f t="shared" si="15"/>
        <v>0</v>
      </c>
      <c r="Z282" s="146"/>
      <c r="AA282" s="146"/>
      <c r="AB282" s="146"/>
      <c r="AC282" s="146"/>
      <c r="AD282" s="146"/>
      <c r="AE282" s="146"/>
      <c r="AF282" s="146">
        <v>1</v>
      </c>
      <c r="AG282" s="299">
        <v>43398</v>
      </c>
      <c r="AH282" s="273">
        <f t="shared" si="13"/>
        <v>1</v>
      </c>
      <c r="AI282" s="146"/>
      <c r="AJ282" s="146" t="s">
        <v>2479</v>
      </c>
      <c r="AK282" s="146" t="s">
        <v>2480</v>
      </c>
      <c r="AL282" s="146"/>
      <c r="AM282" s="146"/>
      <c r="AN282" s="146"/>
      <c r="AO282" s="146"/>
      <c r="AP282" s="146"/>
      <c r="AQ282" s="146"/>
      <c r="AR282" s="146"/>
      <c r="AS282" s="146"/>
    </row>
    <row r="283" spans="1:45" s="222" customFormat="1" x14ac:dyDescent="0.2">
      <c r="A283" s="146"/>
      <c r="B283" s="296" t="s">
        <v>2180</v>
      </c>
      <c r="C283" s="296" t="s">
        <v>2181</v>
      </c>
      <c r="D283" s="296" t="s">
        <v>2182</v>
      </c>
      <c r="E283" s="297">
        <v>201607047</v>
      </c>
      <c r="F283" s="296" t="s">
        <v>1406</v>
      </c>
      <c r="G283" s="296" t="s">
        <v>1407</v>
      </c>
      <c r="H283" s="146"/>
      <c r="I283" s="146"/>
      <c r="J283" s="146"/>
      <c r="K283" s="146"/>
      <c r="L283" s="146"/>
      <c r="M283" s="146"/>
      <c r="N283" s="146"/>
      <c r="O283" s="146"/>
      <c r="P283" s="287">
        <f t="shared" si="14"/>
        <v>0</v>
      </c>
      <c r="Q283" s="146"/>
      <c r="R283" s="146"/>
      <c r="S283" s="146"/>
      <c r="T283" s="146"/>
      <c r="U283" s="146"/>
      <c r="V283" s="146"/>
      <c r="W283" s="146"/>
      <c r="X283" s="269"/>
      <c r="Y283" s="273">
        <f t="shared" si="15"/>
        <v>0</v>
      </c>
      <c r="Z283" s="146"/>
      <c r="AA283" s="146"/>
      <c r="AB283" s="146"/>
      <c r="AC283" s="146"/>
      <c r="AD283" s="146"/>
      <c r="AE283" s="146"/>
      <c r="AF283" s="146">
        <v>1</v>
      </c>
      <c r="AG283" s="299">
        <v>43398</v>
      </c>
      <c r="AH283" s="273">
        <f t="shared" si="13"/>
        <v>1</v>
      </c>
      <c r="AI283" s="146"/>
      <c r="AJ283" s="146" t="s">
        <v>2479</v>
      </c>
      <c r="AK283" s="146" t="s">
        <v>2480</v>
      </c>
      <c r="AL283" s="146"/>
      <c r="AM283" s="146"/>
      <c r="AN283" s="146"/>
      <c r="AO283" s="146"/>
      <c r="AP283" s="146"/>
      <c r="AQ283" s="146"/>
      <c r="AR283" s="146"/>
      <c r="AS283" s="146"/>
    </row>
    <row r="284" spans="1:45" s="222" customFormat="1" x14ac:dyDescent="0.2">
      <c r="A284" s="146"/>
      <c r="B284" s="296" t="s">
        <v>2183</v>
      </c>
      <c r="C284" s="296" t="s">
        <v>2184</v>
      </c>
      <c r="D284" s="296" t="s">
        <v>2185</v>
      </c>
      <c r="E284" s="297">
        <v>201607048</v>
      </c>
      <c r="F284" s="296" t="s">
        <v>1406</v>
      </c>
      <c r="G284" s="296" t="s">
        <v>1407</v>
      </c>
      <c r="H284" s="146"/>
      <c r="I284" s="146"/>
      <c r="J284" s="146"/>
      <c r="K284" s="146"/>
      <c r="L284" s="146"/>
      <c r="M284" s="146"/>
      <c r="N284" s="146"/>
      <c r="O284" s="146"/>
      <c r="P284" s="287">
        <f t="shared" si="14"/>
        <v>0</v>
      </c>
      <c r="Q284" s="146"/>
      <c r="R284" s="146"/>
      <c r="S284" s="146"/>
      <c r="T284" s="146"/>
      <c r="U284" s="146"/>
      <c r="V284" s="146"/>
      <c r="W284" s="146"/>
      <c r="X284" s="269"/>
      <c r="Y284" s="273">
        <f t="shared" si="15"/>
        <v>0</v>
      </c>
      <c r="Z284" s="146"/>
      <c r="AA284" s="146"/>
      <c r="AB284" s="146"/>
      <c r="AC284" s="146"/>
      <c r="AD284" s="146"/>
      <c r="AE284" s="146"/>
      <c r="AF284" s="146">
        <v>1</v>
      </c>
      <c r="AG284" s="299">
        <v>43384</v>
      </c>
      <c r="AH284" s="273">
        <f t="shared" si="13"/>
        <v>1</v>
      </c>
      <c r="AI284" s="146"/>
      <c r="AJ284" s="146" t="s">
        <v>2479</v>
      </c>
      <c r="AK284" s="146" t="s">
        <v>2480</v>
      </c>
      <c r="AL284" s="146"/>
      <c r="AM284" s="146"/>
      <c r="AN284" s="146"/>
      <c r="AO284" s="146"/>
      <c r="AP284" s="146"/>
      <c r="AQ284" s="146"/>
      <c r="AR284" s="146"/>
      <c r="AS284" s="146"/>
    </row>
    <row r="285" spans="1:45" s="222" customFormat="1" x14ac:dyDescent="0.2">
      <c r="A285" s="146"/>
      <c r="B285" s="296" t="s">
        <v>2186</v>
      </c>
      <c r="C285" s="296" t="s">
        <v>2187</v>
      </c>
      <c r="D285" s="296" t="s">
        <v>2188</v>
      </c>
      <c r="E285" s="297">
        <v>201607050</v>
      </c>
      <c r="F285" s="296" t="s">
        <v>1406</v>
      </c>
      <c r="G285" s="296" t="s">
        <v>1407</v>
      </c>
      <c r="H285" s="146"/>
      <c r="I285" s="146"/>
      <c r="J285" s="146"/>
      <c r="K285" s="146"/>
      <c r="L285" s="146"/>
      <c r="M285" s="146"/>
      <c r="N285" s="146"/>
      <c r="O285" s="146"/>
      <c r="P285" s="287">
        <f t="shared" si="14"/>
        <v>0</v>
      </c>
      <c r="Q285" s="146"/>
      <c r="R285" s="146"/>
      <c r="S285" s="146"/>
      <c r="T285" s="146"/>
      <c r="U285" s="146"/>
      <c r="V285" s="146"/>
      <c r="W285" s="146"/>
      <c r="X285" s="269"/>
      <c r="Y285" s="273">
        <f t="shared" si="15"/>
        <v>0</v>
      </c>
      <c r="Z285" s="146"/>
      <c r="AA285" s="146"/>
      <c r="AB285" s="146"/>
      <c r="AC285" s="146"/>
      <c r="AD285" s="146"/>
      <c r="AE285" s="146"/>
      <c r="AF285" s="146">
        <v>1</v>
      </c>
      <c r="AG285" s="299">
        <v>43301</v>
      </c>
      <c r="AH285" s="273">
        <f t="shared" si="13"/>
        <v>1</v>
      </c>
      <c r="AI285" s="146"/>
      <c r="AJ285" s="146" t="s">
        <v>2479</v>
      </c>
      <c r="AK285" s="146" t="s">
        <v>2480</v>
      </c>
      <c r="AL285" s="146"/>
      <c r="AM285" s="146"/>
      <c r="AN285" s="146"/>
      <c r="AO285" s="146"/>
      <c r="AP285" s="146"/>
      <c r="AQ285" s="146"/>
      <c r="AR285" s="146"/>
      <c r="AS285" s="146"/>
    </row>
    <row r="286" spans="1:45" s="222" customFormat="1" x14ac:dyDescent="0.2">
      <c r="A286" s="146"/>
      <c r="B286" s="296" t="s">
        <v>2189</v>
      </c>
      <c r="C286" s="296" t="s">
        <v>2190</v>
      </c>
      <c r="D286" s="296" t="s">
        <v>2191</v>
      </c>
      <c r="E286" s="297">
        <v>201607055</v>
      </c>
      <c r="F286" s="296" t="s">
        <v>1411</v>
      </c>
      <c r="G286" s="296" t="s">
        <v>1407</v>
      </c>
      <c r="H286" s="146"/>
      <c r="I286" s="146"/>
      <c r="J286" s="146"/>
      <c r="K286" s="146"/>
      <c r="L286" s="146"/>
      <c r="M286" s="146"/>
      <c r="N286" s="146"/>
      <c r="O286" s="146"/>
      <c r="P286" s="287">
        <f t="shared" si="14"/>
        <v>0</v>
      </c>
      <c r="Q286" s="146"/>
      <c r="R286" s="146"/>
      <c r="S286" s="146"/>
      <c r="T286" s="146"/>
      <c r="U286" s="146"/>
      <c r="V286" s="146"/>
      <c r="W286" s="146"/>
      <c r="X286" s="269"/>
      <c r="Y286" s="273">
        <f t="shared" si="15"/>
        <v>0</v>
      </c>
      <c r="Z286" s="146"/>
      <c r="AA286" s="146"/>
      <c r="AB286" s="146"/>
      <c r="AC286" s="146"/>
      <c r="AD286" s="146"/>
      <c r="AE286" s="146"/>
      <c r="AF286" s="146">
        <v>1</v>
      </c>
      <c r="AG286" s="299">
        <v>43157</v>
      </c>
      <c r="AH286" s="273">
        <f t="shared" si="13"/>
        <v>1</v>
      </c>
      <c r="AI286" s="146"/>
      <c r="AJ286" s="146" t="s">
        <v>2479</v>
      </c>
      <c r="AK286" s="146" t="s">
        <v>2480</v>
      </c>
      <c r="AL286" s="146"/>
      <c r="AM286" s="146"/>
      <c r="AN286" s="146"/>
      <c r="AO286" s="146"/>
      <c r="AP286" s="146"/>
      <c r="AQ286" s="146"/>
      <c r="AR286" s="146"/>
      <c r="AS286" s="146"/>
    </row>
    <row r="287" spans="1:45" s="222" customFormat="1" x14ac:dyDescent="0.2">
      <c r="A287" s="146"/>
      <c r="B287" s="296" t="s">
        <v>2192</v>
      </c>
      <c r="C287" s="296" t="s">
        <v>2193</v>
      </c>
      <c r="D287" s="296" t="s">
        <v>2194</v>
      </c>
      <c r="E287" s="297">
        <v>201607056</v>
      </c>
      <c r="F287" s="296" t="s">
        <v>1411</v>
      </c>
      <c r="G287" s="296" t="s">
        <v>1407</v>
      </c>
      <c r="H287" s="146"/>
      <c r="I287" s="146"/>
      <c r="J287" s="146"/>
      <c r="K287" s="146"/>
      <c r="L287" s="146"/>
      <c r="M287" s="146"/>
      <c r="N287" s="146"/>
      <c r="O287" s="146"/>
      <c r="P287" s="287">
        <f t="shared" si="14"/>
        <v>0</v>
      </c>
      <c r="Q287" s="146"/>
      <c r="R287" s="146"/>
      <c r="S287" s="146"/>
      <c r="T287" s="146"/>
      <c r="U287" s="146"/>
      <c r="V287" s="146"/>
      <c r="W287" s="146"/>
      <c r="X287" s="269"/>
      <c r="Y287" s="273">
        <f t="shared" si="15"/>
        <v>0</v>
      </c>
      <c r="Z287" s="146"/>
      <c r="AA287" s="146"/>
      <c r="AB287" s="146"/>
      <c r="AC287" s="146"/>
      <c r="AD287" s="146"/>
      <c r="AE287" s="146"/>
      <c r="AF287" s="146">
        <v>1</v>
      </c>
      <c r="AG287" s="299">
        <v>43157</v>
      </c>
      <c r="AH287" s="273">
        <f t="shared" si="13"/>
        <v>1</v>
      </c>
      <c r="AI287" s="146"/>
      <c r="AJ287" s="146" t="s">
        <v>2479</v>
      </c>
      <c r="AK287" s="146" t="s">
        <v>2480</v>
      </c>
      <c r="AL287" s="146"/>
      <c r="AM287" s="146"/>
      <c r="AN287" s="146"/>
      <c r="AO287" s="146"/>
      <c r="AP287" s="146"/>
      <c r="AQ287" s="146"/>
      <c r="AR287" s="146"/>
      <c r="AS287" s="146"/>
    </row>
    <row r="288" spans="1:45" s="222" customFormat="1" x14ac:dyDescent="0.2">
      <c r="A288" s="146"/>
      <c r="B288" s="296" t="s">
        <v>2195</v>
      </c>
      <c r="C288" s="296" t="s">
        <v>2196</v>
      </c>
      <c r="D288" s="296" t="s">
        <v>2197</v>
      </c>
      <c r="E288" s="297">
        <v>201607057</v>
      </c>
      <c r="F288" s="296" t="s">
        <v>1411</v>
      </c>
      <c r="G288" s="296" t="s">
        <v>1407</v>
      </c>
      <c r="H288" s="146"/>
      <c r="I288" s="146"/>
      <c r="J288" s="146"/>
      <c r="K288" s="146"/>
      <c r="L288" s="146"/>
      <c r="M288" s="146"/>
      <c r="N288" s="146"/>
      <c r="O288" s="146"/>
      <c r="P288" s="287">
        <f t="shared" si="14"/>
        <v>0</v>
      </c>
      <c r="Q288" s="146"/>
      <c r="R288" s="146"/>
      <c r="S288" s="146"/>
      <c r="T288" s="146"/>
      <c r="U288" s="146"/>
      <c r="V288" s="146"/>
      <c r="W288" s="146"/>
      <c r="X288" s="269"/>
      <c r="Y288" s="273">
        <f t="shared" si="15"/>
        <v>0</v>
      </c>
      <c r="Z288" s="146"/>
      <c r="AA288" s="146"/>
      <c r="AB288" s="146"/>
      <c r="AC288" s="146"/>
      <c r="AD288" s="146"/>
      <c r="AE288" s="146"/>
      <c r="AF288" s="146">
        <v>1</v>
      </c>
      <c r="AG288" s="299">
        <v>43157</v>
      </c>
      <c r="AH288" s="273">
        <f t="shared" si="13"/>
        <v>1</v>
      </c>
      <c r="AI288" s="146"/>
      <c r="AJ288" s="146" t="s">
        <v>2479</v>
      </c>
      <c r="AK288" s="146" t="s">
        <v>2480</v>
      </c>
      <c r="AL288" s="146"/>
      <c r="AM288" s="146"/>
      <c r="AN288" s="146"/>
      <c r="AO288" s="146"/>
      <c r="AP288" s="146"/>
      <c r="AQ288" s="146"/>
      <c r="AR288" s="146"/>
      <c r="AS288" s="146"/>
    </row>
    <row r="289" spans="1:45" s="222" customFormat="1" x14ac:dyDescent="0.2">
      <c r="A289" s="146"/>
      <c r="B289" s="296" t="s">
        <v>2198</v>
      </c>
      <c r="C289" s="296" t="s">
        <v>2199</v>
      </c>
      <c r="D289" s="296" t="s">
        <v>2200</v>
      </c>
      <c r="E289" s="297">
        <v>201607058</v>
      </c>
      <c r="F289" s="296" t="s">
        <v>1411</v>
      </c>
      <c r="G289" s="296" t="s">
        <v>1407</v>
      </c>
      <c r="H289" s="146"/>
      <c r="I289" s="146"/>
      <c r="J289" s="146"/>
      <c r="K289" s="146"/>
      <c r="L289" s="146"/>
      <c r="M289" s="146"/>
      <c r="N289" s="146"/>
      <c r="O289" s="146"/>
      <c r="P289" s="287">
        <f t="shared" si="14"/>
        <v>0</v>
      </c>
      <c r="Q289" s="146"/>
      <c r="R289" s="146"/>
      <c r="S289" s="146"/>
      <c r="T289" s="146"/>
      <c r="U289" s="146"/>
      <c r="V289" s="146"/>
      <c r="W289" s="146"/>
      <c r="X289" s="269"/>
      <c r="Y289" s="273">
        <f t="shared" si="15"/>
        <v>0</v>
      </c>
      <c r="Z289" s="146"/>
      <c r="AA289" s="146"/>
      <c r="AB289" s="146"/>
      <c r="AC289" s="146"/>
      <c r="AD289" s="146"/>
      <c r="AE289" s="146"/>
      <c r="AF289" s="146">
        <v>1</v>
      </c>
      <c r="AG289" s="299">
        <v>43157</v>
      </c>
      <c r="AH289" s="273">
        <f t="shared" ref="AH289:AH352" si="16">SUM(Z289:AF289)</f>
        <v>1</v>
      </c>
      <c r="AI289" s="146"/>
      <c r="AJ289" s="146" t="s">
        <v>2479</v>
      </c>
      <c r="AK289" s="146" t="s">
        <v>2480</v>
      </c>
      <c r="AL289" s="146"/>
      <c r="AM289" s="146"/>
      <c r="AN289" s="146"/>
      <c r="AO289" s="146"/>
      <c r="AP289" s="146"/>
      <c r="AQ289" s="146"/>
      <c r="AR289" s="146"/>
      <c r="AS289" s="146"/>
    </row>
    <row r="290" spans="1:45" s="222" customFormat="1" x14ac:dyDescent="0.2">
      <c r="A290" s="146"/>
      <c r="B290" s="296" t="s">
        <v>2201</v>
      </c>
      <c r="C290" s="296" t="s">
        <v>2202</v>
      </c>
      <c r="D290" s="296" t="s">
        <v>2203</v>
      </c>
      <c r="E290" s="297">
        <v>201607059</v>
      </c>
      <c r="F290" s="296" t="s">
        <v>1411</v>
      </c>
      <c r="G290" s="296" t="s">
        <v>1407</v>
      </c>
      <c r="H290" s="146"/>
      <c r="I290" s="146"/>
      <c r="J290" s="146"/>
      <c r="K290" s="146"/>
      <c r="L290" s="146"/>
      <c r="M290" s="146"/>
      <c r="N290" s="146"/>
      <c r="O290" s="146"/>
      <c r="P290" s="287">
        <f t="shared" si="14"/>
        <v>0</v>
      </c>
      <c r="Q290" s="146"/>
      <c r="R290" s="146"/>
      <c r="S290" s="146"/>
      <c r="T290" s="146"/>
      <c r="U290" s="146"/>
      <c r="V290" s="146"/>
      <c r="W290" s="146"/>
      <c r="X290" s="269"/>
      <c r="Y290" s="273">
        <f t="shared" si="15"/>
        <v>0</v>
      </c>
      <c r="Z290" s="146"/>
      <c r="AA290" s="146"/>
      <c r="AB290" s="146"/>
      <c r="AC290" s="146"/>
      <c r="AD290" s="146"/>
      <c r="AE290" s="146"/>
      <c r="AF290" s="146">
        <v>1</v>
      </c>
      <c r="AG290" s="299">
        <v>43175</v>
      </c>
      <c r="AH290" s="273">
        <f t="shared" si="16"/>
        <v>1</v>
      </c>
      <c r="AI290" s="146"/>
      <c r="AJ290" s="146" t="s">
        <v>2479</v>
      </c>
      <c r="AK290" s="146" t="s">
        <v>2480</v>
      </c>
      <c r="AL290" s="146"/>
      <c r="AM290" s="146"/>
      <c r="AN290" s="146"/>
      <c r="AO290" s="146"/>
      <c r="AP290" s="146"/>
      <c r="AQ290" s="146"/>
      <c r="AR290" s="146"/>
      <c r="AS290" s="146"/>
    </row>
    <row r="291" spans="1:45" s="222" customFormat="1" x14ac:dyDescent="0.2">
      <c r="A291" s="146"/>
      <c r="B291" s="296" t="s">
        <v>2204</v>
      </c>
      <c r="C291" s="296" t="s">
        <v>2205</v>
      </c>
      <c r="D291" s="296" t="s">
        <v>2206</v>
      </c>
      <c r="E291" s="297">
        <v>201607060</v>
      </c>
      <c r="F291" s="296" t="s">
        <v>1411</v>
      </c>
      <c r="G291" s="296" t="s">
        <v>1407</v>
      </c>
      <c r="H291" s="146"/>
      <c r="I291" s="146"/>
      <c r="J291" s="146"/>
      <c r="K291" s="146"/>
      <c r="L291" s="146"/>
      <c r="M291" s="146"/>
      <c r="N291" s="146"/>
      <c r="O291" s="146"/>
      <c r="P291" s="287">
        <f t="shared" si="14"/>
        <v>0</v>
      </c>
      <c r="Q291" s="146"/>
      <c r="R291" s="146"/>
      <c r="S291" s="146"/>
      <c r="T291" s="146"/>
      <c r="U291" s="146"/>
      <c r="V291" s="146"/>
      <c r="W291" s="146"/>
      <c r="X291" s="269"/>
      <c r="Y291" s="273">
        <f t="shared" si="15"/>
        <v>0</v>
      </c>
      <c r="Z291" s="146"/>
      <c r="AA291" s="146"/>
      <c r="AB291" s="146"/>
      <c r="AC291" s="146"/>
      <c r="AD291" s="146"/>
      <c r="AE291" s="146"/>
      <c r="AF291" s="146">
        <v>1</v>
      </c>
      <c r="AG291" s="299">
        <v>43175</v>
      </c>
      <c r="AH291" s="273">
        <f t="shared" si="16"/>
        <v>1</v>
      </c>
      <c r="AI291" s="146"/>
      <c r="AJ291" s="146" t="s">
        <v>2479</v>
      </c>
      <c r="AK291" s="146" t="s">
        <v>2480</v>
      </c>
      <c r="AL291" s="146"/>
      <c r="AM291" s="146"/>
      <c r="AN291" s="146"/>
      <c r="AO291" s="146"/>
      <c r="AP291" s="146"/>
      <c r="AQ291" s="146"/>
      <c r="AR291" s="146"/>
      <c r="AS291" s="146"/>
    </row>
    <row r="292" spans="1:45" s="222" customFormat="1" x14ac:dyDescent="0.2">
      <c r="A292" s="146"/>
      <c r="B292" s="296" t="s">
        <v>2207</v>
      </c>
      <c r="C292" s="296" t="s">
        <v>2208</v>
      </c>
      <c r="D292" s="296" t="s">
        <v>2209</v>
      </c>
      <c r="E292" s="297">
        <v>201607066</v>
      </c>
      <c r="F292" s="296" t="s">
        <v>1406</v>
      </c>
      <c r="G292" s="296" t="s">
        <v>1407</v>
      </c>
      <c r="H292" s="146"/>
      <c r="I292" s="146"/>
      <c r="J292" s="146"/>
      <c r="K292" s="146"/>
      <c r="L292" s="146"/>
      <c r="M292" s="146"/>
      <c r="N292" s="146"/>
      <c r="O292" s="146"/>
      <c r="P292" s="287">
        <f t="shared" si="14"/>
        <v>0</v>
      </c>
      <c r="Q292" s="146"/>
      <c r="R292" s="146"/>
      <c r="S292" s="146"/>
      <c r="T292" s="146"/>
      <c r="U292" s="146"/>
      <c r="V292" s="146"/>
      <c r="W292" s="146"/>
      <c r="X292" s="269"/>
      <c r="Y292" s="273">
        <f t="shared" si="15"/>
        <v>0</v>
      </c>
      <c r="Z292" s="146"/>
      <c r="AA292" s="146"/>
      <c r="AB292" s="146"/>
      <c r="AC292" s="146"/>
      <c r="AD292" s="146"/>
      <c r="AE292" s="146"/>
      <c r="AF292" s="146">
        <v>1</v>
      </c>
      <c r="AG292" s="299">
        <v>43171</v>
      </c>
      <c r="AH292" s="273">
        <f t="shared" si="16"/>
        <v>1</v>
      </c>
      <c r="AI292" s="146"/>
      <c r="AJ292" s="146" t="s">
        <v>2479</v>
      </c>
      <c r="AK292" s="146" t="s">
        <v>2480</v>
      </c>
      <c r="AL292" s="146"/>
      <c r="AM292" s="146"/>
      <c r="AN292" s="146"/>
      <c r="AO292" s="146"/>
      <c r="AP292" s="146"/>
      <c r="AQ292" s="146"/>
      <c r="AR292" s="146"/>
      <c r="AS292" s="146"/>
    </row>
    <row r="293" spans="1:45" s="222" customFormat="1" x14ac:dyDescent="0.2">
      <c r="A293" s="146"/>
      <c r="B293" s="296" t="s">
        <v>2210</v>
      </c>
      <c r="C293" s="296" t="s">
        <v>2211</v>
      </c>
      <c r="D293" s="296" t="s">
        <v>2212</v>
      </c>
      <c r="E293" s="297">
        <v>201607069</v>
      </c>
      <c r="F293" s="296" t="s">
        <v>1406</v>
      </c>
      <c r="G293" s="296" t="s">
        <v>1407</v>
      </c>
      <c r="H293" s="146"/>
      <c r="I293" s="146"/>
      <c r="J293" s="146"/>
      <c r="K293" s="146"/>
      <c r="L293" s="146"/>
      <c r="M293" s="146"/>
      <c r="N293" s="146"/>
      <c r="O293" s="146"/>
      <c r="P293" s="287">
        <f t="shared" si="14"/>
        <v>0</v>
      </c>
      <c r="Q293" s="146"/>
      <c r="R293" s="146"/>
      <c r="S293" s="146"/>
      <c r="T293" s="146"/>
      <c r="U293" s="146"/>
      <c r="V293" s="146"/>
      <c r="W293" s="146"/>
      <c r="X293" s="269"/>
      <c r="Y293" s="273">
        <f t="shared" si="15"/>
        <v>0</v>
      </c>
      <c r="Z293" s="146"/>
      <c r="AA293" s="146"/>
      <c r="AB293" s="146"/>
      <c r="AC293" s="146"/>
      <c r="AD293" s="146"/>
      <c r="AE293" s="146"/>
      <c r="AF293" s="146">
        <v>1</v>
      </c>
      <c r="AG293" s="299">
        <v>43171</v>
      </c>
      <c r="AH293" s="273">
        <f t="shared" si="16"/>
        <v>1</v>
      </c>
      <c r="AI293" s="146"/>
      <c r="AJ293" s="146" t="s">
        <v>2479</v>
      </c>
      <c r="AK293" s="146" t="s">
        <v>2480</v>
      </c>
      <c r="AL293" s="146"/>
      <c r="AM293" s="146"/>
      <c r="AN293" s="146"/>
      <c r="AO293" s="146"/>
      <c r="AP293" s="146"/>
      <c r="AQ293" s="146"/>
      <c r="AR293" s="146"/>
      <c r="AS293" s="146"/>
    </row>
    <row r="294" spans="1:45" s="222" customFormat="1" x14ac:dyDescent="0.2">
      <c r="A294" s="146"/>
      <c r="B294" s="296" t="s">
        <v>2213</v>
      </c>
      <c r="C294" s="296" t="s">
        <v>2214</v>
      </c>
      <c r="D294" s="296" t="s">
        <v>2215</v>
      </c>
      <c r="E294" s="297">
        <v>201607071</v>
      </c>
      <c r="F294" s="296" t="s">
        <v>1411</v>
      </c>
      <c r="G294" s="296" t="s">
        <v>1407</v>
      </c>
      <c r="H294" s="146"/>
      <c r="I294" s="146"/>
      <c r="J294" s="146"/>
      <c r="K294" s="146"/>
      <c r="L294" s="146"/>
      <c r="M294" s="146"/>
      <c r="N294" s="146"/>
      <c r="O294" s="146"/>
      <c r="P294" s="287">
        <f t="shared" si="14"/>
        <v>0</v>
      </c>
      <c r="Q294" s="146"/>
      <c r="R294" s="146"/>
      <c r="S294" s="146"/>
      <c r="T294" s="146"/>
      <c r="U294" s="146"/>
      <c r="V294" s="146"/>
      <c r="W294" s="146"/>
      <c r="X294" s="269"/>
      <c r="Y294" s="273">
        <f t="shared" si="15"/>
        <v>0</v>
      </c>
      <c r="Z294" s="146"/>
      <c r="AA294" s="146"/>
      <c r="AB294" s="146"/>
      <c r="AC294" s="146"/>
      <c r="AD294" s="146"/>
      <c r="AE294" s="146"/>
      <c r="AF294" s="146">
        <v>1</v>
      </c>
      <c r="AG294" s="299">
        <v>43215</v>
      </c>
      <c r="AH294" s="273">
        <f t="shared" si="16"/>
        <v>1</v>
      </c>
      <c r="AI294" s="146"/>
      <c r="AJ294" s="146" t="s">
        <v>2479</v>
      </c>
      <c r="AK294" s="146" t="s">
        <v>2480</v>
      </c>
      <c r="AL294" s="146"/>
      <c r="AM294" s="146"/>
      <c r="AN294" s="146"/>
      <c r="AO294" s="146"/>
      <c r="AP294" s="146"/>
      <c r="AQ294" s="146"/>
      <c r="AR294" s="146"/>
      <c r="AS294" s="146"/>
    </row>
    <row r="295" spans="1:45" s="222" customFormat="1" x14ac:dyDescent="0.2">
      <c r="A295" s="146"/>
      <c r="B295" s="296" t="s">
        <v>2216</v>
      </c>
      <c r="C295" s="296" t="s">
        <v>2217</v>
      </c>
      <c r="D295" s="296" t="s">
        <v>2218</v>
      </c>
      <c r="E295" s="297">
        <v>201607073</v>
      </c>
      <c r="F295" s="296" t="s">
        <v>1411</v>
      </c>
      <c r="G295" s="296" t="s">
        <v>1407</v>
      </c>
      <c r="H295" s="146"/>
      <c r="I295" s="146"/>
      <c r="J295" s="146"/>
      <c r="K295" s="146"/>
      <c r="L295" s="146"/>
      <c r="M295" s="146"/>
      <c r="N295" s="146"/>
      <c r="O295" s="146"/>
      <c r="P295" s="287">
        <f t="shared" si="14"/>
        <v>0</v>
      </c>
      <c r="Q295" s="146"/>
      <c r="R295" s="146"/>
      <c r="S295" s="146"/>
      <c r="T295" s="146"/>
      <c r="U295" s="146"/>
      <c r="V295" s="146"/>
      <c r="W295" s="146"/>
      <c r="X295" s="269"/>
      <c r="Y295" s="273">
        <f t="shared" si="15"/>
        <v>0</v>
      </c>
      <c r="Z295" s="146"/>
      <c r="AA295" s="146"/>
      <c r="AB295" s="146"/>
      <c r="AC295" s="146"/>
      <c r="AD295" s="146"/>
      <c r="AE295" s="146"/>
      <c r="AF295" s="146">
        <v>1</v>
      </c>
      <c r="AG295" s="299">
        <v>43216</v>
      </c>
      <c r="AH295" s="273">
        <f t="shared" si="16"/>
        <v>1</v>
      </c>
      <c r="AI295" s="146"/>
      <c r="AJ295" s="146" t="s">
        <v>2479</v>
      </c>
      <c r="AK295" s="146" t="s">
        <v>2480</v>
      </c>
      <c r="AL295" s="146"/>
      <c r="AM295" s="146"/>
      <c r="AN295" s="146"/>
      <c r="AO295" s="146"/>
      <c r="AP295" s="146"/>
      <c r="AQ295" s="146"/>
      <c r="AR295" s="146"/>
      <c r="AS295" s="146"/>
    </row>
    <row r="296" spans="1:45" s="222" customFormat="1" x14ac:dyDescent="0.2">
      <c r="A296" s="146"/>
      <c r="B296" s="296" t="s">
        <v>2219</v>
      </c>
      <c r="C296" s="296" t="s">
        <v>2220</v>
      </c>
      <c r="D296" s="296" t="s">
        <v>2221</v>
      </c>
      <c r="E296" s="297">
        <v>201607074</v>
      </c>
      <c r="F296" s="296" t="s">
        <v>1411</v>
      </c>
      <c r="G296" s="296" t="s">
        <v>1407</v>
      </c>
      <c r="H296" s="146"/>
      <c r="I296" s="146"/>
      <c r="J296" s="146"/>
      <c r="K296" s="146"/>
      <c r="L296" s="146"/>
      <c r="M296" s="146"/>
      <c r="N296" s="146"/>
      <c r="O296" s="146"/>
      <c r="P296" s="287">
        <f t="shared" si="14"/>
        <v>0</v>
      </c>
      <c r="Q296" s="146"/>
      <c r="R296" s="146"/>
      <c r="S296" s="146"/>
      <c r="T296" s="146"/>
      <c r="U296" s="146"/>
      <c r="V296" s="146"/>
      <c r="W296" s="146"/>
      <c r="X296" s="269"/>
      <c r="Y296" s="273">
        <f t="shared" si="15"/>
        <v>0</v>
      </c>
      <c r="Z296" s="146"/>
      <c r="AA296" s="146"/>
      <c r="AB296" s="146"/>
      <c r="AC296" s="146"/>
      <c r="AD296" s="146"/>
      <c r="AE296" s="146"/>
      <c r="AF296" s="146">
        <v>1</v>
      </c>
      <c r="AG296" s="299">
        <v>43236</v>
      </c>
      <c r="AH296" s="273">
        <f t="shared" si="16"/>
        <v>1</v>
      </c>
      <c r="AI296" s="146"/>
      <c r="AJ296" s="146" t="s">
        <v>2479</v>
      </c>
      <c r="AK296" s="146" t="s">
        <v>2480</v>
      </c>
      <c r="AL296" s="146"/>
      <c r="AM296" s="146"/>
      <c r="AN296" s="146"/>
      <c r="AO296" s="146"/>
      <c r="AP296" s="146"/>
      <c r="AQ296" s="146"/>
      <c r="AR296" s="146"/>
      <c r="AS296" s="146"/>
    </row>
    <row r="297" spans="1:45" s="222" customFormat="1" x14ac:dyDescent="0.2">
      <c r="A297" s="146"/>
      <c r="B297" s="296" t="s">
        <v>2222</v>
      </c>
      <c r="C297" s="296" t="s">
        <v>2223</v>
      </c>
      <c r="D297" s="296" t="s">
        <v>2224</v>
      </c>
      <c r="E297" s="297">
        <v>201607076</v>
      </c>
      <c r="F297" s="296" t="s">
        <v>1411</v>
      </c>
      <c r="G297" s="296" t="s">
        <v>1407</v>
      </c>
      <c r="H297" s="146"/>
      <c r="I297" s="146"/>
      <c r="J297" s="146"/>
      <c r="K297" s="146"/>
      <c r="L297" s="146"/>
      <c r="M297" s="146"/>
      <c r="N297" s="146"/>
      <c r="O297" s="146"/>
      <c r="P297" s="287">
        <f t="shared" si="14"/>
        <v>0</v>
      </c>
      <c r="Q297" s="146"/>
      <c r="R297" s="146"/>
      <c r="S297" s="146"/>
      <c r="T297" s="146"/>
      <c r="U297" s="146"/>
      <c r="V297" s="146"/>
      <c r="W297" s="146"/>
      <c r="X297" s="269"/>
      <c r="Y297" s="273">
        <f t="shared" si="15"/>
        <v>0</v>
      </c>
      <c r="Z297" s="146"/>
      <c r="AA297" s="146"/>
      <c r="AB297" s="146"/>
      <c r="AC297" s="146"/>
      <c r="AD297" s="146"/>
      <c r="AE297" s="146"/>
      <c r="AF297" s="146">
        <v>1</v>
      </c>
      <c r="AG297" s="299">
        <v>43236</v>
      </c>
      <c r="AH297" s="273">
        <f t="shared" si="16"/>
        <v>1</v>
      </c>
      <c r="AI297" s="146"/>
      <c r="AJ297" s="146" t="s">
        <v>2479</v>
      </c>
      <c r="AK297" s="146" t="s">
        <v>2480</v>
      </c>
      <c r="AL297" s="146"/>
      <c r="AM297" s="146"/>
      <c r="AN297" s="146"/>
      <c r="AO297" s="146"/>
      <c r="AP297" s="146"/>
      <c r="AQ297" s="146"/>
      <c r="AR297" s="146"/>
      <c r="AS297" s="146"/>
    </row>
    <row r="298" spans="1:45" s="222" customFormat="1" x14ac:dyDescent="0.2">
      <c r="A298" s="146"/>
      <c r="B298" s="296" t="s">
        <v>2225</v>
      </c>
      <c r="C298" s="296" t="s">
        <v>2226</v>
      </c>
      <c r="D298" s="296" t="s">
        <v>2227</v>
      </c>
      <c r="E298" s="297">
        <v>201607077</v>
      </c>
      <c r="F298" s="296" t="s">
        <v>1406</v>
      </c>
      <c r="G298" s="296" t="s">
        <v>1407</v>
      </c>
      <c r="H298" s="146"/>
      <c r="I298" s="146"/>
      <c r="J298" s="146"/>
      <c r="K298" s="146"/>
      <c r="L298" s="146"/>
      <c r="M298" s="146"/>
      <c r="N298" s="146"/>
      <c r="O298" s="146"/>
      <c r="P298" s="287">
        <f t="shared" si="14"/>
        <v>0</v>
      </c>
      <c r="Q298" s="146"/>
      <c r="R298" s="146"/>
      <c r="S298" s="146"/>
      <c r="T298" s="146"/>
      <c r="U298" s="146"/>
      <c r="V298" s="146"/>
      <c r="W298" s="146"/>
      <c r="X298" s="269"/>
      <c r="Y298" s="273">
        <f t="shared" si="15"/>
        <v>0</v>
      </c>
      <c r="Z298" s="146"/>
      <c r="AA298" s="146"/>
      <c r="AB298" s="146"/>
      <c r="AC298" s="146"/>
      <c r="AD298" s="146"/>
      <c r="AE298" s="146"/>
      <c r="AF298" s="146">
        <v>1</v>
      </c>
      <c r="AG298" s="299">
        <v>43236</v>
      </c>
      <c r="AH298" s="273">
        <f t="shared" si="16"/>
        <v>1</v>
      </c>
      <c r="AI298" s="146"/>
      <c r="AJ298" s="146" t="s">
        <v>2479</v>
      </c>
      <c r="AK298" s="146" t="s">
        <v>2480</v>
      </c>
      <c r="AL298" s="146"/>
      <c r="AM298" s="146"/>
      <c r="AN298" s="146"/>
      <c r="AO298" s="146"/>
      <c r="AP298" s="146"/>
      <c r="AQ298" s="146"/>
      <c r="AR298" s="146"/>
      <c r="AS298" s="146"/>
    </row>
    <row r="299" spans="1:45" s="222" customFormat="1" x14ac:dyDescent="0.2">
      <c r="A299" s="146"/>
      <c r="B299" s="296" t="s">
        <v>2228</v>
      </c>
      <c r="C299" s="296" t="s">
        <v>2229</v>
      </c>
      <c r="D299" s="296" t="s">
        <v>2230</v>
      </c>
      <c r="E299" s="297">
        <v>201607078</v>
      </c>
      <c r="F299" s="296" t="s">
        <v>1406</v>
      </c>
      <c r="G299" s="296" t="s">
        <v>1407</v>
      </c>
      <c r="H299" s="146"/>
      <c r="I299" s="146"/>
      <c r="J299" s="146"/>
      <c r="K299" s="146"/>
      <c r="L299" s="146"/>
      <c r="M299" s="146"/>
      <c r="N299" s="146"/>
      <c r="O299" s="146"/>
      <c r="P299" s="287">
        <f t="shared" si="14"/>
        <v>0</v>
      </c>
      <c r="Q299" s="146"/>
      <c r="R299" s="146"/>
      <c r="S299" s="146"/>
      <c r="T299" s="146"/>
      <c r="U299" s="146"/>
      <c r="V299" s="146"/>
      <c r="W299" s="146"/>
      <c r="X299" s="269"/>
      <c r="Y299" s="273">
        <f t="shared" si="15"/>
        <v>0</v>
      </c>
      <c r="Z299" s="146"/>
      <c r="AA299" s="146"/>
      <c r="AB299" s="146"/>
      <c r="AC299" s="146"/>
      <c r="AD299" s="146"/>
      <c r="AE299" s="146"/>
      <c r="AF299" s="146">
        <v>1</v>
      </c>
      <c r="AG299" s="299">
        <v>43237</v>
      </c>
      <c r="AH299" s="273">
        <f t="shared" si="16"/>
        <v>1</v>
      </c>
      <c r="AI299" s="146"/>
      <c r="AJ299" s="146" t="s">
        <v>2479</v>
      </c>
      <c r="AK299" s="146" t="s">
        <v>2480</v>
      </c>
      <c r="AL299" s="146"/>
      <c r="AM299" s="146"/>
      <c r="AN299" s="146"/>
      <c r="AO299" s="146"/>
      <c r="AP299" s="146"/>
      <c r="AQ299" s="146"/>
      <c r="AR299" s="146"/>
      <c r="AS299" s="146"/>
    </row>
    <row r="300" spans="1:45" s="222" customFormat="1" x14ac:dyDescent="0.2">
      <c r="A300" s="146"/>
      <c r="B300" s="296" t="s">
        <v>2231</v>
      </c>
      <c r="C300" s="296" t="s">
        <v>2232</v>
      </c>
      <c r="D300" s="296" t="s">
        <v>2233</v>
      </c>
      <c r="E300" s="297">
        <v>201607080</v>
      </c>
      <c r="F300" s="296" t="s">
        <v>1411</v>
      </c>
      <c r="G300" s="296" t="s">
        <v>1407</v>
      </c>
      <c r="H300" s="146"/>
      <c r="I300" s="146"/>
      <c r="J300" s="146"/>
      <c r="K300" s="146"/>
      <c r="L300" s="146"/>
      <c r="M300" s="146"/>
      <c r="N300" s="146"/>
      <c r="O300" s="146"/>
      <c r="P300" s="287">
        <f t="shared" si="14"/>
        <v>0</v>
      </c>
      <c r="Q300" s="146"/>
      <c r="R300" s="146"/>
      <c r="S300" s="146"/>
      <c r="T300" s="146"/>
      <c r="U300" s="146"/>
      <c r="V300" s="146"/>
      <c r="W300" s="146"/>
      <c r="X300" s="269"/>
      <c r="Y300" s="273">
        <f t="shared" si="15"/>
        <v>0</v>
      </c>
      <c r="Z300" s="146"/>
      <c r="AA300" s="146"/>
      <c r="AB300" s="146"/>
      <c r="AC300" s="146"/>
      <c r="AD300" s="146"/>
      <c r="AE300" s="146"/>
      <c r="AF300" s="146">
        <v>1</v>
      </c>
      <c r="AG300" s="299">
        <v>43237</v>
      </c>
      <c r="AH300" s="273">
        <f t="shared" si="16"/>
        <v>1</v>
      </c>
      <c r="AI300" s="146"/>
      <c r="AJ300" s="146" t="s">
        <v>2479</v>
      </c>
      <c r="AK300" s="146" t="s">
        <v>2480</v>
      </c>
      <c r="AL300" s="146"/>
      <c r="AM300" s="146"/>
      <c r="AN300" s="146"/>
      <c r="AO300" s="146"/>
      <c r="AP300" s="146"/>
      <c r="AQ300" s="146"/>
      <c r="AR300" s="146"/>
      <c r="AS300" s="146"/>
    </row>
    <row r="301" spans="1:45" s="222" customFormat="1" x14ac:dyDescent="0.2">
      <c r="A301" s="146"/>
      <c r="B301" s="296" t="s">
        <v>2234</v>
      </c>
      <c r="C301" s="296" t="s">
        <v>2235</v>
      </c>
      <c r="D301" s="296" t="s">
        <v>2236</v>
      </c>
      <c r="E301" s="297">
        <v>201607079</v>
      </c>
      <c r="F301" s="296" t="s">
        <v>1411</v>
      </c>
      <c r="G301" s="296" t="s">
        <v>1407</v>
      </c>
      <c r="H301" s="146"/>
      <c r="I301" s="146"/>
      <c r="J301" s="146"/>
      <c r="K301" s="146"/>
      <c r="L301" s="146"/>
      <c r="M301" s="146"/>
      <c r="N301" s="146"/>
      <c r="O301" s="146"/>
      <c r="P301" s="287">
        <f t="shared" si="14"/>
        <v>0</v>
      </c>
      <c r="Q301" s="146"/>
      <c r="R301" s="146"/>
      <c r="S301" s="146"/>
      <c r="T301" s="146"/>
      <c r="U301" s="146"/>
      <c r="V301" s="146"/>
      <c r="W301" s="146"/>
      <c r="X301" s="269"/>
      <c r="Y301" s="273">
        <f t="shared" si="15"/>
        <v>0</v>
      </c>
      <c r="Z301" s="146"/>
      <c r="AA301" s="146"/>
      <c r="AB301" s="146"/>
      <c r="AC301" s="146"/>
      <c r="AD301" s="146"/>
      <c r="AE301" s="146"/>
      <c r="AF301" s="146">
        <v>1</v>
      </c>
      <c r="AG301" s="299">
        <v>43237</v>
      </c>
      <c r="AH301" s="273">
        <f t="shared" si="16"/>
        <v>1</v>
      </c>
      <c r="AI301" s="146"/>
      <c r="AJ301" s="146" t="s">
        <v>2479</v>
      </c>
      <c r="AK301" s="146" t="s">
        <v>2480</v>
      </c>
      <c r="AL301" s="146"/>
      <c r="AM301" s="146"/>
      <c r="AN301" s="146"/>
      <c r="AO301" s="146"/>
      <c r="AP301" s="146"/>
      <c r="AQ301" s="146"/>
      <c r="AR301" s="146"/>
      <c r="AS301" s="146"/>
    </row>
    <row r="302" spans="1:45" s="222" customFormat="1" x14ac:dyDescent="0.2">
      <c r="A302" s="146"/>
      <c r="B302" s="296" t="s">
        <v>2237</v>
      </c>
      <c r="C302" s="296" t="s">
        <v>2238</v>
      </c>
      <c r="D302" s="296" t="s">
        <v>2239</v>
      </c>
      <c r="E302" s="297">
        <v>201607082</v>
      </c>
      <c r="F302" s="296" t="s">
        <v>1411</v>
      </c>
      <c r="G302" s="296" t="s">
        <v>1407</v>
      </c>
      <c r="H302" s="146"/>
      <c r="I302" s="146"/>
      <c r="J302" s="146"/>
      <c r="K302" s="146"/>
      <c r="L302" s="146"/>
      <c r="M302" s="146"/>
      <c r="N302" s="146"/>
      <c r="O302" s="146"/>
      <c r="P302" s="287">
        <f t="shared" si="14"/>
        <v>0</v>
      </c>
      <c r="Q302" s="146"/>
      <c r="R302" s="146"/>
      <c r="S302" s="146"/>
      <c r="T302" s="146"/>
      <c r="U302" s="146"/>
      <c r="V302" s="146"/>
      <c r="W302" s="146"/>
      <c r="X302" s="269"/>
      <c r="Y302" s="273">
        <f t="shared" si="15"/>
        <v>0</v>
      </c>
      <c r="Z302" s="146"/>
      <c r="AA302" s="146"/>
      <c r="AB302" s="146"/>
      <c r="AC302" s="146"/>
      <c r="AD302" s="146"/>
      <c r="AE302" s="146"/>
      <c r="AF302" s="146">
        <v>1</v>
      </c>
      <c r="AG302" s="299">
        <v>43298</v>
      </c>
      <c r="AH302" s="273">
        <f t="shared" si="16"/>
        <v>1</v>
      </c>
      <c r="AI302" s="146"/>
      <c r="AJ302" s="146" t="s">
        <v>2479</v>
      </c>
      <c r="AK302" s="146" t="s">
        <v>2480</v>
      </c>
      <c r="AL302" s="146"/>
      <c r="AM302" s="146"/>
      <c r="AN302" s="146"/>
      <c r="AO302" s="146"/>
      <c r="AP302" s="146"/>
      <c r="AQ302" s="146"/>
      <c r="AR302" s="146"/>
      <c r="AS302" s="146"/>
    </row>
    <row r="303" spans="1:45" s="222" customFormat="1" x14ac:dyDescent="0.2">
      <c r="A303" s="146"/>
      <c r="B303" s="296" t="s">
        <v>2240</v>
      </c>
      <c r="C303" s="296" t="s">
        <v>2241</v>
      </c>
      <c r="D303" s="296" t="s">
        <v>2242</v>
      </c>
      <c r="E303" s="297">
        <v>201607083</v>
      </c>
      <c r="F303" s="296" t="s">
        <v>1411</v>
      </c>
      <c r="G303" s="296" t="s">
        <v>1407</v>
      </c>
      <c r="H303" s="146"/>
      <c r="I303" s="146"/>
      <c r="J303" s="146"/>
      <c r="K303" s="146"/>
      <c r="L303" s="146"/>
      <c r="M303" s="146"/>
      <c r="N303" s="146"/>
      <c r="O303" s="146"/>
      <c r="P303" s="287">
        <f t="shared" si="14"/>
        <v>0</v>
      </c>
      <c r="Q303" s="146"/>
      <c r="R303" s="146"/>
      <c r="S303" s="146"/>
      <c r="T303" s="146"/>
      <c r="U303" s="146"/>
      <c r="V303" s="146"/>
      <c r="W303" s="146"/>
      <c r="X303" s="269"/>
      <c r="Y303" s="273">
        <f t="shared" si="15"/>
        <v>0</v>
      </c>
      <c r="Z303" s="146"/>
      <c r="AA303" s="146"/>
      <c r="AB303" s="146"/>
      <c r="AC303" s="146"/>
      <c r="AD303" s="146"/>
      <c r="AE303" s="146"/>
      <c r="AF303" s="146">
        <v>1</v>
      </c>
      <c r="AG303" s="299">
        <v>43298</v>
      </c>
      <c r="AH303" s="273">
        <f t="shared" si="16"/>
        <v>1</v>
      </c>
      <c r="AI303" s="146"/>
      <c r="AJ303" s="146" t="s">
        <v>2479</v>
      </c>
      <c r="AK303" s="146" t="s">
        <v>2480</v>
      </c>
      <c r="AL303" s="146"/>
      <c r="AM303" s="146"/>
      <c r="AN303" s="146"/>
      <c r="AO303" s="146"/>
      <c r="AP303" s="146"/>
      <c r="AQ303" s="146"/>
      <c r="AR303" s="146"/>
      <c r="AS303" s="146"/>
    </row>
    <row r="304" spans="1:45" s="222" customFormat="1" x14ac:dyDescent="0.2">
      <c r="A304" s="146"/>
      <c r="B304" s="296" t="s">
        <v>2243</v>
      </c>
      <c r="C304" s="296" t="s">
        <v>2244</v>
      </c>
      <c r="D304" s="296" t="s">
        <v>2245</v>
      </c>
      <c r="E304" s="297">
        <v>201607084</v>
      </c>
      <c r="F304" s="296" t="s">
        <v>1406</v>
      </c>
      <c r="G304" s="296" t="s">
        <v>1407</v>
      </c>
      <c r="H304" s="146"/>
      <c r="I304" s="146"/>
      <c r="J304" s="146"/>
      <c r="K304" s="146"/>
      <c r="L304" s="146"/>
      <c r="M304" s="146"/>
      <c r="N304" s="146"/>
      <c r="O304" s="146"/>
      <c r="P304" s="287">
        <f t="shared" si="14"/>
        <v>0</v>
      </c>
      <c r="Q304" s="146"/>
      <c r="R304" s="146"/>
      <c r="S304" s="146"/>
      <c r="T304" s="146"/>
      <c r="U304" s="146"/>
      <c r="V304" s="146"/>
      <c r="W304" s="146"/>
      <c r="X304" s="269"/>
      <c r="Y304" s="273">
        <f t="shared" si="15"/>
        <v>0</v>
      </c>
      <c r="Z304" s="146"/>
      <c r="AA304" s="146"/>
      <c r="AB304" s="146"/>
      <c r="AC304" s="146"/>
      <c r="AD304" s="146"/>
      <c r="AE304" s="146"/>
      <c r="AF304" s="146">
        <v>1</v>
      </c>
      <c r="AG304" s="299">
        <v>43298</v>
      </c>
      <c r="AH304" s="273">
        <f t="shared" si="16"/>
        <v>1</v>
      </c>
      <c r="AI304" s="146"/>
      <c r="AJ304" s="146" t="s">
        <v>2479</v>
      </c>
      <c r="AK304" s="146" t="s">
        <v>2480</v>
      </c>
      <c r="AL304" s="146"/>
      <c r="AM304" s="146"/>
      <c r="AN304" s="146"/>
      <c r="AO304" s="146"/>
      <c r="AP304" s="146"/>
      <c r="AQ304" s="146"/>
      <c r="AR304" s="146"/>
      <c r="AS304" s="146"/>
    </row>
    <row r="305" spans="1:45" s="222" customFormat="1" x14ac:dyDescent="0.2">
      <c r="A305" s="146"/>
      <c r="B305" s="296" t="s">
        <v>2246</v>
      </c>
      <c r="C305" s="296" t="s">
        <v>2247</v>
      </c>
      <c r="D305" s="296" t="s">
        <v>2248</v>
      </c>
      <c r="E305" s="297">
        <v>201607085</v>
      </c>
      <c r="F305" s="296" t="s">
        <v>1406</v>
      </c>
      <c r="G305" s="296" t="s">
        <v>1407</v>
      </c>
      <c r="H305" s="146"/>
      <c r="I305" s="146"/>
      <c r="J305" s="146"/>
      <c r="K305" s="146"/>
      <c r="L305" s="146"/>
      <c r="M305" s="146"/>
      <c r="N305" s="146"/>
      <c r="O305" s="146"/>
      <c r="P305" s="287">
        <f t="shared" si="14"/>
        <v>0</v>
      </c>
      <c r="Q305" s="146"/>
      <c r="R305" s="146"/>
      <c r="S305" s="146"/>
      <c r="T305" s="146"/>
      <c r="U305" s="146"/>
      <c r="V305" s="146"/>
      <c r="W305" s="146"/>
      <c r="X305" s="269"/>
      <c r="Y305" s="273">
        <f t="shared" si="15"/>
        <v>0</v>
      </c>
      <c r="Z305" s="146"/>
      <c r="AA305" s="146"/>
      <c r="AB305" s="146"/>
      <c r="AC305" s="146"/>
      <c r="AD305" s="146"/>
      <c r="AE305" s="146"/>
      <c r="AF305" s="146">
        <v>1</v>
      </c>
      <c r="AG305" s="299">
        <v>43374</v>
      </c>
      <c r="AH305" s="273">
        <f t="shared" si="16"/>
        <v>1</v>
      </c>
      <c r="AI305" s="146"/>
      <c r="AJ305" s="146" t="s">
        <v>2479</v>
      </c>
      <c r="AK305" s="146" t="s">
        <v>2480</v>
      </c>
      <c r="AL305" s="146"/>
      <c r="AM305" s="146"/>
      <c r="AN305" s="146"/>
      <c r="AO305" s="146"/>
      <c r="AP305" s="146"/>
      <c r="AQ305" s="146"/>
      <c r="AR305" s="146"/>
      <c r="AS305" s="146"/>
    </row>
    <row r="306" spans="1:45" s="222" customFormat="1" x14ac:dyDescent="0.2">
      <c r="A306" s="146"/>
      <c r="B306" s="296" t="s">
        <v>2249</v>
      </c>
      <c r="C306" s="296" t="s">
        <v>2250</v>
      </c>
      <c r="D306" s="296" t="s">
        <v>2251</v>
      </c>
      <c r="E306" s="297">
        <v>201505584</v>
      </c>
      <c r="F306" s="296" t="s">
        <v>1406</v>
      </c>
      <c r="G306" s="296" t="s">
        <v>1407</v>
      </c>
      <c r="H306" s="146"/>
      <c r="I306" s="146"/>
      <c r="J306" s="146"/>
      <c r="K306" s="146"/>
      <c r="L306" s="146"/>
      <c r="M306" s="146"/>
      <c r="N306" s="146"/>
      <c r="O306" s="146"/>
      <c r="P306" s="287">
        <f t="shared" si="14"/>
        <v>0</v>
      </c>
      <c r="Q306" s="146"/>
      <c r="R306" s="146"/>
      <c r="S306" s="146"/>
      <c r="T306" s="146"/>
      <c r="U306" s="146"/>
      <c r="V306" s="146"/>
      <c r="W306" s="146"/>
      <c r="X306" s="269"/>
      <c r="Y306" s="273">
        <f t="shared" si="15"/>
        <v>0</v>
      </c>
      <c r="Z306" s="146"/>
      <c r="AA306" s="146"/>
      <c r="AB306" s="146"/>
      <c r="AC306" s="146"/>
      <c r="AD306" s="146"/>
      <c r="AE306" s="146"/>
      <c r="AF306" s="146">
        <v>1</v>
      </c>
      <c r="AG306" s="299">
        <v>43437</v>
      </c>
      <c r="AH306" s="273">
        <f t="shared" si="16"/>
        <v>1</v>
      </c>
      <c r="AI306" s="146"/>
      <c r="AJ306" s="146" t="s">
        <v>2479</v>
      </c>
      <c r="AK306" s="146" t="s">
        <v>2480</v>
      </c>
      <c r="AL306" s="146"/>
      <c r="AM306" s="146"/>
      <c r="AN306" s="146"/>
      <c r="AO306" s="146"/>
      <c r="AP306" s="146"/>
      <c r="AQ306" s="146"/>
      <c r="AR306" s="146"/>
      <c r="AS306" s="146"/>
    </row>
    <row r="307" spans="1:45" s="222" customFormat="1" x14ac:dyDescent="0.2">
      <c r="A307" s="146"/>
      <c r="B307" s="296" t="s">
        <v>2252</v>
      </c>
      <c r="C307" s="296" t="s">
        <v>2253</v>
      </c>
      <c r="D307" s="296" t="s">
        <v>2254</v>
      </c>
      <c r="E307" s="297">
        <v>201504485</v>
      </c>
      <c r="F307" s="296" t="s">
        <v>1406</v>
      </c>
      <c r="G307" s="296" t="s">
        <v>1407</v>
      </c>
      <c r="H307" s="146"/>
      <c r="I307" s="146"/>
      <c r="J307" s="146"/>
      <c r="K307" s="146"/>
      <c r="L307" s="146"/>
      <c r="M307" s="146"/>
      <c r="N307" s="146"/>
      <c r="O307" s="146"/>
      <c r="P307" s="287">
        <f t="shared" si="14"/>
        <v>0</v>
      </c>
      <c r="Q307" s="146"/>
      <c r="R307" s="146"/>
      <c r="S307" s="146"/>
      <c r="T307" s="146"/>
      <c r="U307" s="146"/>
      <c r="V307" s="146"/>
      <c r="W307" s="146"/>
      <c r="X307" s="269"/>
      <c r="Y307" s="273">
        <f t="shared" si="15"/>
        <v>0</v>
      </c>
      <c r="Z307" s="146"/>
      <c r="AA307" s="146"/>
      <c r="AB307" s="146"/>
      <c r="AC307" s="146"/>
      <c r="AD307" s="146"/>
      <c r="AE307" s="146"/>
      <c r="AF307" s="146">
        <v>1</v>
      </c>
      <c r="AG307" s="299">
        <v>43313</v>
      </c>
      <c r="AH307" s="273">
        <f t="shared" si="16"/>
        <v>1</v>
      </c>
      <c r="AI307" s="146"/>
      <c r="AJ307" s="146" t="s">
        <v>2479</v>
      </c>
      <c r="AK307" s="146" t="s">
        <v>2479</v>
      </c>
      <c r="AL307" s="146"/>
      <c r="AM307" s="146"/>
      <c r="AN307" s="146"/>
      <c r="AO307" s="146"/>
      <c r="AP307" s="146"/>
      <c r="AQ307" s="146"/>
      <c r="AR307" s="146"/>
      <c r="AS307" s="146"/>
    </row>
    <row r="308" spans="1:45" s="222" customFormat="1" x14ac:dyDescent="0.2">
      <c r="A308" s="146"/>
      <c r="B308" s="296" t="s">
        <v>2255</v>
      </c>
      <c r="C308" s="296" t="s">
        <v>2256</v>
      </c>
      <c r="D308" s="296" t="s">
        <v>2257</v>
      </c>
      <c r="E308" s="297">
        <v>201502651</v>
      </c>
      <c r="F308" s="296" t="s">
        <v>1406</v>
      </c>
      <c r="G308" s="296" t="s">
        <v>1407</v>
      </c>
      <c r="H308" s="146"/>
      <c r="I308" s="146"/>
      <c r="J308" s="146"/>
      <c r="K308" s="146"/>
      <c r="L308" s="146"/>
      <c r="M308" s="146"/>
      <c r="N308" s="146"/>
      <c r="O308" s="146"/>
      <c r="P308" s="287">
        <f t="shared" si="14"/>
        <v>0</v>
      </c>
      <c r="Q308" s="146"/>
      <c r="R308" s="146"/>
      <c r="S308" s="146"/>
      <c r="T308" s="146"/>
      <c r="U308" s="146"/>
      <c r="V308" s="146"/>
      <c r="W308" s="146"/>
      <c r="X308" s="269"/>
      <c r="Y308" s="273">
        <f t="shared" si="15"/>
        <v>0</v>
      </c>
      <c r="Z308" s="146"/>
      <c r="AA308" s="146"/>
      <c r="AB308" s="146"/>
      <c r="AC308" s="146"/>
      <c r="AD308" s="146"/>
      <c r="AE308" s="146"/>
      <c r="AF308" s="146">
        <v>1</v>
      </c>
      <c r="AG308" s="299">
        <v>43234</v>
      </c>
      <c r="AH308" s="273">
        <f t="shared" si="16"/>
        <v>1</v>
      </c>
      <c r="AI308" s="146"/>
      <c r="AJ308" s="146" t="s">
        <v>2479</v>
      </c>
      <c r="AK308" s="146" t="s">
        <v>2479</v>
      </c>
      <c r="AL308" s="146"/>
      <c r="AM308" s="146"/>
      <c r="AN308" s="146"/>
      <c r="AO308" s="146"/>
      <c r="AP308" s="146"/>
      <c r="AQ308" s="146"/>
      <c r="AR308" s="146"/>
      <c r="AS308" s="146"/>
    </row>
    <row r="309" spans="1:45" s="222" customFormat="1" x14ac:dyDescent="0.2">
      <c r="A309" s="146"/>
      <c r="B309" s="296" t="s">
        <v>2258</v>
      </c>
      <c r="C309" s="296" t="s">
        <v>2259</v>
      </c>
      <c r="D309" s="296" t="s">
        <v>2260</v>
      </c>
      <c r="E309" s="297">
        <v>201502654</v>
      </c>
      <c r="F309" s="296" t="s">
        <v>1406</v>
      </c>
      <c r="G309" s="296" t="s">
        <v>1407</v>
      </c>
      <c r="H309" s="146"/>
      <c r="I309" s="146"/>
      <c r="J309" s="146"/>
      <c r="K309" s="146"/>
      <c r="L309" s="146"/>
      <c r="M309" s="146"/>
      <c r="N309" s="146"/>
      <c r="O309" s="146"/>
      <c r="P309" s="287">
        <f t="shared" si="14"/>
        <v>0</v>
      </c>
      <c r="Q309" s="146"/>
      <c r="R309" s="146"/>
      <c r="S309" s="146"/>
      <c r="T309" s="146"/>
      <c r="U309" s="146"/>
      <c r="V309" s="146"/>
      <c r="W309" s="146"/>
      <c r="X309" s="269"/>
      <c r="Y309" s="273">
        <f t="shared" si="15"/>
        <v>0</v>
      </c>
      <c r="Z309" s="146"/>
      <c r="AA309" s="146"/>
      <c r="AB309" s="146"/>
      <c r="AC309" s="146"/>
      <c r="AD309" s="146"/>
      <c r="AE309" s="146"/>
      <c r="AF309" s="146">
        <v>1</v>
      </c>
      <c r="AG309" s="299">
        <v>43230</v>
      </c>
      <c r="AH309" s="273">
        <f t="shared" si="16"/>
        <v>1</v>
      </c>
      <c r="AI309" s="146"/>
      <c r="AJ309" s="146" t="s">
        <v>2479</v>
      </c>
      <c r="AK309" s="146" t="s">
        <v>2479</v>
      </c>
      <c r="AL309" s="146"/>
      <c r="AM309" s="146"/>
      <c r="AN309" s="146"/>
      <c r="AO309" s="146"/>
      <c r="AP309" s="146"/>
      <c r="AQ309" s="146"/>
      <c r="AR309" s="146"/>
      <c r="AS309" s="146"/>
    </row>
    <row r="310" spans="1:45" s="222" customFormat="1" x14ac:dyDescent="0.2">
      <c r="A310" s="146"/>
      <c r="B310" s="296" t="s">
        <v>2261</v>
      </c>
      <c r="C310" s="296" t="s">
        <v>2262</v>
      </c>
      <c r="D310" s="296" t="s">
        <v>2263</v>
      </c>
      <c r="E310" s="297">
        <v>201502655</v>
      </c>
      <c r="F310" s="296" t="s">
        <v>1406</v>
      </c>
      <c r="G310" s="296" t="s">
        <v>1407</v>
      </c>
      <c r="H310" s="146"/>
      <c r="I310" s="146"/>
      <c r="J310" s="146"/>
      <c r="K310" s="146"/>
      <c r="L310" s="146"/>
      <c r="M310" s="146"/>
      <c r="N310" s="146"/>
      <c r="O310" s="146"/>
      <c r="P310" s="287">
        <f t="shared" si="14"/>
        <v>0</v>
      </c>
      <c r="Q310" s="146"/>
      <c r="R310" s="146"/>
      <c r="S310" s="146"/>
      <c r="T310" s="146"/>
      <c r="U310" s="146"/>
      <c r="V310" s="146"/>
      <c r="W310" s="146"/>
      <c r="X310" s="269"/>
      <c r="Y310" s="273">
        <f t="shared" si="15"/>
        <v>0</v>
      </c>
      <c r="Z310" s="146"/>
      <c r="AA310" s="146"/>
      <c r="AB310" s="146"/>
      <c r="AC310" s="146"/>
      <c r="AD310" s="146"/>
      <c r="AE310" s="146"/>
      <c r="AF310" s="146">
        <v>1</v>
      </c>
      <c r="AG310" s="299">
        <v>43230</v>
      </c>
      <c r="AH310" s="273">
        <f t="shared" si="16"/>
        <v>1</v>
      </c>
      <c r="AI310" s="146"/>
      <c r="AJ310" s="146" t="s">
        <v>2479</v>
      </c>
      <c r="AK310" s="146" t="s">
        <v>2479</v>
      </c>
      <c r="AL310" s="146"/>
      <c r="AM310" s="146"/>
      <c r="AN310" s="146"/>
      <c r="AO310" s="146"/>
      <c r="AP310" s="146"/>
      <c r="AQ310" s="146"/>
      <c r="AR310" s="146"/>
      <c r="AS310" s="146"/>
    </row>
    <row r="311" spans="1:45" s="222" customFormat="1" x14ac:dyDescent="0.2">
      <c r="A311" s="146"/>
      <c r="B311" s="296" t="s">
        <v>2264</v>
      </c>
      <c r="C311" s="296" t="s">
        <v>2265</v>
      </c>
      <c r="D311" s="296" t="s">
        <v>2266</v>
      </c>
      <c r="E311" s="297">
        <v>201606656</v>
      </c>
      <c r="F311" s="296" t="s">
        <v>1406</v>
      </c>
      <c r="G311" s="296" t="s">
        <v>1407</v>
      </c>
      <c r="H311" s="146"/>
      <c r="I311" s="146"/>
      <c r="J311" s="146"/>
      <c r="K311" s="146"/>
      <c r="L311" s="146"/>
      <c r="M311" s="146"/>
      <c r="N311" s="146"/>
      <c r="O311" s="146"/>
      <c r="P311" s="287">
        <f t="shared" si="14"/>
        <v>0</v>
      </c>
      <c r="Q311" s="146"/>
      <c r="R311" s="146"/>
      <c r="S311" s="146"/>
      <c r="T311" s="146"/>
      <c r="U311" s="146"/>
      <c r="V311" s="146"/>
      <c r="W311" s="146"/>
      <c r="X311" s="269"/>
      <c r="Y311" s="273">
        <f t="shared" si="15"/>
        <v>0</v>
      </c>
      <c r="Z311" s="146"/>
      <c r="AA311" s="146"/>
      <c r="AB311" s="146"/>
      <c r="AC311" s="146"/>
      <c r="AD311" s="146"/>
      <c r="AE311" s="146"/>
      <c r="AF311" s="146">
        <v>1</v>
      </c>
      <c r="AG311" s="299">
        <v>43180</v>
      </c>
      <c r="AH311" s="273">
        <f t="shared" si="16"/>
        <v>1</v>
      </c>
      <c r="AI311" s="146"/>
      <c r="AJ311" s="146" t="s">
        <v>2479</v>
      </c>
      <c r="AK311" s="146" t="s">
        <v>2479</v>
      </c>
      <c r="AL311" s="146"/>
      <c r="AM311" s="146"/>
      <c r="AN311" s="146"/>
      <c r="AO311" s="146"/>
      <c r="AP311" s="146"/>
      <c r="AQ311" s="146"/>
      <c r="AR311" s="146"/>
      <c r="AS311" s="146"/>
    </row>
    <row r="312" spans="1:45" s="222" customFormat="1" x14ac:dyDescent="0.2">
      <c r="A312" s="146"/>
      <c r="B312" s="296" t="s">
        <v>2267</v>
      </c>
      <c r="C312" s="296" t="s">
        <v>2268</v>
      </c>
      <c r="D312" s="296" t="s">
        <v>2269</v>
      </c>
      <c r="E312" s="297">
        <v>201606657</v>
      </c>
      <c r="F312" s="296" t="s">
        <v>1406</v>
      </c>
      <c r="G312" s="296" t="s">
        <v>1407</v>
      </c>
      <c r="H312" s="146"/>
      <c r="I312" s="146"/>
      <c r="J312" s="146"/>
      <c r="K312" s="146"/>
      <c r="L312" s="146"/>
      <c r="M312" s="146"/>
      <c r="N312" s="146"/>
      <c r="O312" s="146"/>
      <c r="P312" s="287">
        <f t="shared" si="14"/>
        <v>0</v>
      </c>
      <c r="Q312" s="146"/>
      <c r="R312" s="146"/>
      <c r="S312" s="146"/>
      <c r="T312" s="146"/>
      <c r="U312" s="146"/>
      <c r="V312" s="146"/>
      <c r="W312" s="146"/>
      <c r="X312" s="269"/>
      <c r="Y312" s="273">
        <f t="shared" si="15"/>
        <v>0</v>
      </c>
      <c r="Z312" s="146"/>
      <c r="AA312" s="146"/>
      <c r="AB312" s="146"/>
      <c r="AC312" s="146"/>
      <c r="AD312" s="146"/>
      <c r="AE312" s="146"/>
      <c r="AF312" s="146">
        <v>1</v>
      </c>
      <c r="AG312" s="299">
        <v>43192</v>
      </c>
      <c r="AH312" s="273">
        <f t="shared" si="16"/>
        <v>1</v>
      </c>
      <c r="AI312" s="146"/>
      <c r="AJ312" s="146" t="s">
        <v>2479</v>
      </c>
      <c r="AK312" s="146" t="s">
        <v>2479</v>
      </c>
      <c r="AL312" s="146"/>
      <c r="AM312" s="146"/>
      <c r="AN312" s="146"/>
      <c r="AO312" s="146"/>
      <c r="AP312" s="146"/>
      <c r="AQ312" s="146"/>
      <c r="AR312" s="146"/>
      <c r="AS312" s="146"/>
    </row>
    <row r="313" spans="1:45" s="222" customFormat="1" x14ac:dyDescent="0.2">
      <c r="A313" s="146"/>
      <c r="B313" s="296" t="s">
        <v>2270</v>
      </c>
      <c r="C313" s="296" t="s">
        <v>2271</v>
      </c>
      <c r="D313" s="296" t="s">
        <v>2272</v>
      </c>
      <c r="E313" s="297">
        <v>201606658</v>
      </c>
      <c r="F313" s="296" t="s">
        <v>1406</v>
      </c>
      <c r="G313" s="296" t="s">
        <v>1407</v>
      </c>
      <c r="H313" s="146"/>
      <c r="I313" s="146"/>
      <c r="J313" s="146"/>
      <c r="K313" s="146"/>
      <c r="L313" s="146"/>
      <c r="M313" s="146"/>
      <c r="N313" s="146"/>
      <c r="O313" s="146"/>
      <c r="P313" s="287">
        <f t="shared" si="14"/>
        <v>0</v>
      </c>
      <c r="Q313" s="146"/>
      <c r="R313" s="146"/>
      <c r="S313" s="146"/>
      <c r="T313" s="146"/>
      <c r="U313" s="146"/>
      <c r="V313" s="146"/>
      <c r="W313" s="146"/>
      <c r="X313" s="269"/>
      <c r="Y313" s="273">
        <f t="shared" si="15"/>
        <v>0</v>
      </c>
      <c r="Z313" s="146"/>
      <c r="AA313" s="146"/>
      <c r="AB313" s="146"/>
      <c r="AC313" s="146"/>
      <c r="AD313" s="146"/>
      <c r="AE313" s="146"/>
      <c r="AF313" s="146">
        <v>1</v>
      </c>
      <c r="AG313" s="299">
        <v>43192</v>
      </c>
      <c r="AH313" s="273">
        <f t="shared" si="16"/>
        <v>1</v>
      </c>
      <c r="AI313" s="146"/>
      <c r="AJ313" s="146" t="s">
        <v>2479</v>
      </c>
      <c r="AK313" s="146" t="s">
        <v>2479</v>
      </c>
      <c r="AL313" s="146"/>
      <c r="AM313" s="146"/>
      <c r="AN313" s="146"/>
      <c r="AO313" s="146"/>
      <c r="AP313" s="146"/>
      <c r="AQ313" s="146"/>
      <c r="AR313" s="146"/>
      <c r="AS313" s="146"/>
    </row>
    <row r="314" spans="1:45" s="222" customFormat="1" x14ac:dyDescent="0.2">
      <c r="A314" s="146"/>
      <c r="B314" s="296" t="s">
        <v>2273</v>
      </c>
      <c r="C314" s="296" t="s">
        <v>2274</v>
      </c>
      <c r="D314" s="296" t="s">
        <v>2275</v>
      </c>
      <c r="E314" s="297">
        <v>201606659</v>
      </c>
      <c r="F314" s="296" t="s">
        <v>1406</v>
      </c>
      <c r="G314" s="296" t="s">
        <v>1407</v>
      </c>
      <c r="H314" s="146"/>
      <c r="I314" s="146"/>
      <c r="J314" s="146"/>
      <c r="K314" s="146"/>
      <c r="L314" s="146"/>
      <c r="M314" s="146"/>
      <c r="N314" s="146"/>
      <c r="O314" s="146"/>
      <c r="P314" s="287">
        <f t="shared" si="14"/>
        <v>0</v>
      </c>
      <c r="Q314" s="146"/>
      <c r="R314" s="146"/>
      <c r="S314" s="146"/>
      <c r="T314" s="146"/>
      <c r="U314" s="146"/>
      <c r="V314" s="146"/>
      <c r="W314" s="146"/>
      <c r="X314" s="269"/>
      <c r="Y314" s="273">
        <f t="shared" si="15"/>
        <v>0</v>
      </c>
      <c r="Z314" s="146"/>
      <c r="AA314" s="146"/>
      <c r="AB314" s="146"/>
      <c r="AC314" s="146"/>
      <c r="AD314" s="146"/>
      <c r="AE314" s="146"/>
      <c r="AF314" s="146">
        <v>1</v>
      </c>
      <c r="AG314" s="299">
        <v>43187</v>
      </c>
      <c r="AH314" s="273">
        <f t="shared" si="16"/>
        <v>1</v>
      </c>
      <c r="AI314" s="146"/>
      <c r="AJ314" s="146" t="s">
        <v>2479</v>
      </c>
      <c r="AK314" s="146" t="s">
        <v>2479</v>
      </c>
      <c r="AL314" s="146"/>
      <c r="AM314" s="146"/>
      <c r="AN314" s="146"/>
      <c r="AO314" s="146"/>
      <c r="AP314" s="146"/>
      <c r="AQ314" s="146"/>
      <c r="AR314" s="146"/>
      <c r="AS314" s="146"/>
    </row>
    <row r="315" spans="1:45" s="222" customFormat="1" x14ac:dyDescent="0.2">
      <c r="A315" s="146"/>
      <c r="B315" s="296" t="s">
        <v>2276</v>
      </c>
      <c r="C315" s="296" t="s">
        <v>2277</v>
      </c>
      <c r="D315" s="296" t="s">
        <v>2278</v>
      </c>
      <c r="E315" s="297">
        <v>201606660</v>
      </c>
      <c r="F315" s="296" t="s">
        <v>1406</v>
      </c>
      <c r="G315" s="296" t="s">
        <v>1407</v>
      </c>
      <c r="H315" s="146"/>
      <c r="I315" s="146"/>
      <c r="J315" s="146"/>
      <c r="K315" s="146"/>
      <c r="L315" s="146"/>
      <c r="M315" s="146"/>
      <c r="N315" s="146"/>
      <c r="O315" s="146"/>
      <c r="P315" s="287">
        <f t="shared" si="14"/>
        <v>0</v>
      </c>
      <c r="Q315" s="146"/>
      <c r="R315" s="146"/>
      <c r="S315" s="146"/>
      <c r="T315" s="146"/>
      <c r="U315" s="146"/>
      <c r="V315" s="146"/>
      <c r="W315" s="146"/>
      <c r="X315" s="269"/>
      <c r="Y315" s="273">
        <f t="shared" si="15"/>
        <v>0</v>
      </c>
      <c r="Z315" s="146"/>
      <c r="AA315" s="146"/>
      <c r="AB315" s="146"/>
      <c r="AC315" s="146"/>
      <c r="AD315" s="146"/>
      <c r="AE315" s="146"/>
      <c r="AF315" s="146">
        <v>1</v>
      </c>
      <c r="AG315" s="299">
        <v>43192</v>
      </c>
      <c r="AH315" s="273">
        <f t="shared" si="16"/>
        <v>1</v>
      </c>
      <c r="AI315" s="146"/>
      <c r="AJ315" s="146" t="s">
        <v>2479</v>
      </c>
      <c r="AK315" s="146" t="s">
        <v>2479</v>
      </c>
      <c r="AL315" s="146"/>
      <c r="AM315" s="146"/>
      <c r="AN315" s="146"/>
      <c r="AO315" s="146"/>
      <c r="AP315" s="146"/>
      <c r="AQ315" s="146"/>
      <c r="AR315" s="146"/>
      <c r="AS315" s="146"/>
    </row>
    <row r="316" spans="1:45" s="222" customFormat="1" x14ac:dyDescent="0.2">
      <c r="A316" s="146"/>
      <c r="B316" s="296" t="s">
        <v>2279</v>
      </c>
      <c r="C316" s="296" t="s">
        <v>2280</v>
      </c>
      <c r="D316" s="296" t="s">
        <v>2281</v>
      </c>
      <c r="E316" s="297">
        <v>201606650</v>
      </c>
      <c r="F316" s="296" t="s">
        <v>1406</v>
      </c>
      <c r="G316" s="296" t="s">
        <v>1407</v>
      </c>
      <c r="H316" s="146"/>
      <c r="I316" s="146"/>
      <c r="J316" s="146"/>
      <c r="K316" s="146"/>
      <c r="L316" s="146"/>
      <c r="M316" s="146"/>
      <c r="N316" s="146"/>
      <c r="O316" s="146"/>
      <c r="P316" s="287">
        <f t="shared" si="14"/>
        <v>0</v>
      </c>
      <c r="Q316" s="146"/>
      <c r="R316" s="146"/>
      <c r="S316" s="146"/>
      <c r="T316" s="146"/>
      <c r="U316" s="146"/>
      <c r="V316" s="146"/>
      <c r="W316" s="146"/>
      <c r="X316" s="269"/>
      <c r="Y316" s="273">
        <f t="shared" si="15"/>
        <v>0</v>
      </c>
      <c r="Z316" s="146"/>
      <c r="AA316" s="146"/>
      <c r="AB316" s="146"/>
      <c r="AC316" s="146"/>
      <c r="AD316" s="146"/>
      <c r="AE316" s="146"/>
      <c r="AF316" s="146">
        <v>1</v>
      </c>
      <c r="AG316" s="299">
        <v>43389</v>
      </c>
      <c r="AH316" s="273">
        <f t="shared" si="16"/>
        <v>1</v>
      </c>
      <c r="AI316" s="146"/>
      <c r="AJ316" s="146" t="s">
        <v>2479</v>
      </c>
      <c r="AK316" s="146" t="s">
        <v>2479</v>
      </c>
      <c r="AL316" s="146"/>
      <c r="AM316" s="146"/>
      <c r="AN316" s="146"/>
      <c r="AO316" s="146"/>
      <c r="AP316" s="146"/>
      <c r="AQ316" s="146"/>
      <c r="AR316" s="146"/>
      <c r="AS316" s="146"/>
    </row>
    <row r="317" spans="1:45" s="222" customFormat="1" x14ac:dyDescent="0.2">
      <c r="A317" s="146"/>
      <c r="B317" s="296" t="s">
        <v>2282</v>
      </c>
      <c r="C317" s="296" t="s">
        <v>2283</v>
      </c>
      <c r="D317" s="296" t="s">
        <v>2284</v>
      </c>
      <c r="E317" s="297">
        <v>201606651</v>
      </c>
      <c r="F317" s="296" t="s">
        <v>1406</v>
      </c>
      <c r="G317" s="296" t="s">
        <v>1407</v>
      </c>
      <c r="H317" s="146"/>
      <c r="I317" s="146"/>
      <c r="J317" s="146"/>
      <c r="K317" s="146"/>
      <c r="L317" s="146"/>
      <c r="M317" s="146"/>
      <c r="N317" s="146"/>
      <c r="O317" s="146"/>
      <c r="P317" s="287">
        <f t="shared" si="14"/>
        <v>0</v>
      </c>
      <c r="Q317" s="146"/>
      <c r="R317" s="146"/>
      <c r="S317" s="146"/>
      <c r="T317" s="146"/>
      <c r="U317" s="146"/>
      <c r="V317" s="146"/>
      <c r="W317" s="146"/>
      <c r="X317" s="269"/>
      <c r="Y317" s="273">
        <f t="shared" si="15"/>
        <v>0</v>
      </c>
      <c r="Z317" s="146"/>
      <c r="AA317" s="146"/>
      <c r="AB317" s="146"/>
      <c r="AC317" s="146"/>
      <c r="AD317" s="146"/>
      <c r="AE317" s="146"/>
      <c r="AF317" s="146">
        <v>1</v>
      </c>
      <c r="AG317" s="299">
        <v>43263</v>
      </c>
      <c r="AH317" s="273">
        <f t="shared" si="16"/>
        <v>1</v>
      </c>
      <c r="AI317" s="146"/>
      <c r="AJ317" s="146" t="s">
        <v>2479</v>
      </c>
      <c r="AK317" s="146" t="s">
        <v>2479</v>
      </c>
      <c r="AL317" s="146"/>
      <c r="AM317" s="146"/>
      <c r="AN317" s="146"/>
      <c r="AO317" s="146"/>
      <c r="AP317" s="146"/>
      <c r="AQ317" s="146"/>
      <c r="AR317" s="146"/>
      <c r="AS317" s="146"/>
    </row>
    <row r="318" spans="1:45" s="222" customFormat="1" x14ac:dyDescent="0.2">
      <c r="A318" s="146"/>
      <c r="B318" s="296" t="s">
        <v>2285</v>
      </c>
      <c r="C318" s="296" t="s">
        <v>2286</v>
      </c>
      <c r="D318" s="296" t="s">
        <v>2287</v>
      </c>
      <c r="E318" s="297">
        <v>201606636</v>
      </c>
      <c r="F318" s="296" t="s">
        <v>1406</v>
      </c>
      <c r="G318" s="296" t="s">
        <v>1407</v>
      </c>
      <c r="H318" s="146"/>
      <c r="I318" s="146"/>
      <c r="J318" s="146"/>
      <c r="K318" s="146"/>
      <c r="L318" s="146"/>
      <c r="M318" s="146"/>
      <c r="N318" s="146"/>
      <c r="O318" s="146"/>
      <c r="P318" s="287">
        <f t="shared" si="14"/>
        <v>0</v>
      </c>
      <c r="Q318" s="146"/>
      <c r="R318" s="146"/>
      <c r="S318" s="146"/>
      <c r="T318" s="146"/>
      <c r="U318" s="146"/>
      <c r="V318" s="146"/>
      <c r="W318" s="146"/>
      <c r="X318" s="269"/>
      <c r="Y318" s="273">
        <f t="shared" si="15"/>
        <v>0</v>
      </c>
      <c r="Z318" s="146"/>
      <c r="AA318" s="146"/>
      <c r="AB318" s="146"/>
      <c r="AC318" s="146"/>
      <c r="AD318" s="146"/>
      <c r="AE318" s="146"/>
      <c r="AF318" s="146">
        <v>1</v>
      </c>
      <c r="AG318" s="299">
        <v>43361</v>
      </c>
      <c r="AH318" s="273">
        <f t="shared" si="16"/>
        <v>1</v>
      </c>
      <c r="AI318" s="146"/>
      <c r="AJ318" s="146" t="s">
        <v>2479</v>
      </c>
      <c r="AK318" s="146" t="s">
        <v>2479</v>
      </c>
      <c r="AL318" s="146"/>
      <c r="AM318" s="146"/>
      <c r="AN318" s="146"/>
      <c r="AO318" s="146"/>
      <c r="AP318" s="146"/>
      <c r="AQ318" s="146"/>
      <c r="AR318" s="146"/>
      <c r="AS318" s="146"/>
    </row>
    <row r="319" spans="1:45" s="222" customFormat="1" x14ac:dyDescent="0.2">
      <c r="A319" s="146"/>
      <c r="B319" s="296" t="s">
        <v>2288</v>
      </c>
      <c r="C319" s="296" t="s">
        <v>2289</v>
      </c>
      <c r="D319" s="296" t="s">
        <v>2290</v>
      </c>
      <c r="E319" s="297">
        <v>201606637</v>
      </c>
      <c r="F319" s="296" t="s">
        <v>1406</v>
      </c>
      <c r="G319" s="296" t="s">
        <v>1407</v>
      </c>
      <c r="H319" s="146"/>
      <c r="I319" s="146"/>
      <c r="J319" s="146"/>
      <c r="K319" s="146"/>
      <c r="L319" s="146"/>
      <c r="M319" s="146"/>
      <c r="N319" s="146"/>
      <c r="O319" s="146"/>
      <c r="P319" s="287">
        <f t="shared" si="14"/>
        <v>0</v>
      </c>
      <c r="Q319" s="146"/>
      <c r="R319" s="146"/>
      <c r="S319" s="146"/>
      <c r="T319" s="146"/>
      <c r="U319" s="146"/>
      <c r="V319" s="146"/>
      <c r="W319" s="146"/>
      <c r="X319" s="269"/>
      <c r="Y319" s="273">
        <f t="shared" si="15"/>
        <v>0</v>
      </c>
      <c r="Z319" s="146"/>
      <c r="AA319" s="146"/>
      <c r="AB319" s="146"/>
      <c r="AC319" s="146"/>
      <c r="AD319" s="146"/>
      <c r="AE319" s="146"/>
      <c r="AF319" s="146">
        <v>1</v>
      </c>
      <c r="AG319" s="299">
        <v>43245</v>
      </c>
      <c r="AH319" s="273">
        <f t="shared" si="16"/>
        <v>1</v>
      </c>
      <c r="AI319" s="146"/>
      <c r="AJ319" s="146" t="s">
        <v>2479</v>
      </c>
      <c r="AK319" s="146" t="s">
        <v>2479</v>
      </c>
      <c r="AL319" s="146"/>
      <c r="AM319" s="146"/>
      <c r="AN319" s="146"/>
      <c r="AO319" s="146"/>
      <c r="AP319" s="146"/>
      <c r="AQ319" s="146"/>
      <c r="AR319" s="146"/>
      <c r="AS319" s="146"/>
    </row>
    <row r="320" spans="1:45" s="222" customFormat="1" x14ac:dyDescent="0.2">
      <c r="A320" s="146"/>
      <c r="B320" s="296" t="s">
        <v>2291</v>
      </c>
      <c r="C320" s="296" t="s">
        <v>2292</v>
      </c>
      <c r="D320" s="296" t="s">
        <v>2293</v>
      </c>
      <c r="E320" s="297">
        <v>201606638</v>
      </c>
      <c r="F320" s="296" t="s">
        <v>1406</v>
      </c>
      <c r="G320" s="296" t="s">
        <v>1407</v>
      </c>
      <c r="H320" s="146"/>
      <c r="I320" s="146"/>
      <c r="J320" s="146"/>
      <c r="K320" s="146"/>
      <c r="L320" s="146"/>
      <c r="M320" s="146"/>
      <c r="N320" s="146"/>
      <c r="O320" s="146"/>
      <c r="P320" s="287">
        <f t="shared" si="14"/>
        <v>0</v>
      </c>
      <c r="Q320" s="146"/>
      <c r="R320" s="146"/>
      <c r="S320" s="146"/>
      <c r="T320" s="146"/>
      <c r="U320" s="146"/>
      <c r="V320" s="146"/>
      <c r="W320" s="146"/>
      <c r="X320" s="269"/>
      <c r="Y320" s="273">
        <f t="shared" si="15"/>
        <v>0</v>
      </c>
      <c r="Z320" s="146"/>
      <c r="AA320" s="146"/>
      <c r="AB320" s="146"/>
      <c r="AC320" s="146"/>
      <c r="AD320" s="146"/>
      <c r="AE320" s="146"/>
      <c r="AF320" s="146">
        <v>1</v>
      </c>
      <c r="AG320" s="299">
        <v>43244</v>
      </c>
      <c r="AH320" s="273">
        <f t="shared" si="16"/>
        <v>1</v>
      </c>
      <c r="AI320" s="146"/>
      <c r="AJ320" s="146" t="s">
        <v>2479</v>
      </c>
      <c r="AK320" s="146" t="s">
        <v>2479</v>
      </c>
      <c r="AL320" s="146"/>
      <c r="AM320" s="146"/>
      <c r="AN320" s="146"/>
      <c r="AO320" s="146"/>
      <c r="AP320" s="146"/>
      <c r="AQ320" s="146"/>
      <c r="AR320" s="146"/>
      <c r="AS320" s="146"/>
    </row>
    <row r="321" spans="1:45" s="222" customFormat="1" x14ac:dyDescent="0.2">
      <c r="A321" s="146"/>
      <c r="B321" s="296" t="s">
        <v>2294</v>
      </c>
      <c r="C321" s="296" t="s">
        <v>2295</v>
      </c>
      <c r="D321" s="296" t="s">
        <v>2296</v>
      </c>
      <c r="E321" s="297">
        <v>201606642</v>
      </c>
      <c r="F321" s="296" t="s">
        <v>1406</v>
      </c>
      <c r="G321" s="296" t="s">
        <v>1407</v>
      </c>
      <c r="H321" s="146"/>
      <c r="I321" s="146"/>
      <c r="J321" s="146"/>
      <c r="K321" s="146"/>
      <c r="L321" s="146"/>
      <c r="M321" s="146"/>
      <c r="N321" s="146"/>
      <c r="O321" s="146"/>
      <c r="P321" s="287">
        <f t="shared" si="14"/>
        <v>0</v>
      </c>
      <c r="Q321" s="146"/>
      <c r="R321" s="146"/>
      <c r="S321" s="146"/>
      <c r="T321" s="146"/>
      <c r="U321" s="146"/>
      <c r="V321" s="146"/>
      <c r="W321" s="146"/>
      <c r="X321" s="269"/>
      <c r="Y321" s="273">
        <f t="shared" si="15"/>
        <v>0</v>
      </c>
      <c r="Z321" s="146"/>
      <c r="AA321" s="146"/>
      <c r="AB321" s="146"/>
      <c r="AC321" s="146"/>
      <c r="AD321" s="146"/>
      <c r="AE321" s="146"/>
      <c r="AF321" s="146">
        <v>1</v>
      </c>
      <c r="AG321" s="299">
        <v>43304</v>
      </c>
      <c r="AH321" s="273">
        <f t="shared" si="16"/>
        <v>1</v>
      </c>
      <c r="AI321" s="146"/>
      <c r="AJ321" s="146" t="s">
        <v>2479</v>
      </c>
      <c r="AK321" s="146" t="s">
        <v>2479</v>
      </c>
      <c r="AL321" s="146"/>
      <c r="AM321" s="146"/>
      <c r="AN321" s="146"/>
      <c r="AO321" s="146"/>
      <c r="AP321" s="146"/>
      <c r="AQ321" s="146"/>
      <c r="AR321" s="146"/>
      <c r="AS321" s="146"/>
    </row>
    <row r="322" spans="1:45" s="222" customFormat="1" x14ac:dyDescent="0.2">
      <c r="A322" s="146"/>
      <c r="B322" s="296" t="s">
        <v>2297</v>
      </c>
      <c r="C322" s="296" t="s">
        <v>2298</v>
      </c>
      <c r="D322" s="296" t="s">
        <v>2299</v>
      </c>
      <c r="E322" s="297">
        <v>201606643</v>
      </c>
      <c r="F322" s="296" t="s">
        <v>1406</v>
      </c>
      <c r="G322" s="296" t="s">
        <v>1407</v>
      </c>
      <c r="H322" s="146"/>
      <c r="I322" s="146"/>
      <c r="J322" s="146"/>
      <c r="K322" s="146"/>
      <c r="L322" s="146"/>
      <c r="M322" s="146"/>
      <c r="N322" s="146"/>
      <c r="O322" s="146"/>
      <c r="P322" s="287">
        <f t="shared" si="14"/>
        <v>0</v>
      </c>
      <c r="Q322" s="146"/>
      <c r="R322" s="146"/>
      <c r="S322" s="146"/>
      <c r="T322" s="146"/>
      <c r="U322" s="146"/>
      <c r="V322" s="146"/>
      <c r="W322" s="146"/>
      <c r="X322" s="269"/>
      <c r="Y322" s="273">
        <f t="shared" si="15"/>
        <v>0</v>
      </c>
      <c r="Z322" s="146"/>
      <c r="AA322" s="146"/>
      <c r="AB322" s="146"/>
      <c r="AC322" s="146"/>
      <c r="AD322" s="146"/>
      <c r="AE322" s="146"/>
      <c r="AF322" s="146">
        <v>1</v>
      </c>
      <c r="AG322" s="299">
        <v>43313</v>
      </c>
      <c r="AH322" s="273">
        <f t="shared" si="16"/>
        <v>1</v>
      </c>
      <c r="AI322" s="146"/>
      <c r="AJ322" s="146" t="s">
        <v>2479</v>
      </c>
      <c r="AK322" s="146" t="s">
        <v>2479</v>
      </c>
      <c r="AL322" s="146"/>
      <c r="AM322" s="146"/>
      <c r="AN322" s="146"/>
      <c r="AO322" s="146"/>
      <c r="AP322" s="146"/>
      <c r="AQ322" s="146"/>
      <c r="AR322" s="146"/>
      <c r="AS322" s="146"/>
    </row>
    <row r="323" spans="1:45" s="222" customFormat="1" x14ac:dyDescent="0.2">
      <c r="A323" s="146"/>
      <c r="B323" s="296" t="s">
        <v>2300</v>
      </c>
      <c r="C323" s="296" t="s">
        <v>2301</v>
      </c>
      <c r="D323" s="296" t="s">
        <v>2302</v>
      </c>
      <c r="E323" s="297">
        <v>201606644</v>
      </c>
      <c r="F323" s="296" t="s">
        <v>1406</v>
      </c>
      <c r="G323" s="296" t="s">
        <v>1407</v>
      </c>
      <c r="H323" s="146"/>
      <c r="I323" s="146"/>
      <c r="J323" s="146"/>
      <c r="K323" s="146"/>
      <c r="L323" s="146"/>
      <c r="M323" s="146"/>
      <c r="N323" s="146"/>
      <c r="O323" s="146"/>
      <c r="P323" s="287">
        <f t="shared" si="14"/>
        <v>0</v>
      </c>
      <c r="Q323" s="146"/>
      <c r="R323" s="146"/>
      <c r="S323" s="146"/>
      <c r="T323" s="146"/>
      <c r="U323" s="146"/>
      <c r="V323" s="146"/>
      <c r="W323" s="146"/>
      <c r="X323" s="269"/>
      <c r="Y323" s="273">
        <f t="shared" si="15"/>
        <v>0</v>
      </c>
      <c r="Z323" s="146"/>
      <c r="AA323" s="146"/>
      <c r="AB323" s="146"/>
      <c r="AC323" s="146"/>
      <c r="AD323" s="146"/>
      <c r="AE323" s="146"/>
      <c r="AF323" s="146">
        <v>1</v>
      </c>
      <c r="AG323" s="299">
        <v>43292</v>
      </c>
      <c r="AH323" s="273">
        <f t="shared" si="16"/>
        <v>1</v>
      </c>
      <c r="AI323" s="146"/>
      <c r="AJ323" s="146" t="s">
        <v>2479</v>
      </c>
      <c r="AK323" s="146" t="s">
        <v>2479</v>
      </c>
      <c r="AL323" s="146"/>
      <c r="AM323" s="146"/>
      <c r="AN323" s="146"/>
      <c r="AO323" s="146"/>
      <c r="AP323" s="146"/>
      <c r="AQ323" s="146"/>
      <c r="AR323" s="146"/>
      <c r="AS323" s="146"/>
    </row>
    <row r="324" spans="1:45" s="222" customFormat="1" x14ac:dyDescent="0.2">
      <c r="A324" s="146"/>
      <c r="B324" s="296" t="s">
        <v>2303</v>
      </c>
      <c r="C324" s="296" t="s">
        <v>2304</v>
      </c>
      <c r="D324" s="296" t="s">
        <v>2305</v>
      </c>
      <c r="E324" s="297">
        <v>201606645</v>
      </c>
      <c r="F324" s="296" t="s">
        <v>1406</v>
      </c>
      <c r="G324" s="296" t="s">
        <v>1407</v>
      </c>
      <c r="H324" s="146"/>
      <c r="I324" s="146"/>
      <c r="J324" s="146"/>
      <c r="K324" s="146"/>
      <c r="L324" s="146"/>
      <c r="M324" s="146"/>
      <c r="N324" s="146"/>
      <c r="O324" s="146"/>
      <c r="P324" s="287">
        <f t="shared" si="14"/>
        <v>0</v>
      </c>
      <c r="Q324" s="146"/>
      <c r="R324" s="146"/>
      <c r="S324" s="146"/>
      <c r="T324" s="146"/>
      <c r="U324" s="146"/>
      <c r="V324" s="146"/>
      <c r="W324" s="146"/>
      <c r="X324" s="269"/>
      <c r="Y324" s="273">
        <f t="shared" si="15"/>
        <v>0</v>
      </c>
      <c r="Z324" s="146"/>
      <c r="AA324" s="146"/>
      <c r="AB324" s="146"/>
      <c r="AC324" s="146"/>
      <c r="AD324" s="146"/>
      <c r="AE324" s="146"/>
      <c r="AF324" s="146">
        <v>1</v>
      </c>
      <c r="AG324" s="299">
        <v>43292</v>
      </c>
      <c r="AH324" s="273">
        <f t="shared" si="16"/>
        <v>1</v>
      </c>
      <c r="AI324" s="146"/>
      <c r="AJ324" s="146" t="s">
        <v>2479</v>
      </c>
      <c r="AK324" s="146" t="s">
        <v>2479</v>
      </c>
      <c r="AL324" s="146"/>
      <c r="AM324" s="146"/>
      <c r="AN324" s="146"/>
      <c r="AO324" s="146"/>
      <c r="AP324" s="146"/>
      <c r="AQ324" s="146"/>
      <c r="AR324" s="146"/>
      <c r="AS324" s="146"/>
    </row>
    <row r="325" spans="1:45" s="222" customFormat="1" x14ac:dyDescent="0.2">
      <c r="A325" s="146"/>
      <c r="B325" s="296" t="s">
        <v>2306</v>
      </c>
      <c r="C325" s="296" t="s">
        <v>2307</v>
      </c>
      <c r="D325" s="296" t="s">
        <v>2308</v>
      </c>
      <c r="E325" s="297">
        <v>201606647</v>
      </c>
      <c r="F325" s="296" t="s">
        <v>1406</v>
      </c>
      <c r="G325" s="296" t="s">
        <v>1407</v>
      </c>
      <c r="H325" s="146"/>
      <c r="I325" s="146"/>
      <c r="J325" s="146"/>
      <c r="K325" s="146"/>
      <c r="L325" s="146"/>
      <c r="M325" s="146"/>
      <c r="N325" s="146"/>
      <c r="O325" s="146"/>
      <c r="P325" s="287">
        <f t="shared" si="14"/>
        <v>0</v>
      </c>
      <c r="Q325" s="146"/>
      <c r="R325" s="146"/>
      <c r="S325" s="146"/>
      <c r="T325" s="146"/>
      <c r="U325" s="146"/>
      <c r="V325" s="146"/>
      <c r="W325" s="146"/>
      <c r="X325" s="269"/>
      <c r="Y325" s="273">
        <f t="shared" si="15"/>
        <v>0</v>
      </c>
      <c r="Z325" s="146"/>
      <c r="AA325" s="146"/>
      <c r="AB325" s="146"/>
      <c r="AC325" s="146"/>
      <c r="AD325" s="146"/>
      <c r="AE325" s="146"/>
      <c r="AF325" s="146">
        <v>1</v>
      </c>
      <c r="AG325" s="299">
        <v>43286</v>
      </c>
      <c r="AH325" s="273">
        <f t="shared" si="16"/>
        <v>1</v>
      </c>
      <c r="AI325" s="146"/>
      <c r="AJ325" s="146" t="s">
        <v>2479</v>
      </c>
      <c r="AK325" s="146" t="s">
        <v>2479</v>
      </c>
      <c r="AL325" s="146"/>
      <c r="AM325" s="146"/>
      <c r="AN325" s="146"/>
      <c r="AO325" s="146"/>
      <c r="AP325" s="146"/>
      <c r="AQ325" s="146"/>
      <c r="AR325" s="146"/>
      <c r="AS325" s="146"/>
    </row>
    <row r="326" spans="1:45" s="222" customFormat="1" x14ac:dyDescent="0.2">
      <c r="A326" s="146"/>
      <c r="B326" s="296" t="s">
        <v>2309</v>
      </c>
      <c r="C326" s="296" t="s">
        <v>2310</v>
      </c>
      <c r="D326" s="296" t="s">
        <v>2311</v>
      </c>
      <c r="E326" s="297">
        <v>201606639</v>
      </c>
      <c r="F326" s="296" t="s">
        <v>1406</v>
      </c>
      <c r="G326" s="296" t="s">
        <v>1407</v>
      </c>
      <c r="H326" s="146"/>
      <c r="I326" s="146"/>
      <c r="J326" s="146"/>
      <c r="K326" s="146"/>
      <c r="L326" s="146"/>
      <c r="M326" s="146"/>
      <c r="N326" s="146"/>
      <c r="O326" s="146"/>
      <c r="P326" s="287">
        <f t="shared" si="14"/>
        <v>0</v>
      </c>
      <c r="Q326" s="146"/>
      <c r="R326" s="146"/>
      <c r="S326" s="146"/>
      <c r="T326" s="146"/>
      <c r="U326" s="146"/>
      <c r="V326" s="146"/>
      <c r="W326" s="146"/>
      <c r="X326" s="269"/>
      <c r="Y326" s="273">
        <f t="shared" si="15"/>
        <v>0</v>
      </c>
      <c r="Z326" s="146"/>
      <c r="AA326" s="146"/>
      <c r="AB326" s="146"/>
      <c r="AC326" s="146"/>
      <c r="AD326" s="146"/>
      <c r="AE326" s="146"/>
      <c r="AF326" s="146">
        <v>1</v>
      </c>
      <c r="AG326" s="299">
        <v>43263</v>
      </c>
      <c r="AH326" s="273">
        <f t="shared" si="16"/>
        <v>1</v>
      </c>
      <c r="AI326" s="146"/>
      <c r="AJ326" s="146" t="s">
        <v>2479</v>
      </c>
      <c r="AK326" s="146" t="s">
        <v>2479</v>
      </c>
      <c r="AL326" s="146"/>
      <c r="AM326" s="146"/>
      <c r="AN326" s="146"/>
      <c r="AO326" s="146"/>
      <c r="AP326" s="146"/>
      <c r="AQ326" s="146"/>
      <c r="AR326" s="146"/>
      <c r="AS326" s="146"/>
    </row>
    <row r="327" spans="1:45" s="222" customFormat="1" x14ac:dyDescent="0.2">
      <c r="A327" s="146"/>
      <c r="B327" s="296" t="s">
        <v>2312</v>
      </c>
      <c r="C327" s="296" t="s">
        <v>2313</v>
      </c>
      <c r="D327" s="296" t="s">
        <v>2314</v>
      </c>
      <c r="E327" s="297">
        <v>201606640</v>
      </c>
      <c r="F327" s="296" t="s">
        <v>1406</v>
      </c>
      <c r="G327" s="296" t="s">
        <v>1407</v>
      </c>
      <c r="H327" s="146"/>
      <c r="I327" s="146"/>
      <c r="J327" s="146"/>
      <c r="K327" s="146"/>
      <c r="L327" s="146"/>
      <c r="M327" s="146"/>
      <c r="N327" s="146"/>
      <c r="O327" s="146"/>
      <c r="P327" s="287">
        <f t="shared" si="14"/>
        <v>0</v>
      </c>
      <c r="Q327" s="146"/>
      <c r="R327" s="146"/>
      <c r="S327" s="146"/>
      <c r="T327" s="146"/>
      <c r="U327" s="146"/>
      <c r="V327" s="146"/>
      <c r="W327" s="146"/>
      <c r="X327" s="269"/>
      <c r="Y327" s="273">
        <f t="shared" si="15"/>
        <v>0</v>
      </c>
      <c r="Z327" s="146"/>
      <c r="AA327" s="146"/>
      <c r="AB327" s="146"/>
      <c r="AC327" s="146"/>
      <c r="AD327" s="146"/>
      <c r="AE327" s="146"/>
      <c r="AF327" s="146">
        <v>1</v>
      </c>
      <c r="AG327" s="299">
        <v>43263</v>
      </c>
      <c r="AH327" s="273">
        <f t="shared" si="16"/>
        <v>1</v>
      </c>
      <c r="AI327" s="146"/>
      <c r="AJ327" s="146" t="s">
        <v>2479</v>
      </c>
      <c r="AK327" s="146" t="s">
        <v>2479</v>
      </c>
      <c r="AL327" s="146"/>
      <c r="AM327" s="146"/>
      <c r="AN327" s="146"/>
      <c r="AO327" s="146"/>
      <c r="AP327" s="146"/>
      <c r="AQ327" s="146"/>
      <c r="AR327" s="146"/>
      <c r="AS327" s="146"/>
    </row>
    <row r="328" spans="1:45" s="222" customFormat="1" x14ac:dyDescent="0.2">
      <c r="A328" s="146"/>
      <c r="B328" s="296" t="s">
        <v>2315</v>
      </c>
      <c r="C328" s="296" t="s">
        <v>2316</v>
      </c>
      <c r="D328" s="296" t="s">
        <v>2317</v>
      </c>
      <c r="E328" s="297">
        <v>201606641</v>
      </c>
      <c r="F328" s="296" t="s">
        <v>1406</v>
      </c>
      <c r="G328" s="296" t="s">
        <v>1407</v>
      </c>
      <c r="H328" s="146"/>
      <c r="I328" s="146"/>
      <c r="J328" s="146"/>
      <c r="K328" s="146"/>
      <c r="L328" s="146"/>
      <c r="M328" s="146"/>
      <c r="N328" s="146"/>
      <c r="O328" s="146"/>
      <c r="P328" s="287">
        <f t="shared" si="14"/>
        <v>0</v>
      </c>
      <c r="Q328" s="146"/>
      <c r="R328" s="146"/>
      <c r="S328" s="146"/>
      <c r="T328" s="146"/>
      <c r="U328" s="146"/>
      <c r="V328" s="146"/>
      <c r="W328" s="146"/>
      <c r="X328" s="269"/>
      <c r="Y328" s="273">
        <f t="shared" si="15"/>
        <v>0</v>
      </c>
      <c r="Z328" s="146"/>
      <c r="AA328" s="146"/>
      <c r="AB328" s="146"/>
      <c r="AC328" s="146"/>
      <c r="AD328" s="146"/>
      <c r="AE328" s="146"/>
      <c r="AF328" s="146">
        <v>1</v>
      </c>
      <c r="AG328" s="299">
        <v>43256</v>
      </c>
      <c r="AH328" s="273">
        <f t="shared" si="16"/>
        <v>1</v>
      </c>
      <c r="AI328" s="146"/>
      <c r="AJ328" s="146" t="s">
        <v>2479</v>
      </c>
      <c r="AK328" s="146" t="s">
        <v>2479</v>
      </c>
      <c r="AL328" s="146"/>
      <c r="AM328" s="146"/>
      <c r="AN328" s="146"/>
      <c r="AO328" s="146"/>
      <c r="AP328" s="146"/>
      <c r="AQ328" s="146"/>
      <c r="AR328" s="146"/>
      <c r="AS328" s="146"/>
    </row>
    <row r="329" spans="1:45" s="222" customFormat="1" x14ac:dyDescent="0.2">
      <c r="A329" s="146"/>
      <c r="B329" s="296" t="s">
        <v>2318</v>
      </c>
      <c r="C329" s="296" t="s">
        <v>2319</v>
      </c>
      <c r="D329" s="296" t="s">
        <v>2320</v>
      </c>
      <c r="E329" s="297">
        <v>201606652</v>
      </c>
      <c r="F329" s="296" t="s">
        <v>1406</v>
      </c>
      <c r="G329" s="296" t="s">
        <v>1407</v>
      </c>
      <c r="H329" s="146"/>
      <c r="I329" s="146"/>
      <c r="J329" s="146"/>
      <c r="K329" s="146"/>
      <c r="L329" s="146"/>
      <c r="M329" s="146"/>
      <c r="N329" s="146"/>
      <c r="O329" s="146"/>
      <c r="P329" s="287">
        <f t="shared" si="14"/>
        <v>0</v>
      </c>
      <c r="Q329" s="146"/>
      <c r="R329" s="146"/>
      <c r="S329" s="146"/>
      <c r="T329" s="146"/>
      <c r="U329" s="146"/>
      <c r="V329" s="146"/>
      <c r="W329" s="146"/>
      <c r="X329" s="269"/>
      <c r="Y329" s="273">
        <f t="shared" si="15"/>
        <v>0</v>
      </c>
      <c r="Z329" s="146"/>
      <c r="AA329" s="146"/>
      <c r="AB329" s="146"/>
      <c r="AC329" s="146"/>
      <c r="AD329" s="146"/>
      <c r="AE329" s="146"/>
      <c r="AF329" s="146">
        <v>1</v>
      </c>
      <c r="AG329" s="299">
        <v>43209</v>
      </c>
      <c r="AH329" s="273">
        <f t="shared" si="16"/>
        <v>1</v>
      </c>
      <c r="AI329" s="146"/>
      <c r="AJ329" s="146" t="s">
        <v>2479</v>
      </c>
      <c r="AK329" s="146" t="s">
        <v>2479</v>
      </c>
      <c r="AL329" s="146"/>
      <c r="AM329" s="146"/>
      <c r="AN329" s="146"/>
      <c r="AO329" s="146"/>
      <c r="AP329" s="146"/>
      <c r="AQ329" s="146"/>
      <c r="AR329" s="146"/>
      <c r="AS329" s="146"/>
    </row>
    <row r="330" spans="1:45" s="222" customFormat="1" x14ac:dyDescent="0.2">
      <c r="A330" s="146"/>
      <c r="B330" s="296" t="s">
        <v>2321</v>
      </c>
      <c r="C330" s="296" t="s">
        <v>2322</v>
      </c>
      <c r="D330" s="296" t="s">
        <v>2323</v>
      </c>
      <c r="E330" s="297">
        <v>201606653</v>
      </c>
      <c r="F330" s="296" t="s">
        <v>1406</v>
      </c>
      <c r="G330" s="296" t="s">
        <v>1407</v>
      </c>
      <c r="H330" s="146"/>
      <c r="I330" s="146"/>
      <c r="J330" s="146"/>
      <c r="K330" s="146"/>
      <c r="L330" s="146"/>
      <c r="M330" s="146"/>
      <c r="N330" s="146"/>
      <c r="O330" s="146"/>
      <c r="P330" s="287">
        <f t="shared" si="14"/>
        <v>0</v>
      </c>
      <c r="Q330" s="146"/>
      <c r="R330" s="146"/>
      <c r="S330" s="146"/>
      <c r="T330" s="146"/>
      <c r="U330" s="146"/>
      <c r="V330" s="146"/>
      <c r="W330" s="146"/>
      <c r="X330" s="269"/>
      <c r="Y330" s="273">
        <f t="shared" si="15"/>
        <v>0</v>
      </c>
      <c r="Z330" s="146"/>
      <c r="AA330" s="146"/>
      <c r="AB330" s="146"/>
      <c r="AC330" s="146"/>
      <c r="AD330" s="146"/>
      <c r="AE330" s="146"/>
      <c r="AF330" s="146">
        <v>1</v>
      </c>
      <c r="AG330" s="299">
        <v>43202</v>
      </c>
      <c r="AH330" s="273">
        <f t="shared" si="16"/>
        <v>1</v>
      </c>
      <c r="AI330" s="146"/>
      <c r="AJ330" s="146" t="s">
        <v>2479</v>
      </c>
      <c r="AK330" s="146" t="s">
        <v>2479</v>
      </c>
      <c r="AL330" s="146"/>
      <c r="AM330" s="146"/>
      <c r="AN330" s="146"/>
      <c r="AO330" s="146"/>
      <c r="AP330" s="146"/>
      <c r="AQ330" s="146"/>
      <c r="AR330" s="146"/>
      <c r="AS330" s="146"/>
    </row>
    <row r="331" spans="1:45" s="222" customFormat="1" x14ac:dyDescent="0.2">
      <c r="A331" s="146"/>
      <c r="B331" s="296" t="s">
        <v>2324</v>
      </c>
      <c r="C331" s="296" t="s">
        <v>2325</v>
      </c>
      <c r="D331" s="296" t="s">
        <v>2326</v>
      </c>
      <c r="E331" s="297">
        <v>201606654</v>
      </c>
      <c r="F331" s="296" t="s">
        <v>1406</v>
      </c>
      <c r="G331" s="296" t="s">
        <v>1407</v>
      </c>
      <c r="H331" s="146"/>
      <c r="I331" s="146"/>
      <c r="J331" s="146"/>
      <c r="K331" s="146"/>
      <c r="L331" s="146"/>
      <c r="M331" s="146"/>
      <c r="N331" s="146"/>
      <c r="O331" s="146"/>
      <c r="P331" s="287">
        <f t="shared" si="14"/>
        <v>0</v>
      </c>
      <c r="Q331" s="146"/>
      <c r="R331" s="146"/>
      <c r="S331" s="146"/>
      <c r="T331" s="146"/>
      <c r="U331" s="146"/>
      <c r="V331" s="146"/>
      <c r="W331" s="146"/>
      <c r="X331" s="269"/>
      <c r="Y331" s="273">
        <f t="shared" si="15"/>
        <v>0</v>
      </c>
      <c r="Z331" s="146"/>
      <c r="AA331" s="146"/>
      <c r="AB331" s="146"/>
      <c r="AC331" s="146"/>
      <c r="AD331" s="146"/>
      <c r="AE331" s="146"/>
      <c r="AF331" s="146">
        <v>1</v>
      </c>
      <c r="AG331" s="299">
        <v>43215</v>
      </c>
      <c r="AH331" s="273">
        <f t="shared" si="16"/>
        <v>1</v>
      </c>
      <c r="AI331" s="146"/>
      <c r="AJ331" s="146" t="s">
        <v>2479</v>
      </c>
      <c r="AK331" s="146" t="s">
        <v>2479</v>
      </c>
      <c r="AL331" s="146"/>
      <c r="AM331" s="146"/>
      <c r="AN331" s="146"/>
      <c r="AO331" s="146"/>
      <c r="AP331" s="146"/>
      <c r="AQ331" s="146"/>
      <c r="AR331" s="146"/>
      <c r="AS331" s="146"/>
    </row>
    <row r="332" spans="1:45" s="222" customFormat="1" x14ac:dyDescent="0.2">
      <c r="A332" s="146"/>
      <c r="B332" s="296" t="s">
        <v>2327</v>
      </c>
      <c r="C332" s="296" t="s">
        <v>2328</v>
      </c>
      <c r="D332" s="296" t="s">
        <v>2329</v>
      </c>
      <c r="E332" s="297">
        <v>201606655</v>
      </c>
      <c r="F332" s="296" t="s">
        <v>1406</v>
      </c>
      <c r="G332" s="296" t="s">
        <v>1407</v>
      </c>
      <c r="H332" s="146"/>
      <c r="I332" s="146"/>
      <c r="J332" s="146"/>
      <c r="K332" s="146"/>
      <c r="L332" s="146"/>
      <c r="M332" s="146"/>
      <c r="N332" s="146"/>
      <c r="O332" s="146"/>
      <c r="P332" s="287">
        <f t="shared" si="14"/>
        <v>0</v>
      </c>
      <c r="Q332" s="146"/>
      <c r="R332" s="146"/>
      <c r="S332" s="146"/>
      <c r="T332" s="146"/>
      <c r="U332" s="146"/>
      <c r="V332" s="146"/>
      <c r="W332" s="146"/>
      <c r="X332" s="269"/>
      <c r="Y332" s="273">
        <f t="shared" si="15"/>
        <v>0</v>
      </c>
      <c r="Z332" s="146"/>
      <c r="AA332" s="146"/>
      <c r="AB332" s="146"/>
      <c r="AC332" s="146"/>
      <c r="AD332" s="146"/>
      <c r="AE332" s="146"/>
      <c r="AF332" s="146">
        <v>1</v>
      </c>
      <c r="AG332" s="299">
        <v>43202</v>
      </c>
      <c r="AH332" s="273">
        <f t="shared" si="16"/>
        <v>1</v>
      </c>
      <c r="AI332" s="146"/>
      <c r="AJ332" s="146" t="s">
        <v>2479</v>
      </c>
      <c r="AK332" s="146" t="s">
        <v>2479</v>
      </c>
      <c r="AL332" s="146"/>
      <c r="AM332" s="146"/>
      <c r="AN332" s="146"/>
      <c r="AO332" s="146"/>
      <c r="AP332" s="146"/>
      <c r="AQ332" s="146"/>
      <c r="AR332" s="146"/>
      <c r="AS332" s="146"/>
    </row>
    <row r="333" spans="1:45" s="222" customFormat="1" x14ac:dyDescent="0.2">
      <c r="A333" s="146"/>
      <c r="B333" s="296" t="s">
        <v>2330</v>
      </c>
      <c r="C333" s="296" t="s">
        <v>2331</v>
      </c>
      <c r="D333" s="296" t="s">
        <v>2332</v>
      </c>
      <c r="E333" s="297">
        <v>201606661</v>
      </c>
      <c r="F333" s="296" t="s">
        <v>1406</v>
      </c>
      <c r="G333" s="296" t="s">
        <v>1407</v>
      </c>
      <c r="H333" s="146"/>
      <c r="I333" s="146"/>
      <c r="J333" s="146"/>
      <c r="K333" s="146"/>
      <c r="L333" s="146"/>
      <c r="M333" s="146"/>
      <c r="N333" s="146"/>
      <c r="O333" s="146"/>
      <c r="P333" s="287">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v>1</v>
      </c>
      <c r="AG333" s="299">
        <v>43171</v>
      </c>
      <c r="AH333" s="273">
        <f t="shared" si="16"/>
        <v>1</v>
      </c>
      <c r="AI333" s="146"/>
      <c r="AJ333" s="146" t="s">
        <v>2479</v>
      </c>
      <c r="AK333" s="146" t="s">
        <v>2479</v>
      </c>
      <c r="AL333" s="146"/>
      <c r="AM333" s="146"/>
      <c r="AN333" s="146"/>
      <c r="AO333" s="146"/>
      <c r="AP333" s="146"/>
      <c r="AQ333" s="146"/>
      <c r="AR333" s="146"/>
      <c r="AS333" s="146"/>
    </row>
    <row r="334" spans="1:45" s="222" customFormat="1" x14ac:dyDescent="0.2">
      <c r="A334" s="146"/>
      <c r="B334" s="296" t="s">
        <v>2333</v>
      </c>
      <c r="C334" s="296" t="s">
        <v>2334</v>
      </c>
      <c r="D334" s="296" t="s">
        <v>2335</v>
      </c>
      <c r="E334" s="297">
        <v>201606662</v>
      </c>
      <c r="F334" s="296" t="s">
        <v>1406</v>
      </c>
      <c r="G334" s="296" t="s">
        <v>1407</v>
      </c>
      <c r="H334" s="146"/>
      <c r="I334" s="146"/>
      <c r="J334" s="146"/>
      <c r="K334" s="146"/>
      <c r="L334" s="146"/>
      <c r="M334" s="146"/>
      <c r="N334" s="146"/>
      <c r="O334" s="146"/>
      <c r="P334" s="287">
        <f t="shared" si="17"/>
        <v>0</v>
      </c>
      <c r="Q334" s="146"/>
      <c r="R334" s="146"/>
      <c r="S334" s="146"/>
      <c r="T334" s="146"/>
      <c r="U334" s="146"/>
      <c r="V334" s="146"/>
      <c r="W334" s="146"/>
      <c r="X334" s="269"/>
      <c r="Y334" s="273">
        <f t="shared" si="18"/>
        <v>0</v>
      </c>
      <c r="Z334" s="146"/>
      <c r="AA334" s="146"/>
      <c r="AB334" s="146"/>
      <c r="AC334" s="146"/>
      <c r="AD334" s="146"/>
      <c r="AE334" s="146"/>
      <c r="AF334" s="146">
        <v>1</v>
      </c>
      <c r="AG334" s="299">
        <v>43164</v>
      </c>
      <c r="AH334" s="273">
        <f t="shared" si="16"/>
        <v>1</v>
      </c>
      <c r="AI334" s="146"/>
      <c r="AJ334" s="146" t="s">
        <v>2479</v>
      </c>
      <c r="AK334" s="146" t="s">
        <v>2479</v>
      </c>
      <c r="AL334" s="146"/>
      <c r="AM334" s="146"/>
      <c r="AN334" s="146"/>
      <c r="AO334" s="146"/>
      <c r="AP334" s="146"/>
      <c r="AQ334" s="146"/>
      <c r="AR334" s="146"/>
      <c r="AS334" s="146"/>
    </row>
    <row r="335" spans="1:45" s="222" customFormat="1" x14ac:dyDescent="0.2">
      <c r="A335" s="146"/>
      <c r="B335" s="296" t="s">
        <v>2336</v>
      </c>
      <c r="C335" s="296" t="s">
        <v>2337</v>
      </c>
      <c r="D335" s="296" t="s">
        <v>2338</v>
      </c>
      <c r="E335" s="297">
        <v>201606663</v>
      </c>
      <c r="F335" s="296" t="s">
        <v>1406</v>
      </c>
      <c r="G335" s="296" t="s">
        <v>1407</v>
      </c>
      <c r="H335" s="146"/>
      <c r="I335" s="146"/>
      <c r="J335" s="146"/>
      <c r="K335" s="146"/>
      <c r="L335" s="146"/>
      <c r="M335" s="146"/>
      <c r="N335" s="146"/>
      <c r="O335" s="146"/>
      <c r="P335" s="287">
        <f t="shared" si="17"/>
        <v>0</v>
      </c>
      <c r="Q335" s="146"/>
      <c r="R335" s="146"/>
      <c r="S335" s="146"/>
      <c r="T335" s="146"/>
      <c r="U335" s="146"/>
      <c r="V335" s="146"/>
      <c r="W335" s="146"/>
      <c r="X335" s="269"/>
      <c r="Y335" s="273">
        <f t="shared" si="18"/>
        <v>0</v>
      </c>
      <c r="Z335" s="146"/>
      <c r="AA335" s="146"/>
      <c r="AB335" s="146"/>
      <c r="AC335" s="146"/>
      <c r="AD335" s="146"/>
      <c r="AE335" s="146"/>
      <c r="AF335" s="146">
        <v>1</v>
      </c>
      <c r="AG335" s="299">
        <v>43168</v>
      </c>
      <c r="AH335" s="273">
        <f t="shared" si="16"/>
        <v>1</v>
      </c>
      <c r="AI335" s="146"/>
      <c r="AJ335" s="146" t="s">
        <v>2479</v>
      </c>
      <c r="AK335" s="146" t="s">
        <v>2479</v>
      </c>
      <c r="AL335" s="146"/>
      <c r="AM335" s="146"/>
      <c r="AN335" s="146"/>
      <c r="AO335" s="146"/>
      <c r="AP335" s="146"/>
      <c r="AQ335" s="146"/>
      <c r="AR335" s="146"/>
      <c r="AS335" s="146"/>
    </row>
    <row r="336" spans="1:45" s="222" customFormat="1" x14ac:dyDescent="0.2">
      <c r="A336" s="146"/>
      <c r="B336" s="296" t="s">
        <v>2339</v>
      </c>
      <c r="C336" s="296" t="s">
        <v>2340</v>
      </c>
      <c r="D336" s="296" t="s">
        <v>2341</v>
      </c>
      <c r="E336" s="297">
        <v>201801677</v>
      </c>
      <c r="F336" s="296" t="s">
        <v>1406</v>
      </c>
      <c r="G336" s="296" t="s">
        <v>1407</v>
      </c>
      <c r="H336" s="146"/>
      <c r="I336" s="146"/>
      <c r="J336" s="146"/>
      <c r="K336" s="146"/>
      <c r="L336" s="146"/>
      <c r="M336" s="146"/>
      <c r="N336" s="146"/>
      <c r="O336" s="146"/>
      <c r="P336" s="287">
        <f t="shared" si="17"/>
        <v>0</v>
      </c>
      <c r="Q336" s="146"/>
      <c r="R336" s="146"/>
      <c r="S336" s="146"/>
      <c r="T336" s="146"/>
      <c r="U336" s="146"/>
      <c r="V336" s="146"/>
      <c r="W336" s="146"/>
      <c r="X336" s="269"/>
      <c r="Y336" s="273">
        <f t="shared" si="18"/>
        <v>0</v>
      </c>
      <c r="Z336" s="146"/>
      <c r="AA336" s="146"/>
      <c r="AB336" s="146"/>
      <c r="AC336" s="146"/>
      <c r="AD336" s="146"/>
      <c r="AE336" s="146"/>
      <c r="AF336" s="146">
        <v>1</v>
      </c>
      <c r="AG336" s="299">
        <v>43413</v>
      </c>
      <c r="AH336" s="273">
        <f t="shared" si="16"/>
        <v>1</v>
      </c>
      <c r="AI336" s="146"/>
      <c r="AJ336" s="146" t="s">
        <v>2479</v>
      </c>
      <c r="AK336" s="146" t="s">
        <v>2479</v>
      </c>
      <c r="AL336" s="146"/>
      <c r="AM336" s="146"/>
      <c r="AN336" s="146"/>
      <c r="AO336" s="146"/>
      <c r="AP336" s="146"/>
      <c r="AQ336" s="146"/>
      <c r="AR336" s="146"/>
      <c r="AS336" s="146"/>
    </row>
    <row r="337" spans="1:45" s="222" customFormat="1" x14ac:dyDescent="0.2">
      <c r="A337" s="146"/>
      <c r="B337" s="296" t="s">
        <v>2342</v>
      </c>
      <c r="C337" s="296" t="s">
        <v>2343</v>
      </c>
      <c r="D337" s="296" t="s">
        <v>2344</v>
      </c>
      <c r="E337" s="297">
        <v>201801674</v>
      </c>
      <c r="F337" s="296" t="s">
        <v>1406</v>
      </c>
      <c r="G337" s="296" t="s">
        <v>1407</v>
      </c>
      <c r="H337" s="146"/>
      <c r="I337" s="146"/>
      <c r="J337" s="146"/>
      <c r="K337" s="146"/>
      <c r="L337" s="146"/>
      <c r="M337" s="146"/>
      <c r="N337" s="146"/>
      <c r="O337" s="146"/>
      <c r="P337" s="287">
        <f t="shared" si="17"/>
        <v>0</v>
      </c>
      <c r="Q337" s="146"/>
      <c r="R337" s="146"/>
      <c r="S337" s="146"/>
      <c r="T337" s="146"/>
      <c r="U337" s="146"/>
      <c r="V337" s="146"/>
      <c r="W337" s="146"/>
      <c r="X337" s="269"/>
      <c r="Y337" s="273">
        <f t="shared" si="18"/>
        <v>0</v>
      </c>
      <c r="Z337" s="146"/>
      <c r="AA337" s="146"/>
      <c r="AB337" s="146"/>
      <c r="AC337" s="146"/>
      <c r="AD337" s="146"/>
      <c r="AE337" s="146"/>
      <c r="AF337" s="146">
        <v>1</v>
      </c>
      <c r="AG337" s="299">
        <v>43413</v>
      </c>
      <c r="AH337" s="273">
        <f t="shared" si="16"/>
        <v>1</v>
      </c>
      <c r="AI337" s="146"/>
      <c r="AJ337" s="146" t="s">
        <v>2479</v>
      </c>
      <c r="AK337" s="146" t="s">
        <v>2479</v>
      </c>
      <c r="AL337" s="146"/>
      <c r="AM337" s="146"/>
      <c r="AN337" s="146"/>
      <c r="AO337" s="146"/>
      <c r="AP337" s="146"/>
      <c r="AQ337" s="146"/>
      <c r="AR337" s="146"/>
      <c r="AS337" s="146"/>
    </row>
    <row r="338" spans="1:45" s="222" customFormat="1" x14ac:dyDescent="0.2">
      <c r="A338" s="146"/>
      <c r="B338" s="296" t="s">
        <v>2345</v>
      </c>
      <c r="C338" s="296" t="s">
        <v>2346</v>
      </c>
      <c r="D338" s="296" t="s">
        <v>2347</v>
      </c>
      <c r="E338" s="297">
        <v>201801903</v>
      </c>
      <c r="F338" s="296" t="s">
        <v>1406</v>
      </c>
      <c r="G338" s="296" t="s">
        <v>1407</v>
      </c>
      <c r="H338" s="146"/>
      <c r="I338" s="146"/>
      <c r="J338" s="146"/>
      <c r="K338" s="146"/>
      <c r="L338" s="146"/>
      <c r="M338" s="146"/>
      <c r="N338" s="146"/>
      <c r="O338" s="146"/>
      <c r="P338" s="287">
        <f t="shared" si="17"/>
        <v>0</v>
      </c>
      <c r="Q338" s="146"/>
      <c r="R338" s="146"/>
      <c r="S338" s="146"/>
      <c r="T338" s="146"/>
      <c r="U338" s="146"/>
      <c r="V338" s="146"/>
      <c r="W338" s="146"/>
      <c r="X338" s="269"/>
      <c r="Y338" s="273">
        <f t="shared" si="18"/>
        <v>0</v>
      </c>
      <c r="Z338" s="146"/>
      <c r="AA338" s="146"/>
      <c r="AB338" s="146"/>
      <c r="AC338" s="146"/>
      <c r="AD338" s="146"/>
      <c r="AE338" s="146"/>
      <c r="AF338" s="146">
        <v>1</v>
      </c>
      <c r="AG338" s="299">
        <v>43413</v>
      </c>
      <c r="AH338" s="273">
        <f t="shared" si="16"/>
        <v>1</v>
      </c>
      <c r="AI338" s="146"/>
      <c r="AJ338" s="146" t="s">
        <v>2479</v>
      </c>
      <c r="AK338" s="146" t="s">
        <v>2479</v>
      </c>
      <c r="AL338" s="146"/>
      <c r="AM338" s="146"/>
      <c r="AN338" s="146"/>
      <c r="AO338" s="146"/>
      <c r="AP338" s="146"/>
      <c r="AQ338" s="146"/>
      <c r="AR338" s="146"/>
      <c r="AS338" s="146"/>
    </row>
    <row r="339" spans="1:45" s="222" customFormat="1" x14ac:dyDescent="0.2">
      <c r="A339" s="146"/>
      <c r="B339" s="296" t="s">
        <v>2348</v>
      </c>
      <c r="C339" s="296" t="s">
        <v>2349</v>
      </c>
      <c r="D339" s="296" t="s">
        <v>2350</v>
      </c>
      <c r="E339" s="297">
        <v>201800878</v>
      </c>
      <c r="F339" s="296" t="s">
        <v>1406</v>
      </c>
      <c r="G339" s="296" t="s">
        <v>1407</v>
      </c>
      <c r="H339" s="146"/>
      <c r="I339" s="146"/>
      <c r="J339" s="146"/>
      <c r="K339" s="146"/>
      <c r="L339" s="146"/>
      <c r="M339" s="146"/>
      <c r="N339" s="146"/>
      <c r="O339" s="146"/>
      <c r="P339" s="287">
        <f t="shared" si="17"/>
        <v>0</v>
      </c>
      <c r="Q339" s="146"/>
      <c r="R339" s="146"/>
      <c r="S339" s="146"/>
      <c r="T339" s="146"/>
      <c r="U339" s="146"/>
      <c r="V339" s="146"/>
      <c r="W339" s="146"/>
      <c r="X339" s="269"/>
      <c r="Y339" s="273">
        <f t="shared" si="18"/>
        <v>0</v>
      </c>
      <c r="Z339" s="146"/>
      <c r="AA339" s="146"/>
      <c r="AB339" s="146"/>
      <c r="AC339" s="146"/>
      <c r="AD339" s="146"/>
      <c r="AE339" s="146"/>
      <c r="AF339" s="146">
        <v>1</v>
      </c>
      <c r="AG339" s="298">
        <v>43362</v>
      </c>
      <c r="AH339" s="273">
        <f t="shared" si="16"/>
        <v>1</v>
      </c>
      <c r="AI339" s="146"/>
      <c r="AJ339" s="146" t="s">
        <v>2479</v>
      </c>
      <c r="AK339" s="146" t="s">
        <v>2479</v>
      </c>
      <c r="AL339" s="146"/>
      <c r="AM339" s="146"/>
      <c r="AN339" s="146"/>
      <c r="AO339" s="146"/>
      <c r="AP339" s="146"/>
      <c r="AQ339" s="146"/>
      <c r="AR339" s="146"/>
      <c r="AS339" s="146"/>
    </row>
    <row r="340" spans="1:45" s="222" customFormat="1" x14ac:dyDescent="0.2">
      <c r="A340" s="146"/>
      <c r="B340" s="296" t="s">
        <v>2351</v>
      </c>
      <c r="C340" s="296" t="s">
        <v>2352</v>
      </c>
      <c r="D340" s="296" t="s">
        <v>2353</v>
      </c>
      <c r="E340" s="297">
        <v>201800880</v>
      </c>
      <c r="F340" s="296" t="s">
        <v>1406</v>
      </c>
      <c r="G340" s="296" t="s">
        <v>1407</v>
      </c>
      <c r="H340" s="146"/>
      <c r="I340" s="146"/>
      <c r="J340" s="146"/>
      <c r="K340" s="146"/>
      <c r="L340" s="146"/>
      <c r="M340" s="146"/>
      <c r="N340" s="146"/>
      <c r="O340" s="146"/>
      <c r="P340" s="287">
        <f t="shared" si="17"/>
        <v>0</v>
      </c>
      <c r="Q340" s="146"/>
      <c r="R340" s="146"/>
      <c r="S340" s="146"/>
      <c r="T340" s="146"/>
      <c r="U340" s="146"/>
      <c r="V340" s="146"/>
      <c r="W340" s="146"/>
      <c r="X340" s="269"/>
      <c r="Y340" s="273">
        <f t="shared" si="18"/>
        <v>0</v>
      </c>
      <c r="Z340" s="146"/>
      <c r="AA340" s="146"/>
      <c r="AB340" s="146"/>
      <c r="AC340" s="146"/>
      <c r="AD340" s="146"/>
      <c r="AE340" s="146"/>
      <c r="AF340" s="146">
        <v>1</v>
      </c>
      <c r="AG340" s="298">
        <v>43362</v>
      </c>
      <c r="AH340" s="273">
        <f t="shared" si="16"/>
        <v>1</v>
      </c>
      <c r="AI340" s="146"/>
      <c r="AJ340" s="146" t="s">
        <v>2479</v>
      </c>
      <c r="AK340" s="146" t="s">
        <v>2479</v>
      </c>
      <c r="AL340" s="146"/>
      <c r="AM340" s="146"/>
      <c r="AN340" s="146"/>
      <c r="AO340" s="146"/>
      <c r="AP340" s="146"/>
      <c r="AQ340" s="146"/>
      <c r="AR340" s="146"/>
      <c r="AS340" s="146"/>
    </row>
    <row r="341" spans="1:45" s="222" customFormat="1" x14ac:dyDescent="0.2">
      <c r="A341" s="146"/>
      <c r="B341" s="296" t="s">
        <v>2354</v>
      </c>
      <c r="C341" s="296" t="s">
        <v>2355</v>
      </c>
      <c r="D341" s="296" t="s">
        <v>2356</v>
      </c>
      <c r="E341" s="297">
        <v>201800881</v>
      </c>
      <c r="F341" s="296" t="s">
        <v>1406</v>
      </c>
      <c r="G341" s="296" t="s">
        <v>1407</v>
      </c>
      <c r="H341" s="146"/>
      <c r="I341" s="146"/>
      <c r="J341" s="146"/>
      <c r="K341" s="146"/>
      <c r="L341" s="146"/>
      <c r="M341" s="146"/>
      <c r="N341" s="146"/>
      <c r="O341" s="146"/>
      <c r="P341" s="287">
        <f t="shared" si="17"/>
        <v>0</v>
      </c>
      <c r="Q341" s="146"/>
      <c r="R341" s="146"/>
      <c r="S341" s="146"/>
      <c r="T341" s="146"/>
      <c r="U341" s="146"/>
      <c r="V341" s="146"/>
      <c r="W341" s="146"/>
      <c r="X341" s="269"/>
      <c r="Y341" s="273">
        <f t="shared" si="18"/>
        <v>0</v>
      </c>
      <c r="Z341" s="146"/>
      <c r="AA341" s="146"/>
      <c r="AB341" s="146"/>
      <c r="AC341" s="146"/>
      <c r="AD341" s="146"/>
      <c r="AE341" s="146"/>
      <c r="AF341" s="146">
        <v>1</v>
      </c>
      <c r="AG341" s="298">
        <v>43364</v>
      </c>
      <c r="AH341" s="273">
        <f t="shared" si="16"/>
        <v>1</v>
      </c>
      <c r="AI341" s="146"/>
      <c r="AJ341" s="146" t="s">
        <v>2479</v>
      </c>
      <c r="AK341" s="146" t="s">
        <v>2479</v>
      </c>
      <c r="AL341" s="146"/>
      <c r="AM341" s="146"/>
      <c r="AN341" s="146"/>
      <c r="AO341" s="146"/>
      <c r="AP341" s="146"/>
      <c r="AQ341" s="146"/>
      <c r="AR341" s="146"/>
      <c r="AS341" s="146"/>
    </row>
    <row r="342" spans="1:45" s="222" customFormat="1" x14ac:dyDescent="0.2">
      <c r="A342" s="146"/>
      <c r="B342" s="296" t="s">
        <v>2357</v>
      </c>
      <c r="C342" s="296" t="s">
        <v>2358</v>
      </c>
      <c r="D342" s="296" t="s">
        <v>2359</v>
      </c>
      <c r="E342" s="297">
        <v>201800117</v>
      </c>
      <c r="F342" s="296" t="s">
        <v>1406</v>
      </c>
      <c r="G342" s="296" t="s">
        <v>1407</v>
      </c>
      <c r="H342" s="146"/>
      <c r="I342" s="146"/>
      <c r="J342" s="146"/>
      <c r="K342" s="146"/>
      <c r="L342" s="146"/>
      <c r="M342" s="146"/>
      <c r="N342" s="146"/>
      <c r="O342" s="146"/>
      <c r="P342" s="287">
        <f t="shared" si="17"/>
        <v>0</v>
      </c>
      <c r="Q342" s="146"/>
      <c r="R342" s="146"/>
      <c r="S342" s="146"/>
      <c r="T342" s="146"/>
      <c r="U342" s="146"/>
      <c r="V342" s="146"/>
      <c r="W342" s="146"/>
      <c r="X342" s="269"/>
      <c r="Y342" s="273">
        <f t="shared" si="18"/>
        <v>0</v>
      </c>
      <c r="Z342" s="146"/>
      <c r="AA342" s="146"/>
      <c r="AB342" s="146"/>
      <c r="AC342" s="146"/>
      <c r="AD342" s="146"/>
      <c r="AE342" s="146"/>
      <c r="AF342" s="146">
        <v>1</v>
      </c>
      <c r="AG342" s="298">
        <v>43293</v>
      </c>
      <c r="AH342" s="273">
        <f t="shared" si="16"/>
        <v>1</v>
      </c>
      <c r="AI342" s="146"/>
      <c r="AJ342" s="146" t="s">
        <v>2479</v>
      </c>
      <c r="AK342" s="146" t="s">
        <v>2479</v>
      </c>
      <c r="AL342" s="146"/>
      <c r="AM342" s="146"/>
      <c r="AN342" s="146"/>
      <c r="AO342" s="146"/>
      <c r="AP342" s="146"/>
      <c r="AQ342" s="146"/>
      <c r="AR342" s="146"/>
      <c r="AS342" s="146"/>
    </row>
    <row r="343" spans="1:45" s="222" customFormat="1" x14ac:dyDescent="0.2">
      <c r="A343" s="146"/>
      <c r="B343" s="296" t="s">
        <v>2360</v>
      </c>
      <c r="C343" s="296" t="s">
        <v>2361</v>
      </c>
      <c r="D343" s="296" t="s">
        <v>2362</v>
      </c>
      <c r="E343" s="297">
        <v>201800120</v>
      </c>
      <c r="F343" s="296" t="s">
        <v>1406</v>
      </c>
      <c r="G343" s="296" t="s">
        <v>1407</v>
      </c>
      <c r="H343" s="146"/>
      <c r="I343" s="146"/>
      <c r="J343" s="146"/>
      <c r="K343" s="146"/>
      <c r="L343" s="146"/>
      <c r="M343" s="146"/>
      <c r="N343" s="146"/>
      <c r="O343" s="146"/>
      <c r="P343" s="287">
        <f t="shared" si="17"/>
        <v>0</v>
      </c>
      <c r="Q343" s="146"/>
      <c r="R343" s="146"/>
      <c r="S343" s="146"/>
      <c r="T343" s="146"/>
      <c r="U343" s="146"/>
      <c r="V343" s="146"/>
      <c r="W343" s="146"/>
      <c r="X343" s="269"/>
      <c r="Y343" s="273">
        <f t="shared" si="18"/>
        <v>0</v>
      </c>
      <c r="Z343" s="146"/>
      <c r="AA343" s="146"/>
      <c r="AB343" s="146"/>
      <c r="AC343" s="146"/>
      <c r="AD343" s="146"/>
      <c r="AE343" s="146"/>
      <c r="AF343" s="146">
        <v>1</v>
      </c>
      <c r="AG343" s="298">
        <v>43293</v>
      </c>
      <c r="AH343" s="273">
        <f t="shared" si="16"/>
        <v>1</v>
      </c>
      <c r="AI343" s="146"/>
      <c r="AJ343" s="146" t="s">
        <v>2479</v>
      </c>
      <c r="AK343" s="146" t="s">
        <v>2479</v>
      </c>
      <c r="AL343" s="146"/>
      <c r="AM343" s="146"/>
      <c r="AN343" s="146"/>
      <c r="AO343" s="146"/>
      <c r="AP343" s="146"/>
      <c r="AQ343" s="146"/>
      <c r="AR343" s="146"/>
      <c r="AS343" s="146"/>
    </row>
    <row r="344" spans="1:45" s="222" customFormat="1" x14ac:dyDescent="0.2">
      <c r="A344" s="146"/>
      <c r="B344" s="296" t="s">
        <v>2363</v>
      </c>
      <c r="C344" s="296" t="s">
        <v>2364</v>
      </c>
      <c r="D344" s="296" t="s">
        <v>2365</v>
      </c>
      <c r="E344" s="297">
        <v>201800121</v>
      </c>
      <c r="F344" s="296" t="s">
        <v>1406</v>
      </c>
      <c r="G344" s="296" t="s">
        <v>1407</v>
      </c>
      <c r="H344" s="146"/>
      <c r="I344" s="146"/>
      <c r="J344" s="146"/>
      <c r="K344" s="146"/>
      <c r="L344" s="146"/>
      <c r="M344" s="146"/>
      <c r="N344" s="146"/>
      <c r="O344" s="146"/>
      <c r="P344" s="287">
        <f t="shared" si="17"/>
        <v>0</v>
      </c>
      <c r="Q344" s="146"/>
      <c r="R344" s="146"/>
      <c r="S344" s="146"/>
      <c r="T344" s="146"/>
      <c r="U344" s="146"/>
      <c r="V344" s="146"/>
      <c r="W344" s="146"/>
      <c r="X344" s="269"/>
      <c r="Y344" s="273">
        <f t="shared" si="18"/>
        <v>0</v>
      </c>
      <c r="Z344" s="146"/>
      <c r="AA344" s="146"/>
      <c r="AB344" s="146"/>
      <c r="AC344" s="146"/>
      <c r="AD344" s="146"/>
      <c r="AE344" s="146"/>
      <c r="AF344" s="146">
        <v>1</v>
      </c>
      <c r="AG344" s="298">
        <v>43293</v>
      </c>
      <c r="AH344" s="273">
        <f t="shared" si="16"/>
        <v>1</v>
      </c>
      <c r="AI344" s="146"/>
      <c r="AJ344" s="146" t="s">
        <v>2479</v>
      </c>
      <c r="AK344" s="146" t="s">
        <v>2479</v>
      </c>
      <c r="AL344" s="146"/>
      <c r="AM344" s="146"/>
      <c r="AN344" s="146"/>
      <c r="AO344" s="146"/>
      <c r="AP344" s="146"/>
      <c r="AQ344" s="146"/>
      <c r="AR344" s="146"/>
      <c r="AS344" s="146"/>
    </row>
    <row r="345" spans="1:45" s="222" customFormat="1" x14ac:dyDescent="0.2">
      <c r="A345" s="146"/>
      <c r="B345" s="296" t="s">
        <v>2366</v>
      </c>
      <c r="C345" s="296" t="s">
        <v>2367</v>
      </c>
      <c r="D345" s="296" t="s">
        <v>2368</v>
      </c>
      <c r="E345" s="297">
        <v>201800123</v>
      </c>
      <c r="F345" s="296" t="s">
        <v>1406</v>
      </c>
      <c r="G345" s="296" t="s">
        <v>1407</v>
      </c>
      <c r="H345" s="146"/>
      <c r="I345" s="146"/>
      <c r="J345" s="146"/>
      <c r="K345" s="146"/>
      <c r="L345" s="146"/>
      <c r="M345" s="146"/>
      <c r="N345" s="146"/>
      <c r="O345" s="146"/>
      <c r="P345" s="287">
        <f t="shared" si="17"/>
        <v>0</v>
      </c>
      <c r="Q345" s="146"/>
      <c r="R345" s="146"/>
      <c r="S345" s="146"/>
      <c r="T345" s="146"/>
      <c r="U345" s="146"/>
      <c r="V345" s="146"/>
      <c r="W345" s="146"/>
      <c r="X345" s="269"/>
      <c r="Y345" s="273">
        <f t="shared" si="18"/>
        <v>0</v>
      </c>
      <c r="Z345" s="146"/>
      <c r="AA345" s="146"/>
      <c r="AB345" s="146"/>
      <c r="AC345" s="146"/>
      <c r="AD345" s="146"/>
      <c r="AE345" s="146"/>
      <c r="AF345" s="146">
        <v>1</v>
      </c>
      <c r="AG345" s="298">
        <v>43305</v>
      </c>
      <c r="AH345" s="273">
        <f t="shared" si="16"/>
        <v>1</v>
      </c>
      <c r="AI345" s="146"/>
      <c r="AJ345" s="146" t="s">
        <v>2479</v>
      </c>
      <c r="AK345" s="146" t="s">
        <v>2479</v>
      </c>
      <c r="AL345" s="146"/>
      <c r="AM345" s="146"/>
      <c r="AN345" s="146"/>
      <c r="AO345" s="146"/>
      <c r="AP345" s="146"/>
      <c r="AQ345" s="146"/>
      <c r="AR345" s="146"/>
      <c r="AS345" s="146"/>
    </row>
    <row r="346" spans="1:45" s="222" customFormat="1" x14ac:dyDescent="0.2">
      <c r="A346" s="146"/>
      <c r="B346" s="296" t="s">
        <v>2369</v>
      </c>
      <c r="C346" s="296" t="s">
        <v>2370</v>
      </c>
      <c r="D346" s="296" t="s">
        <v>2371</v>
      </c>
      <c r="E346" s="297">
        <v>201800125</v>
      </c>
      <c r="F346" s="296" t="s">
        <v>1406</v>
      </c>
      <c r="G346" s="296" t="s">
        <v>1407</v>
      </c>
      <c r="H346" s="146"/>
      <c r="I346" s="146"/>
      <c r="J346" s="146"/>
      <c r="K346" s="146"/>
      <c r="L346" s="146"/>
      <c r="M346" s="146"/>
      <c r="N346" s="146"/>
      <c r="O346" s="146"/>
      <c r="P346" s="287">
        <f t="shared" si="17"/>
        <v>0</v>
      </c>
      <c r="Q346" s="146"/>
      <c r="R346" s="146"/>
      <c r="S346" s="146"/>
      <c r="T346" s="146"/>
      <c r="U346" s="146"/>
      <c r="V346" s="146"/>
      <c r="W346" s="146"/>
      <c r="X346" s="269"/>
      <c r="Y346" s="273">
        <f t="shared" si="18"/>
        <v>0</v>
      </c>
      <c r="Z346" s="146"/>
      <c r="AA346" s="146"/>
      <c r="AB346" s="146"/>
      <c r="AC346" s="146"/>
      <c r="AD346" s="146"/>
      <c r="AE346" s="146"/>
      <c r="AF346" s="146">
        <v>1</v>
      </c>
      <c r="AG346" s="298">
        <v>43320</v>
      </c>
      <c r="AH346" s="273">
        <f t="shared" si="16"/>
        <v>1</v>
      </c>
      <c r="AI346" s="146"/>
      <c r="AJ346" s="146" t="s">
        <v>2479</v>
      </c>
      <c r="AK346" s="146" t="s">
        <v>2479</v>
      </c>
      <c r="AL346" s="146"/>
      <c r="AM346" s="146"/>
      <c r="AN346" s="146"/>
      <c r="AO346" s="146"/>
      <c r="AP346" s="146"/>
      <c r="AQ346" s="146"/>
      <c r="AR346" s="146"/>
      <c r="AS346" s="146"/>
    </row>
    <row r="347" spans="1:45" s="222" customFormat="1" x14ac:dyDescent="0.2">
      <c r="A347" s="146"/>
      <c r="B347" s="296" t="s">
        <v>2372</v>
      </c>
      <c r="C347" s="296" t="s">
        <v>2373</v>
      </c>
      <c r="D347" s="296" t="s">
        <v>2374</v>
      </c>
      <c r="E347" s="297">
        <v>201800126</v>
      </c>
      <c r="F347" s="296" t="s">
        <v>1406</v>
      </c>
      <c r="G347" s="296" t="s">
        <v>1407</v>
      </c>
      <c r="H347" s="146"/>
      <c r="I347" s="146"/>
      <c r="J347" s="146"/>
      <c r="K347" s="146"/>
      <c r="L347" s="146"/>
      <c r="M347" s="146"/>
      <c r="N347" s="146"/>
      <c r="O347" s="146"/>
      <c r="P347" s="287">
        <f t="shared" si="17"/>
        <v>0</v>
      </c>
      <c r="Q347" s="146"/>
      <c r="R347" s="146"/>
      <c r="S347" s="146"/>
      <c r="T347" s="146"/>
      <c r="U347" s="146"/>
      <c r="V347" s="146"/>
      <c r="W347" s="146"/>
      <c r="X347" s="269"/>
      <c r="Y347" s="273">
        <f t="shared" si="18"/>
        <v>0</v>
      </c>
      <c r="Z347" s="146"/>
      <c r="AA347" s="146"/>
      <c r="AB347" s="146"/>
      <c r="AC347" s="146"/>
      <c r="AD347" s="146"/>
      <c r="AE347" s="146"/>
      <c r="AF347" s="146">
        <v>1</v>
      </c>
      <c r="AG347" s="298">
        <v>43320</v>
      </c>
      <c r="AH347" s="273">
        <f t="shared" si="16"/>
        <v>1</v>
      </c>
      <c r="AI347" s="146"/>
      <c r="AJ347" s="146" t="s">
        <v>2479</v>
      </c>
      <c r="AK347" s="146" t="s">
        <v>2479</v>
      </c>
      <c r="AL347" s="146"/>
      <c r="AM347" s="146"/>
      <c r="AN347" s="146"/>
      <c r="AO347" s="146"/>
      <c r="AP347" s="146"/>
      <c r="AQ347" s="146"/>
      <c r="AR347" s="146"/>
      <c r="AS347" s="146"/>
    </row>
    <row r="348" spans="1:45" s="222" customFormat="1" x14ac:dyDescent="0.2">
      <c r="A348" s="146"/>
      <c r="B348" s="296" t="s">
        <v>2375</v>
      </c>
      <c r="C348" s="296" t="s">
        <v>2376</v>
      </c>
      <c r="D348" s="296" t="s">
        <v>2377</v>
      </c>
      <c r="E348" s="297">
        <v>201800130</v>
      </c>
      <c r="F348" s="296" t="s">
        <v>1406</v>
      </c>
      <c r="G348" s="296" t="s">
        <v>1407</v>
      </c>
      <c r="H348" s="146"/>
      <c r="I348" s="146"/>
      <c r="J348" s="146"/>
      <c r="K348" s="146"/>
      <c r="L348" s="146"/>
      <c r="M348" s="146"/>
      <c r="N348" s="146"/>
      <c r="O348" s="146"/>
      <c r="P348" s="287">
        <f t="shared" si="17"/>
        <v>0</v>
      </c>
      <c r="Q348" s="146"/>
      <c r="R348" s="146"/>
      <c r="S348" s="146"/>
      <c r="T348" s="146"/>
      <c r="U348" s="146"/>
      <c r="V348" s="146"/>
      <c r="W348" s="146"/>
      <c r="X348" s="269"/>
      <c r="Y348" s="273">
        <f t="shared" si="18"/>
        <v>0</v>
      </c>
      <c r="Z348" s="146"/>
      <c r="AA348" s="146"/>
      <c r="AB348" s="146"/>
      <c r="AC348" s="146"/>
      <c r="AD348" s="146"/>
      <c r="AE348" s="146"/>
      <c r="AF348" s="146">
        <v>1</v>
      </c>
      <c r="AG348" s="298">
        <v>43328</v>
      </c>
      <c r="AH348" s="273">
        <f t="shared" si="16"/>
        <v>1</v>
      </c>
      <c r="AI348" s="146"/>
      <c r="AJ348" s="146" t="s">
        <v>2479</v>
      </c>
      <c r="AK348" s="146" t="s">
        <v>2479</v>
      </c>
      <c r="AL348" s="146"/>
      <c r="AM348" s="146"/>
      <c r="AN348" s="146"/>
      <c r="AO348" s="146"/>
      <c r="AP348" s="146"/>
      <c r="AQ348" s="146"/>
      <c r="AR348" s="146"/>
      <c r="AS348" s="146"/>
    </row>
    <row r="349" spans="1:45" s="222" customFormat="1" x14ac:dyDescent="0.2">
      <c r="A349" s="146"/>
      <c r="B349" s="296" t="s">
        <v>2378</v>
      </c>
      <c r="C349" s="296" t="s">
        <v>2379</v>
      </c>
      <c r="D349" s="296" t="s">
        <v>2380</v>
      </c>
      <c r="E349" s="297">
        <v>201800873</v>
      </c>
      <c r="F349" s="296" t="s">
        <v>1406</v>
      </c>
      <c r="G349" s="296" t="s">
        <v>1407</v>
      </c>
      <c r="H349" s="146"/>
      <c r="I349" s="146"/>
      <c r="J349" s="146"/>
      <c r="K349" s="146"/>
      <c r="L349" s="146"/>
      <c r="M349" s="146"/>
      <c r="N349" s="146"/>
      <c r="O349" s="146"/>
      <c r="P349" s="287">
        <f t="shared" si="17"/>
        <v>0</v>
      </c>
      <c r="Q349" s="146"/>
      <c r="R349" s="146"/>
      <c r="S349" s="146"/>
      <c r="T349" s="146"/>
      <c r="U349" s="146"/>
      <c r="V349" s="146"/>
      <c r="W349" s="146"/>
      <c r="X349" s="269"/>
      <c r="Y349" s="273">
        <f t="shared" si="18"/>
        <v>0</v>
      </c>
      <c r="Z349" s="146"/>
      <c r="AA349" s="146"/>
      <c r="AB349" s="146"/>
      <c r="AC349" s="146"/>
      <c r="AD349" s="146"/>
      <c r="AE349" s="146"/>
      <c r="AF349" s="146">
        <v>1</v>
      </c>
      <c r="AG349" s="298">
        <v>43333</v>
      </c>
      <c r="AH349" s="273">
        <f t="shared" si="16"/>
        <v>1</v>
      </c>
      <c r="AI349" s="146"/>
      <c r="AJ349" s="146" t="s">
        <v>2479</v>
      </c>
      <c r="AK349" s="146" t="s">
        <v>2479</v>
      </c>
      <c r="AL349" s="146"/>
      <c r="AM349" s="146"/>
      <c r="AN349" s="146"/>
      <c r="AO349" s="146"/>
      <c r="AP349" s="146"/>
      <c r="AQ349" s="146"/>
      <c r="AR349" s="146"/>
      <c r="AS349" s="146"/>
    </row>
    <row r="350" spans="1:45" s="222" customFormat="1" x14ac:dyDescent="0.2">
      <c r="A350" s="146"/>
      <c r="B350" s="296" t="s">
        <v>2381</v>
      </c>
      <c r="C350" s="296" t="s">
        <v>2382</v>
      </c>
      <c r="D350" s="296" t="s">
        <v>2383</v>
      </c>
      <c r="E350" s="297">
        <v>201800874</v>
      </c>
      <c r="F350" s="296" t="s">
        <v>1406</v>
      </c>
      <c r="G350" s="296" t="s">
        <v>1407</v>
      </c>
      <c r="H350" s="146"/>
      <c r="I350" s="146"/>
      <c r="J350" s="146"/>
      <c r="K350" s="146"/>
      <c r="L350" s="146"/>
      <c r="M350" s="146"/>
      <c r="N350" s="146"/>
      <c r="O350" s="146"/>
      <c r="P350" s="287">
        <f t="shared" si="17"/>
        <v>0</v>
      </c>
      <c r="Q350" s="146"/>
      <c r="R350" s="146"/>
      <c r="S350" s="146"/>
      <c r="T350" s="146"/>
      <c r="U350" s="146"/>
      <c r="V350" s="146"/>
      <c r="W350" s="146"/>
      <c r="X350" s="269"/>
      <c r="Y350" s="273">
        <f t="shared" si="18"/>
        <v>0</v>
      </c>
      <c r="Z350" s="146"/>
      <c r="AA350" s="146"/>
      <c r="AB350" s="146"/>
      <c r="AC350" s="146"/>
      <c r="AD350" s="146"/>
      <c r="AE350" s="146"/>
      <c r="AF350" s="146">
        <v>1</v>
      </c>
      <c r="AG350" s="298">
        <v>43342</v>
      </c>
      <c r="AH350" s="273">
        <f t="shared" si="16"/>
        <v>1</v>
      </c>
      <c r="AI350" s="146"/>
      <c r="AJ350" s="146" t="s">
        <v>2479</v>
      </c>
      <c r="AK350" s="146" t="s">
        <v>2479</v>
      </c>
      <c r="AL350" s="146"/>
      <c r="AM350" s="146"/>
      <c r="AN350" s="146"/>
      <c r="AO350" s="146"/>
      <c r="AP350" s="146"/>
      <c r="AQ350" s="146"/>
      <c r="AR350" s="146"/>
      <c r="AS350" s="146"/>
    </row>
    <row r="351" spans="1:45" s="222" customFormat="1" x14ac:dyDescent="0.2">
      <c r="A351" s="146"/>
      <c r="B351" s="296" t="s">
        <v>2384</v>
      </c>
      <c r="C351" s="296" t="s">
        <v>2385</v>
      </c>
      <c r="D351" s="296" t="s">
        <v>2386</v>
      </c>
      <c r="E351" s="297">
        <v>201800876</v>
      </c>
      <c r="F351" s="296" t="s">
        <v>1406</v>
      </c>
      <c r="G351" s="296" t="s">
        <v>1407</v>
      </c>
      <c r="H351" s="146"/>
      <c r="I351" s="146"/>
      <c r="J351" s="146"/>
      <c r="K351" s="146"/>
      <c r="L351" s="146"/>
      <c r="M351" s="146"/>
      <c r="N351" s="146"/>
      <c r="O351" s="146"/>
      <c r="P351" s="287">
        <f t="shared" si="17"/>
        <v>0</v>
      </c>
      <c r="Q351" s="146"/>
      <c r="R351" s="146"/>
      <c r="S351" s="146"/>
      <c r="T351" s="146"/>
      <c r="U351" s="146"/>
      <c r="V351" s="146"/>
      <c r="W351" s="146"/>
      <c r="X351" s="269"/>
      <c r="Y351" s="273">
        <f t="shared" si="18"/>
        <v>0</v>
      </c>
      <c r="Z351" s="146"/>
      <c r="AA351" s="146"/>
      <c r="AB351" s="146"/>
      <c r="AC351" s="146"/>
      <c r="AD351" s="146"/>
      <c r="AE351" s="146"/>
      <c r="AF351" s="146">
        <v>1</v>
      </c>
      <c r="AG351" s="298">
        <v>43343</v>
      </c>
      <c r="AH351" s="273">
        <f t="shared" si="16"/>
        <v>1</v>
      </c>
      <c r="AI351" s="146"/>
      <c r="AJ351" s="146" t="s">
        <v>2479</v>
      </c>
      <c r="AK351" s="146" t="s">
        <v>2479</v>
      </c>
      <c r="AL351" s="146"/>
      <c r="AM351" s="146"/>
      <c r="AN351" s="146"/>
      <c r="AO351" s="146"/>
      <c r="AP351" s="146"/>
      <c r="AQ351" s="146"/>
      <c r="AR351" s="146"/>
      <c r="AS351" s="146"/>
    </row>
    <row r="352" spans="1:45" s="222" customFormat="1" x14ac:dyDescent="0.2">
      <c r="A352" s="146"/>
      <c r="B352" s="296" t="s">
        <v>2387</v>
      </c>
      <c r="C352" s="296" t="s">
        <v>2388</v>
      </c>
      <c r="D352" s="296" t="s">
        <v>2389</v>
      </c>
      <c r="E352" s="297">
        <v>201800877</v>
      </c>
      <c r="F352" s="296" t="s">
        <v>1406</v>
      </c>
      <c r="G352" s="296" t="s">
        <v>1407</v>
      </c>
      <c r="H352" s="146"/>
      <c r="I352" s="146"/>
      <c r="J352" s="146"/>
      <c r="K352" s="146"/>
      <c r="L352" s="146"/>
      <c r="M352" s="146"/>
      <c r="N352" s="146"/>
      <c r="O352" s="146"/>
      <c r="P352" s="287">
        <f t="shared" si="17"/>
        <v>0</v>
      </c>
      <c r="Q352" s="146"/>
      <c r="R352" s="146"/>
      <c r="S352" s="146"/>
      <c r="T352" s="146"/>
      <c r="U352" s="146"/>
      <c r="V352" s="146"/>
      <c r="W352" s="146"/>
      <c r="X352" s="269"/>
      <c r="Y352" s="273">
        <f t="shared" si="18"/>
        <v>0</v>
      </c>
      <c r="Z352" s="146"/>
      <c r="AA352" s="146"/>
      <c r="AB352" s="146"/>
      <c r="AC352" s="146"/>
      <c r="AD352" s="146"/>
      <c r="AE352" s="146"/>
      <c r="AF352" s="146">
        <v>1</v>
      </c>
      <c r="AG352" s="298">
        <v>43340</v>
      </c>
      <c r="AH352" s="273">
        <f t="shared" si="16"/>
        <v>1</v>
      </c>
      <c r="AI352" s="146"/>
      <c r="AJ352" s="146" t="s">
        <v>2479</v>
      </c>
      <c r="AK352" s="146" t="s">
        <v>2479</v>
      </c>
      <c r="AL352" s="146"/>
      <c r="AM352" s="146"/>
      <c r="AN352" s="146"/>
      <c r="AO352" s="146"/>
      <c r="AP352" s="146"/>
      <c r="AQ352" s="146"/>
      <c r="AR352" s="146"/>
      <c r="AS352" s="146"/>
    </row>
    <row r="353" spans="1:45" s="222" customFormat="1" x14ac:dyDescent="0.2">
      <c r="A353" s="146"/>
      <c r="B353" s="296" t="s">
        <v>2390</v>
      </c>
      <c r="C353" s="296" t="s">
        <v>2391</v>
      </c>
      <c r="D353" s="296" t="s">
        <v>2392</v>
      </c>
      <c r="E353" s="297">
        <v>201801960</v>
      </c>
      <c r="F353" s="296" t="s">
        <v>1406</v>
      </c>
      <c r="G353" s="296" t="s">
        <v>1407</v>
      </c>
      <c r="H353" s="146"/>
      <c r="I353" s="146"/>
      <c r="J353" s="146"/>
      <c r="K353" s="146"/>
      <c r="L353" s="146"/>
      <c r="M353" s="146"/>
      <c r="N353" s="146"/>
      <c r="O353" s="146"/>
      <c r="P353" s="287">
        <f t="shared" si="17"/>
        <v>0</v>
      </c>
      <c r="Q353" s="146"/>
      <c r="R353" s="146"/>
      <c r="S353" s="146"/>
      <c r="T353" s="146"/>
      <c r="U353" s="146"/>
      <c r="V353" s="146"/>
      <c r="W353" s="146"/>
      <c r="X353" s="269"/>
      <c r="Y353" s="273">
        <f t="shared" si="18"/>
        <v>0</v>
      </c>
      <c r="Z353" s="146"/>
      <c r="AA353" s="146"/>
      <c r="AB353" s="146"/>
      <c r="AC353" s="146"/>
      <c r="AD353" s="146"/>
      <c r="AE353" s="146"/>
      <c r="AF353" s="146">
        <v>1</v>
      </c>
      <c r="AG353" s="298">
        <v>43441</v>
      </c>
      <c r="AH353" s="273">
        <f t="shared" ref="AH353:AH416" si="19">SUM(Z353:AF353)</f>
        <v>1</v>
      </c>
      <c r="AI353" s="146"/>
      <c r="AJ353" s="146" t="s">
        <v>2479</v>
      </c>
      <c r="AK353" s="146" t="s">
        <v>2479</v>
      </c>
      <c r="AL353" s="146"/>
      <c r="AM353" s="146"/>
      <c r="AN353" s="146"/>
      <c r="AO353" s="146"/>
      <c r="AP353" s="146"/>
      <c r="AQ353" s="146"/>
      <c r="AR353" s="146"/>
      <c r="AS353" s="146"/>
    </row>
    <row r="354" spans="1:45" s="222" customFormat="1" x14ac:dyDescent="0.2">
      <c r="A354" s="146"/>
      <c r="B354" s="296" t="s">
        <v>2393</v>
      </c>
      <c r="C354" s="296" t="s">
        <v>2394</v>
      </c>
      <c r="D354" s="296" t="s">
        <v>2395</v>
      </c>
      <c r="E354" s="297">
        <v>201801959</v>
      </c>
      <c r="F354" s="296" t="s">
        <v>1406</v>
      </c>
      <c r="G354" s="296" t="s">
        <v>1407</v>
      </c>
      <c r="H354" s="146"/>
      <c r="I354" s="146"/>
      <c r="J354" s="146"/>
      <c r="K354" s="146"/>
      <c r="L354" s="146"/>
      <c r="M354" s="146"/>
      <c r="N354" s="146"/>
      <c r="O354" s="146"/>
      <c r="P354" s="287">
        <f t="shared" si="17"/>
        <v>0</v>
      </c>
      <c r="Q354" s="146"/>
      <c r="R354" s="146"/>
      <c r="S354" s="146"/>
      <c r="T354" s="146"/>
      <c r="U354" s="146"/>
      <c r="V354" s="146"/>
      <c r="W354" s="146"/>
      <c r="X354" s="269"/>
      <c r="Y354" s="273">
        <f t="shared" si="18"/>
        <v>0</v>
      </c>
      <c r="Z354" s="146"/>
      <c r="AA354" s="146"/>
      <c r="AB354" s="146"/>
      <c r="AC354" s="146"/>
      <c r="AD354" s="146"/>
      <c r="AE354" s="146"/>
      <c r="AF354" s="146">
        <v>1</v>
      </c>
      <c r="AG354" s="298">
        <v>43445</v>
      </c>
      <c r="AH354" s="273">
        <f t="shared" si="19"/>
        <v>1</v>
      </c>
      <c r="AI354" s="146"/>
      <c r="AJ354" s="146" t="s">
        <v>2479</v>
      </c>
      <c r="AK354" s="146" t="s">
        <v>2479</v>
      </c>
      <c r="AL354" s="146"/>
      <c r="AM354" s="146"/>
      <c r="AN354" s="146"/>
      <c r="AO354" s="146"/>
      <c r="AP354" s="146"/>
      <c r="AQ354" s="146"/>
      <c r="AR354" s="146"/>
      <c r="AS354" s="146"/>
    </row>
    <row r="355" spans="1:45" s="222" customFormat="1" x14ac:dyDescent="0.2">
      <c r="A355" s="146"/>
      <c r="B355" s="296" t="s">
        <v>2396</v>
      </c>
      <c r="C355" s="296" t="s">
        <v>2397</v>
      </c>
      <c r="D355" s="296" t="s">
        <v>2398</v>
      </c>
      <c r="E355" s="297">
        <v>201802069</v>
      </c>
      <c r="F355" s="296" t="s">
        <v>1406</v>
      </c>
      <c r="G355" s="296" t="s">
        <v>1407</v>
      </c>
      <c r="H355" s="146"/>
      <c r="I355" s="146"/>
      <c r="J355" s="146"/>
      <c r="K355" s="146"/>
      <c r="L355" s="146"/>
      <c r="M355" s="146"/>
      <c r="N355" s="146"/>
      <c r="O355" s="146"/>
      <c r="P355" s="287">
        <f t="shared" si="17"/>
        <v>0</v>
      </c>
      <c r="Q355" s="146"/>
      <c r="R355" s="146"/>
      <c r="S355" s="146"/>
      <c r="T355" s="146"/>
      <c r="U355" s="146"/>
      <c r="V355" s="146"/>
      <c r="W355" s="146"/>
      <c r="X355" s="269"/>
      <c r="Y355" s="273">
        <f t="shared" si="18"/>
        <v>0</v>
      </c>
      <c r="Z355" s="146"/>
      <c r="AA355" s="146"/>
      <c r="AB355" s="146"/>
      <c r="AC355" s="146"/>
      <c r="AD355" s="146"/>
      <c r="AE355" s="146"/>
      <c r="AF355" s="146">
        <v>1</v>
      </c>
      <c r="AG355" s="298">
        <v>43448</v>
      </c>
      <c r="AH355" s="273">
        <f t="shared" si="19"/>
        <v>1</v>
      </c>
      <c r="AI355" s="146"/>
      <c r="AJ355" s="146" t="s">
        <v>2479</v>
      </c>
      <c r="AK355" s="146" t="s">
        <v>2479</v>
      </c>
      <c r="AL355" s="146"/>
      <c r="AM355" s="146"/>
      <c r="AN355" s="146"/>
      <c r="AO355" s="146"/>
      <c r="AP355" s="146"/>
      <c r="AQ355" s="146"/>
      <c r="AR355" s="146"/>
      <c r="AS355" s="146"/>
    </row>
    <row r="356" spans="1:45" s="222" customFormat="1" x14ac:dyDescent="0.2">
      <c r="A356" s="146"/>
      <c r="B356" s="296" t="s">
        <v>2399</v>
      </c>
      <c r="C356" s="296" t="s">
        <v>2400</v>
      </c>
      <c r="D356" s="296" t="s">
        <v>2401</v>
      </c>
      <c r="E356" s="297">
        <v>201801337</v>
      </c>
      <c r="F356" s="296" t="s">
        <v>1406</v>
      </c>
      <c r="G356" s="296" t="s">
        <v>1407</v>
      </c>
      <c r="H356" s="146"/>
      <c r="I356" s="146"/>
      <c r="J356" s="146"/>
      <c r="K356" s="146"/>
      <c r="L356" s="146"/>
      <c r="M356" s="146"/>
      <c r="N356" s="146"/>
      <c r="O356" s="146"/>
      <c r="P356" s="287">
        <f t="shared" si="17"/>
        <v>0</v>
      </c>
      <c r="Q356" s="146"/>
      <c r="R356" s="146"/>
      <c r="S356" s="146"/>
      <c r="T356" s="146"/>
      <c r="U356" s="146"/>
      <c r="V356" s="146"/>
      <c r="W356" s="146"/>
      <c r="X356" s="269"/>
      <c r="Y356" s="273">
        <f t="shared" si="18"/>
        <v>0</v>
      </c>
      <c r="Z356" s="146"/>
      <c r="AA356" s="146"/>
      <c r="AB356" s="146"/>
      <c r="AC356" s="146"/>
      <c r="AD356" s="146"/>
      <c r="AE356" s="146"/>
      <c r="AF356" s="146">
        <v>1</v>
      </c>
      <c r="AG356" s="298">
        <v>43389</v>
      </c>
      <c r="AH356" s="273">
        <f t="shared" si="19"/>
        <v>1</v>
      </c>
      <c r="AI356" s="146"/>
      <c r="AJ356" s="146" t="s">
        <v>2479</v>
      </c>
      <c r="AK356" s="146" t="s">
        <v>2479</v>
      </c>
      <c r="AL356" s="146"/>
      <c r="AM356" s="146"/>
      <c r="AN356" s="146"/>
      <c r="AO356" s="146"/>
      <c r="AP356" s="146"/>
      <c r="AQ356" s="146"/>
      <c r="AR356" s="146"/>
      <c r="AS356" s="146"/>
    </row>
    <row r="357" spans="1:45" s="222" customFormat="1" x14ac:dyDescent="0.2">
      <c r="A357" s="146"/>
      <c r="B357" s="296" t="s">
        <v>2402</v>
      </c>
      <c r="C357" s="296" t="s">
        <v>2403</v>
      </c>
      <c r="D357" s="296" t="s">
        <v>2404</v>
      </c>
      <c r="E357" s="297">
        <v>201801338</v>
      </c>
      <c r="F357" s="296" t="s">
        <v>1406</v>
      </c>
      <c r="G357" s="296" t="s">
        <v>1407</v>
      </c>
      <c r="H357" s="146"/>
      <c r="I357" s="146"/>
      <c r="J357" s="146"/>
      <c r="K357" s="146"/>
      <c r="L357" s="146"/>
      <c r="M357" s="146"/>
      <c r="N357" s="146"/>
      <c r="O357" s="146"/>
      <c r="P357" s="287">
        <f t="shared" si="17"/>
        <v>0</v>
      </c>
      <c r="Q357" s="146"/>
      <c r="R357" s="146"/>
      <c r="S357" s="146"/>
      <c r="T357" s="146"/>
      <c r="U357" s="146"/>
      <c r="V357" s="146"/>
      <c r="W357" s="146"/>
      <c r="X357" s="269"/>
      <c r="Y357" s="273">
        <f t="shared" si="18"/>
        <v>0</v>
      </c>
      <c r="Z357" s="146"/>
      <c r="AA357" s="146"/>
      <c r="AB357" s="146"/>
      <c r="AC357" s="146"/>
      <c r="AD357" s="146"/>
      <c r="AE357" s="146"/>
      <c r="AF357" s="146">
        <v>1</v>
      </c>
      <c r="AG357" s="298">
        <v>43391</v>
      </c>
      <c r="AH357" s="273">
        <f t="shared" si="19"/>
        <v>1</v>
      </c>
      <c r="AI357" s="146"/>
      <c r="AJ357" s="146" t="s">
        <v>2479</v>
      </c>
      <c r="AK357" s="146" t="s">
        <v>2479</v>
      </c>
      <c r="AL357" s="146"/>
      <c r="AM357" s="146"/>
      <c r="AN357" s="146"/>
      <c r="AO357" s="146"/>
      <c r="AP357" s="146"/>
      <c r="AQ357" s="146"/>
      <c r="AR357" s="146"/>
      <c r="AS357" s="146"/>
    </row>
    <row r="358" spans="1:45" s="222" customFormat="1" x14ac:dyDescent="0.2">
      <c r="A358" s="146"/>
      <c r="B358" s="296" t="s">
        <v>2405</v>
      </c>
      <c r="C358" s="296" t="s">
        <v>2406</v>
      </c>
      <c r="D358" s="296" t="s">
        <v>2407</v>
      </c>
      <c r="E358" s="297">
        <v>201801339</v>
      </c>
      <c r="F358" s="296" t="s">
        <v>1406</v>
      </c>
      <c r="G358" s="296" t="s">
        <v>1407</v>
      </c>
      <c r="H358" s="146"/>
      <c r="I358" s="146"/>
      <c r="J358" s="146"/>
      <c r="K358" s="146"/>
      <c r="L358" s="146"/>
      <c r="M358" s="146"/>
      <c r="N358" s="146"/>
      <c r="O358" s="146"/>
      <c r="P358" s="287">
        <f t="shared" si="17"/>
        <v>0</v>
      </c>
      <c r="Q358" s="146"/>
      <c r="R358" s="146"/>
      <c r="S358" s="146"/>
      <c r="T358" s="146"/>
      <c r="U358" s="146"/>
      <c r="V358" s="146"/>
      <c r="W358" s="146"/>
      <c r="X358" s="269"/>
      <c r="Y358" s="273">
        <f t="shared" si="18"/>
        <v>0</v>
      </c>
      <c r="Z358" s="146"/>
      <c r="AA358" s="146"/>
      <c r="AB358" s="146"/>
      <c r="AC358" s="146"/>
      <c r="AD358" s="146"/>
      <c r="AE358" s="146"/>
      <c r="AF358" s="146">
        <v>1</v>
      </c>
      <c r="AG358" s="298">
        <v>43398</v>
      </c>
      <c r="AH358" s="273">
        <f t="shared" si="19"/>
        <v>1</v>
      </c>
      <c r="AI358" s="146"/>
      <c r="AJ358" s="146" t="s">
        <v>2479</v>
      </c>
      <c r="AK358" s="146" t="s">
        <v>2479</v>
      </c>
      <c r="AL358" s="146"/>
      <c r="AM358" s="146"/>
      <c r="AN358" s="146"/>
      <c r="AO358" s="146"/>
      <c r="AP358" s="146"/>
      <c r="AQ358" s="146"/>
      <c r="AR358" s="146"/>
      <c r="AS358" s="146"/>
    </row>
    <row r="359" spans="1:45" s="222" customFormat="1" x14ac:dyDescent="0.2">
      <c r="A359" s="146"/>
      <c r="B359" s="296" t="s">
        <v>2408</v>
      </c>
      <c r="C359" s="296" t="s">
        <v>2409</v>
      </c>
      <c r="D359" s="296" t="s">
        <v>2410</v>
      </c>
      <c r="E359" s="297">
        <v>201801340</v>
      </c>
      <c r="F359" s="296" t="s">
        <v>1406</v>
      </c>
      <c r="G359" s="296" t="s">
        <v>1407</v>
      </c>
      <c r="H359" s="146"/>
      <c r="I359" s="146"/>
      <c r="J359" s="146"/>
      <c r="K359" s="146"/>
      <c r="L359" s="146"/>
      <c r="M359" s="146"/>
      <c r="N359" s="146"/>
      <c r="O359" s="146"/>
      <c r="P359" s="287">
        <f t="shared" si="17"/>
        <v>0</v>
      </c>
      <c r="Q359" s="146"/>
      <c r="R359" s="146"/>
      <c r="S359" s="146"/>
      <c r="T359" s="146"/>
      <c r="U359" s="146"/>
      <c r="V359" s="146"/>
      <c r="W359" s="146"/>
      <c r="X359" s="269"/>
      <c r="Y359" s="273">
        <f t="shared" si="18"/>
        <v>0</v>
      </c>
      <c r="Z359" s="146"/>
      <c r="AA359" s="146"/>
      <c r="AB359" s="146"/>
      <c r="AC359" s="146"/>
      <c r="AD359" s="146"/>
      <c r="AE359" s="146"/>
      <c r="AF359" s="146">
        <v>1</v>
      </c>
      <c r="AG359" s="298">
        <v>43403</v>
      </c>
      <c r="AH359" s="273">
        <f t="shared" si="19"/>
        <v>1</v>
      </c>
      <c r="AI359" s="146"/>
      <c r="AJ359" s="146" t="s">
        <v>2479</v>
      </c>
      <c r="AK359" s="146" t="s">
        <v>2479</v>
      </c>
      <c r="AL359" s="146"/>
      <c r="AM359" s="146"/>
      <c r="AN359" s="146"/>
      <c r="AO359" s="146"/>
      <c r="AP359" s="146"/>
      <c r="AQ359" s="146"/>
      <c r="AR359" s="146"/>
      <c r="AS359" s="146"/>
    </row>
    <row r="360" spans="1:45" s="222" customFormat="1" x14ac:dyDescent="0.2">
      <c r="A360" s="146"/>
      <c r="B360" s="296" t="s">
        <v>2411</v>
      </c>
      <c r="C360" s="296" t="s">
        <v>2412</v>
      </c>
      <c r="D360" s="296" t="s">
        <v>2413</v>
      </c>
      <c r="E360" s="297">
        <v>201801341</v>
      </c>
      <c r="F360" s="296" t="s">
        <v>1406</v>
      </c>
      <c r="G360" s="296" t="s">
        <v>1407</v>
      </c>
      <c r="H360" s="146"/>
      <c r="I360" s="146"/>
      <c r="J360" s="146"/>
      <c r="K360" s="146"/>
      <c r="L360" s="146"/>
      <c r="M360" s="146"/>
      <c r="N360" s="146"/>
      <c r="O360" s="146"/>
      <c r="P360" s="287">
        <f t="shared" si="17"/>
        <v>0</v>
      </c>
      <c r="Q360" s="146"/>
      <c r="R360" s="146"/>
      <c r="S360" s="146"/>
      <c r="T360" s="146"/>
      <c r="U360" s="146"/>
      <c r="V360" s="146"/>
      <c r="W360" s="146"/>
      <c r="X360" s="269"/>
      <c r="Y360" s="273">
        <f t="shared" si="18"/>
        <v>0</v>
      </c>
      <c r="Z360" s="146"/>
      <c r="AA360" s="146"/>
      <c r="AB360" s="146"/>
      <c r="AC360" s="146"/>
      <c r="AD360" s="146"/>
      <c r="AE360" s="146"/>
      <c r="AF360" s="146">
        <v>1</v>
      </c>
      <c r="AG360" s="298">
        <v>43409</v>
      </c>
      <c r="AH360" s="273">
        <f t="shared" si="19"/>
        <v>1</v>
      </c>
      <c r="AI360" s="146"/>
      <c r="AJ360" s="146" t="s">
        <v>2479</v>
      </c>
      <c r="AK360" s="146" t="s">
        <v>2479</v>
      </c>
      <c r="AL360" s="146"/>
      <c r="AM360" s="146"/>
      <c r="AN360" s="146"/>
      <c r="AO360" s="146"/>
      <c r="AP360" s="146"/>
      <c r="AQ360" s="146"/>
      <c r="AR360" s="146"/>
      <c r="AS360" s="146"/>
    </row>
    <row r="361" spans="1:45" s="222" customFormat="1" x14ac:dyDescent="0.2">
      <c r="A361" s="146"/>
      <c r="B361" s="296" t="s">
        <v>2414</v>
      </c>
      <c r="C361" s="296" t="s">
        <v>2415</v>
      </c>
      <c r="D361" s="296" t="s">
        <v>2416</v>
      </c>
      <c r="E361" s="297">
        <v>201801343</v>
      </c>
      <c r="F361" s="296" t="s">
        <v>1406</v>
      </c>
      <c r="G361" s="296" t="s">
        <v>1407</v>
      </c>
      <c r="H361" s="146"/>
      <c r="I361" s="146"/>
      <c r="J361" s="146"/>
      <c r="K361" s="146"/>
      <c r="L361" s="146"/>
      <c r="M361" s="146"/>
      <c r="N361" s="146"/>
      <c r="O361" s="146"/>
      <c r="P361" s="287">
        <f t="shared" si="17"/>
        <v>0</v>
      </c>
      <c r="Q361" s="146"/>
      <c r="R361" s="146"/>
      <c r="S361" s="146"/>
      <c r="T361" s="146"/>
      <c r="U361" s="146"/>
      <c r="V361" s="146"/>
      <c r="W361" s="146"/>
      <c r="X361" s="269"/>
      <c r="Y361" s="273">
        <f t="shared" si="18"/>
        <v>0</v>
      </c>
      <c r="Z361" s="146"/>
      <c r="AA361" s="146"/>
      <c r="AB361" s="146"/>
      <c r="AC361" s="146"/>
      <c r="AD361" s="146"/>
      <c r="AE361" s="146"/>
      <c r="AF361" s="146">
        <v>1</v>
      </c>
      <c r="AG361" s="298">
        <v>43419</v>
      </c>
      <c r="AH361" s="273">
        <f t="shared" si="19"/>
        <v>1</v>
      </c>
      <c r="AI361" s="146"/>
      <c r="AJ361" s="146" t="s">
        <v>2479</v>
      </c>
      <c r="AK361" s="146" t="s">
        <v>2479</v>
      </c>
      <c r="AL361" s="146"/>
      <c r="AM361" s="146"/>
      <c r="AN361" s="146"/>
      <c r="AO361" s="146"/>
      <c r="AP361" s="146"/>
      <c r="AQ361" s="146"/>
      <c r="AR361" s="146"/>
      <c r="AS361" s="146"/>
    </row>
    <row r="362" spans="1:45" s="222" customFormat="1" x14ac:dyDescent="0.2">
      <c r="A362" s="146"/>
      <c r="B362" s="296" t="s">
        <v>2417</v>
      </c>
      <c r="C362" s="296" t="s">
        <v>2418</v>
      </c>
      <c r="D362" s="296" t="s">
        <v>2419</v>
      </c>
      <c r="E362" s="297">
        <v>201801957</v>
      </c>
      <c r="F362" s="296" t="s">
        <v>1406</v>
      </c>
      <c r="G362" s="296" t="s">
        <v>1407</v>
      </c>
      <c r="H362" s="146"/>
      <c r="I362" s="146"/>
      <c r="J362" s="146"/>
      <c r="K362" s="146"/>
      <c r="L362" s="146"/>
      <c r="M362" s="146"/>
      <c r="N362" s="146"/>
      <c r="O362" s="146"/>
      <c r="P362" s="287">
        <f t="shared" si="17"/>
        <v>0</v>
      </c>
      <c r="Q362" s="146"/>
      <c r="R362" s="146"/>
      <c r="S362" s="146"/>
      <c r="T362" s="146"/>
      <c r="U362" s="146"/>
      <c r="V362" s="146"/>
      <c r="W362" s="146"/>
      <c r="X362" s="269"/>
      <c r="Y362" s="273">
        <f t="shared" si="18"/>
        <v>0</v>
      </c>
      <c r="Z362" s="146"/>
      <c r="AA362" s="146"/>
      <c r="AB362" s="146"/>
      <c r="AC362" s="146"/>
      <c r="AD362" s="146"/>
      <c r="AE362" s="146"/>
      <c r="AF362" s="146">
        <v>1</v>
      </c>
      <c r="AG362" s="298">
        <v>43419</v>
      </c>
      <c r="AH362" s="273">
        <f t="shared" si="19"/>
        <v>1</v>
      </c>
      <c r="AI362" s="146"/>
      <c r="AJ362" s="146" t="s">
        <v>2479</v>
      </c>
      <c r="AK362" s="146" t="s">
        <v>2479</v>
      </c>
      <c r="AL362" s="146"/>
      <c r="AM362" s="146"/>
      <c r="AN362" s="146"/>
      <c r="AO362" s="146"/>
      <c r="AP362" s="146"/>
      <c r="AQ362" s="146"/>
      <c r="AR362" s="146"/>
      <c r="AS362" s="146"/>
    </row>
    <row r="363" spans="1:45" s="222" customFormat="1" x14ac:dyDescent="0.2">
      <c r="A363" s="146"/>
      <c r="B363" s="296" t="s">
        <v>2420</v>
      </c>
      <c r="C363" s="296" t="s">
        <v>2421</v>
      </c>
      <c r="D363" s="296" t="s">
        <v>2422</v>
      </c>
      <c r="E363" s="297">
        <v>201801956</v>
      </c>
      <c r="F363" s="296" t="s">
        <v>1406</v>
      </c>
      <c r="G363" s="296" t="s">
        <v>1407</v>
      </c>
      <c r="H363" s="146"/>
      <c r="I363" s="146"/>
      <c r="J363" s="146"/>
      <c r="K363" s="146"/>
      <c r="L363" s="146"/>
      <c r="M363" s="146"/>
      <c r="N363" s="146"/>
      <c r="O363" s="146"/>
      <c r="P363" s="287">
        <f t="shared" si="17"/>
        <v>0</v>
      </c>
      <c r="Q363" s="146"/>
      <c r="R363" s="146"/>
      <c r="S363" s="146"/>
      <c r="T363" s="146"/>
      <c r="U363" s="146"/>
      <c r="V363" s="146"/>
      <c r="W363" s="146"/>
      <c r="X363" s="269"/>
      <c r="Y363" s="273">
        <f t="shared" si="18"/>
        <v>0</v>
      </c>
      <c r="Z363" s="146"/>
      <c r="AA363" s="146"/>
      <c r="AB363" s="146"/>
      <c r="AC363" s="146"/>
      <c r="AD363" s="146"/>
      <c r="AE363" s="146"/>
      <c r="AF363" s="146">
        <v>1</v>
      </c>
      <c r="AG363" s="298">
        <v>43441</v>
      </c>
      <c r="AH363" s="273">
        <f t="shared" si="19"/>
        <v>1</v>
      </c>
      <c r="AI363" s="146"/>
      <c r="AJ363" s="146" t="s">
        <v>2479</v>
      </c>
      <c r="AK363" s="146" t="s">
        <v>2479</v>
      </c>
      <c r="AL363" s="146"/>
      <c r="AM363" s="146"/>
      <c r="AN363" s="146"/>
      <c r="AO363" s="146"/>
      <c r="AP363" s="146"/>
      <c r="AQ363" s="146"/>
      <c r="AR363" s="146"/>
      <c r="AS363" s="146"/>
    </row>
    <row r="364" spans="1:45" s="222" customFormat="1" x14ac:dyDescent="0.2">
      <c r="A364" s="146"/>
      <c r="B364" s="296" t="s">
        <v>2423</v>
      </c>
      <c r="C364" s="296" t="s">
        <v>2424</v>
      </c>
      <c r="D364" s="296" t="s">
        <v>2425</v>
      </c>
      <c r="E364" s="297">
        <v>201802072</v>
      </c>
      <c r="F364" s="296" t="s">
        <v>1406</v>
      </c>
      <c r="G364" s="296" t="s">
        <v>1407</v>
      </c>
      <c r="H364" s="146"/>
      <c r="I364" s="146"/>
      <c r="J364" s="146"/>
      <c r="K364" s="146"/>
      <c r="L364" s="146"/>
      <c r="M364" s="146"/>
      <c r="N364" s="146"/>
      <c r="O364" s="146"/>
      <c r="P364" s="287">
        <f t="shared" si="17"/>
        <v>0</v>
      </c>
      <c r="Q364" s="146"/>
      <c r="R364" s="146"/>
      <c r="S364" s="146"/>
      <c r="T364" s="146"/>
      <c r="U364" s="146"/>
      <c r="V364" s="146"/>
      <c r="W364" s="146"/>
      <c r="X364" s="269"/>
      <c r="Y364" s="273">
        <f t="shared" si="18"/>
        <v>0</v>
      </c>
      <c r="Z364" s="146"/>
      <c r="AA364" s="146"/>
      <c r="AB364" s="146"/>
      <c r="AC364" s="146"/>
      <c r="AD364" s="146"/>
      <c r="AE364" s="146"/>
      <c r="AF364" s="146">
        <v>1</v>
      </c>
      <c r="AG364" s="298">
        <v>43441</v>
      </c>
      <c r="AH364" s="273">
        <f t="shared" si="19"/>
        <v>1</v>
      </c>
      <c r="AI364" s="146"/>
      <c r="AJ364" s="146" t="s">
        <v>2479</v>
      </c>
      <c r="AK364" s="146" t="s">
        <v>2479</v>
      </c>
      <c r="AL364" s="146"/>
      <c r="AM364" s="146"/>
      <c r="AN364" s="146"/>
      <c r="AO364" s="146"/>
      <c r="AP364" s="146"/>
      <c r="AQ364" s="146"/>
      <c r="AR364" s="146"/>
      <c r="AS364" s="146"/>
    </row>
    <row r="365" spans="1:45" s="222" customFormat="1" x14ac:dyDescent="0.2">
      <c r="A365" s="146"/>
      <c r="B365" s="296" t="s">
        <v>2426</v>
      </c>
      <c r="C365" s="296" t="s">
        <v>2427</v>
      </c>
      <c r="D365" s="296" t="s">
        <v>2428</v>
      </c>
      <c r="E365" s="297">
        <v>201801951</v>
      </c>
      <c r="F365" s="296" t="s">
        <v>1406</v>
      </c>
      <c r="G365" s="296" t="s">
        <v>1407</v>
      </c>
      <c r="H365" s="146"/>
      <c r="I365" s="146"/>
      <c r="J365" s="146"/>
      <c r="K365" s="146"/>
      <c r="L365" s="146"/>
      <c r="M365" s="146"/>
      <c r="N365" s="146"/>
      <c r="O365" s="146"/>
      <c r="P365" s="287">
        <f t="shared" si="17"/>
        <v>0</v>
      </c>
      <c r="Q365" s="146"/>
      <c r="R365" s="146"/>
      <c r="S365" s="146"/>
      <c r="T365" s="146"/>
      <c r="U365" s="146"/>
      <c r="V365" s="146"/>
      <c r="W365" s="146"/>
      <c r="X365" s="269"/>
      <c r="Y365" s="273">
        <f t="shared" si="18"/>
        <v>0</v>
      </c>
      <c r="Z365" s="146"/>
      <c r="AA365" s="146"/>
      <c r="AB365" s="146"/>
      <c r="AC365" s="146"/>
      <c r="AD365" s="146"/>
      <c r="AE365" s="146"/>
      <c r="AF365" s="146">
        <v>1</v>
      </c>
      <c r="AG365" s="298">
        <v>43439</v>
      </c>
      <c r="AH365" s="273">
        <f t="shared" si="19"/>
        <v>1</v>
      </c>
      <c r="AI365" s="146"/>
      <c r="AJ365" s="146" t="s">
        <v>2479</v>
      </c>
      <c r="AK365" s="146" t="s">
        <v>2479</v>
      </c>
      <c r="AL365" s="146"/>
      <c r="AM365" s="146"/>
      <c r="AN365" s="146"/>
      <c r="AO365" s="146"/>
      <c r="AP365" s="146"/>
      <c r="AQ365" s="146"/>
      <c r="AR365" s="146"/>
      <c r="AS365" s="146"/>
    </row>
    <row r="366" spans="1:45" s="222" customFormat="1" x14ac:dyDescent="0.2">
      <c r="A366" s="146"/>
      <c r="B366" s="296" t="s">
        <v>2429</v>
      </c>
      <c r="C366" s="296" t="s">
        <v>2430</v>
      </c>
      <c r="D366" s="296" t="s">
        <v>2431</v>
      </c>
      <c r="E366" s="297">
        <v>201801344</v>
      </c>
      <c r="F366" s="296" t="s">
        <v>1406</v>
      </c>
      <c r="G366" s="296" t="s">
        <v>1407</v>
      </c>
      <c r="H366" s="146"/>
      <c r="I366" s="146"/>
      <c r="J366" s="146"/>
      <c r="K366" s="146"/>
      <c r="L366" s="146"/>
      <c r="M366" s="146"/>
      <c r="N366" s="146"/>
      <c r="O366" s="146"/>
      <c r="P366" s="287">
        <f t="shared" si="17"/>
        <v>0</v>
      </c>
      <c r="Q366" s="146"/>
      <c r="R366" s="146"/>
      <c r="S366" s="146"/>
      <c r="T366" s="146"/>
      <c r="U366" s="146"/>
      <c r="V366" s="146"/>
      <c r="W366" s="146"/>
      <c r="X366" s="269"/>
      <c r="Y366" s="273">
        <f t="shared" si="18"/>
        <v>0</v>
      </c>
      <c r="Z366" s="146"/>
      <c r="AA366" s="146"/>
      <c r="AB366" s="146"/>
      <c r="AC366" s="146"/>
      <c r="AD366" s="146"/>
      <c r="AE366" s="146"/>
      <c r="AF366" s="146">
        <v>1</v>
      </c>
      <c r="AG366" s="298">
        <v>43438</v>
      </c>
      <c r="AH366" s="273">
        <f t="shared" si="19"/>
        <v>1</v>
      </c>
      <c r="AI366" s="146"/>
      <c r="AJ366" s="146" t="s">
        <v>2479</v>
      </c>
      <c r="AK366" s="146" t="s">
        <v>2479</v>
      </c>
      <c r="AL366" s="146"/>
      <c r="AM366" s="146"/>
      <c r="AN366" s="146"/>
      <c r="AO366" s="146"/>
      <c r="AP366" s="146"/>
      <c r="AQ366" s="146"/>
      <c r="AR366" s="146"/>
      <c r="AS366" s="146"/>
    </row>
    <row r="367" spans="1:45" s="222" customFormat="1" x14ac:dyDescent="0.2">
      <c r="A367" s="146"/>
      <c r="B367" s="296" t="s">
        <v>2432</v>
      </c>
      <c r="C367" s="296" t="s">
        <v>2433</v>
      </c>
      <c r="D367" s="296" t="s">
        <v>2434</v>
      </c>
      <c r="E367" s="297">
        <v>201801345</v>
      </c>
      <c r="F367" s="296" t="s">
        <v>1406</v>
      </c>
      <c r="G367" s="296" t="s">
        <v>1407</v>
      </c>
      <c r="H367" s="146"/>
      <c r="I367" s="146"/>
      <c r="J367" s="146"/>
      <c r="K367" s="146"/>
      <c r="L367" s="146"/>
      <c r="M367" s="146"/>
      <c r="N367" s="146"/>
      <c r="O367" s="146"/>
      <c r="P367" s="287">
        <f t="shared" si="17"/>
        <v>0</v>
      </c>
      <c r="Q367" s="146"/>
      <c r="R367" s="146"/>
      <c r="S367" s="146"/>
      <c r="T367" s="146"/>
      <c r="U367" s="146"/>
      <c r="V367" s="146"/>
      <c r="W367" s="146"/>
      <c r="X367" s="269"/>
      <c r="Y367" s="273">
        <f t="shared" si="18"/>
        <v>0</v>
      </c>
      <c r="Z367" s="146"/>
      <c r="AA367" s="146"/>
      <c r="AB367" s="146"/>
      <c r="AC367" s="146"/>
      <c r="AD367" s="146"/>
      <c r="AE367" s="146"/>
      <c r="AF367" s="146">
        <v>1</v>
      </c>
      <c r="AG367" s="298">
        <v>43420</v>
      </c>
      <c r="AH367" s="273">
        <f t="shared" si="19"/>
        <v>1</v>
      </c>
      <c r="AI367" s="146"/>
      <c r="AJ367" s="146" t="s">
        <v>2479</v>
      </c>
      <c r="AK367" s="146" t="s">
        <v>2479</v>
      </c>
      <c r="AL367" s="146"/>
      <c r="AM367" s="146"/>
      <c r="AN367" s="146"/>
      <c r="AO367" s="146"/>
      <c r="AP367" s="146"/>
      <c r="AQ367" s="146"/>
      <c r="AR367" s="146"/>
      <c r="AS367" s="146"/>
    </row>
    <row r="368" spans="1:45" s="222" customFormat="1" x14ac:dyDescent="0.2">
      <c r="A368" s="146"/>
      <c r="B368" s="296" t="s">
        <v>2435</v>
      </c>
      <c r="C368" s="296" t="s">
        <v>2436</v>
      </c>
      <c r="D368" s="296" t="s">
        <v>2437</v>
      </c>
      <c r="E368" s="297">
        <v>201801346</v>
      </c>
      <c r="F368" s="296" t="s">
        <v>1406</v>
      </c>
      <c r="G368" s="296" t="s">
        <v>1407</v>
      </c>
      <c r="H368" s="146"/>
      <c r="I368" s="146"/>
      <c r="J368" s="146"/>
      <c r="K368" s="146"/>
      <c r="L368" s="146"/>
      <c r="M368" s="146"/>
      <c r="N368" s="146"/>
      <c r="O368" s="146"/>
      <c r="P368" s="287">
        <f t="shared" si="17"/>
        <v>0</v>
      </c>
      <c r="Q368" s="146"/>
      <c r="R368" s="146"/>
      <c r="S368" s="146"/>
      <c r="T368" s="146"/>
      <c r="U368" s="146"/>
      <c r="V368" s="146"/>
      <c r="W368" s="146"/>
      <c r="X368" s="269"/>
      <c r="Y368" s="273">
        <f t="shared" si="18"/>
        <v>0</v>
      </c>
      <c r="Z368" s="146"/>
      <c r="AA368" s="146"/>
      <c r="AB368" s="146"/>
      <c r="AC368" s="146"/>
      <c r="AD368" s="146"/>
      <c r="AE368" s="146"/>
      <c r="AF368" s="146">
        <v>1</v>
      </c>
      <c r="AG368" s="298">
        <v>43420</v>
      </c>
      <c r="AH368" s="273">
        <f t="shared" si="19"/>
        <v>1</v>
      </c>
      <c r="AI368" s="146"/>
      <c r="AJ368" s="146" t="s">
        <v>2479</v>
      </c>
      <c r="AK368" s="146" t="s">
        <v>2479</v>
      </c>
      <c r="AL368" s="146"/>
      <c r="AM368" s="146"/>
      <c r="AN368" s="146"/>
      <c r="AO368" s="146"/>
      <c r="AP368" s="146"/>
      <c r="AQ368" s="146"/>
      <c r="AR368" s="146"/>
      <c r="AS368" s="146"/>
    </row>
    <row r="369" spans="1:45" s="222" customFormat="1" x14ac:dyDescent="0.2">
      <c r="A369" s="146"/>
      <c r="B369" s="296" t="s">
        <v>2438</v>
      </c>
      <c r="C369" s="296" t="s">
        <v>2439</v>
      </c>
      <c r="D369" s="296" t="s">
        <v>2440</v>
      </c>
      <c r="E369" s="297">
        <v>201801347</v>
      </c>
      <c r="F369" s="296" t="s">
        <v>1406</v>
      </c>
      <c r="G369" s="296" t="s">
        <v>1407</v>
      </c>
      <c r="H369" s="146"/>
      <c r="I369" s="146"/>
      <c r="J369" s="146"/>
      <c r="K369" s="146"/>
      <c r="L369" s="146"/>
      <c r="M369" s="146"/>
      <c r="N369" s="146"/>
      <c r="O369" s="146"/>
      <c r="P369" s="287">
        <f t="shared" si="17"/>
        <v>0</v>
      </c>
      <c r="Q369" s="146"/>
      <c r="R369" s="146"/>
      <c r="S369" s="146"/>
      <c r="T369" s="146"/>
      <c r="U369" s="146"/>
      <c r="V369" s="146"/>
      <c r="W369" s="146"/>
      <c r="X369" s="269"/>
      <c r="Y369" s="273">
        <f t="shared" si="18"/>
        <v>0</v>
      </c>
      <c r="Z369" s="146"/>
      <c r="AA369" s="146"/>
      <c r="AB369" s="146"/>
      <c r="AC369" s="146"/>
      <c r="AD369" s="146"/>
      <c r="AE369" s="146"/>
      <c r="AF369" s="146">
        <v>1</v>
      </c>
      <c r="AG369" s="298">
        <v>43398</v>
      </c>
      <c r="AH369" s="273">
        <f t="shared" si="19"/>
        <v>1</v>
      </c>
      <c r="AI369" s="146"/>
      <c r="AJ369" s="146" t="s">
        <v>2479</v>
      </c>
      <c r="AK369" s="146" t="s">
        <v>2479</v>
      </c>
      <c r="AL369" s="146"/>
      <c r="AM369" s="146"/>
      <c r="AN369" s="146"/>
      <c r="AO369" s="146"/>
      <c r="AP369" s="146"/>
      <c r="AQ369" s="146"/>
      <c r="AR369" s="146"/>
      <c r="AS369" s="146"/>
    </row>
    <row r="370" spans="1:45" s="222" customFormat="1" x14ac:dyDescent="0.2">
      <c r="A370" s="146"/>
      <c r="B370" s="296" t="s">
        <v>2441</v>
      </c>
      <c r="C370" s="296" t="s">
        <v>2442</v>
      </c>
      <c r="D370" s="296" t="s">
        <v>2443</v>
      </c>
      <c r="E370" s="297">
        <v>201801348</v>
      </c>
      <c r="F370" s="296" t="s">
        <v>1406</v>
      </c>
      <c r="G370" s="296" t="s">
        <v>1407</v>
      </c>
      <c r="H370" s="146"/>
      <c r="I370" s="146"/>
      <c r="J370" s="146"/>
      <c r="K370" s="146"/>
      <c r="L370" s="146"/>
      <c r="M370" s="146"/>
      <c r="N370" s="146"/>
      <c r="O370" s="146"/>
      <c r="P370" s="287">
        <f t="shared" si="17"/>
        <v>0</v>
      </c>
      <c r="Q370" s="146"/>
      <c r="R370" s="146"/>
      <c r="S370" s="146"/>
      <c r="T370" s="146"/>
      <c r="U370" s="146"/>
      <c r="V370" s="146"/>
      <c r="W370" s="146"/>
      <c r="X370" s="269"/>
      <c r="Y370" s="273">
        <f t="shared" si="18"/>
        <v>0</v>
      </c>
      <c r="Z370" s="146"/>
      <c r="AA370" s="146"/>
      <c r="AB370" s="146"/>
      <c r="AC370" s="146"/>
      <c r="AD370" s="146"/>
      <c r="AE370" s="146"/>
      <c r="AF370" s="146">
        <v>1</v>
      </c>
      <c r="AG370" s="298">
        <v>43391</v>
      </c>
      <c r="AH370" s="273">
        <f t="shared" si="19"/>
        <v>1</v>
      </c>
      <c r="AI370" s="146"/>
      <c r="AJ370" s="146" t="s">
        <v>2479</v>
      </c>
      <c r="AK370" s="146" t="s">
        <v>2479</v>
      </c>
      <c r="AL370" s="146"/>
      <c r="AM370" s="146"/>
      <c r="AN370" s="146"/>
      <c r="AO370" s="146"/>
      <c r="AP370" s="146"/>
      <c r="AQ370" s="146"/>
      <c r="AR370" s="146"/>
      <c r="AS370" s="146"/>
    </row>
    <row r="371" spans="1:45" s="222" customFormat="1" x14ac:dyDescent="0.2">
      <c r="A371" s="146"/>
      <c r="B371" s="296" t="s">
        <v>2444</v>
      </c>
      <c r="C371" s="296" t="s">
        <v>2445</v>
      </c>
      <c r="D371" s="296" t="s">
        <v>2446</v>
      </c>
      <c r="E371" s="297">
        <v>201801349</v>
      </c>
      <c r="F371" s="296" t="s">
        <v>1406</v>
      </c>
      <c r="G371" s="296" t="s">
        <v>1407</v>
      </c>
      <c r="H371" s="146"/>
      <c r="I371" s="146"/>
      <c r="J371" s="146"/>
      <c r="K371" s="146"/>
      <c r="L371" s="146"/>
      <c r="M371" s="146"/>
      <c r="N371" s="146"/>
      <c r="O371" s="146"/>
      <c r="P371" s="287">
        <f t="shared" si="17"/>
        <v>0</v>
      </c>
      <c r="Q371" s="146"/>
      <c r="R371" s="146"/>
      <c r="S371" s="146"/>
      <c r="T371" s="146"/>
      <c r="U371" s="146"/>
      <c r="V371" s="146"/>
      <c r="W371" s="146"/>
      <c r="X371" s="269"/>
      <c r="Y371" s="273">
        <f t="shared" si="18"/>
        <v>0</v>
      </c>
      <c r="Z371" s="146"/>
      <c r="AA371" s="146"/>
      <c r="AB371" s="146"/>
      <c r="AC371" s="146"/>
      <c r="AD371" s="146"/>
      <c r="AE371" s="146"/>
      <c r="AF371" s="146">
        <v>1</v>
      </c>
      <c r="AG371" s="298">
        <v>43391</v>
      </c>
      <c r="AH371" s="273">
        <f t="shared" si="19"/>
        <v>1</v>
      </c>
      <c r="AI371" s="146"/>
      <c r="AJ371" s="146" t="s">
        <v>2479</v>
      </c>
      <c r="AK371" s="146" t="s">
        <v>2479</v>
      </c>
      <c r="AL371" s="146"/>
      <c r="AM371" s="146"/>
      <c r="AN371" s="146"/>
      <c r="AO371" s="146"/>
      <c r="AP371" s="146"/>
      <c r="AQ371" s="146"/>
      <c r="AR371" s="146"/>
      <c r="AS371" s="146"/>
    </row>
    <row r="372" spans="1:45" s="222" customFormat="1" x14ac:dyDescent="0.2">
      <c r="A372" s="146"/>
      <c r="B372" s="296" t="s">
        <v>1706</v>
      </c>
      <c r="C372" s="296" t="s">
        <v>2447</v>
      </c>
      <c r="D372" s="296" t="s">
        <v>2448</v>
      </c>
      <c r="E372" s="297">
        <v>201802177</v>
      </c>
      <c r="F372" s="69" t="s">
        <v>1406</v>
      </c>
      <c r="G372" s="69" t="s">
        <v>1407</v>
      </c>
      <c r="H372" s="146"/>
      <c r="I372" s="146"/>
      <c r="J372" s="146"/>
      <c r="K372" s="146"/>
      <c r="L372" s="146"/>
      <c r="M372" s="146"/>
      <c r="N372" s="146"/>
      <c r="O372" s="146"/>
      <c r="P372" s="287">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v>1</v>
      </c>
      <c r="AQ372" s="146" t="s">
        <v>2478</v>
      </c>
      <c r="AR372" s="146" t="s">
        <v>1407</v>
      </c>
      <c r="AS372" s="146"/>
    </row>
    <row r="373" spans="1:45" s="222" customFormat="1" x14ac:dyDescent="0.2">
      <c r="A373" s="146"/>
      <c r="B373" s="296" t="s">
        <v>1685</v>
      </c>
      <c r="C373" s="296" t="s">
        <v>2449</v>
      </c>
      <c r="D373" s="296" t="s">
        <v>2450</v>
      </c>
      <c r="E373" s="297">
        <v>201800568</v>
      </c>
      <c r="F373" s="300" t="s">
        <v>2451</v>
      </c>
      <c r="G373" s="69" t="s">
        <v>1392</v>
      </c>
      <c r="H373" s="146"/>
      <c r="I373" s="146"/>
      <c r="J373" s="146"/>
      <c r="K373" s="146"/>
      <c r="L373" s="146"/>
      <c r="M373" s="146"/>
      <c r="N373" s="146"/>
      <c r="O373" s="146"/>
      <c r="P373" s="287">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v>2</v>
      </c>
      <c r="AQ373" s="146" t="s">
        <v>2478</v>
      </c>
      <c r="AR373" s="146" t="s">
        <v>1392</v>
      </c>
      <c r="AS373" s="146"/>
    </row>
    <row r="374" spans="1:45" s="222" customFormat="1" x14ac:dyDescent="0.2">
      <c r="A374" s="146"/>
      <c r="B374" s="296" t="s">
        <v>2452</v>
      </c>
      <c r="C374" s="296" t="s">
        <v>2453</v>
      </c>
      <c r="D374" s="296" t="s">
        <v>2454</v>
      </c>
      <c r="E374" s="297">
        <v>201803973</v>
      </c>
      <c r="F374" s="69" t="s">
        <v>1406</v>
      </c>
      <c r="G374" s="69" t="s">
        <v>1407</v>
      </c>
      <c r="H374" s="146"/>
      <c r="I374" s="146"/>
      <c r="J374" s="146"/>
      <c r="K374" s="146"/>
      <c r="L374" s="146"/>
      <c r="M374" s="146"/>
      <c r="N374" s="146"/>
      <c r="O374" s="146"/>
      <c r="P374" s="287">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v>1</v>
      </c>
      <c r="AQ374" s="146" t="s">
        <v>2478</v>
      </c>
      <c r="AR374" s="146" t="s">
        <v>1407</v>
      </c>
      <c r="AS374" s="146"/>
    </row>
    <row r="375" spans="1:45" s="222" customFormat="1" x14ac:dyDescent="0.2">
      <c r="A375" s="146"/>
      <c r="B375" s="296" t="s">
        <v>2455</v>
      </c>
      <c r="C375" s="296" t="s">
        <v>2456</v>
      </c>
      <c r="D375" s="296" t="s">
        <v>2457</v>
      </c>
      <c r="E375" s="297">
        <v>201803508</v>
      </c>
      <c r="F375" s="69" t="s">
        <v>1406</v>
      </c>
      <c r="G375" s="69" t="s">
        <v>1407</v>
      </c>
      <c r="H375" s="146"/>
      <c r="I375" s="146"/>
      <c r="J375" s="146"/>
      <c r="K375" s="146"/>
      <c r="L375" s="146"/>
      <c r="M375" s="146"/>
      <c r="N375" s="146"/>
      <c r="O375" s="146"/>
      <c r="P375" s="287">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v>1</v>
      </c>
      <c r="AQ375" s="146" t="s">
        <v>2478</v>
      </c>
      <c r="AR375" s="146" t="s">
        <v>1407</v>
      </c>
      <c r="AS375" s="146"/>
    </row>
    <row r="376" spans="1:45" s="222" customFormat="1" x14ac:dyDescent="0.2">
      <c r="A376" s="146"/>
      <c r="B376" s="296" t="s">
        <v>2455</v>
      </c>
      <c r="C376" s="296" t="s">
        <v>2458</v>
      </c>
      <c r="D376" s="296" t="s">
        <v>2459</v>
      </c>
      <c r="E376" s="297">
        <v>201803509</v>
      </c>
      <c r="F376" s="69" t="s">
        <v>1406</v>
      </c>
      <c r="G376" s="69" t="s">
        <v>1407</v>
      </c>
      <c r="H376" s="146"/>
      <c r="I376" s="146"/>
      <c r="J376" s="146"/>
      <c r="K376" s="146"/>
      <c r="L376" s="146"/>
      <c r="M376" s="146"/>
      <c r="N376" s="146"/>
      <c r="O376" s="146"/>
      <c r="P376" s="287">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v>1</v>
      </c>
      <c r="AQ376" s="146" t="s">
        <v>2478</v>
      </c>
      <c r="AR376" s="146" t="s">
        <v>1407</v>
      </c>
      <c r="AS376" s="146"/>
    </row>
    <row r="377" spans="1:45" s="222" customFormat="1" x14ac:dyDescent="0.2">
      <c r="A377" s="146"/>
      <c r="B377" s="296" t="s">
        <v>2460</v>
      </c>
      <c r="C377" s="296" t="s">
        <v>2461</v>
      </c>
      <c r="D377" s="296" t="s">
        <v>2462</v>
      </c>
      <c r="E377" s="297">
        <v>201803504</v>
      </c>
      <c r="F377" s="69" t="s">
        <v>1406</v>
      </c>
      <c r="G377" s="69" t="s">
        <v>1407</v>
      </c>
      <c r="H377" s="146"/>
      <c r="I377" s="146"/>
      <c r="J377" s="146"/>
      <c r="K377" s="146"/>
      <c r="L377" s="146"/>
      <c r="M377" s="146"/>
      <c r="N377" s="146"/>
      <c r="O377" s="146"/>
      <c r="P377" s="287">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v>1</v>
      </c>
      <c r="AQ377" s="146" t="s">
        <v>2478</v>
      </c>
      <c r="AR377" s="146" t="s">
        <v>1407</v>
      </c>
      <c r="AS377" s="146"/>
    </row>
    <row r="378" spans="1:45" s="222" customFormat="1" x14ac:dyDescent="0.2">
      <c r="A378" s="146"/>
      <c r="B378" s="296" t="s">
        <v>2463</v>
      </c>
      <c r="C378" s="296" t="s">
        <v>2464</v>
      </c>
      <c r="D378" s="296" t="s">
        <v>2465</v>
      </c>
      <c r="E378" s="297">
        <v>201803537</v>
      </c>
      <c r="F378" s="69" t="s">
        <v>1406</v>
      </c>
      <c r="G378" s="69" t="s">
        <v>1407</v>
      </c>
      <c r="H378" s="146"/>
      <c r="I378" s="146"/>
      <c r="J378" s="146"/>
      <c r="K378" s="146"/>
      <c r="L378" s="146"/>
      <c r="M378" s="146"/>
      <c r="N378" s="146"/>
      <c r="O378" s="146"/>
      <c r="P378" s="287">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v>1</v>
      </c>
      <c r="AQ378" s="146" t="s">
        <v>2478</v>
      </c>
      <c r="AR378" s="146" t="s">
        <v>1407</v>
      </c>
      <c r="AS378" s="146"/>
    </row>
    <row r="379" spans="1:45" s="222" customFormat="1" x14ac:dyDescent="0.2">
      <c r="A379" s="146"/>
      <c r="B379" s="296" t="s">
        <v>2466</v>
      </c>
      <c r="C379" s="296" t="s">
        <v>2467</v>
      </c>
      <c r="D379" s="296" t="s">
        <v>2468</v>
      </c>
      <c r="E379" s="297">
        <v>201706745</v>
      </c>
      <c r="F379" s="69" t="s">
        <v>1406</v>
      </c>
      <c r="G379" s="69" t="s">
        <v>1407</v>
      </c>
      <c r="H379" s="146"/>
      <c r="I379" s="146"/>
      <c r="J379" s="146"/>
      <c r="K379" s="146"/>
      <c r="L379" s="146"/>
      <c r="M379" s="146"/>
      <c r="N379" s="146"/>
      <c r="O379" s="146"/>
      <c r="P379" s="287">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v>1</v>
      </c>
      <c r="AQ379" s="146" t="s">
        <v>2478</v>
      </c>
      <c r="AR379" s="146" t="s">
        <v>1407</v>
      </c>
      <c r="AS379" s="146"/>
    </row>
    <row r="380" spans="1:45" s="222" customFormat="1" x14ac:dyDescent="0.2">
      <c r="A380" s="146"/>
      <c r="B380" s="296" t="s">
        <v>2469</v>
      </c>
      <c r="C380" s="296" t="s">
        <v>2470</v>
      </c>
      <c r="D380" s="296" t="s">
        <v>2471</v>
      </c>
      <c r="E380" s="297">
        <v>201704995</v>
      </c>
      <c r="F380" s="69" t="s">
        <v>1406</v>
      </c>
      <c r="G380" s="69" t="s">
        <v>1407</v>
      </c>
      <c r="H380" s="146"/>
      <c r="I380" s="146"/>
      <c r="J380" s="146"/>
      <c r="K380" s="146"/>
      <c r="L380" s="146"/>
      <c r="M380" s="146"/>
      <c r="N380" s="146"/>
      <c r="O380" s="146"/>
      <c r="P380" s="287">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v>1</v>
      </c>
      <c r="AQ380" s="146" t="s">
        <v>2478</v>
      </c>
      <c r="AR380" s="146" t="s">
        <v>1407</v>
      </c>
      <c r="AS380" s="146"/>
    </row>
    <row r="381" spans="1:45" s="222" customFormat="1" x14ac:dyDescent="0.2">
      <c r="A381" s="146"/>
      <c r="B381" s="296" t="s">
        <v>2472</v>
      </c>
      <c r="C381" s="296" t="s">
        <v>2473</v>
      </c>
      <c r="D381" s="296" t="s">
        <v>2474</v>
      </c>
      <c r="E381" s="297">
        <v>201602071</v>
      </c>
      <c r="F381" s="69" t="s">
        <v>1406</v>
      </c>
      <c r="G381" s="69" t="s">
        <v>1407</v>
      </c>
      <c r="H381" s="146"/>
      <c r="I381" s="146"/>
      <c r="J381" s="146"/>
      <c r="K381" s="146"/>
      <c r="L381" s="146"/>
      <c r="M381" s="146"/>
      <c r="N381" s="146"/>
      <c r="O381" s="146"/>
      <c r="P381" s="287">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v>1</v>
      </c>
      <c r="AQ381" s="146" t="s">
        <v>2478</v>
      </c>
      <c r="AR381" s="146" t="s">
        <v>1407</v>
      </c>
      <c r="AS381" s="146"/>
    </row>
    <row r="382" spans="1:45" s="222" customFormat="1" x14ac:dyDescent="0.2">
      <c r="A382" s="146"/>
      <c r="B382" s="296" t="s">
        <v>2475</v>
      </c>
      <c r="C382" s="296" t="s">
        <v>2476</v>
      </c>
      <c r="D382" s="296" t="s">
        <v>2477</v>
      </c>
      <c r="E382" s="297">
        <v>201605347</v>
      </c>
      <c r="F382" s="69" t="s">
        <v>1406</v>
      </c>
      <c r="G382" s="69" t="s">
        <v>1407</v>
      </c>
      <c r="H382" s="146"/>
      <c r="I382" s="146"/>
      <c r="J382" s="146"/>
      <c r="K382" s="146"/>
      <c r="L382" s="146"/>
      <c r="M382" s="146"/>
      <c r="N382" s="146"/>
      <c r="O382" s="146"/>
      <c r="P382" s="287">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v>1</v>
      </c>
      <c r="AQ382" s="146" t="s">
        <v>2478</v>
      </c>
      <c r="AR382" s="146" t="s">
        <v>1407</v>
      </c>
      <c r="AS382" s="146"/>
    </row>
    <row r="383" spans="1:45" s="222" customFormat="1" x14ac:dyDescent="0.2">
      <c r="A383" s="146"/>
      <c r="B383" s="146"/>
      <c r="C383" s="146"/>
      <c r="D383" s="146"/>
      <c r="E383" s="146"/>
      <c r="F383" s="146"/>
      <c r="G383" s="146"/>
      <c r="H383" s="146"/>
      <c r="I383" s="146"/>
      <c r="J383" s="146"/>
      <c r="K383" s="146"/>
      <c r="L383" s="146"/>
      <c r="M383" s="146"/>
      <c r="N383" s="146"/>
      <c r="O383" s="146"/>
      <c r="P383" s="287">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7">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7">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7">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7">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7">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7">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7">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7">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7">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7">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7">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7">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7">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7">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7">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7">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7">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7">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7">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7">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7">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7">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7">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7">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7">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7">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7">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7">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7">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7">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7">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7">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7">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7">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7">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7">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7">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7">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7">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7">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7">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7">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7">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7">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7">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7">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7">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7">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7">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7">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7">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7">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7">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7">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7">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7">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7">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7">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7">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7">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7">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7">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7">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7">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7">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7">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7">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7">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7">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7">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7">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7">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7">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7">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7">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7">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7">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7">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7">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7">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7">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7">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7">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7">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7">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7">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7">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7">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7">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7">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7">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7">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7">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7">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7">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7">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7">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7">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7">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7">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7">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7">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7">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7">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7">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7">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7">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7">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7">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7">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7">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7">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7">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7">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7">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7">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7">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7">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7">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7">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7">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7">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7">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7">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7">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7">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7">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7">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7">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7">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7">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7">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7">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7">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7">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7">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7">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7">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7">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7">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7">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7">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7">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7">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7">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7">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7">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7">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7">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7">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7">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7">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7">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7">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7">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7">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7">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7">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7">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7">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7">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7">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7">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7">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7">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7">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7">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7">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7">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7">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7">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7">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7">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7">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7">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7">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7">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7">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7">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7">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7">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7">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7">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7">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7">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7">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7">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7">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7">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7">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7">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7">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7">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7">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7">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7">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7">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7">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7">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7">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7">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7">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7">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7">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7">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7">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7">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7">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7">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7">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7">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7">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7">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7">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7">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7">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7">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7">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7">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7">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7">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7">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7">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7">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7">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7">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7">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7">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7">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7">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7">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7">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7">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7">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7">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7">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7">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7">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7">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7">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7">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7">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7">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7">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7">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7">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7">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7">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7">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7">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7">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7">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7">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7">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7">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7">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7">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7">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7">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7">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7">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7">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7">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7">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7">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7">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7">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7">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7">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7">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7">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7">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7">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7">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7">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7">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7">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7">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7">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7">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7">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7">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7">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7">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7">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7">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7">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7">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7">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7">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7">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7">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7">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7">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7">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7">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7">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7">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7">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7">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7">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7">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7">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7">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7">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7">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7">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7">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7">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7">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7">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7">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7">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7">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7">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7">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7">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7">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7">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7">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7">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7">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7">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7">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7">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7">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7">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7">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7">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7">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7">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7">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7">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7">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7">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7">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7">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7">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7">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7">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7">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7">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7">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7">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7">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7">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7">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7">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7">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7">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7">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7">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7">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7">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7">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7">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7">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7">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7">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7">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7">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7">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7">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7">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7">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7">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7">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7">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7">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7">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7">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7">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7">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7">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7">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7">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7">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7">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7">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7">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7">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7">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7">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7">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7">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7">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7">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7">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7">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7">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7">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7">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7">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7">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7">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7">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7">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7">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7">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7">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7">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7">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7">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7">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7">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7">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7">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7">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7">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7">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7">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7">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7">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7">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7">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7">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7">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7">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7">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7">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7">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7">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7">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7">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7">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7">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7">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7">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7">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7">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7">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7">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7">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7">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7">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7">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7">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7">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7">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7">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7">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7">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7">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7">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7">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7">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7">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7">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7">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7">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7">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7">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7">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7">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7">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7">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7">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7">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7">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7">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7">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7">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7">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7">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7">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7">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7">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7">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7">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7">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7">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7">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7">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7">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7">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7">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7">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7">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7">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7">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7">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7">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7">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7">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7">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7">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7">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7">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7">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7">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7">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7">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7">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7">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7">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7">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7">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7">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7">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7">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7">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7">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7">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7">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7">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7">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7">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7">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7">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7">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7">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7">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7">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7">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7">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7">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7">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7">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7">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7">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7">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7">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7">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7">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7">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7">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7">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7">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7">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7">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7">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7">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7">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7">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7">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7">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7">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7">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7">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7">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7">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7">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7">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7">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7">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7">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7">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7">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7">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7">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7">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7">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7">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7">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7">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7">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7">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7">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7">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7">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7">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7">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7">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7">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7">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7">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7">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7">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7">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7">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7">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7">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7">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7">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7">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7">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7">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7">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7">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7">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7">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7">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7">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7">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7">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7">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7">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7">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7">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7">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7">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7">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7">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7">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7">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7">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7">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7">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7">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7">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7">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7">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7">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7">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7">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7">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7">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7">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7">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7">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7">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7">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7">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7">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7">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7">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7">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algorithmName="SHA-512" hashValue="kmKc2Bf2kwgxadtYDRbXhNCMUSzWoWtRvNSdvVSkqwIimpWEdY2BRBe8zV55BTvw7wHKuUnGePADhfB3xNGuEA==" saltValue="mqyFFJEZTY9aWtT14lkos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371 F373: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 type="list" allowBlank="1" showInputMessage="1" showErrorMessage="1" error="Please enter R for Rental or O for Ownership. Please guess if you do not know. " sqref="G373:G1048576 G13:G371" xr:uid="{00000000-0002-0000-0200-000004000000}">
      <formula1>"R,O"</formula1>
    </dataValidation>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67" t="s">
        <v>8</v>
      </c>
      <c r="B1" s="367"/>
      <c r="C1" s="367"/>
      <c r="D1" s="367"/>
      <c r="E1" s="367"/>
      <c r="F1" s="367"/>
      <c r="G1" s="367"/>
      <c r="H1" s="367"/>
      <c r="I1" s="367"/>
      <c r="J1" s="367"/>
      <c r="K1" s="367"/>
      <c r="L1" s="367"/>
      <c r="M1" s="367"/>
      <c r="N1" s="367"/>
      <c r="O1" s="3"/>
      <c r="P1" s="3"/>
      <c r="Q1" s="3"/>
      <c r="R1" s="3"/>
      <c r="S1" s="3"/>
      <c r="T1" s="3"/>
      <c r="U1" s="3"/>
    </row>
    <row r="2" spans="1:21" s="217" customFormat="1" ht="20.25" customHeight="1" x14ac:dyDescent="0.3">
      <c r="A2" s="368" t="s">
        <v>9</v>
      </c>
      <c r="B2" s="368"/>
      <c r="C2" s="368"/>
      <c r="D2" s="368"/>
      <c r="E2" s="368"/>
      <c r="F2" s="368"/>
      <c r="G2" s="368"/>
      <c r="H2" s="368"/>
      <c r="I2" s="368"/>
      <c r="J2" s="368"/>
      <c r="K2" s="368"/>
      <c r="L2" s="368"/>
      <c r="M2" s="368"/>
      <c r="N2" s="368"/>
      <c r="O2" s="4"/>
      <c r="P2" s="4"/>
      <c r="Q2" s="4"/>
      <c r="R2" s="4"/>
      <c r="S2" s="4"/>
      <c r="T2" s="4"/>
      <c r="U2" s="4"/>
    </row>
    <row r="3" spans="1:21" s="217" customFormat="1" ht="24" customHeight="1" thickBot="1" x14ac:dyDescent="0.25">
      <c r="A3" s="345" t="s">
        <v>1375</v>
      </c>
      <c r="B3" s="345"/>
      <c r="C3" s="345"/>
      <c r="D3" s="345"/>
      <c r="E3" s="345"/>
      <c r="F3" s="345"/>
      <c r="G3" s="345"/>
      <c r="H3" s="345"/>
      <c r="I3" s="345"/>
      <c r="J3" s="345"/>
      <c r="K3" s="345"/>
      <c r="L3" s="345"/>
      <c r="M3" s="345"/>
      <c r="N3" s="345"/>
      <c r="O3" s="21"/>
      <c r="P3" s="21"/>
      <c r="Q3" s="21"/>
      <c r="R3" s="21"/>
      <c r="S3" s="21"/>
      <c r="T3" s="21"/>
      <c r="U3" s="21"/>
    </row>
    <row r="4" spans="1:21" s="2" customFormat="1" ht="33.75" customHeight="1" x14ac:dyDescent="0.2">
      <c r="A4" s="261" t="s">
        <v>10</v>
      </c>
      <c r="B4" s="203" t="str">
        <f>'Start Here'!B4:D4</f>
        <v>Hayward</v>
      </c>
      <c r="C4" s="259"/>
      <c r="I4" s="373" t="s">
        <v>1370</v>
      </c>
      <c r="J4" s="374"/>
      <c r="K4" s="374"/>
      <c r="L4" s="374"/>
      <c r="M4" s="375"/>
    </row>
    <row r="5" spans="1:21" s="2" customFormat="1" ht="22.5" customHeight="1" thickBot="1" x14ac:dyDescent="0.35">
      <c r="A5" s="261" t="s">
        <v>36</v>
      </c>
      <c r="B5" s="202">
        <f>'Start Here'!B5:C5</f>
        <v>2018</v>
      </c>
      <c r="C5" s="260" t="str">
        <f>'Table A'!C5</f>
        <v>(Jan. 1 - Dec. 31)</v>
      </c>
      <c r="E5" s="91"/>
      <c r="F5" s="91"/>
      <c r="G5" s="91"/>
      <c r="H5" s="91"/>
      <c r="I5" s="357" t="s">
        <v>1290</v>
      </c>
      <c r="J5" s="358"/>
      <c r="K5" s="358"/>
      <c r="L5" s="358"/>
      <c r="M5" s="359"/>
    </row>
    <row r="7" spans="1:21" ht="18" x14ac:dyDescent="0.25">
      <c r="A7" s="371" t="s">
        <v>13</v>
      </c>
      <c r="B7" s="371"/>
      <c r="C7" s="371"/>
      <c r="D7" s="371"/>
      <c r="E7" s="371"/>
      <c r="F7" s="371"/>
      <c r="G7" s="371"/>
      <c r="H7" s="371"/>
      <c r="I7" s="371"/>
      <c r="J7" s="371"/>
      <c r="K7" s="371"/>
      <c r="L7" s="371"/>
      <c r="M7" s="371"/>
      <c r="N7" s="371"/>
    </row>
    <row r="8" spans="1:21" ht="18" x14ac:dyDescent="0.25">
      <c r="A8" s="371" t="s">
        <v>83</v>
      </c>
      <c r="B8" s="371"/>
      <c r="C8" s="371"/>
      <c r="D8" s="371"/>
      <c r="E8" s="371"/>
      <c r="F8" s="371"/>
      <c r="G8" s="371"/>
      <c r="H8" s="371"/>
      <c r="I8" s="371"/>
      <c r="J8" s="371"/>
      <c r="K8" s="371"/>
      <c r="L8" s="371"/>
      <c r="M8" s="371"/>
      <c r="N8" s="371"/>
    </row>
    <row r="9" spans="1:21" ht="18" x14ac:dyDescent="0.25">
      <c r="A9" s="371" t="s">
        <v>14</v>
      </c>
      <c r="B9" s="371"/>
      <c r="C9" s="371"/>
      <c r="D9" s="371"/>
      <c r="E9" s="371"/>
      <c r="F9" s="371"/>
      <c r="G9" s="371"/>
      <c r="H9" s="371"/>
      <c r="I9" s="371"/>
      <c r="J9" s="371"/>
      <c r="K9" s="371"/>
      <c r="L9" s="371"/>
      <c r="M9" s="371"/>
      <c r="N9" s="371"/>
    </row>
    <row r="10" spans="1:21" x14ac:dyDescent="0.2">
      <c r="A10" s="92"/>
      <c r="B10" s="92"/>
      <c r="C10" s="79">
        <v>1</v>
      </c>
      <c r="D10" s="370">
        <v>2</v>
      </c>
      <c r="E10" s="370"/>
      <c r="F10" s="370"/>
      <c r="G10" s="370"/>
      <c r="H10" s="370"/>
      <c r="I10" s="370"/>
      <c r="J10" s="370"/>
      <c r="K10" s="370"/>
      <c r="L10" s="370"/>
      <c r="M10" s="79">
        <v>3</v>
      </c>
      <c r="N10" s="79">
        <v>4</v>
      </c>
    </row>
    <row r="11" spans="1:21" ht="58.5" customHeight="1" x14ac:dyDescent="0.2">
      <c r="A11" s="365" t="s">
        <v>15</v>
      </c>
      <c r="B11" s="365"/>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66" t="s">
        <v>16</v>
      </c>
      <c r="B12" s="181" t="s">
        <v>5</v>
      </c>
      <c r="C12" s="369">
        <f>VLOOKUP($B$4,'RHNA Allocations'!$C$2:$H$540,2,0)</f>
        <v>851</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40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0">
        <f>SUM(D12:L12)+SUM(D13:L13)</f>
        <v>40</v>
      </c>
      <c r="N12" s="372">
        <f>MAX(0,C12-M12)</f>
        <v>811</v>
      </c>
    </row>
    <row r="13" spans="1:21" x14ac:dyDescent="0.2">
      <c r="A13" s="366"/>
      <c r="B13" s="181" t="s">
        <v>20</v>
      </c>
      <c r="C13" s="36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1"/>
      <c r="N13" s="361"/>
    </row>
    <row r="14" spans="1:21" x14ac:dyDescent="0.2">
      <c r="A14" s="366" t="s">
        <v>17</v>
      </c>
      <c r="B14" s="181" t="s">
        <v>5</v>
      </c>
      <c r="C14" s="369">
        <f>VLOOKUP($B$4,'RHNA Allocations'!$C$2:$H$540,3,0)</f>
        <v>480</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19</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0">
        <f>SUM(D14:L14)+SUM(D15:L15)</f>
        <v>19</v>
      </c>
      <c r="N14" s="372">
        <f>MAX(0,C14-M14)</f>
        <v>461</v>
      </c>
    </row>
    <row r="15" spans="1:21" x14ac:dyDescent="0.2">
      <c r="A15" s="366"/>
      <c r="B15" s="181" t="s">
        <v>20</v>
      </c>
      <c r="C15" s="36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1"/>
      <c r="N15" s="361"/>
    </row>
    <row r="16" spans="1:21" x14ac:dyDescent="0.2">
      <c r="A16" s="366" t="s">
        <v>18</v>
      </c>
      <c r="B16" s="181" t="s">
        <v>5</v>
      </c>
      <c r="C16" s="369">
        <f>VLOOKUP($B$4,'RHNA Allocations'!$C$2:$H$540,4,0)</f>
        <v>608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0">
        <f>SUM(D16:L16)+SUM(D17:L17)</f>
        <v>0</v>
      </c>
      <c r="N16" s="372">
        <f>MAX(0,C16-M16)</f>
        <v>608</v>
      </c>
    </row>
    <row r="17" spans="1:14" x14ac:dyDescent="0.2">
      <c r="A17" s="366"/>
      <c r="B17" s="181" t="s">
        <v>20</v>
      </c>
      <c r="C17" s="369"/>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1"/>
      <c r="N17" s="361"/>
    </row>
    <row r="18" spans="1:14" ht="15" thickBot="1" x14ac:dyDescent="0.25">
      <c r="A18" s="169" t="s">
        <v>19</v>
      </c>
      <c r="B18" s="170"/>
      <c r="C18" s="171">
        <f>VLOOKUP($B$4,'RHNA Allocations'!$C$2:$H$540,5,0)</f>
        <v>1981</v>
      </c>
      <c r="D18" s="12">
        <f>IF(D$11=$B$5,'Table A2'!$W$12,IF(D$11&lt;$B$5,(VLOOKUP(CONCATENATE($B$4," ",D$11),'RHNA past year values'!$D$2:$V$2433,16,0)),0))</f>
        <v>108</v>
      </c>
      <c r="E18" s="12">
        <f>IF(E$11=$B$5,'Table A2'!$W$12,IF(E$11&lt;$B$5,(VLOOKUP(CONCATENATE($B$4," ",E$11),'RHNA past year values'!$D$2:$V$2433,16,0)),0))</f>
        <v>225</v>
      </c>
      <c r="F18" s="12">
        <f>IF(F$11=$B$5,'Table A2'!$W$12,IF(F$11&lt;$B$5,(VLOOKUP(CONCATENATE($B$4," ",F$11),'RHNA past year values'!$D$2:$V$2433,16,0)),0))</f>
        <v>395</v>
      </c>
      <c r="G18" s="12">
        <f>IF(G$11=$B$5,'Table A2'!$W$12,IF(G$11&lt;$B$5,(VLOOKUP(CONCATENATE($B$4," ",G$11),'RHNA past year values'!$D$2:$V$2433,16,0)),0))</f>
        <v>145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873</v>
      </c>
      <c r="N18" s="173">
        <f>MAX(0,C18-M18)</f>
        <v>1108</v>
      </c>
    </row>
    <row r="19" spans="1:14" ht="15" thickTop="1" x14ac:dyDescent="0.2">
      <c r="A19" s="362" t="s">
        <v>79</v>
      </c>
      <c r="B19" s="363"/>
      <c r="C19" s="174">
        <f>SUM(C12:C18)</f>
        <v>3920</v>
      </c>
      <c r="D19" s="175"/>
      <c r="E19" s="175"/>
      <c r="F19" s="175"/>
      <c r="G19" s="175"/>
      <c r="H19" s="175"/>
      <c r="I19" s="175"/>
      <c r="J19" s="175"/>
      <c r="K19" s="175"/>
      <c r="L19" s="175"/>
      <c r="M19" s="175"/>
      <c r="N19" s="176"/>
    </row>
    <row r="20" spans="1:14" x14ac:dyDescent="0.2">
      <c r="A20" s="364" t="s">
        <v>1380</v>
      </c>
      <c r="B20" s="364"/>
      <c r="C20" s="364"/>
      <c r="D20" s="177">
        <f t="shared" ref="D20:N20" si="0">SUM(D12:D18)</f>
        <v>108</v>
      </c>
      <c r="E20" s="177">
        <f t="shared" si="0"/>
        <v>225</v>
      </c>
      <c r="F20" s="177">
        <f t="shared" si="0"/>
        <v>454</v>
      </c>
      <c r="G20" s="177">
        <f t="shared" si="0"/>
        <v>145</v>
      </c>
      <c r="H20" s="177">
        <f t="shared" si="0"/>
        <v>0</v>
      </c>
      <c r="I20" s="177">
        <f t="shared" si="0"/>
        <v>0</v>
      </c>
      <c r="J20" s="177">
        <f t="shared" si="0"/>
        <v>0</v>
      </c>
      <c r="K20" s="177">
        <f t="shared" si="0"/>
        <v>0</v>
      </c>
      <c r="L20" s="177">
        <f t="shared" si="0"/>
        <v>0</v>
      </c>
      <c r="M20" s="177">
        <f t="shared" si="0"/>
        <v>932</v>
      </c>
      <c r="N20" s="177">
        <f t="shared" si="0"/>
        <v>2988</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67" t="s">
        <v>8</v>
      </c>
      <c r="B1" s="367"/>
      <c r="C1" s="367"/>
      <c r="D1" s="367"/>
      <c r="E1" s="367"/>
      <c r="F1" s="367"/>
      <c r="G1" s="367"/>
      <c r="H1" s="367"/>
      <c r="I1" s="367"/>
      <c r="J1" s="367"/>
      <c r="K1" s="367"/>
      <c r="L1" s="367"/>
      <c r="M1" s="367"/>
      <c r="N1" s="367"/>
      <c r="O1" s="367"/>
      <c r="P1" s="367"/>
      <c r="Q1" s="367"/>
      <c r="R1" s="3"/>
      <c r="S1" s="3"/>
      <c r="T1" s="3"/>
      <c r="U1" s="3"/>
      <c r="V1" s="3"/>
      <c r="W1" s="3"/>
      <c r="X1" s="3"/>
      <c r="Y1" s="3"/>
    </row>
    <row r="2" spans="1:25" s="217" customFormat="1" ht="20.25" customHeight="1" x14ac:dyDescent="0.3">
      <c r="A2" s="368" t="s">
        <v>9</v>
      </c>
      <c r="B2" s="368"/>
      <c r="C2" s="368"/>
      <c r="D2" s="368"/>
      <c r="E2" s="368"/>
      <c r="F2" s="368"/>
      <c r="G2" s="368"/>
      <c r="H2" s="368"/>
      <c r="I2" s="368"/>
      <c r="J2" s="368"/>
      <c r="K2" s="368"/>
      <c r="L2" s="368"/>
      <c r="M2" s="368"/>
      <c r="N2" s="368"/>
      <c r="O2" s="368"/>
      <c r="P2" s="368"/>
      <c r="Q2" s="368"/>
      <c r="R2" s="4"/>
      <c r="S2" s="4"/>
      <c r="T2" s="4"/>
      <c r="U2" s="4"/>
      <c r="V2" s="4"/>
      <c r="W2" s="4"/>
      <c r="X2" s="4"/>
      <c r="Y2" s="4"/>
    </row>
    <row r="3" spans="1:25" s="217" customFormat="1" ht="15.75" customHeight="1" x14ac:dyDescent="0.2">
      <c r="A3" s="345" t="s">
        <v>1375</v>
      </c>
      <c r="B3" s="345"/>
      <c r="C3" s="345"/>
      <c r="D3" s="345"/>
      <c r="E3" s="345"/>
      <c r="F3" s="345"/>
      <c r="G3" s="345"/>
      <c r="H3" s="345"/>
      <c r="I3" s="345"/>
      <c r="J3" s="345"/>
      <c r="K3" s="345"/>
      <c r="L3" s="345"/>
      <c r="M3" s="345"/>
      <c r="N3" s="345"/>
      <c r="O3" s="345"/>
      <c r="P3" s="345"/>
      <c r="Q3" s="345"/>
      <c r="R3" s="21"/>
      <c r="S3" s="21"/>
      <c r="T3" s="21"/>
      <c r="U3" s="21"/>
      <c r="V3" s="21"/>
      <c r="W3" s="21"/>
      <c r="X3" s="21"/>
      <c r="Y3" s="21"/>
    </row>
    <row r="4" spans="1:25" s="2" customFormat="1" ht="25.5" customHeight="1" x14ac:dyDescent="0.2">
      <c r="A4" s="258" t="s">
        <v>10</v>
      </c>
      <c r="B4" s="203" t="str">
        <f>'Start Here'!B4:D4</f>
        <v>Hayward</v>
      </c>
      <c r="C4" s="259"/>
      <c r="K4" s="338" t="s">
        <v>1374</v>
      </c>
      <c r="L4" s="339"/>
      <c r="M4" s="339"/>
      <c r="N4" s="340"/>
    </row>
    <row r="5" spans="1:25" s="2" customFormat="1" ht="25.5" customHeight="1" x14ac:dyDescent="0.2">
      <c r="A5" s="258" t="s">
        <v>36</v>
      </c>
      <c r="B5" s="202">
        <f>'Start Here'!B5</f>
        <v>2018</v>
      </c>
      <c r="C5" s="260" t="str">
        <f>'Table A2'!C5</f>
        <v>(Jan. 1 - Dec. 31)</v>
      </c>
      <c r="D5" s="5"/>
      <c r="E5" s="5"/>
      <c r="K5" s="341" t="s">
        <v>106</v>
      </c>
      <c r="L5" s="342"/>
      <c r="M5" s="342"/>
      <c r="N5" s="343"/>
    </row>
    <row r="6" spans="1:25" s="2" customFormat="1" ht="20.25" customHeight="1" x14ac:dyDescent="0.35">
      <c r="A6" s="1"/>
      <c r="B6" s="233"/>
      <c r="C6" s="5"/>
      <c r="D6" s="5"/>
      <c r="E6" s="5"/>
      <c r="I6" s="16"/>
      <c r="J6" s="16"/>
      <c r="K6" s="16"/>
      <c r="L6" s="16"/>
      <c r="M6" s="16"/>
      <c r="N6" s="16"/>
    </row>
    <row r="8" spans="1:25" ht="15.75" x14ac:dyDescent="0.25">
      <c r="A8" s="387" t="s">
        <v>21</v>
      </c>
      <c r="B8" s="387"/>
      <c r="C8" s="387"/>
      <c r="D8" s="387"/>
      <c r="E8" s="387"/>
      <c r="F8" s="387"/>
      <c r="G8" s="387"/>
      <c r="H8" s="387"/>
      <c r="I8" s="387"/>
      <c r="J8" s="387"/>
      <c r="K8" s="387"/>
      <c r="L8" s="387"/>
      <c r="M8" s="387"/>
      <c r="N8" s="387"/>
      <c r="O8" s="387"/>
      <c r="P8" s="387"/>
      <c r="Q8" s="387"/>
      <c r="R8" s="388"/>
    </row>
    <row r="9" spans="1:25" ht="15.75" x14ac:dyDescent="0.25">
      <c r="A9" s="384" t="s">
        <v>49</v>
      </c>
      <c r="B9" s="385"/>
      <c r="C9" s="385"/>
      <c r="D9" s="385"/>
      <c r="E9" s="385"/>
      <c r="F9" s="385"/>
      <c r="G9" s="385"/>
      <c r="H9" s="385"/>
      <c r="I9" s="385"/>
      <c r="J9" s="385"/>
      <c r="K9" s="385"/>
      <c r="L9" s="385"/>
      <c r="M9" s="385"/>
      <c r="N9" s="385"/>
      <c r="O9" s="385"/>
      <c r="P9" s="385"/>
      <c r="Q9" s="385"/>
      <c r="R9" s="386"/>
    </row>
    <row r="10" spans="1:25" s="234" customFormat="1" ht="39.75" customHeight="1" x14ac:dyDescent="0.25">
      <c r="A10" s="346" t="s">
        <v>43</v>
      </c>
      <c r="B10" s="381"/>
      <c r="C10" s="381"/>
      <c r="D10" s="381"/>
      <c r="E10" s="179" t="s">
        <v>53</v>
      </c>
      <c r="F10" s="346" t="s">
        <v>50</v>
      </c>
      <c r="G10" s="381"/>
      <c r="H10" s="381"/>
      <c r="I10" s="381"/>
      <c r="J10" s="179" t="s">
        <v>116</v>
      </c>
      <c r="K10" s="346" t="s">
        <v>117</v>
      </c>
      <c r="L10" s="382"/>
      <c r="M10" s="382"/>
      <c r="N10" s="382"/>
      <c r="O10" s="382"/>
      <c r="P10" s="382"/>
      <c r="Q10" s="382"/>
      <c r="R10" s="382"/>
    </row>
    <row r="11" spans="1:25" s="17" customFormat="1" x14ac:dyDescent="0.2">
      <c r="A11" s="378">
        <v>1</v>
      </c>
      <c r="B11" s="383"/>
      <c r="C11" s="383"/>
      <c r="D11" s="380"/>
      <c r="E11" s="183">
        <v>2</v>
      </c>
      <c r="F11" s="378">
        <v>3</v>
      </c>
      <c r="G11" s="379"/>
      <c r="H11" s="379"/>
      <c r="I11" s="380"/>
      <c r="J11" s="79">
        <v>4</v>
      </c>
      <c r="K11" s="79">
        <v>5</v>
      </c>
      <c r="L11" s="79">
        <v>6</v>
      </c>
      <c r="M11" s="79">
        <v>7</v>
      </c>
      <c r="N11" s="370">
        <v>8</v>
      </c>
      <c r="O11" s="370"/>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76" t="s">
        <v>136</v>
      </c>
      <c r="B13" s="377"/>
      <c r="C13" s="377"/>
      <c r="D13" s="377"/>
      <c r="E13" s="377"/>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29" activePane="bottomLeft" state="frozen"/>
      <selection pane="bottomLeft" activeCell="D32" sqref="D3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67" t="s">
        <v>8</v>
      </c>
      <c r="B1" s="402"/>
      <c r="C1" s="402"/>
      <c r="D1" s="402"/>
      <c r="E1" s="88"/>
      <c r="F1" s="88"/>
      <c r="G1" s="3"/>
      <c r="H1" s="3"/>
      <c r="I1" s="3"/>
      <c r="J1" s="3"/>
      <c r="K1" s="3"/>
      <c r="L1" s="3"/>
      <c r="M1" s="3"/>
      <c r="N1" s="3"/>
      <c r="O1" s="3"/>
      <c r="P1" s="3"/>
      <c r="Q1" s="3"/>
      <c r="R1" s="3"/>
      <c r="S1" s="3"/>
      <c r="T1" s="3"/>
      <c r="U1" s="3"/>
      <c r="V1" s="3"/>
    </row>
    <row r="2" spans="1:22" s="217" customFormat="1" ht="20.25" customHeight="1" x14ac:dyDescent="0.3">
      <c r="A2" s="368" t="s">
        <v>9</v>
      </c>
      <c r="B2" s="402"/>
      <c r="C2" s="402"/>
      <c r="D2" s="402"/>
      <c r="E2" s="182"/>
      <c r="F2" s="182"/>
      <c r="G2" s="4"/>
      <c r="H2" s="4"/>
      <c r="I2" s="4"/>
      <c r="J2" s="4"/>
      <c r="K2" s="4"/>
      <c r="L2" s="4"/>
      <c r="M2" s="4"/>
      <c r="N2" s="4"/>
      <c r="O2" s="4"/>
      <c r="P2" s="4"/>
      <c r="Q2" s="4"/>
      <c r="R2" s="4"/>
      <c r="S2" s="4"/>
      <c r="T2" s="4"/>
      <c r="U2" s="4"/>
      <c r="V2" s="4"/>
    </row>
    <row r="3" spans="1:22" s="217" customFormat="1" ht="15.75" customHeight="1" x14ac:dyDescent="0.2">
      <c r="A3" s="345" t="s">
        <v>1375</v>
      </c>
      <c r="B3" s="402"/>
      <c r="C3" s="402"/>
      <c r="D3" s="402"/>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Hayward</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01" t="s">
        <v>26</v>
      </c>
      <c r="B7" s="401"/>
      <c r="C7" s="401"/>
      <c r="D7" s="401"/>
    </row>
    <row r="8" spans="1:22" ht="15.75" x14ac:dyDescent="0.2">
      <c r="A8" s="401" t="s">
        <v>41</v>
      </c>
      <c r="B8" s="401"/>
      <c r="C8" s="401"/>
      <c r="D8" s="401"/>
    </row>
    <row r="9" spans="1:22" s="17" customFormat="1" ht="52.5" customHeight="1" x14ac:dyDescent="0.2">
      <c r="A9" s="398" t="s">
        <v>42</v>
      </c>
      <c r="B9" s="399"/>
      <c r="C9" s="399"/>
      <c r="D9" s="400"/>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63.75" x14ac:dyDescent="0.25">
      <c r="A12" s="230" t="s">
        <v>2481</v>
      </c>
      <c r="B12" s="230" t="s">
        <v>2482</v>
      </c>
      <c r="C12" s="230" t="s">
        <v>2483</v>
      </c>
      <c r="D12" s="230" t="s">
        <v>2535</v>
      </c>
    </row>
    <row r="13" spans="1:22" s="243" customFormat="1" ht="102" x14ac:dyDescent="0.25">
      <c r="A13" s="230" t="s">
        <v>2484</v>
      </c>
      <c r="B13" s="230" t="s">
        <v>2485</v>
      </c>
      <c r="C13" s="230" t="s">
        <v>2486</v>
      </c>
      <c r="D13" s="230" t="s">
        <v>2547</v>
      </c>
    </row>
    <row r="14" spans="1:22" s="243" customFormat="1" ht="63.75" x14ac:dyDescent="0.25">
      <c r="A14" s="230" t="s">
        <v>2487</v>
      </c>
      <c r="B14" s="230" t="s">
        <v>2488</v>
      </c>
      <c r="C14" s="230" t="s">
        <v>2483</v>
      </c>
      <c r="D14" s="230" t="s">
        <v>2536</v>
      </c>
    </row>
    <row r="15" spans="1:22" s="243" customFormat="1" ht="204" x14ac:dyDescent="0.25">
      <c r="A15" s="230" t="s">
        <v>2489</v>
      </c>
      <c r="B15" s="230" t="s">
        <v>2490</v>
      </c>
      <c r="C15" s="230" t="s">
        <v>2483</v>
      </c>
      <c r="D15" s="268" t="s">
        <v>2541</v>
      </c>
    </row>
    <row r="16" spans="1:22" s="243" customFormat="1" ht="51" x14ac:dyDescent="0.25">
      <c r="A16" s="230" t="s">
        <v>2491</v>
      </c>
      <c r="B16" s="230" t="s">
        <v>2492</v>
      </c>
      <c r="C16" s="230" t="s">
        <v>2483</v>
      </c>
      <c r="D16" s="268" t="s">
        <v>2537</v>
      </c>
    </row>
    <row r="17" spans="1:4" s="243" customFormat="1" ht="89.25" x14ac:dyDescent="0.25">
      <c r="A17" s="230" t="s">
        <v>2493</v>
      </c>
      <c r="B17" s="230" t="s">
        <v>2494</v>
      </c>
      <c r="C17" s="230" t="s">
        <v>2483</v>
      </c>
      <c r="D17" s="230" t="s">
        <v>2538</v>
      </c>
    </row>
    <row r="18" spans="1:4" s="243" customFormat="1" ht="76.5" x14ac:dyDescent="0.25">
      <c r="A18" s="230" t="s">
        <v>2495</v>
      </c>
      <c r="B18" s="230" t="s">
        <v>2496</v>
      </c>
      <c r="C18" s="230" t="s">
        <v>2497</v>
      </c>
      <c r="D18" s="230" t="s">
        <v>2539</v>
      </c>
    </row>
    <row r="19" spans="1:4" s="243" customFormat="1" ht="229.5" x14ac:dyDescent="0.25">
      <c r="A19" s="230" t="s">
        <v>2498</v>
      </c>
      <c r="B19" s="230" t="s">
        <v>2499</v>
      </c>
      <c r="C19" s="230" t="s">
        <v>2500</v>
      </c>
      <c r="D19" s="230" t="s">
        <v>2542</v>
      </c>
    </row>
    <row r="20" spans="1:4" s="243" customFormat="1" ht="216.75" x14ac:dyDescent="0.25">
      <c r="A20" s="230" t="s">
        <v>2501</v>
      </c>
      <c r="B20" s="230" t="s">
        <v>2502</v>
      </c>
      <c r="C20" s="230" t="s">
        <v>2483</v>
      </c>
      <c r="D20" s="268" t="s">
        <v>2503</v>
      </c>
    </row>
    <row r="21" spans="1:4" s="243" customFormat="1" ht="89.25" x14ac:dyDescent="0.25">
      <c r="A21" s="230" t="s">
        <v>2504</v>
      </c>
      <c r="B21" s="230" t="s">
        <v>2505</v>
      </c>
      <c r="C21" s="230" t="s">
        <v>2506</v>
      </c>
      <c r="D21" s="230" t="s">
        <v>2507</v>
      </c>
    </row>
    <row r="22" spans="1:4" s="243" customFormat="1" ht="89.25" x14ac:dyDescent="0.25">
      <c r="A22" s="230" t="s">
        <v>2508</v>
      </c>
      <c r="B22" s="230" t="s">
        <v>2509</v>
      </c>
      <c r="C22" s="230" t="s">
        <v>2483</v>
      </c>
      <c r="D22" s="230" t="s">
        <v>2510</v>
      </c>
    </row>
    <row r="23" spans="1:4" s="243" customFormat="1" ht="216.75" x14ac:dyDescent="0.25">
      <c r="A23" s="230" t="s">
        <v>2511</v>
      </c>
      <c r="B23" s="230" t="s">
        <v>2512</v>
      </c>
      <c r="C23" s="230" t="s">
        <v>2483</v>
      </c>
      <c r="D23" s="230" t="s">
        <v>2543</v>
      </c>
    </row>
    <row r="24" spans="1:4" s="243" customFormat="1" ht="140.25" x14ac:dyDescent="0.25">
      <c r="A24" s="230" t="s">
        <v>2513</v>
      </c>
      <c r="B24" s="230" t="s">
        <v>2514</v>
      </c>
      <c r="C24" s="230" t="s">
        <v>2483</v>
      </c>
      <c r="D24" s="230" t="s">
        <v>2548</v>
      </c>
    </row>
    <row r="25" spans="1:4" s="243" customFormat="1" ht="63.75" x14ac:dyDescent="0.25">
      <c r="A25" s="230" t="s">
        <v>2515</v>
      </c>
      <c r="B25" s="230" t="s">
        <v>2516</v>
      </c>
      <c r="C25" s="230" t="s">
        <v>2486</v>
      </c>
      <c r="D25" s="230" t="s">
        <v>2540</v>
      </c>
    </row>
    <row r="26" spans="1:4" s="243" customFormat="1" ht="102" x14ac:dyDescent="0.25">
      <c r="A26" s="230" t="s">
        <v>2517</v>
      </c>
      <c r="B26" s="230" t="s">
        <v>2518</v>
      </c>
      <c r="C26" s="230" t="s">
        <v>2483</v>
      </c>
      <c r="D26" s="230" t="s">
        <v>2519</v>
      </c>
    </row>
    <row r="27" spans="1:4" s="243" customFormat="1" ht="127.5" x14ac:dyDescent="0.25">
      <c r="A27" s="230" t="s">
        <v>2520</v>
      </c>
      <c r="B27" s="230" t="s">
        <v>2521</v>
      </c>
      <c r="C27" s="230" t="s">
        <v>2483</v>
      </c>
      <c r="D27" s="230" t="s">
        <v>2522</v>
      </c>
    </row>
    <row r="28" spans="1:4" s="243" customFormat="1" ht="127.5" x14ac:dyDescent="0.25">
      <c r="A28" s="230" t="s">
        <v>2523</v>
      </c>
      <c r="B28" s="230" t="s">
        <v>2524</v>
      </c>
      <c r="C28" s="230" t="s">
        <v>2525</v>
      </c>
      <c r="D28" s="230" t="s">
        <v>2544</v>
      </c>
    </row>
    <row r="29" spans="1:4" s="243" customFormat="1" ht="153" x14ac:dyDescent="0.25">
      <c r="A29" s="230" t="s">
        <v>2526</v>
      </c>
      <c r="B29" s="230" t="s">
        <v>2527</v>
      </c>
      <c r="C29" s="230" t="s">
        <v>2483</v>
      </c>
      <c r="D29" s="230" t="s">
        <v>2528</v>
      </c>
    </row>
    <row r="30" spans="1:4" s="243" customFormat="1" ht="63.75" x14ac:dyDescent="0.25">
      <c r="A30" s="230" t="s">
        <v>2529</v>
      </c>
      <c r="B30" s="230" t="s">
        <v>2530</v>
      </c>
      <c r="C30" s="230" t="s">
        <v>2483</v>
      </c>
      <c r="D30" s="230" t="s">
        <v>2545</v>
      </c>
    </row>
    <row r="31" spans="1:4" s="243" customFormat="1" ht="102" x14ac:dyDescent="0.25">
      <c r="A31" s="230" t="s">
        <v>2531</v>
      </c>
      <c r="B31" s="230" t="s">
        <v>2532</v>
      </c>
      <c r="C31" s="230" t="s">
        <v>2483</v>
      </c>
      <c r="D31" s="230" t="s">
        <v>2546</v>
      </c>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9"/>
      <c r="B121" s="390"/>
      <c r="C121" s="390"/>
      <c r="D121" s="391"/>
    </row>
    <row r="122" spans="1:4" s="17" customFormat="1" ht="12.75" x14ac:dyDescent="0.2">
      <c r="A122" s="392"/>
      <c r="B122" s="393"/>
      <c r="C122" s="393"/>
      <c r="D122" s="394"/>
    </row>
    <row r="123" spans="1:4" s="17" customFormat="1" ht="12.75" x14ac:dyDescent="0.2">
      <c r="A123" s="392"/>
      <c r="B123" s="393"/>
      <c r="C123" s="393"/>
      <c r="D123" s="394"/>
    </row>
    <row r="124" spans="1:4" s="17" customFormat="1" ht="12.75" x14ac:dyDescent="0.2">
      <c r="A124" s="392"/>
      <c r="B124" s="393"/>
      <c r="C124" s="393"/>
      <c r="D124" s="394"/>
    </row>
    <row r="125" spans="1:4" s="17" customFormat="1" ht="12.75" x14ac:dyDescent="0.2">
      <c r="A125" s="392"/>
      <c r="B125" s="393"/>
      <c r="C125" s="393"/>
      <c r="D125" s="394"/>
    </row>
    <row r="126" spans="1:4" s="17" customFormat="1" ht="12.75" x14ac:dyDescent="0.2">
      <c r="A126" s="392"/>
      <c r="B126" s="393"/>
      <c r="C126" s="393"/>
      <c r="D126" s="394"/>
    </row>
    <row r="127" spans="1:4" s="17" customFormat="1" ht="12.75" x14ac:dyDescent="0.2">
      <c r="A127" s="392"/>
      <c r="B127" s="393"/>
      <c r="C127" s="393"/>
      <c r="D127" s="394"/>
    </row>
    <row r="128" spans="1:4" s="17" customFormat="1" ht="12.75" x14ac:dyDescent="0.2">
      <c r="A128" s="395"/>
      <c r="B128" s="396"/>
      <c r="C128" s="396"/>
      <c r="D128" s="397"/>
    </row>
  </sheetData>
  <sheetProtection algorithmName="SHA-512" hashValue="DW9GUKVC4FTap386Rk5gkbGW2PPpxlXuxqrsSU2gDJu1Lqu+zZm6J59qEEmL1PNUYONJdEs8FbCmp33ovSuieA==" saltValue="1Z+JSw6QDIidlWmmTjl+9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67" t="s">
        <v>8</v>
      </c>
      <c r="B1" s="367"/>
      <c r="C1" s="367"/>
      <c r="D1" s="367"/>
      <c r="E1" s="367"/>
      <c r="F1" s="367"/>
      <c r="G1" s="367"/>
      <c r="H1" s="367"/>
      <c r="I1" s="367"/>
      <c r="J1" s="3"/>
      <c r="K1" s="3"/>
      <c r="L1" s="3"/>
      <c r="M1" s="3"/>
      <c r="N1" s="3"/>
      <c r="O1" s="3"/>
      <c r="P1" s="3"/>
      <c r="Q1" s="3"/>
      <c r="R1" s="3"/>
      <c r="S1" s="3"/>
      <c r="T1" s="3"/>
      <c r="U1" s="3"/>
      <c r="V1" s="3"/>
    </row>
    <row r="2" spans="1:22" s="217" customFormat="1" ht="20.25" customHeight="1" x14ac:dyDescent="0.3">
      <c r="A2" s="368" t="s">
        <v>9</v>
      </c>
      <c r="B2" s="368"/>
      <c r="C2" s="368"/>
      <c r="D2" s="368"/>
      <c r="E2" s="368"/>
      <c r="F2" s="368"/>
      <c r="G2" s="368"/>
      <c r="H2" s="368"/>
      <c r="I2" s="368"/>
      <c r="J2" s="4"/>
      <c r="K2" s="4"/>
      <c r="L2" s="4"/>
      <c r="M2" s="4"/>
      <c r="N2" s="4"/>
      <c r="O2" s="4"/>
      <c r="P2" s="4"/>
      <c r="Q2" s="4"/>
      <c r="R2" s="4"/>
      <c r="S2" s="4"/>
      <c r="T2" s="4"/>
      <c r="U2" s="4"/>
      <c r="V2" s="4"/>
    </row>
    <row r="3" spans="1:22" s="217" customFormat="1" ht="15.75" customHeight="1" x14ac:dyDescent="0.2">
      <c r="A3" s="345" t="s">
        <v>1375</v>
      </c>
      <c r="B3" s="345"/>
      <c r="C3" s="345"/>
      <c r="D3" s="345"/>
      <c r="E3" s="345"/>
      <c r="F3" s="345"/>
      <c r="G3" s="345"/>
      <c r="H3" s="345"/>
      <c r="I3" s="345"/>
      <c r="J3" s="21"/>
      <c r="K3" s="21"/>
      <c r="L3" s="21"/>
      <c r="M3" s="21"/>
      <c r="N3" s="21"/>
      <c r="O3" s="21"/>
      <c r="P3" s="21"/>
      <c r="Q3" s="21"/>
      <c r="R3" s="21"/>
      <c r="S3" s="21"/>
      <c r="T3" s="21"/>
      <c r="U3" s="21"/>
      <c r="V3" s="21"/>
    </row>
    <row r="4" spans="1:22" s="2" customFormat="1" ht="25.5" customHeight="1" x14ac:dyDescent="0.2">
      <c r="A4" s="258" t="s">
        <v>10</v>
      </c>
      <c r="B4" s="203" t="str">
        <f>'Start Here'!B4:D4</f>
        <v>Hayward</v>
      </c>
      <c r="C4" s="259"/>
      <c r="H4" s="338" t="s">
        <v>1374</v>
      </c>
      <c r="I4" s="339"/>
      <c r="J4" s="340"/>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01" t="s">
        <v>30</v>
      </c>
      <c r="B8" s="401"/>
      <c r="C8" s="401"/>
      <c r="D8" s="401"/>
      <c r="E8" s="401"/>
      <c r="F8" s="401"/>
      <c r="G8" s="401"/>
      <c r="H8" s="401"/>
      <c r="I8" s="401"/>
      <c r="J8" s="388"/>
    </row>
    <row r="9" spans="1:22" ht="15.75" x14ac:dyDescent="0.2">
      <c r="A9" s="401" t="s">
        <v>37</v>
      </c>
      <c r="B9" s="401"/>
      <c r="C9" s="401"/>
      <c r="D9" s="401"/>
      <c r="E9" s="401"/>
      <c r="F9" s="401"/>
      <c r="G9" s="401"/>
      <c r="H9" s="401"/>
      <c r="I9" s="401"/>
      <c r="J9" s="388"/>
    </row>
    <row r="10" spans="1:22" ht="45" customHeight="1" x14ac:dyDescent="0.2">
      <c r="A10" s="347" t="s">
        <v>43</v>
      </c>
      <c r="B10" s="349"/>
      <c r="C10" s="349"/>
      <c r="D10" s="350"/>
      <c r="E10" s="346" t="s">
        <v>31</v>
      </c>
      <c r="F10" s="346"/>
      <c r="G10" s="346"/>
      <c r="H10" s="346"/>
      <c r="I10" s="179" t="s">
        <v>32</v>
      </c>
      <c r="J10" s="179" t="s">
        <v>33</v>
      </c>
    </row>
    <row r="11" spans="1:22" ht="14.25" customHeight="1" x14ac:dyDescent="0.2">
      <c r="A11" s="347">
        <v>1</v>
      </c>
      <c r="B11" s="348"/>
      <c r="C11" s="348"/>
      <c r="D11" s="350"/>
      <c r="E11" s="347">
        <v>2</v>
      </c>
      <c r="F11" s="349"/>
      <c r="G11" s="349"/>
      <c r="H11" s="350"/>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03" t="s">
        <v>136</v>
      </c>
      <c r="B13" s="404"/>
      <c r="C13" s="405"/>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E23" sqref="E2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67" t="s">
        <v>8</v>
      </c>
      <c r="B1" s="367"/>
      <c r="C1" s="367"/>
      <c r="D1" s="367"/>
      <c r="E1" s="367"/>
      <c r="F1" s="367"/>
      <c r="G1" s="367"/>
      <c r="H1" s="367"/>
      <c r="I1" s="367"/>
      <c r="J1" s="367"/>
      <c r="K1" s="3"/>
      <c r="L1" s="3"/>
      <c r="M1" s="3"/>
      <c r="N1" s="3"/>
      <c r="O1" s="3"/>
      <c r="P1" s="3"/>
      <c r="Q1" s="3"/>
      <c r="R1" s="3"/>
      <c r="S1" s="3"/>
      <c r="T1" s="3"/>
      <c r="U1" s="3"/>
    </row>
    <row r="2" spans="1:21" s="217" customFormat="1" ht="20.25" customHeight="1" x14ac:dyDescent="0.3">
      <c r="A2" s="368" t="s">
        <v>9</v>
      </c>
      <c r="B2" s="368"/>
      <c r="C2" s="368"/>
      <c r="D2" s="368"/>
      <c r="E2" s="368"/>
      <c r="F2" s="368"/>
      <c r="G2" s="368"/>
      <c r="H2" s="368"/>
      <c r="I2" s="368"/>
      <c r="J2" s="368"/>
      <c r="K2" s="4"/>
      <c r="L2" s="4"/>
      <c r="M2" s="4"/>
      <c r="N2" s="4"/>
      <c r="O2" s="4"/>
      <c r="P2" s="4"/>
      <c r="Q2" s="4"/>
      <c r="R2" s="4"/>
      <c r="S2" s="4"/>
      <c r="T2" s="4"/>
      <c r="U2" s="4"/>
    </row>
    <row r="3" spans="1:21" s="217" customFormat="1" ht="15.75" customHeight="1" x14ac:dyDescent="0.2">
      <c r="A3" s="345" t="s">
        <v>1375</v>
      </c>
      <c r="B3" s="345"/>
      <c r="C3" s="345"/>
      <c r="D3" s="345"/>
      <c r="E3" s="345"/>
      <c r="F3" s="345"/>
      <c r="G3" s="345"/>
      <c r="H3" s="345"/>
      <c r="I3" s="345"/>
      <c r="J3" s="345"/>
      <c r="K3" s="21"/>
      <c r="L3" s="21"/>
      <c r="M3" s="21"/>
      <c r="N3" s="21"/>
      <c r="O3" s="21"/>
      <c r="P3" s="21"/>
      <c r="Q3" s="21"/>
      <c r="R3" s="21"/>
      <c r="S3" s="21"/>
      <c r="T3" s="21"/>
      <c r="U3" s="21"/>
    </row>
    <row r="4" spans="1:21" s="2" customFormat="1" ht="16.5" customHeight="1" x14ac:dyDescent="0.2">
      <c r="A4" s="258" t="s">
        <v>10</v>
      </c>
      <c r="B4" s="203" t="str">
        <f>'Start Here'!B4:D4</f>
        <v>Hayward</v>
      </c>
      <c r="C4" s="263"/>
      <c r="D4" s="69"/>
      <c r="E4" s="69"/>
      <c r="F4" s="69"/>
      <c r="G4" s="69"/>
      <c r="H4" s="69"/>
      <c r="I4" s="338" t="s">
        <v>1374</v>
      </c>
      <c r="J4" s="340"/>
      <c r="K4" s="255"/>
      <c r="L4" s="255"/>
      <c r="M4" s="406"/>
      <c r="N4" s="406"/>
      <c r="O4" s="406"/>
      <c r="P4" s="406"/>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1" t="s">
        <v>40</v>
      </c>
      <c r="B8" s="354"/>
      <c r="C8" s="354"/>
      <c r="D8" s="354"/>
      <c r="E8" s="354"/>
      <c r="F8" s="354"/>
      <c r="G8" s="354"/>
      <c r="H8" s="354"/>
      <c r="I8" s="354"/>
      <c r="J8" s="355"/>
    </row>
    <row r="9" spans="1:21" ht="15.75" customHeight="1" x14ac:dyDescent="0.2">
      <c r="A9" s="351" t="s">
        <v>1361</v>
      </c>
      <c r="B9" s="354"/>
      <c r="C9" s="354"/>
      <c r="D9" s="354"/>
      <c r="E9" s="354"/>
      <c r="F9" s="354"/>
      <c r="G9" s="354"/>
      <c r="H9" s="354"/>
      <c r="I9" s="354"/>
      <c r="J9" s="355"/>
    </row>
    <row r="10" spans="1:21" ht="58.5" customHeight="1" x14ac:dyDescent="0.2">
      <c r="A10" s="407" t="s">
        <v>1362</v>
      </c>
      <c r="B10" s="408"/>
      <c r="C10" s="408"/>
      <c r="D10" s="408"/>
      <c r="E10" s="408"/>
      <c r="F10" s="408"/>
      <c r="G10" s="408"/>
      <c r="H10" s="408"/>
      <c r="I10" s="408"/>
      <c r="J10" s="409"/>
    </row>
    <row r="11" spans="1:21" ht="77.25" customHeight="1" x14ac:dyDescent="0.2">
      <c r="A11" s="410" t="s">
        <v>34</v>
      </c>
      <c r="B11" s="411" t="s">
        <v>1352</v>
      </c>
      <c r="C11" s="412"/>
      <c r="D11" s="412"/>
      <c r="E11" s="413"/>
      <c r="F11" s="410" t="s">
        <v>1357</v>
      </c>
      <c r="G11" s="410"/>
      <c r="H11" s="410"/>
      <c r="I11" s="410"/>
      <c r="J11" s="410" t="s">
        <v>1358</v>
      </c>
    </row>
    <row r="12" spans="1:21" ht="60" customHeight="1" x14ac:dyDescent="0.2">
      <c r="A12" s="410"/>
      <c r="B12" s="128" t="s">
        <v>1353</v>
      </c>
      <c r="C12" s="128" t="s">
        <v>1354</v>
      </c>
      <c r="D12" s="128" t="s">
        <v>1355</v>
      </c>
      <c r="E12" s="128" t="s">
        <v>1356</v>
      </c>
      <c r="F12" s="128" t="s">
        <v>1353</v>
      </c>
      <c r="G12" s="128" t="s">
        <v>1354</v>
      </c>
      <c r="H12" s="128" t="s">
        <v>1355</v>
      </c>
      <c r="I12" s="128" t="s">
        <v>1356</v>
      </c>
      <c r="J12" s="410"/>
    </row>
    <row r="13" spans="1:21" ht="26.25" customHeight="1" x14ac:dyDescent="0.2">
      <c r="A13" s="150" t="s">
        <v>54</v>
      </c>
      <c r="B13" s="146">
        <v>15</v>
      </c>
      <c r="C13" s="146">
        <v>41</v>
      </c>
      <c r="D13" s="146">
        <v>38</v>
      </c>
      <c r="E13" s="153">
        <f>SUM(B13:D13)</f>
        <v>94</v>
      </c>
      <c r="F13" s="154"/>
      <c r="G13" s="154"/>
      <c r="H13" s="154"/>
      <c r="I13" s="155">
        <f>SUM(F13:H13)</f>
        <v>0</v>
      </c>
      <c r="J13" s="145" t="s">
        <v>2533</v>
      </c>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v>15</v>
      </c>
      <c r="D15" s="156">
        <v>46</v>
      </c>
      <c r="E15" s="157">
        <f>SUM(B15:D15)</f>
        <v>61</v>
      </c>
      <c r="F15" s="158"/>
      <c r="G15" s="158"/>
      <c r="H15" s="158"/>
      <c r="I15" s="159">
        <f>SUM(F15:H15)</f>
        <v>0</v>
      </c>
      <c r="J15" s="148" t="s">
        <v>2534</v>
      </c>
    </row>
    <row r="16" spans="1:21" ht="27" customHeight="1" thickTop="1" x14ac:dyDescent="0.2">
      <c r="A16" s="152" t="s">
        <v>57</v>
      </c>
      <c r="B16" s="160">
        <f>SUM(B13:B15)</f>
        <v>15</v>
      </c>
      <c r="C16" s="160">
        <f>SUM(C13:C15)</f>
        <v>56</v>
      </c>
      <c r="D16" s="160">
        <f>SUM(D13:D15)</f>
        <v>84</v>
      </c>
      <c r="E16" s="160">
        <f>SUM(B16:D16)</f>
        <v>155</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Hayward</v>
      </c>
      <c r="C3" s="265"/>
    </row>
    <row r="4" spans="1:3" ht="18" customHeight="1" x14ac:dyDescent="0.2">
      <c r="A4" s="266" t="s">
        <v>36</v>
      </c>
      <c r="B4" s="204">
        <f>'Start Here'!B5</f>
        <v>2018</v>
      </c>
      <c r="C4" s="267" t="s">
        <v>52</v>
      </c>
    </row>
    <row r="7" spans="1:3" ht="16.5" thickBot="1" x14ac:dyDescent="0.3">
      <c r="A7" s="414"/>
      <c r="B7" s="414"/>
      <c r="C7" s="414"/>
    </row>
    <row r="8" spans="1:3" ht="15" customHeight="1" x14ac:dyDescent="0.2">
      <c r="A8" s="422" t="s">
        <v>1379</v>
      </c>
      <c r="B8" s="423"/>
      <c r="C8" s="424"/>
    </row>
    <row r="9" spans="1:3" x14ac:dyDescent="0.2">
      <c r="A9" s="425" t="s">
        <v>15</v>
      </c>
      <c r="B9" s="410"/>
      <c r="C9" s="83" t="s">
        <v>60</v>
      </c>
    </row>
    <row r="10" spans="1:3" x14ac:dyDescent="0.2">
      <c r="A10" s="426" t="s">
        <v>16</v>
      </c>
      <c r="B10" s="206" t="s">
        <v>5</v>
      </c>
      <c r="C10" s="84">
        <f>'Table A2'!H12</f>
        <v>36</v>
      </c>
    </row>
    <row r="11" spans="1:3" ht="25.5" x14ac:dyDescent="0.2">
      <c r="A11" s="426"/>
      <c r="B11" s="206" t="s">
        <v>20</v>
      </c>
      <c r="C11" s="84">
        <f>'Table A2'!I12</f>
        <v>0</v>
      </c>
    </row>
    <row r="12" spans="1:3" x14ac:dyDescent="0.2">
      <c r="A12" s="426" t="s">
        <v>17</v>
      </c>
      <c r="B12" s="206" t="s">
        <v>5</v>
      </c>
      <c r="C12" s="84">
        <f>'Table A2'!J12</f>
        <v>60</v>
      </c>
    </row>
    <row r="13" spans="1:3" ht="25.5" x14ac:dyDescent="0.2">
      <c r="A13" s="426"/>
      <c r="B13" s="206" t="s">
        <v>20</v>
      </c>
      <c r="C13" s="84">
        <f>'Table A2'!K12</f>
        <v>0</v>
      </c>
    </row>
    <row r="14" spans="1:3" x14ac:dyDescent="0.2">
      <c r="A14" s="426" t="s">
        <v>18</v>
      </c>
      <c r="B14" s="206" t="s">
        <v>5</v>
      </c>
      <c r="C14" s="84">
        <f>'Table A2'!L12</f>
        <v>29</v>
      </c>
    </row>
    <row r="15" spans="1:3" ht="25.5" x14ac:dyDescent="0.2">
      <c r="A15" s="426"/>
      <c r="B15" s="206" t="s">
        <v>20</v>
      </c>
      <c r="C15" s="84">
        <f>'Table A2'!M12</f>
        <v>0</v>
      </c>
    </row>
    <row r="16" spans="1:3" ht="28.5" customHeight="1" thickBot="1" x14ac:dyDescent="0.25">
      <c r="A16" s="207" t="s">
        <v>19</v>
      </c>
      <c r="B16" s="208"/>
      <c r="C16" s="85">
        <f>'Table A2'!N12</f>
        <v>809</v>
      </c>
    </row>
    <row r="17" spans="1:9" ht="15.75" thickTop="1" thickBot="1" x14ac:dyDescent="0.25">
      <c r="A17" s="427" t="s">
        <v>1380</v>
      </c>
      <c r="B17" s="428"/>
      <c r="C17" s="86">
        <f>SUM(C10:C16)</f>
        <v>934</v>
      </c>
    </row>
    <row r="18" spans="1:9" ht="29.25" customHeight="1" x14ac:dyDescent="0.2">
      <c r="A18" s="432" t="s">
        <v>78</v>
      </c>
      <c r="B18" s="432"/>
      <c r="C18" s="432"/>
      <c r="D18" s="432"/>
    </row>
    <row r="20" spans="1:9" ht="15" thickBot="1" x14ac:dyDescent="0.25"/>
    <row r="21" spans="1:9" ht="15" customHeight="1" x14ac:dyDescent="0.2">
      <c r="A21" s="429" t="s">
        <v>1378</v>
      </c>
      <c r="B21" s="430"/>
      <c r="C21" s="430"/>
      <c r="D21" s="187"/>
    </row>
    <row r="22" spans="1:9" ht="15" customHeight="1" x14ac:dyDescent="0.2">
      <c r="A22" s="417" t="s">
        <v>87</v>
      </c>
      <c r="B22" s="418"/>
      <c r="C22" s="419"/>
      <c r="D22" s="209">
        <f>COUNTIF('Table A'!P13:P1000,"&gt;0")</f>
        <v>46</v>
      </c>
    </row>
    <row r="23" spans="1:9" ht="17.25" customHeight="1" x14ac:dyDescent="0.2">
      <c r="A23" s="417" t="s">
        <v>70</v>
      </c>
      <c r="B23" s="418"/>
      <c r="C23" s="419"/>
      <c r="D23" s="209">
        <f>'Table A'!P12</f>
        <v>440</v>
      </c>
    </row>
    <row r="24" spans="1:9" ht="15" customHeight="1" x14ac:dyDescent="0.2">
      <c r="A24" s="417" t="s">
        <v>71</v>
      </c>
      <c r="B24" s="418"/>
      <c r="C24" s="419"/>
      <c r="D24" s="209">
        <f>'Table A'!Q12</f>
        <v>51</v>
      </c>
    </row>
    <row r="25" spans="1:9" ht="15.75" customHeight="1" thickBot="1" x14ac:dyDescent="0.25">
      <c r="A25" s="415" t="s">
        <v>72</v>
      </c>
      <c r="B25" s="420"/>
      <c r="C25" s="421"/>
      <c r="D25" s="210">
        <f>'Table A'!R12</f>
        <v>0</v>
      </c>
    </row>
    <row r="26" spans="1:9" ht="15" x14ac:dyDescent="0.25">
      <c r="A26" s="211"/>
      <c r="B26" s="211"/>
    </row>
    <row r="27" spans="1:9" ht="15.75" thickBot="1" x14ac:dyDescent="0.3">
      <c r="A27" s="211"/>
      <c r="B27" s="211"/>
      <c r="G27" s="87"/>
      <c r="H27" s="87"/>
      <c r="I27" s="87"/>
    </row>
    <row r="28" spans="1:9" ht="15" customHeight="1" x14ac:dyDescent="0.2">
      <c r="A28" s="429" t="s">
        <v>73</v>
      </c>
      <c r="B28" s="430"/>
      <c r="C28" s="430"/>
      <c r="D28" s="431"/>
      <c r="G28" s="87"/>
      <c r="H28" s="87"/>
      <c r="I28" s="87"/>
    </row>
    <row r="29" spans="1:9" x14ac:dyDescent="0.2">
      <c r="A29" s="417" t="s">
        <v>74</v>
      </c>
      <c r="B29" s="433"/>
      <c r="C29" s="433"/>
      <c r="D29" s="212">
        <f>(COUNTIFS('Table A'!S:S,"Yes-but no action taken"))+(COUNTIF('Table A'!S:S,"Yes-Approved"))+(COUNTIF('Table A'!S:S,"Yes-Denied"))</f>
        <v>0</v>
      </c>
    </row>
    <row r="30" spans="1:9" x14ac:dyDescent="0.2">
      <c r="A30" s="417" t="s">
        <v>75</v>
      </c>
      <c r="B30" s="433"/>
      <c r="C30" s="433"/>
      <c r="D30" s="212">
        <f>SUMIF('Table A'!S:S, "Yes-Approved",'Table A'!Q:Q )</f>
        <v>0</v>
      </c>
    </row>
    <row r="31" spans="1:9" x14ac:dyDescent="0.2">
      <c r="A31" s="417" t="s">
        <v>76</v>
      </c>
      <c r="B31" s="433"/>
      <c r="C31" s="433"/>
      <c r="D31" s="213">
        <f>COUNTIF('Table A'!S:S, "Yes-Approved")</f>
        <v>0</v>
      </c>
    </row>
    <row r="32" spans="1:9" ht="15" thickBot="1" x14ac:dyDescent="0.25">
      <c r="A32" s="415" t="s">
        <v>77</v>
      </c>
      <c r="B32" s="416"/>
      <c r="C32" s="416"/>
      <c r="D32" s="210">
        <f>SUMIF('Table A2'!AJ:AJ, "Y",'Table A2'!AH:AH)</f>
        <v>0</v>
      </c>
    </row>
    <row r="34" spans="1:5" ht="21" thickBot="1" x14ac:dyDescent="0.35">
      <c r="A34" s="88"/>
      <c r="B34" s="91"/>
      <c r="C34" s="91"/>
    </row>
    <row r="35" spans="1:5" ht="15" customHeight="1" x14ac:dyDescent="0.2">
      <c r="A35" s="434" t="s">
        <v>111</v>
      </c>
      <c r="B35" s="435"/>
      <c r="C35" s="435"/>
      <c r="D35" s="436"/>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6EBFABDE-B5BD-4A5A-9421-03A71557322C}"/>
</file>

<file path=customXml/itemProps2.xml><?xml version="1.0" encoding="utf-8"?>
<ds:datastoreItem xmlns:ds="http://schemas.openxmlformats.org/officeDocument/2006/customXml" ds:itemID="{E149ABDC-7607-4848-8F97-8ABBAE7E96AB}"/>
</file>

<file path=customXml/itemProps3.xml><?xml version="1.0" encoding="utf-8"?>
<ds:datastoreItem xmlns:ds="http://schemas.openxmlformats.org/officeDocument/2006/customXml" ds:itemID="{7C8F6AF2-B70A-417D-8C1D-0A5533A105A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Leigha Schmidt</cp:lastModifiedBy>
  <cp:lastPrinted>2019-03-06T00:54:42Z</cp:lastPrinted>
  <dcterms:created xsi:type="dcterms:W3CDTF">2018-09-27T21:13:30Z</dcterms:created>
  <dcterms:modified xsi:type="dcterms:W3CDTF">2019-03-28T23:22:05Z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