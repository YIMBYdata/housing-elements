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joshua\Projects\Housing Element\2018 Annual Progress Report\"/>
    </mc:Choice>
  </mc:AlternateContent>
  <workbookProtection lockStructure="1"/>
  <bookViews>
    <workbookView xWindow="0" yWindow="0" windowWidth="23040" windowHeight="1140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A'!$A$1:$U$15</definedName>
    <definedName name="_xlnm.Print_Area" localSheetId="2">'Table A2'!$A$1:$AS$362</definedName>
    <definedName name="_xlnm.Print_Area" localSheetId="4">'Table B'!$A$1:$N$22</definedName>
    <definedName name="_xlnm.Print_Area" localSheetId="8">'Table C'!$A$8:$R$26</definedName>
    <definedName name="_xlnm.Print_Area" localSheetId="9">'Table D'!$A$1:$D$128</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 r="D118" i="5"/>
</calcChain>
</file>

<file path=xl/sharedStrings.xml><?xml version="1.0" encoding="utf-8"?>
<sst xmlns="http://schemas.openxmlformats.org/spreadsheetml/2006/main" count="8687" uniqueCount="2493">
  <si>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</si>
  <si>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</si>
  <si>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</si>
  <si>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</si>
  <si>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</si>
  <si>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</si>
  <si>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</si>
  <si>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</si>
  <si>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</si>
  <si>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</si>
  <si>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</si>
  <si>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</si>
  <si>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</si>
  <si>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</si>
  <si>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</si>
  <si>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</si>
  <si>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</si>
  <si>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</si>
  <si>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</si>
  <si>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</si>
  <si>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</si>
  <si>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</si>
  <si>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</si>
  <si>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</si>
  <si>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</si>
  <si>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</si>
  <si>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</si>
  <si>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</si>
  <si>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</si>
  <si>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</si>
  <si>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</si>
  <si>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</si>
  <si>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</si>
  <si>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</si>
  <si>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</si>
  <si>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</si>
  <si>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</si>
  <si>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</si>
  <si>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</si>
  <si>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</si>
  <si>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</si>
  <si>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</si>
  <si>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</si>
  <si>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</si>
  <si>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</si>
  <si>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</si>
  <si>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</si>
  <si>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</si>
  <si>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</si>
  <si>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</si>
  <si>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</si>
  <si>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</si>
  <si>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</si>
  <si>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</si>
  <si>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</si>
  <si>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</si>
  <si>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</si>
  <si>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</si>
  <si>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</si>
  <si>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</si>
  <si>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</si>
  <si>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</si>
  <si>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</si>
  <si>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</si>
  <si>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</si>
  <si>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</si>
  <si>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</si>
  <si>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</si>
  <si>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</si>
  <si>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</si>
  <si>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</si>
  <si>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</si>
  <si>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</si>
  <si>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</si>
  <si>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</si>
  <si>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</si>
  <si>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</si>
  <si>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</si>
  <si>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</si>
  <si>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</si>
  <si>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</si>
  <si>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</si>
  <si>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</si>
  <si>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</si>
  <si>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</si>
  <si>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</si>
  <si>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</si>
  <si>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</si>
  <si>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</si>
  <si>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</si>
  <si>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</si>
  <si>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</si>
  <si>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</si>
  <si>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</si>
  <si>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</si>
  <si>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</si>
  <si>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</si>
  <si>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</si>
  <si>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</si>
  <si>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</si>
  <si>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</si>
  <si>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</si>
  <si>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</si>
  <si>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</si>
  <si>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</si>
  <si>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</si>
  <si>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</si>
  <si>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</si>
  <si>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</si>
  <si>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</si>
  <si>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</si>
  <si>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</si>
  <si>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</si>
  <si>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</si>
  <si>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</si>
  <si>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</si>
  <si>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</si>
  <si>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</si>
  <si>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</si>
  <si>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</si>
  <si>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</si>
  <si>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</si>
  <si>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</si>
  <si>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</si>
  <si>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</si>
  <si>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</si>
  <si>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</si>
  <si>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</si>
  <si>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</si>
  <si>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</si>
  <si>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</si>
  <si>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</si>
  <si>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</si>
  <si>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</si>
  <si>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</si>
  <si>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</si>
  <si>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</si>
  <si>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</si>
  <si>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</si>
  <si>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</si>
  <si>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</si>
  <si>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</si>
  <si>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</si>
  <si>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</si>
  <si>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</si>
  <si>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</si>
  <si>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</si>
  <si>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</si>
  <si>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</si>
  <si>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</si>
  <si>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</si>
  <si>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</si>
  <si>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</si>
  <si>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</si>
  <si>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</si>
  <si>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</si>
  <si>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</si>
  <si>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</si>
  <si>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</si>
  <si>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</si>
  <si>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</si>
  <si>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</si>
  <si>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</si>
  <si>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</si>
  <si>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</si>
  <si>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</si>
  <si>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</si>
  <si>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</si>
  <si>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</si>
  <si>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</si>
  <si>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</si>
  <si>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</si>
  <si>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</si>
  <si>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</si>
  <si>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</si>
  <si>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</si>
  <si>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</si>
  <si>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</si>
  <si>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</si>
  <si>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</si>
  <si>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</si>
  <si>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</si>
  <si>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</si>
  <si>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</si>
  <si>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</si>
  <si>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</si>
  <si>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</si>
  <si>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</si>
  <si>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</si>
  <si>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</si>
  <si>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</si>
  <si>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</si>
  <si>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</si>
  <si>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</si>
  <si>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</si>
  <si>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</si>
  <si>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</si>
  <si>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</si>
  <si>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</si>
  <si>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</si>
  <si>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</si>
  <si>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</si>
  <si>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</si>
  <si>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</si>
  <si>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</si>
  <si>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</si>
  <si>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</si>
  <si>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</si>
  <si>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</si>
  <si>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</si>
  <si>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</si>
  <si>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</si>
  <si>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</si>
  <si>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</si>
  <si>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</si>
  <si>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</si>
  <si>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</si>
  <si>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</si>
  <si>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</si>
  <si>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</si>
  <si>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</si>
  <si>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</si>
  <si>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</si>
  <si>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</si>
  <si>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</si>
  <si>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</si>
  <si>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</si>
  <si>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</si>
  <si>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</si>
  <si>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</si>
  <si>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</si>
  <si>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</si>
  <si>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</si>
  <si>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</si>
  <si>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</si>
  <si>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</si>
  <si>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</si>
  <si>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</si>
  <si>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</si>
  <si>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</si>
  <si>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</si>
  <si>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</si>
  <si>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</si>
  <si>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</si>
  <si>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</si>
  <si>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</si>
  <si>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</si>
  <si>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</si>
  <si>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</si>
  <si>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</si>
  <si>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</si>
  <si>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</si>
  <si>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</si>
  <si>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</si>
  <si>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</si>
  <si>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</si>
  <si>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</si>
  <si>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</si>
  <si>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</si>
  <si>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</si>
  <si>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</si>
  <si>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</si>
  <si>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</si>
  <si>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</si>
  <si>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</si>
  <si>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</si>
  <si>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</si>
  <si>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</si>
  <si>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</si>
  <si>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</si>
  <si>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</si>
  <si>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</si>
  <si>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</si>
  <si>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</si>
  <si>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</si>
  <si>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</si>
  <si>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</si>
  <si>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</si>
  <si>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</si>
  <si>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</si>
  <si>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</si>
  <si>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</si>
  <si>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</si>
  <si>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</si>
  <si>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</si>
  <si>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</si>
  <si>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</si>
  <si>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</si>
  <si>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</si>
  <si>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</si>
  <si>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</si>
  <si>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</si>
  <si>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</si>
  <si>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</si>
  <si>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</si>
  <si>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</si>
  <si>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</si>
  <si>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</si>
  <si>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</si>
  <si>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</si>
  <si>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</si>
  <si>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</si>
  <si>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</si>
  <si>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</si>
  <si>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</si>
  <si>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</si>
  <si>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</si>
  <si>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</si>
  <si>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</si>
  <si>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</si>
  <si>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</si>
  <si>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</si>
  <si>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</si>
  <si>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</si>
  <si>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</si>
  <si>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</si>
  <si>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</si>
  <si>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</si>
  <si>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</si>
  <si>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</si>
  <si>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</si>
  <si>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</si>
  <si>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</si>
  <si>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</si>
  <si>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</si>
  <si>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</si>
  <si>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</si>
  <si>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</si>
  <si>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</si>
  <si>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</si>
  <si>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</si>
  <si>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</si>
  <si>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</si>
  <si>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</si>
  <si>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</si>
  <si>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</si>
  <si>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</si>
  <si>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</si>
  <si>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</si>
  <si>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</si>
  <si>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</si>
  <si>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</si>
  <si>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</si>
  <si>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</si>
  <si>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</si>
  <si>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</si>
  <si>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</si>
  <si>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</si>
  <si>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</si>
  <si>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</si>
  <si>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</si>
  <si>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</si>
  <si>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</si>
  <si>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</si>
  <si>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</si>
  <si>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</si>
  <si>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</si>
  <si>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</si>
  <si>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</si>
  <si>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</si>
  <si>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</si>
  <si>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</si>
  <si>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</si>
  <si>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</si>
  <si>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</si>
  <si>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</si>
  <si>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</si>
  <si>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</si>
  <si>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</si>
  <si>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</si>
  <si>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</si>
  <si>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</si>
  <si>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</si>
  <si>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</si>
  <si>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</si>
  <si>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</si>
  <si>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</si>
  <si>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</si>
  <si>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</si>
  <si>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</si>
  <si>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</si>
  <si>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</si>
  <si>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</si>
  <si>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</si>
  <si>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</si>
  <si>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</si>
  <si>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</si>
  <si>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</si>
  <si>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</si>
  <si>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</si>
  <si>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</si>
  <si>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</si>
  <si>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</si>
  <si>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</si>
  <si>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</si>
  <si>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</si>
  <si>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</si>
  <si>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</si>
  <si>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</si>
  <si>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</si>
  <si>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</si>
  <si>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</si>
  <si>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</si>
  <si>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</si>
  <si>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</si>
  <si>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</si>
  <si>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</si>
  <si>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</si>
  <si>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</si>
  <si>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</si>
  <si>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</si>
  <si>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</si>
  <si>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</si>
  <si>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</si>
  <si>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</si>
  <si>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</si>
  <si>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</si>
  <si>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</si>
  <si>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</si>
  <si>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</si>
  <si>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</si>
  <si>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</si>
  <si>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</si>
  <si>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</si>
  <si>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</si>
  <si>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</si>
  <si>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</si>
  <si>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</si>
  <si>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</si>
  <si>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</si>
  <si>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</si>
  <si>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</si>
  <si>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</si>
  <si>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</si>
  <si>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</si>
  <si>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</si>
  <si>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</si>
  <si>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</si>
  <si>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</si>
  <si>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</si>
  <si>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</si>
  <si>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</si>
  <si>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</si>
  <si>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</si>
  <si>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</si>
  <si>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</si>
  <si>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</si>
  <si>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</si>
  <si>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</si>
  <si>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</si>
  <si>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</si>
  <si>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</si>
  <si>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</si>
  <si>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</si>
  <si>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</si>
  <si>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</si>
  <si>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</si>
  <si>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</si>
  <si>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</si>
  <si>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</si>
  <si>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</si>
  <si>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</si>
  <si>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</si>
  <si>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</si>
  <si>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</si>
  <si>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</si>
  <si>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</si>
  <si>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</si>
  <si>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</si>
  <si>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</si>
  <si>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</si>
  <si>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</si>
  <si>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</si>
  <si>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</si>
  <si>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</si>
  <si>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</si>
  <si>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</si>
  <si>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</si>
  <si>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</si>
  <si>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</si>
  <si>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</si>
  <si>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</si>
  <si>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</si>
  <si>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</si>
  <si>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</si>
  <si>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</si>
  <si>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</si>
  <si>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</si>
  <si>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</si>
  <si>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</si>
  <si>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</si>
  <si>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</si>
  <si>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</si>
  <si>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</si>
  <si>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</si>
  <si>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</si>
  <si>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</si>
  <si>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</si>
  <si>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</si>
  <si>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</si>
  <si>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</si>
  <si>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</si>
  <si>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</si>
  <si>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</si>
  <si>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</si>
  <si>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</si>
  <si>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</si>
  <si>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</si>
  <si>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</si>
  <si>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</si>
  <si>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</si>
  <si>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</si>
  <si>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</si>
  <si>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</si>
  <si>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</si>
  <si>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</si>
  <si>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</si>
  <si>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</si>
  <si>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</si>
  <si>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</si>
  <si>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</si>
  <si>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</si>
  <si>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</si>
  <si>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</si>
  <si>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</si>
  <si>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</si>
  <si>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</si>
  <si>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</si>
  <si>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</si>
  <si>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</si>
  <si>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</si>
  <si>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</si>
  <si>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</si>
  <si>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</si>
  <si>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</si>
  <si>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</si>
  <si>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</si>
  <si>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</si>
  <si>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</si>
  <si>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</si>
  <si>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</si>
  <si>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</si>
  <si>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</si>
  <si>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</si>
  <si>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</si>
  <si>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</si>
  <si>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</si>
  <si>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</si>
  <si>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</si>
  <si>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</si>
  <si>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</si>
  <si>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</si>
  <si>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</si>
  <si>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</si>
  <si>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</si>
  <si>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</si>
  <si>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</si>
  <si>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</si>
  <si>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</si>
  <si>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</si>
  <si>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</si>
  <si>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</si>
  <si>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</si>
  <si>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</si>
  <si>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</si>
  <si>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</si>
  <si>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</si>
  <si>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</si>
  <si>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</si>
  <si>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</si>
  <si>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</si>
  <si>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</si>
  <si>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</si>
  <si>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</si>
  <si>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</si>
  <si>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</si>
  <si>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</si>
  <si>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</si>
  <si>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</si>
  <si>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</si>
  <si>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</si>
  <si>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</si>
  <si>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</si>
  <si>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</si>
  <si>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</si>
  <si>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</si>
  <si>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</si>
  <si>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</si>
  <si>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</si>
  <si>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</si>
  <si>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</si>
  <si>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</si>
  <si>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</si>
  <si>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</si>
  <si>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</si>
  <si>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</si>
  <si>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</si>
  <si>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</si>
  <si>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</si>
  <si>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</si>
  <si>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</si>
  <si>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</si>
  <si>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</si>
  <si>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</si>
  <si>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</si>
  <si>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</si>
  <si>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</si>
  <si>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</si>
  <si>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</si>
  <si>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</si>
  <si>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</si>
  <si>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</si>
  <si>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</si>
  <si>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</si>
  <si>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</si>
  <si>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</si>
  <si>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</si>
  <si>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</si>
  <si>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</si>
  <si>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</si>
  <si>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</si>
  <si>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</si>
  <si>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</si>
  <si>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</si>
  <si>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</si>
  <si>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</si>
  <si>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</si>
  <si>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</si>
  <si>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</si>
  <si>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</si>
  <si>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</si>
  <si>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</si>
  <si>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</si>
  <si>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</si>
  <si>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</si>
  <si>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</si>
  <si>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</si>
  <si>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</si>
  <si>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</si>
  <si>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</si>
  <si>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</si>
  <si>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</si>
  <si>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</si>
  <si>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</si>
  <si>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</si>
  <si>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</si>
  <si>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</si>
  <si>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</si>
  <si>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</si>
  <si>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</si>
  <si>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</si>
  <si>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</si>
  <si>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</si>
  <si>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</si>
  <si>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</si>
  <si>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</si>
  <si>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</si>
  <si>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</si>
  <si>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</si>
  <si>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</si>
  <si>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</si>
  <si>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</si>
  <si>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</si>
  <si>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</si>
  <si>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</si>
  <si>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</si>
  <si>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</si>
  <si>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</si>
  <si>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</si>
  <si>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</si>
  <si>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</si>
  <si>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</si>
  <si>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</si>
  <si>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</si>
  <si>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</si>
  <si>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</si>
  <si>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</si>
  <si>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</si>
  <si>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</si>
  <si>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</si>
  <si>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</si>
  <si>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</si>
  <si>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</si>
  <si>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</si>
  <si>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</si>
  <si>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</si>
  <si>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</si>
  <si>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</si>
  <si>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</si>
  <si>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</si>
  <si>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</si>
  <si>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</si>
  <si>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</si>
  <si>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</si>
  <si>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</si>
  <si>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</si>
  <si>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</si>
  <si>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</si>
  <si>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</si>
  <si>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</si>
  <si>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</si>
  <si>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</si>
  <si>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</si>
  <si>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</si>
  <si>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</si>
  <si>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</si>
  <si>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</si>
  <si>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</si>
  <si>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</si>
  <si>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</si>
  <si>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</si>
  <si>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</si>
  <si>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</si>
  <si>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</si>
  <si>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</si>
  <si>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</si>
  <si>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</si>
  <si>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</si>
  <si>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</si>
  <si>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</si>
  <si>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</si>
  <si>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</si>
  <si>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</si>
  <si>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</si>
  <si>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</si>
  <si>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</si>
  <si>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</si>
  <si>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</si>
  <si>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</si>
  <si>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</si>
  <si>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</si>
  <si>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</si>
  <si>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</si>
  <si>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</si>
  <si>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</si>
  <si>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</si>
  <si>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</si>
  <si>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</si>
  <si>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</si>
  <si>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</si>
  <si>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</si>
  <si>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</si>
  <si>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</si>
  <si>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</si>
  <si>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</si>
  <si>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</si>
  <si>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</si>
  <si>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</si>
  <si>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</si>
  <si>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</si>
  <si>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</si>
  <si>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</si>
  <si>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</si>
  <si>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</si>
  <si>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</si>
  <si>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</si>
  <si>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</si>
  <si>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</si>
  <si>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</si>
  <si>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</si>
  <si>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</si>
  <si>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</si>
  <si>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</si>
  <si>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</si>
  <si>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</si>
  <si>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</si>
  <si>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</si>
  <si>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</si>
  <si>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</si>
  <si>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</si>
  <si>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</si>
  <si>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</si>
  <si>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</si>
  <si>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</si>
  <si>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</si>
  <si>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</si>
  <si>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</si>
  <si>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</si>
  <si>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</si>
  <si>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</si>
  <si>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</si>
  <si>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</si>
  <si>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</si>
  <si>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</si>
  <si>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</si>
  <si>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</si>
  <si>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</si>
  <si>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</si>
  <si>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</si>
  <si>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</si>
  <si>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</si>
  <si>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</si>
  <si>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</si>
  <si>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</si>
  <si>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</si>
  <si>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</si>
  <si>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</si>
  <si>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</si>
  <si>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</si>
  <si>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</si>
  <si>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</si>
  <si>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</si>
  <si>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</si>
  <si>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</si>
  <si>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</si>
  <si>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</si>
  <si>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</si>
  <si>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</si>
  <si>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</si>
  <si>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</si>
  <si>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</si>
  <si>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</si>
  <si>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</si>
  <si>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</si>
  <si>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</si>
  <si>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</si>
  <si>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</si>
  <si>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</si>
  <si>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</si>
  <si>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</si>
  <si>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</si>
  <si>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</si>
  <si>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</si>
  <si>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</si>
  <si>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</si>
  <si>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</si>
  <si>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</si>
  <si>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</si>
  <si>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</si>
  <si>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</si>
  <si>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</si>
  <si>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</si>
  <si>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</si>
  <si>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</si>
  <si>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</si>
  <si>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</si>
  <si>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</si>
  <si>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</si>
  <si>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</si>
  <si>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</si>
  <si>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</si>
  <si>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</si>
  <si>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</si>
  <si>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</si>
  <si>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</si>
  <si>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</si>
  <si>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</si>
  <si>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</si>
  <si>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</si>
  <si>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</si>
  <si>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</si>
  <si>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</si>
  <si>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</si>
  <si>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</si>
  <si>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</si>
  <si>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</si>
  <si>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</si>
  <si>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</si>
  <si>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</si>
  <si>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</si>
  <si>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</si>
  <si>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</si>
  <si>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</si>
  <si>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</si>
  <si>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</si>
  <si>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</si>
  <si>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</si>
  <si>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</si>
  <si>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</si>
  <si>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</si>
  <si>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</si>
  <si>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</si>
  <si>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</si>
  <si>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</si>
  <si>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</si>
  <si>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</si>
  <si>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</si>
  <si>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</si>
  <si>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</si>
  <si>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</si>
  <si>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</si>
  <si>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</si>
  <si>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</si>
  <si>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</si>
  <si>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</si>
  <si>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</si>
  <si>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</si>
  <si>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</si>
  <si>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</si>
  <si>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</si>
  <si>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</si>
  <si>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</si>
  <si>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</si>
  <si>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</si>
  <si>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</si>
  <si>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</si>
  <si>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</si>
  <si>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</si>
  <si>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</si>
  <si>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</si>
  <si>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</si>
  <si>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</si>
  <si>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</si>
  <si>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</si>
  <si>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</si>
  <si>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</si>
  <si>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</si>
  <si>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</si>
  <si>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</si>
  <si>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</si>
  <si>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</si>
  <si>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</si>
  <si>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</si>
  <si>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</si>
  <si>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</si>
  <si>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</si>
  <si>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</si>
  <si>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</si>
  <si>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</si>
  <si>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</si>
  <si>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</si>
  <si>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</si>
  <si>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</si>
  <si>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</si>
  <si>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</si>
  <si>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</si>
  <si>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</si>
  <si>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</si>
  <si>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</si>
  <si>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</si>
  <si>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</si>
  <si>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</si>
  <si>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</si>
  <si>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</si>
  <si>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</si>
  <si>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</si>
  <si>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</si>
  <si>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</si>
  <si>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</si>
  <si>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</si>
  <si>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</si>
  <si>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</si>
  <si>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</si>
  <si>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</si>
  <si>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</si>
  <si>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</si>
  <si>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</si>
  <si>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</si>
  <si>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</si>
  <si>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</si>
  <si>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</si>
  <si>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</si>
  <si>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</si>
  <si>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</si>
  <si>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</si>
  <si>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</si>
  <si>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</si>
  <si>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</si>
  <si>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</si>
  <si>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</si>
  <si>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</si>
  <si>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</si>
  <si>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</si>
  <si>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</si>
  <si>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</si>
  <si>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</si>
  <si>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</si>
  <si>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</si>
  <si>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</si>
  <si>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</si>
  <si>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</si>
  <si>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</si>
  <si>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</si>
  <si>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</si>
  <si>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</si>
  <si>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</si>
  <si>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</si>
  <si>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</si>
  <si>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</si>
  <si>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</si>
  <si>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</si>
  <si>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</si>
  <si>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</si>
  <si>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</si>
  <si>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</si>
  <si>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</si>
  <si>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</si>
  <si>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</si>
  <si>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</si>
  <si>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</si>
  <si>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</si>
  <si>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</si>
  <si>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</si>
  <si>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</si>
  <si>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</si>
  <si>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</si>
  <si>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</si>
  <si>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</si>
  <si>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</si>
  <si>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</si>
  <si>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</si>
  <si>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</si>
  <si>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</si>
  <si>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</si>
  <si>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</si>
  <si>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</si>
  <si>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</si>
  <si>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</si>
  <si>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</si>
  <si>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</si>
  <si>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</si>
  <si>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</si>
  <si>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</si>
  <si>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</si>
  <si>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</si>
  <si>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</si>
  <si>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</si>
  <si>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</si>
  <si>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</si>
  <si>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</si>
  <si>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</si>
  <si>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</si>
  <si>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</si>
  <si>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</si>
  <si>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</si>
  <si>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</si>
  <si>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</si>
  <si>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</si>
  <si>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</si>
  <si>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</si>
  <si>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</si>
  <si>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</si>
  <si>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</si>
  <si>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</si>
  <si>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</si>
  <si>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</si>
  <si>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</si>
  <si>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</si>
  <si>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</si>
  <si>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</si>
  <si>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</si>
  <si>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</si>
  <si>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</si>
  <si>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</si>
  <si>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</si>
  <si>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</si>
  <si>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</si>
  <si>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</si>
  <si>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</si>
  <si>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</si>
  <si>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</si>
  <si>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</si>
  <si>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</si>
  <si>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</si>
  <si>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</si>
  <si>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</si>
  <si>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</si>
  <si>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</si>
  <si>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</si>
  <si>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</si>
  <si>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</si>
  <si>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</si>
  <si>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</si>
  <si>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</si>
  <si>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</si>
  <si>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</si>
  <si>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</si>
  <si>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</si>
  <si>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</si>
  <si>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</si>
  <si>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</si>
  <si>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</si>
  <si>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</si>
  <si>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</si>
  <si>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</si>
  <si>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</si>
  <si>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</si>
  <si>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</si>
  <si>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</si>
  <si>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</si>
  <si>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</si>
  <si>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</si>
  <si>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</si>
  <si>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</si>
  <si>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</si>
  <si>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</si>
  <si>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</si>
  <si>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</si>
  <si>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</si>
  <si>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</si>
  <si>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</si>
  <si>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</si>
  <si>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</si>
  <si>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</si>
  <si>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</si>
  <si>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</si>
  <si>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</si>
  <si>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</si>
  <si>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</si>
  <si>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</si>
  <si>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</si>
  <si>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</si>
  <si>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</si>
  <si>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</si>
  <si>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</si>
  <si>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</si>
  <si>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</si>
  <si>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</si>
  <si>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</si>
  <si>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</si>
  <si>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</si>
  <si>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</si>
  <si>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</si>
  <si>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</si>
  <si>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</si>
  <si>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</si>
  <si>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</si>
  <si>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</si>
  <si>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</si>
  <si>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</si>
  <si>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</si>
  <si>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</si>
  <si>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</si>
  <si>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</si>
  <si>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</si>
  <si>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</si>
  <si>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</si>
  <si>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</si>
  <si>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</si>
  <si>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</si>
  <si>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</si>
  <si>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</si>
  <si>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</si>
  <si>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</si>
  <si>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</si>
  <si>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</si>
  <si>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</si>
  <si>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</si>
  <si>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</si>
  <si>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</si>
  <si>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</si>
  <si>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</si>
  <si>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</si>
  <si>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</si>
  <si>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</si>
  <si>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</si>
  <si>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</si>
  <si>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</si>
  <si>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</si>
  <si>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</si>
  <si>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</si>
  <si>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</si>
  <si>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</si>
  <si>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</si>
  <si>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</si>
  <si>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</si>
  <si>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</si>
  <si>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</si>
  <si>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</si>
  <si>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</si>
  <si>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</si>
  <si>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</si>
  <si>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</si>
  <si>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</si>
  <si>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</si>
  <si>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</si>
  <si>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</si>
  <si>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</si>
  <si>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</si>
  <si>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</si>
  <si>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</si>
  <si>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</si>
  <si>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</si>
  <si>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</si>
  <si>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</si>
  <si>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</si>
  <si>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</si>
  <si>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</si>
  <si>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</si>
  <si>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</si>
  <si>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</si>
  <si>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</si>
  <si>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</si>
  <si>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</si>
  <si>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</si>
  <si>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</si>
  <si>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</si>
  <si>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</si>
  <si>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</si>
  <si>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</si>
  <si>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</si>
  <si>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</si>
  <si>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</si>
  <si>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</si>
  <si>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</si>
  <si>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</si>
  <si>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</si>
  <si>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</si>
  <si>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</si>
  <si>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</si>
  <si>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</si>
  <si>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</si>
  <si>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</si>
  <si>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</si>
  <si>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</si>
  <si>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</si>
  <si>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</si>
  <si>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</si>
  <si>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</si>
  <si>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</si>
  <si>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</si>
  <si>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</si>
  <si>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</si>
  <si>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</si>
  <si>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</si>
  <si>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</si>
  <si>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</si>
  <si>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</si>
  <si>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</si>
  <si>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</si>
  <si>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</si>
  <si>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</si>
  <si>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</si>
  <si>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</si>
  <si>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</si>
  <si>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</si>
  <si>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</si>
  <si>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</si>
  <si>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</si>
  <si>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</si>
  <si>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</si>
  <si>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</si>
  <si>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</si>
  <si>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</si>
  <si>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</si>
  <si>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</si>
  <si>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</si>
  <si>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</si>
  <si>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</si>
  <si>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</si>
  <si>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</si>
  <si>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</si>
  <si>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</si>
  <si>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</si>
  <si>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</si>
  <si>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</si>
  <si>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</si>
  <si>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</si>
  <si>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</si>
  <si>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</si>
  <si>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</si>
  <si>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</si>
  <si>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</si>
  <si>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</si>
  <si>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</si>
  <si>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</si>
  <si>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</si>
  <si>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</si>
  <si>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</si>
  <si>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</si>
  <si>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</si>
  <si>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</si>
  <si>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</si>
  <si>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</si>
  <si>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</si>
  <si>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</si>
  <si>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</si>
  <si>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</si>
  <si>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</si>
  <si>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</si>
  <si>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</si>
  <si>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</si>
  <si>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</si>
  <si>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</si>
  <si>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</si>
  <si>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</si>
  <si>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</si>
  <si>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</si>
  <si>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</si>
  <si>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</si>
  <si>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</si>
  <si>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</si>
  <si>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</si>
  <si>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</si>
  <si>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</si>
  <si>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</si>
  <si>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</si>
  <si>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</si>
  <si>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</si>
  <si>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</si>
  <si>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</si>
  <si>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</si>
  <si>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</si>
  <si>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</si>
  <si>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</si>
  <si>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</si>
  <si>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</si>
  <si>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</si>
  <si>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</si>
  <si>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</si>
  <si>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</si>
  <si>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</si>
  <si>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</si>
  <si>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</si>
  <si>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</si>
  <si>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</si>
  <si>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</si>
  <si>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</si>
  <si>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</si>
  <si>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</si>
  <si>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</si>
  <si>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</si>
  <si>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</si>
  <si>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</si>
  <si>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</si>
  <si>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</si>
  <si>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</si>
  <si>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</si>
  <si>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</si>
  <si>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</si>
  <si>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</si>
  <si>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</si>
  <si>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</si>
  <si>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</si>
  <si>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</si>
  <si>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</si>
  <si>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</si>
  <si>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</si>
  <si>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</si>
  <si>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</si>
  <si>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</si>
  <si>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</si>
  <si>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</si>
  <si>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</si>
  <si>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</si>
  <si>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</si>
  <si>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</si>
  <si>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</si>
  <si>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</si>
  <si>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</si>
  <si>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</si>
  <si>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</si>
  <si>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</si>
  <si>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</si>
  <si>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</si>
  <si>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</si>
  <si>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</si>
  <si>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</si>
  <si>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</si>
  <si>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</si>
  <si>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</si>
  <si>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</si>
  <si>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</si>
  <si>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</si>
  <si>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</si>
  <si>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</si>
  <si>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</si>
  <si>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</si>
  <si>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</si>
  <si>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</si>
  <si>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</si>
  <si>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</si>
  <si>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</si>
  <si>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</si>
  <si>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</si>
  <si>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</si>
  <si>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</si>
  <si>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</si>
  <si>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</si>
  <si>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</si>
  <si>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</si>
  <si>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</si>
  <si>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</si>
  <si>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</si>
  <si>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</si>
  <si>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</si>
  <si>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</si>
  <si>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</si>
  <si>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</si>
  <si>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</si>
  <si>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</si>
  <si>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</si>
  <si>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Joshua</t>
  </si>
  <si>
    <t>McMurray</t>
  </si>
  <si>
    <t>Planning Manager</t>
  </si>
  <si>
    <t>mcmurray@ci.oakley.ca.us</t>
  </si>
  <si>
    <t>3231 Main Street</t>
  </si>
  <si>
    <t>1.1 Provision of Adequate Sites to Meet Remaining RHNA Need</t>
  </si>
  <si>
    <t>1.2 Density Bonus Ordinance</t>
  </si>
  <si>
    <t>Provision of Adequate Sites to accommodate remaining RHNA need of 385 extremely low, very low, and low income units</t>
  </si>
  <si>
    <t>The City completed this program by designating 9 specific properties with the Affordable Housing Overlay Zone.  The City Council adpted Ordinance 16-16 that adopted the overlay.</t>
  </si>
  <si>
    <t>Implement Density Bonus Ordinance</t>
  </si>
  <si>
    <t>Ongoing</t>
  </si>
  <si>
    <t>The City will continue to use the Density Bonus Ordinance with qualifying affordable projects.</t>
  </si>
  <si>
    <t>1.3 Review and Revise Development Fees</t>
  </si>
  <si>
    <t>Review and Revise Development Fees</t>
  </si>
  <si>
    <t>Review Annually</t>
  </si>
  <si>
    <t>The City's Park and Traffic Impact Fee's are currently being looked at and revised with anticpated reductions to both fees.</t>
  </si>
  <si>
    <t>1.4 Promote Energy-Conserving Programs</t>
  </si>
  <si>
    <t>Efficient Use of Energy Resources</t>
  </si>
  <si>
    <t>The City has adopted the California Energy Code and performs plan reviews to ensure projects meet the codes intention for efficient energy use.  The City also has an updated website with links and information to Energy Conservation programs.</t>
  </si>
  <si>
    <t>1.5 Encourage Residential Development in Areas Served by Public Transit</t>
  </si>
  <si>
    <t>Encourage Residential Development near Transit</t>
  </si>
  <si>
    <t xml:space="preserve">The City adopted the Downtown Specific Plan which is within 1/2 mile of public transit. The DSP allows for reduced parking in order to facilitate the redevelopment of downtown. Additionally, the General Plan has policies that encourage high density development near transit, and the City has made a consistent effort to locate higher density development along existing transit corridors. </t>
  </si>
  <si>
    <t>1.6 Maintain an Inventory of Available Land Resources</t>
  </si>
  <si>
    <t>Inventory of Available Land Resources</t>
  </si>
  <si>
    <t>The City has  developed a comprehensive map of vacant and underutilized parcels.  The list includes both vacant parcels and parcels that have infill potential.  The information was updated prior to the adoption of the 2015-2023 Housing Element.</t>
  </si>
  <si>
    <t>1.7 Encourage Infill Development</t>
  </si>
  <si>
    <t>Encourage infill as a means to provide additional opportunities for construction</t>
  </si>
  <si>
    <t>The city continues to encourage infill development.  The City has adopted a Downtown Specific Plan which specifically provides for infill and mixed use residential opportunities within the City.</t>
  </si>
  <si>
    <t>1.8 Jobs-Housing Balance Evaluation</t>
  </si>
  <si>
    <t>Analyze the status of jobs and housing within the community and then provide to large employers within the community</t>
  </si>
  <si>
    <t>The city has a comprehensive list of approved and developed subdivisions within the City.  This list is readily available to large employers within the City.</t>
  </si>
  <si>
    <t>1.9 Annual Review and Reporting of Housing Element Progress</t>
  </si>
  <si>
    <t>Complete reporting requirements</t>
  </si>
  <si>
    <t>Report due to HCD Annually</t>
  </si>
  <si>
    <t>The Annual Report is scheduled for Council review and approval at the March 26, 2019 City Council Meeting.  Thereafter, the Annual Report will be forwarded to HCD.</t>
  </si>
  <si>
    <t>1.10 Affordable Housing Overlay</t>
  </si>
  <si>
    <t>Review and Revise Affordable Housing Overlay</t>
  </si>
  <si>
    <t>In conjunction with Policy Action 1.1</t>
  </si>
  <si>
    <t>The City completed this program with the adption of Ordinance 15-16 in Summer 2016.</t>
  </si>
  <si>
    <t>1.11 Multifamily Housing Sites</t>
  </si>
  <si>
    <t>Encourage multifamily and affordable residential uses on multifamily sties</t>
  </si>
  <si>
    <t>Active Program (See also Status of Implementation of Goal 1.1)</t>
  </si>
  <si>
    <t>2.1 Rehabilitation of Existing Housing Units</t>
  </si>
  <si>
    <t>Continue to provide information on housing rehabilitation assistance</t>
  </si>
  <si>
    <t>The City has provided access on the web site to the full list of programs available with the County and HUD, as well as links to appropriate web sites</t>
  </si>
  <si>
    <t xml:space="preserve">2.2 Proactive Code Enforcement </t>
  </si>
  <si>
    <t>Develop a Proactive Code Enforcement Strategy</t>
  </si>
  <si>
    <t>Staff has developed, adopted and implemented a Property Maintenance Program, as well as a Residential Rental Inspection Program.</t>
  </si>
  <si>
    <t>Provide Adequate Infrastructure</t>
  </si>
  <si>
    <t>2.3 Infrastructure Preservation Program</t>
  </si>
  <si>
    <t>3.1 Monitor Assisted Housing Units</t>
  </si>
  <si>
    <t>Monitor units to identify at risk units and insure current units compliance</t>
  </si>
  <si>
    <t>Ongoing and Annual Monitoring</t>
  </si>
  <si>
    <t>The City requires fiscal year financial and proof of certification to be reported 90 days after the end of the prior fiscal year. These reports are then audited. The City also maintains active relationships with owners and management.</t>
  </si>
  <si>
    <t>3.2 Encourage Development of New Affordable Rental Housing for Remaining RHNA Need</t>
  </si>
  <si>
    <t>Encourage Affordable Rental Housing
Development to meet remaining RHNA need</t>
  </si>
  <si>
    <t>4.1 Increase Access to Homeownership</t>
  </si>
  <si>
    <t>Disseminate information about the available programs for Affordable Housing through offices, library or City website</t>
  </si>
  <si>
    <t xml:space="preserve">The City website has the following information: where existing affordable family and senior housing projects within the City are located as well as submitted development applications, a link to the 211 program, and the County Section 8 Program. </t>
  </si>
  <si>
    <t>4.2 Promote Fair Housing Standards</t>
  </si>
  <si>
    <t>Continue to encourage the enforcement of federal and state fair housing standards</t>
  </si>
  <si>
    <t xml:space="preserve">The City currently posts resources on the web site, plus disseminates information through the housing department and the police department. A guide to tenants and landlords rights is kept on hand as well. </t>
  </si>
  <si>
    <t>4.3 Development of Housing for Extremely-Low Income Households and Special Needs Groups</t>
  </si>
  <si>
    <t>Encourage housing to meet  need of 45 Extremely-Low Income units or special needs housing</t>
  </si>
  <si>
    <t>Through the 2015-2023 Planning Cycle</t>
  </si>
  <si>
    <t>The City works cooperatively with affordable housing developers to explore incentives.  Although the City does not have available funds, staff has explored funding sources from other agencies in efforts to find ways to achieve the program goals to attain Extremely-Low Income units.</t>
  </si>
  <si>
    <t>4.4 Development of Housing for Large Families</t>
  </si>
  <si>
    <t>Increase Housing for Large Families</t>
  </si>
  <si>
    <t>The City continues to focus on achieving a balance to accommodate various needs for housing.</t>
  </si>
  <si>
    <t>4.5 Reasonable Accommodation Procedures</t>
  </si>
  <si>
    <t xml:space="preserve">Staff continues to ensure that projects meet the State's newest accessibility requirements by identifying deficiencies at plan review stage. City also works with a Certified Access Specialist for plan reviews and inspections. </t>
  </si>
  <si>
    <t xml:space="preserve">Continue reasonable accommodation procedures </t>
  </si>
  <si>
    <t>The City annually adopts a capital improvement program as part of its budget to plan and schedule infrastructure improvements throughout Oakley. Based on those adopted priorities and funding plans the City aggressively implements capital improvement projects. There are currently 19 capital improvement projects in various stages of implementation throughout the City.</t>
  </si>
  <si>
    <t>4.6 Compliance with SB2</t>
  </si>
  <si>
    <t>Comply with SB 2</t>
  </si>
  <si>
    <t xml:space="preserve">The City has completed this program and has adopted an ordinance that complied with SB 2 in regard to transitional and supportive housing.  The Downtown Specific Plan provides a zone district and site to allow an Emergency Shelter by-right.  </t>
  </si>
  <si>
    <t>4.7 Ensure Adequate Emergency Shelter Sites</t>
  </si>
  <si>
    <t>Accommodate the City’s emergency shelter need</t>
  </si>
  <si>
    <t xml:space="preserve">The Downtown Specific Plan provides a zone district and site to allow an Emergency Shelter by-right.  </t>
  </si>
  <si>
    <t>4.8 Pursue Outside Funding Sources</t>
  </si>
  <si>
    <t>Monitor Sources of Development Financing</t>
  </si>
  <si>
    <t>The City is working cooperatively with affordable housing developers to explore outside funding sources.  Although the City does not have available funds, staff has explored funding sources from other agencies in efforts to find ways to achieve the program goals to attain Extremely-Low Income units instead of Very-Low and -Low.  The City has had numerous meetings and discussions in the past with developers to explore incentives and creative financing.</t>
  </si>
  <si>
    <t>4.9 Provide Comprehensive Housing Information</t>
  </si>
  <si>
    <t>Comprehensive Housing Resources</t>
  </si>
  <si>
    <t>Ongoing/Annually</t>
  </si>
  <si>
    <t>The City uses print media, mailers, web-based information, e-mail blasts, and other methods to provide information about available housing resources.</t>
  </si>
  <si>
    <t>4.10 Residential Care Facilities</t>
  </si>
  <si>
    <t>4.11  Employee and Farmworker Housing</t>
  </si>
  <si>
    <t>Accommodate residential care facilities/group homes</t>
  </si>
  <si>
    <t>Accommodate farmworker and employee housing</t>
  </si>
  <si>
    <t>The City has completed this program and has adopted an ordinance that complied with State Law pertaining to Residential Care Facilities.</t>
  </si>
  <si>
    <t>The City has completed this program and has adopted an ordinance that complied with State Law pertaining to Employee and Farmworker Housing.</t>
  </si>
  <si>
    <t>SFD</t>
  </si>
  <si>
    <t>The Village at Main</t>
  </si>
  <si>
    <t>O</t>
  </si>
  <si>
    <t>No</t>
  </si>
  <si>
    <t>1731 Main Street</t>
  </si>
  <si>
    <t xml:space="preserve">033-170-021 </t>
  </si>
  <si>
    <t xml:space="preserve">Castro Property </t>
  </si>
  <si>
    <t>Machado Lane</t>
  </si>
  <si>
    <t>Approved 9/25/2018</t>
  </si>
  <si>
    <t>040-080-001 and 002</t>
  </si>
  <si>
    <t>Ranchettes @ Neroly</t>
  </si>
  <si>
    <t>037-100-048</t>
  </si>
  <si>
    <t>037-100-049, 037-100-13, 19 and 23</t>
  </si>
  <si>
    <t>032-450-001</t>
  </si>
  <si>
    <t>032-450-004</t>
  </si>
  <si>
    <t>032-450-005</t>
  </si>
  <si>
    <t>032-450-007</t>
  </si>
  <si>
    <t>032-450-008</t>
  </si>
  <si>
    <t>032-450-009</t>
  </si>
  <si>
    <t>032-450-010</t>
  </si>
  <si>
    <t>032-450-012</t>
  </si>
  <si>
    <t>032-450-020</t>
  </si>
  <si>
    <t>033-160-032</t>
  </si>
  <si>
    <t>033-360-001</t>
  </si>
  <si>
    <t>033-450-012</t>
  </si>
  <si>
    <t>033-450-028</t>
  </si>
  <si>
    <t>033-450-037</t>
  </si>
  <si>
    <t>033-460-047</t>
  </si>
  <si>
    <t>034-290-111</t>
  </si>
  <si>
    <t>034-290-112</t>
  </si>
  <si>
    <t>034-290-116</t>
  </si>
  <si>
    <t>034-290-118</t>
  </si>
  <si>
    <t>034-290-119</t>
  </si>
  <si>
    <t>034-360-096</t>
  </si>
  <si>
    <t>034-360-097</t>
  </si>
  <si>
    <t>034-360-099</t>
  </si>
  <si>
    <t>034-360-101</t>
  </si>
  <si>
    <t>034-360-102</t>
  </si>
  <si>
    <t>034-360-104</t>
  </si>
  <si>
    <t>034-360-108</t>
  </si>
  <si>
    <t>034-360-110</t>
  </si>
  <si>
    <t>034-470-036</t>
  </si>
  <si>
    <t>034-470-037</t>
  </si>
  <si>
    <t>034-470-038</t>
  </si>
  <si>
    <t>034-470-039</t>
  </si>
  <si>
    <t>034-470-040</t>
  </si>
  <si>
    <t>034-470-041</t>
  </si>
  <si>
    <t>034-470-042</t>
  </si>
  <si>
    <t>034-470-043</t>
  </si>
  <si>
    <t>034-470-044</t>
  </si>
  <si>
    <t>034-470-045</t>
  </si>
  <si>
    <t>034-640-001</t>
  </si>
  <si>
    <t>034-640-002</t>
  </si>
  <si>
    <t>034-640-005</t>
  </si>
  <si>
    <t>034-640-006</t>
  </si>
  <si>
    <t>034-640-031</t>
  </si>
  <si>
    <t>034-640-033</t>
  </si>
  <si>
    <t>034-640-034</t>
  </si>
  <si>
    <t>035-720-022</t>
  </si>
  <si>
    <t>035-720-023</t>
  </si>
  <si>
    <t>035-720-028</t>
  </si>
  <si>
    <t>035-720-029</t>
  </si>
  <si>
    <t>035-720-030</t>
  </si>
  <si>
    <t>035-720-031</t>
  </si>
  <si>
    <t>035-720-032</t>
  </si>
  <si>
    <t>037-192-026</t>
  </si>
  <si>
    <t>037-530-042</t>
  </si>
  <si>
    <t>037-530-053</t>
  </si>
  <si>
    <t>037-540-024</t>
  </si>
  <si>
    <t>037-540-025</t>
  </si>
  <si>
    <t>037-540-026</t>
  </si>
  <si>
    <t>037-540-027</t>
  </si>
  <si>
    <t>037-540-028</t>
  </si>
  <si>
    <t>037-540-029</t>
  </si>
  <si>
    <t>037-540-030</t>
  </si>
  <si>
    <t>037-540-031</t>
  </si>
  <si>
    <t>037-540-032</t>
  </si>
  <si>
    <t>037-540-033</t>
  </si>
  <si>
    <t>037-550-027</t>
  </si>
  <si>
    <t>037-550-028</t>
  </si>
  <si>
    <t>037-550-029</t>
  </si>
  <si>
    <t>037-550-051</t>
  </si>
  <si>
    <t>037-550-052</t>
  </si>
  <si>
    <t>037-550-058</t>
  </si>
  <si>
    <t>037-550-059</t>
  </si>
  <si>
    <t>037-550-060</t>
  </si>
  <si>
    <t>037-550-062</t>
  </si>
  <si>
    <t>037-550-063</t>
  </si>
  <si>
    <t>037-550-065</t>
  </si>
  <si>
    <t>037-550-092</t>
  </si>
  <si>
    <t>037-550-102</t>
  </si>
  <si>
    <t>037-550-103</t>
  </si>
  <si>
    <t>037-550-104</t>
  </si>
  <si>
    <t>037-550-109</t>
  </si>
  <si>
    <t>037-550-110</t>
  </si>
  <si>
    <t>037-550-111</t>
  </si>
  <si>
    <t>037-550-112</t>
  </si>
  <si>
    <t>037-550-113</t>
  </si>
  <si>
    <t>037-550-114</t>
  </si>
  <si>
    <t>037-550-115</t>
  </si>
  <si>
    <t>037-550-116</t>
  </si>
  <si>
    <t>037-550-118</t>
  </si>
  <si>
    <t>037-550-119</t>
  </si>
  <si>
    <t>037-550-120</t>
  </si>
  <si>
    <t>037-550-121</t>
  </si>
  <si>
    <t>037-550-122</t>
  </si>
  <si>
    <t>037-550-124</t>
  </si>
  <si>
    <t>037-550-125</t>
  </si>
  <si>
    <t>037-550-126</t>
  </si>
  <si>
    <t>037-550-127</t>
  </si>
  <si>
    <t>037-550-128</t>
  </si>
  <si>
    <t>037-550-129</t>
  </si>
  <si>
    <t>037-550-130</t>
  </si>
  <si>
    <t>037-550-131</t>
  </si>
  <si>
    <t>037-550-132</t>
  </si>
  <si>
    <t>037-550-133</t>
  </si>
  <si>
    <t>037-560-001</t>
  </si>
  <si>
    <t>037-560-002</t>
  </si>
  <si>
    <t>037-560-003</t>
  </si>
  <si>
    <t>037-560-004</t>
  </si>
  <si>
    <t>037-560-005</t>
  </si>
  <si>
    <t>037-560-006</t>
  </si>
  <si>
    <t>037-560-016</t>
  </si>
  <si>
    <t>037-560-017</t>
  </si>
  <si>
    <t>037-560-019</t>
  </si>
  <si>
    <t>037-560-020</t>
  </si>
  <si>
    <t>037-560-021</t>
  </si>
  <si>
    <t>037-560-050</t>
  </si>
  <si>
    <t>037-560-064</t>
  </si>
  <si>
    <t>037-560-074</t>
  </si>
  <si>
    <t>037-560-075</t>
  </si>
  <si>
    <t>037-560-076</t>
  </si>
  <si>
    <t>037-560-077</t>
  </si>
  <si>
    <t>037-560-078</t>
  </si>
  <si>
    <t>037-560-079</t>
  </si>
  <si>
    <t>037-560-080</t>
  </si>
  <si>
    <t>037-560-091</t>
  </si>
  <si>
    <t>037-560-092</t>
  </si>
  <si>
    <t>037-560-095</t>
  </si>
  <si>
    <t>037-580-002</t>
  </si>
  <si>
    <t>037-580-004</t>
  </si>
  <si>
    <t>037-580-005</t>
  </si>
  <si>
    <t>037-580-008</t>
  </si>
  <si>
    <t>037-580-009</t>
  </si>
  <si>
    <t>037-580-010</t>
  </si>
  <si>
    <t>037-580-011</t>
  </si>
  <si>
    <t>037-580-013</t>
  </si>
  <si>
    <t>037-580-014</t>
  </si>
  <si>
    <t>037-580-015</t>
  </si>
  <si>
    <t>037-580-016</t>
  </si>
  <si>
    <t>037-580-017</t>
  </si>
  <si>
    <t>037-580-018</t>
  </si>
  <si>
    <t>037-580-019</t>
  </si>
  <si>
    <t>037-580-020</t>
  </si>
  <si>
    <t>037-580-021</t>
  </si>
  <si>
    <t>037-580-022</t>
  </si>
  <si>
    <t>037-580-023</t>
  </si>
  <si>
    <t>037-580-026</t>
  </si>
  <si>
    <t>037-580-044</t>
  </si>
  <si>
    <t>037-580-069</t>
  </si>
  <si>
    <t>037-580-085</t>
  </si>
  <si>
    <t>037-580-087</t>
  </si>
  <si>
    <t>037-590-006</t>
  </si>
  <si>
    <t>037-590-007</t>
  </si>
  <si>
    <t>037-590-008</t>
  </si>
  <si>
    <t>037-590-009</t>
  </si>
  <si>
    <t>037-590-010</t>
  </si>
  <si>
    <t>037-590-011</t>
  </si>
  <si>
    <t>037-590-012</t>
  </si>
  <si>
    <t>037-590-014</t>
  </si>
  <si>
    <t>037-590-015</t>
  </si>
  <si>
    <t>037-590-016</t>
  </si>
  <si>
    <t>037-590-017</t>
  </si>
  <si>
    <t>037-590-018</t>
  </si>
  <si>
    <t>037-590-019</t>
  </si>
  <si>
    <t>037-590-020</t>
  </si>
  <si>
    <t>037-590-021</t>
  </si>
  <si>
    <t>037-590-022</t>
  </si>
  <si>
    <t>037-590-025</t>
  </si>
  <si>
    <t>037-590-059</t>
  </si>
  <si>
    <t>037-590-061</t>
  </si>
  <si>
    <t>037-590-062</t>
  </si>
  <si>
    <t>037-590-066</t>
  </si>
  <si>
    <t>037-590-068</t>
  </si>
  <si>
    <t>037-590-069</t>
  </si>
  <si>
    <t>037-590-070</t>
  </si>
  <si>
    <t>037-590-071</t>
  </si>
  <si>
    <t>037-590-072</t>
  </si>
  <si>
    <t>037-590-073</t>
  </si>
  <si>
    <t>037-590-074</t>
  </si>
  <si>
    <t>037-590-085</t>
  </si>
  <si>
    <t>037-590-086</t>
  </si>
  <si>
    <t>037-590-087</t>
  </si>
  <si>
    <t>037-590-088</t>
  </si>
  <si>
    <t>037-590-089</t>
  </si>
  <si>
    <t>037-590-091</t>
  </si>
  <si>
    <t>037-590-092</t>
  </si>
  <si>
    <t>037-600-007</t>
  </si>
  <si>
    <t>037-600-011</t>
  </si>
  <si>
    <t>037-600-012</t>
  </si>
  <si>
    <t>037-600-013</t>
  </si>
  <si>
    <t>037-600-014</t>
  </si>
  <si>
    <t>037-600-015</t>
  </si>
  <si>
    <t>037-600-016</t>
  </si>
  <si>
    <t>037-600-017</t>
  </si>
  <si>
    <t>037-600-018</t>
  </si>
  <si>
    <t>037-600-019</t>
  </si>
  <si>
    <t>037-600-020</t>
  </si>
  <si>
    <t>037-600-021</t>
  </si>
  <si>
    <t>037-600-022</t>
  </si>
  <si>
    <t>037-600-024</t>
  </si>
  <si>
    <t>037-600-026</t>
  </si>
  <si>
    <t>037-600-027</t>
  </si>
  <si>
    <t>037-600-028</t>
  </si>
  <si>
    <t>037-600-029</t>
  </si>
  <si>
    <t>037-600-030</t>
  </si>
  <si>
    <t>037-600-031</t>
  </si>
  <si>
    <t>037-600-032</t>
  </si>
  <si>
    <t>037-600-033</t>
  </si>
  <si>
    <t>037-600-034</t>
  </si>
  <si>
    <t>037-600-037</t>
  </si>
  <si>
    <t>037-600-038</t>
  </si>
  <si>
    <t>037-600-040</t>
  </si>
  <si>
    <t>037-600-042</t>
  </si>
  <si>
    <t>037-720-024</t>
  </si>
  <si>
    <t>037-720-025</t>
  </si>
  <si>
    <t>037-720-026</t>
  </si>
  <si>
    <t>037-720-027</t>
  </si>
  <si>
    <t>052-192-013</t>
  </si>
  <si>
    <t>032-450-002</t>
  </si>
  <si>
    <t>032-450-003</t>
  </si>
  <si>
    <t>032-450-021</t>
  </si>
  <si>
    <t>032-560-164</t>
  </si>
  <si>
    <t>032-560-165</t>
  </si>
  <si>
    <t>032-560-166</t>
  </si>
  <si>
    <t>034-290-104</t>
  </si>
  <si>
    <t>034-290-105</t>
  </si>
  <si>
    <t>034-290-106</t>
  </si>
  <si>
    <t>034-290-107</t>
  </si>
  <si>
    <t>034-290-108</t>
  </si>
  <si>
    <t>034-290-109</t>
  </si>
  <si>
    <t>034-290-110</t>
  </si>
  <si>
    <t>034-290-113</t>
  </si>
  <si>
    <t>034-290-114</t>
  </si>
  <si>
    <t>034-290-115</t>
  </si>
  <si>
    <t>034-290-117</t>
  </si>
  <si>
    <t>034-290-120</t>
  </si>
  <si>
    <t>034-290-121</t>
  </si>
  <si>
    <t>034-290-122</t>
  </si>
  <si>
    <t>034-290-123</t>
  </si>
  <si>
    <t>034-360-103</t>
  </si>
  <si>
    <t>034-360-105</t>
  </si>
  <si>
    <t>034-360-106</t>
  </si>
  <si>
    <t>034-360-107</t>
  </si>
  <si>
    <t>034-360-109</t>
  </si>
  <si>
    <t>034-640-003</t>
  </si>
  <si>
    <t>034-640-004</t>
  </si>
  <si>
    <t>034-640-007</t>
  </si>
  <si>
    <t>034-640-008</t>
  </si>
  <si>
    <t>034-640-009</t>
  </si>
  <si>
    <t>034-640-010</t>
  </si>
  <si>
    <t>034-640-011</t>
  </si>
  <si>
    <t>034-640-012</t>
  </si>
  <si>
    <t>034-640-013</t>
  </si>
  <si>
    <t>034-640-014</t>
  </si>
  <si>
    <t>034-640-015</t>
  </si>
  <si>
    <t>034-640-016</t>
  </si>
  <si>
    <t>034-640-017</t>
  </si>
  <si>
    <t>034-640-018</t>
  </si>
  <si>
    <t>034-640-032</t>
  </si>
  <si>
    <t>034-640-035</t>
  </si>
  <si>
    <t>034-640-036</t>
  </si>
  <si>
    <t>034-640-037</t>
  </si>
  <si>
    <t>034-640-038</t>
  </si>
  <si>
    <t>034-640-051</t>
  </si>
  <si>
    <t>034-640-052</t>
  </si>
  <si>
    <t>034-640-053</t>
  </si>
  <si>
    <t>035-720-020</t>
  </si>
  <si>
    <t>037-560-081</t>
  </si>
  <si>
    <t>037-560-082</t>
  </si>
  <si>
    <t>037-560-083</t>
  </si>
  <si>
    <t>037-560-084</t>
  </si>
  <si>
    <t>037-560-085</t>
  </si>
  <si>
    <t>037-560-086</t>
  </si>
  <si>
    <t>037-590-001</t>
  </si>
  <si>
    <t>037-590-002</t>
  </si>
  <si>
    <t>037-590-003</t>
  </si>
  <si>
    <t>037-590-004</t>
  </si>
  <si>
    <t>037-590-005</t>
  </si>
  <si>
    <t>037-590-023</t>
  </si>
  <si>
    <t>037-590-024</t>
  </si>
  <si>
    <t>037-590-026</t>
  </si>
  <si>
    <t>037-590-027</t>
  </si>
  <si>
    <t>037-590-028</t>
  </si>
  <si>
    <t>037-590-029</t>
  </si>
  <si>
    <t>037-590-063</t>
  </si>
  <si>
    <t>037-590-064</t>
  </si>
  <si>
    <t>037-590-065</t>
  </si>
  <si>
    <t>037-590-067</t>
  </si>
  <si>
    <t>037-590-075</t>
  </si>
  <si>
    <t>037-590-076</t>
  </si>
  <si>
    <t>037-590-077</t>
  </si>
  <si>
    <t>037-590-078</t>
  </si>
  <si>
    <t>037-590-079</t>
  </si>
  <si>
    <t>037-590-080</t>
  </si>
  <si>
    <t>037-590-081</t>
  </si>
  <si>
    <t>037-590-082</t>
  </si>
  <si>
    <t>037-590-083</t>
  </si>
  <si>
    <t>037-590-084</t>
  </si>
  <si>
    <t>037-600-001</t>
  </si>
  <si>
    <t>037-600-002</t>
  </si>
  <si>
    <t>037-600-003</t>
  </si>
  <si>
    <t>037-600-004</t>
  </si>
  <si>
    <t>037-600-005</t>
  </si>
  <si>
    <t>037-600-006</t>
  </si>
  <si>
    <t>037-600-008</t>
  </si>
  <si>
    <t>037-600-023</t>
  </si>
  <si>
    <t>037-600-025</t>
  </si>
  <si>
    <t>037-600-035</t>
  </si>
  <si>
    <t>037-600-036</t>
  </si>
  <si>
    <t>037-600-041</t>
  </si>
  <si>
    <t>037-600-043</t>
  </si>
  <si>
    <t>037-600-044</t>
  </si>
  <si>
    <t>037-600-045</t>
  </si>
  <si>
    <t>037-600-046</t>
  </si>
  <si>
    <t>037-600-047</t>
  </si>
  <si>
    <t>037-600-048</t>
  </si>
  <si>
    <t>037-600-049</t>
  </si>
  <si>
    <t>037-600-050</t>
  </si>
  <si>
    <t>037-600-051</t>
  </si>
  <si>
    <t>037-600-052</t>
  </si>
  <si>
    <t>037-600-053</t>
  </si>
  <si>
    <t>037-600-054</t>
  </si>
  <si>
    <t>2789 MANRESA SHORE LN</t>
  </si>
  <si>
    <t>2771 MANRESA SHORE LN</t>
  </si>
  <si>
    <t>2765 MANRESA SHORE LN</t>
  </si>
  <si>
    <t>2753 MANRESA SHORE LN</t>
  </si>
  <si>
    <t>2747 MANRESA SHORE LN</t>
  </si>
  <si>
    <t>2741 MANRESA SHORE LN</t>
  </si>
  <si>
    <t>2735 MANRESA SHORE LN</t>
  </si>
  <si>
    <t>2723 MANRESA SHORE LN</t>
  </si>
  <si>
    <t>2730 MANRESA SHORE LN</t>
  </si>
  <si>
    <t>6199 SELLERS AVE</t>
  </si>
  <si>
    <t>20 ZION CT</t>
  </si>
  <si>
    <t>1207 SIERRA TRAIL RD</t>
  </si>
  <si>
    <t>1217 SIERRA TRAIL RD</t>
  </si>
  <si>
    <t>109 BRIDALVEIL WAY</t>
  </si>
  <si>
    <t>100 WHITNEY CT</t>
  </si>
  <si>
    <t>3839 PATO LN</t>
  </si>
  <si>
    <t>3835 PATO LN</t>
  </si>
  <si>
    <t>3822 PATO LN</t>
  </si>
  <si>
    <t>3830 PATO LN</t>
  </si>
  <si>
    <t>3834 PATO LN</t>
  </si>
  <si>
    <t>428 ACACIA DR</t>
  </si>
  <si>
    <t>426 ACACIA DR</t>
  </si>
  <si>
    <t>422 PINENUT ST</t>
  </si>
  <si>
    <t>418 PINENUT ST</t>
  </si>
  <si>
    <t>416 PINENUT ST</t>
  </si>
  <si>
    <t>412 PINENUT ST</t>
  </si>
  <si>
    <t>415 PINENUT ST</t>
  </si>
  <si>
    <t>419 PINENUT ST</t>
  </si>
  <si>
    <t>169 LITTLE RANCH CIR</t>
  </si>
  <si>
    <t>167 LITTLE RANCH CIR</t>
  </si>
  <si>
    <t>165 LITTLE RANCH CIR</t>
  </si>
  <si>
    <t>163 LITTLE RANCH CIR</t>
  </si>
  <si>
    <t>161 LITTLE RANCH CIR</t>
  </si>
  <si>
    <t>159 LITTLE RANCH CIR</t>
  </si>
  <si>
    <t>157 LITTLE RANCH CIR</t>
  </si>
  <si>
    <t>155 LITTLE RANCH CIR</t>
  </si>
  <si>
    <t>153 LITTLE RANCH CIR</t>
  </si>
  <si>
    <t>151 LITTLE RANCH CIR</t>
  </si>
  <si>
    <t>3732 MOSSWOOD DR</t>
  </si>
  <si>
    <t>3728 MOSSWOOD DR</t>
  </si>
  <si>
    <t>3716 MOSSWOOD DR</t>
  </si>
  <si>
    <t>3712 MOSSWOOD DR</t>
  </si>
  <si>
    <t>441 DIAMOND PEAK LN</t>
  </si>
  <si>
    <t>449 DIAMOND PEAK LN</t>
  </si>
  <si>
    <t>453 DIAMOND PEAK LN</t>
  </si>
  <si>
    <t>501 QUICKSILVER CT</t>
  </si>
  <si>
    <t>507 QUICKSILVER CT</t>
  </si>
  <si>
    <t>521 MERCURY CT</t>
  </si>
  <si>
    <t>527 MERCURY CT</t>
  </si>
  <si>
    <t>532 MERCURY CT</t>
  </si>
  <si>
    <t>526 MERCURY CT</t>
  </si>
  <si>
    <t>520 MERCURY CT</t>
  </si>
  <si>
    <t>856 IBIS DR</t>
  </si>
  <si>
    <t>864 IBIS DR</t>
  </si>
  <si>
    <t>868 IBIS DR</t>
  </si>
  <si>
    <t>872 IBIS DR</t>
  </si>
  <si>
    <t>806 DUNMORE ST</t>
  </si>
  <si>
    <t>839 DUNMORE ST</t>
  </si>
  <si>
    <t>302 BLUESTONE DR</t>
  </si>
  <si>
    <t>306 BLUESTONE DR</t>
  </si>
  <si>
    <t>310 BLUESTONE DR</t>
  </si>
  <si>
    <t>314 BLUESTONE DR</t>
  </si>
  <si>
    <t>318 BLUESTONE DR</t>
  </si>
  <si>
    <t>322 BLUESTONE DR</t>
  </si>
  <si>
    <t>326 BLUESTONE DR</t>
  </si>
  <si>
    <t>330 BLUESTONE DR</t>
  </si>
  <si>
    <t>334 BLUESTONE DR</t>
  </si>
  <si>
    <t>338 BLUESTONE DR</t>
  </si>
  <si>
    <t>701 WESTMOOR CIR</t>
  </si>
  <si>
    <t>705 WESTMOOR CIR</t>
  </si>
  <si>
    <t>709 WESTMOOR CIR</t>
  </si>
  <si>
    <t>708 WESTMOOR CIR</t>
  </si>
  <si>
    <t>704 WESTMOOR CIR</t>
  </si>
  <si>
    <t>817 SHEARWATER WAY</t>
  </si>
  <si>
    <t>821 SHEARWATER WAY</t>
  </si>
  <si>
    <t>825 SHEARWATER WAY</t>
  </si>
  <si>
    <t>806 WESTMOOR CIR</t>
  </si>
  <si>
    <t>802 WESTMOOR CIR</t>
  </si>
  <si>
    <t>794 WESTMOOR CIR</t>
  </si>
  <si>
    <t>945 PENDLETON CT</t>
  </si>
  <si>
    <t>908 PENDLETON CT</t>
  </si>
  <si>
    <t>904 PENDLETON CT</t>
  </si>
  <si>
    <t>900 PENDLETON CT</t>
  </si>
  <si>
    <t>501 BRINWOOD WAY</t>
  </si>
  <si>
    <t>505 BRINWOOD WAY</t>
  </si>
  <si>
    <t>509 BRINWOOD WAY</t>
  </si>
  <si>
    <t>513 BRINWOOD WAY</t>
  </si>
  <si>
    <t>517 BRINWOOD WAY</t>
  </si>
  <si>
    <t>521 BRINWOOD WAY</t>
  </si>
  <si>
    <t>525 BRINWOOD WAY</t>
  </si>
  <si>
    <t>529 BRINWOOD WAY</t>
  </si>
  <si>
    <t>537 BRINWOOD WAY</t>
  </si>
  <si>
    <t>541 BRINWOOD WAY</t>
  </si>
  <si>
    <t>545 BRINWOOD WAY</t>
  </si>
  <si>
    <t>549 BRINWOOD WAY</t>
  </si>
  <si>
    <t>544 BRINWOOD WAY</t>
  </si>
  <si>
    <t>536 BRINWOOD WAY</t>
  </si>
  <si>
    <t>532 BRINWOOD WAY</t>
  </si>
  <si>
    <t>528 BRINWOOD WAY</t>
  </si>
  <si>
    <t>524 BRINWOOD WAY</t>
  </si>
  <si>
    <t>520 BRINWOOD WAY</t>
  </si>
  <si>
    <t>516 BRINWOOD WAY</t>
  </si>
  <si>
    <t>512 BRINWOOD WAY</t>
  </si>
  <si>
    <t>508 BRINWOOD WAY</t>
  </si>
  <si>
    <t>504 BRINWOOD WAY</t>
  </si>
  <si>
    <t>500 BRINWOOD WAY</t>
  </si>
  <si>
    <t>105 WILLOWRUN WAY</t>
  </si>
  <si>
    <t>109 WILLOWRUN WAY</t>
  </si>
  <si>
    <t>113 WILLOWRUN WAY</t>
  </si>
  <si>
    <t>117 WILLOWRUN WAY</t>
  </si>
  <si>
    <t>121 WILLOWRUN WAY</t>
  </si>
  <si>
    <t>125 WILLOWRUN WAY</t>
  </si>
  <si>
    <t>120 WILLOWRUN WAY</t>
  </si>
  <si>
    <t>116 WILLOWRUN WAY</t>
  </si>
  <si>
    <t>108 WILLOWRUN WAY</t>
  </si>
  <si>
    <t>104 WILLOWRUN WAY</t>
  </si>
  <si>
    <t>100 WILLOWRUN WAY</t>
  </si>
  <si>
    <t>237 AMBERWIND CIR</t>
  </si>
  <si>
    <t>218 AMBERWIND CIR</t>
  </si>
  <si>
    <t>213 WILLOWRUN WAY</t>
  </si>
  <si>
    <t>209 WILLOWRUN WAY</t>
  </si>
  <si>
    <t>205 WILLOWRUN WAY</t>
  </si>
  <si>
    <t>201 WILLOWRUN WAY</t>
  </si>
  <si>
    <t>197 WILLOWRUN WAY</t>
  </si>
  <si>
    <t>193 WILLOWRUN WAY</t>
  </si>
  <si>
    <t>189 WILLOWRUN WAY</t>
  </si>
  <si>
    <t>352 COOLCREST DR</t>
  </si>
  <si>
    <t>356 COOLCREST DR</t>
  </si>
  <si>
    <t>368 COOLCREST DR</t>
  </si>
  <si>
    <t>151 AMBERWIND CIR</t>
  </si>
  <si>
    <t>159 AMBERWIND CIR</t>
  </si>
  <si>
    <t>163 AMBERWIND CIR</t>
  </si>
  <si>
    <t>175 AMBERWIND CIR</t>
  </si>
  <si>
    <t>179 AMBERWIND CIR</t>
  </si>
  <si>
    <t>183 AMBERWIND CIR</t>
  </si>
  <si>
    <t>187 AMBERWIND CIR</t>
  </si>
  <si>
    <t>195 AMBERWIND CIR</t>
  </si>
  <si>
    <t>199 AMBERWIND CIR</t>
  </si>
  <si>
    <t>200 AMBERWIND CIR</t>
  </si>
  <si>
    <t>196 AMBERWIND CIR</t>
  </si>
  <si>
    <t>192 AMBERWIND CIR</t>
  </si>
  <si>
    <t>188 AMBERWIND CIR</t>
  </si>
  <si>
    <t>184 AMBERWIND CIR</t>
  </si>
  <si>
    <t>180 AMBERWIND CIR</t>
  </si>
  <si>
    <t>176 AMBERWIND CIR</t>
  </si>
  <si>
    <t>172 AMBERWIND CIR</t>
  </si>
  <si>
    <t>168 AMBERWIND CIR</t>
  </si>
  <si>
    <t>156 AMBERWIND CIR</t>
  </si>
  <si>
    <t>296 COOLCREST DR</t>
  </si>
  <si>
    <t>339 COOLCREST DR</t>
  </si>
  <si>
    <t>328 COOLCREST DR</t>
  </si>
  <si>
    <t>336 COOLCREST DR</t>
  </si>
  <si>
    <t>353 PARKFIELD WAY</t>
  </si>
  <si>
    <t>357 PARKFIELD WAY</t>
  </si>
  <si>
    <t>361 PARKFIELD WAY</t>
  </si>
  <si>
    <t>365 PARKFIELD WAY</t>
  </si>
  <si>
    <t>369 PARKFIELD WAY</t>
  </si>
  <si>
    <t>373 PARKFIELD WAY</t>
  </si>
  <si>
    <t>377 PARKFIELD WAY</t>
  </si>
  <si>
    <t>385 PARKFIELD WAY</t>
  </si>
  <si>
    <t>389 PARKFIELD WAY</t>
  </si>
  <si>
    <t>393 PARKFIELD WAY</t>
  </si>
  <si>
    <t>390 PARKFIELD WAY</t>
  </si>
  <si>
    <t>386 PARKFIELD WAY</t>
  </si>
  <si>
    <t>382 PARKFIELD WAY</t>
  </si>
  <si>
    <t>378 PARKFIELD WAY</t>
  </si>
  <si>
    <t>374 PARKFIELD WAY</t>
  </si>
  <si>
    <t>366 PARKFIELD WAY</t>
  </si>
  <si>
    <t>354 PARKFIELD WAY</t>
  </si>
  <si>
    <t>230 WYNN ST</t>
  </si>
  <si>
    <t>222 WYNN ST</t>
  </si>
  <si>
    <t>218 WYNN ST</t>
  </si>
  <si>
    <t>202 WYNN ST</t>
  </si>
  <si>
    <t>205 WYNN ST</t>
  </si>
  <si>
    <t>209 WYNN ST</t>
  </si>
  <si>
    <t>213 WYNN ST</t>
  </si>
  <si>
    <t>217 WYNN ST</t>
  </si>
  <si>
    <t>221 WYNN ST</t>
  </si>
  <si>
    <t>225 WYNN ST</t>
  </si>
  <si>
    <t>229 WYNN ST</t>
  </si>
  <si>
    <t>228 SHEARWATER WAY</t>
  </si>
  <si>
    <t>224 SHEARWATER WAY</t>
  </si>
  <si>
    <t>220 SHEARWATER WAY</t>
  </si>
  <si>
    <t>216 SHEARWATER WAY</t>
  </si>
  <si>
    <t>212 SHEARWATER WAY</t>
  </si>
  <si>
    <t>204 SHEARWATER WAY</t>
  </si>
  <si>
    <t>200 SHEARWATER WAY</t>
  </si>
  <si>
    <t>376 COOLCREST DR</t>
  </si>
  <si>
    <t>392 COOLCREST DR</t>
  </si>
  <si>
    <t>204 LITTLETON ST</t>
  </si>
  <si>
    <t>216 LITTLETON ST</t>
  </si>
  <si>
    <t>219 LITTLETON ST</t>
  </si>
  <si>
    <t>220 LITTLETON ST</t>
  </si>
  <si>
    <t>223 LITTLETON ST</t>
  </si>
  <si>
    <t>227 LITTLETON ST</t>
  </si>
  <si>
    <t>228 LITTLETON ST</t>
  </si>
  <si>
    <t>231 LITTLETON ST</t>
  </si>
  <si>
    <t>232 LITTLETON ST</t>
  </si>
  <si>
    <t>388 COOLCREST DR</t>
  </si>
  <si>
    <t>396 COOLCREST DR</t>
  </si>
  <si>
    <t>948 WINDDRIFT WAY</t>
  </si>
  <si>
    <t>953 WINDDRIFT WAY</t>
  </si>
  <si>
    <t>949 WINDDRIFT WAY</t>
  </si>
  <si>
    <t>945 WINDDRIFT WAY</t>
  </si>
  <si>
    <t>941 WINDDRIFT WAY</t>
  </si>
  <si>
    <t>937 WINDDRIFT WAY</t>
  </si>
  <si>
    <t>933 WINDDRIFT WAY</t>
  </si>
  <si>
    <t>929 WINDDRIFT WAY</t>
  </si>
  <si>
    <t>925 WINDDRIFT WAY</t>
  </si>
  <si>
    <t>921 WINDDRIFT WAY</t>
  </si>
  <si>
    <t>917 WINDDRIFT WAY</t>
  </si>
  <si>
    <t>909 WINDDRIFT WAY</t>
  </si>
  <si>
    <t>901 WINDDRIFT WAY</t>
  </si>
  <si>
    <t>900 WINDDRIFT WAY</t>
  </si>
  <si>
    <t>904 WINDDRIFT WAY</t>
  </si>
  <si>
    <t>908 WINDDRIFT WAY</t>
  </si>
  <si>
    <t>912 WINDDRIFT WAY</t>
  </si>
  <si>
    <t>916 WINDDRIFT WAY</t>
  </si>
  <si>
    <t>920 WINDDRIFT WAY</t>
  </si>
  <si>
    <t>924 WINDDRIFT</t>
  </si>
  <si>
    <t>928 WINDDRIFT WAY</t>
  </si>
  <si>
    <t>940 WINDDRIFT WAY</t>
  </si>
  <si>
    <t>944 WINDDRIFT WAY</t>
  </si>
  <si>
    <t>952 WINDDRIFT WAY</t>
  </si>
  <si>
    <t>849 RIVERROCK DR</t>
  </si>
  <si>
    <t>513 QUICKSILVER CT</t>
  </si>
  <si>
    <t>512 QUICKSILVER CT</t>
  </si>
  <si>
    <t>506 QUICKSILVER CT</t>
  </si>
  <si>
    <t>500 QUICKSILVER CT</t>
  </si>
  <si>
    <t>35 MADEIRA CT</t>
  </si>
  <si>
    <t>2783 MANRESA SHORE LN</t>
  </si>
  <si>
    <t>2777 MANRESA SHORE LN</t>
  </si>
  <si>
    <t>2736 MANRESA SHORE LN</t>
  </si>
  <si>
    <t>549 MARATHON DR</t>
  </si>
  <si>
    <t>545 MARATHON DR</t>
  </si>
  <si>
    <t>541 MARATHON DR</t>
  </si>
  <si>
    <t>38 PATO CT</t>
  </si>
  <si>
    <t>34 PATO CT</t>
  </si>
  <si>
    <t>30 PATO CT</t>
  </si>
  <si>
    <t>3855 PATO LN</t>
  </si>
  <si>
    <t>3851 PATO LN</t>
  </si>
  <si>
    <t>3847 PATO LN</t>
  </si>
  <si>
    <t>3843 PATO LN</t>
  </si>
  <si>
    <t>3831 PATO LN</t>
  </si>
  <si>
    <t>3827 PATO LN</t>
  </si>
  <si>
    <t>3823 PATO LN</t>
  </si>
  <si>
    <t>3826 PATO LN</t>
  </si>
  <si>
    <t>3838 PATO LN</t>
  </si>
  <si>
    <t>3842 PATO LN</t>
  </si>
  <si>
    <t>3846 PATO LN</t>
  </si>
  <si>
    <t>39 PATO CT</t>
  </si>
  <si>
    <t>414 PINENUT ST</t>
  </si>
  <si>
    <t>410 PINENUT ST</t>
  </si>
  <si>
    <t>411 PINENUT ST</t>
  </si>
  <si>
    <t>413 PINENUT ST</t>
  </si>
  <si>
    <t>417 PINENUT ST</t>
  </si>
  <si>
    <t>3724 MOSSWOOD DR</t>
  </si>
  <si>
    <t>3720 MOSSWOOD DR</t>
  </si>
  <si>
    <t>353 BARN DANCE WAY</t>
  </si>
  <si>
    <t>349 BARN DANCE WAY</t>
  </si>
  <si>
    <t>345 BARN DANCE WAY</t>
  </si>
  <si>
    <t>341 BARN DANCE WAY</t>
  </si>
  <si>
    <t>337 BARN DANCE WAY</t>
  </si>
  <si>
    <t>333 BARN DANCE WAY</t>
  </si>
  <si>
    <t>329 BARN DANCE WAY</t>
  </si>
  <si>
    <t>325 BARN DANCE WAY</t>
  </si>
  <si>
    <t>321 BARN DANCE WAY</t>
  </si>
  <si>
    <t>317 BARN DANCE WAY</t>
  </si>
  <si>
    <t>313 BARN DANCE WAY</t>
  </si>
  <si>
    <t>309 BARN DANCE WAY</t>
  </si>
  <si>
    <t>445 DIAMOND PEAK LN</t>
  </si>
  <si>
    <t>585 SAPPHIRE PKWY</t>
  </si>
  <si>
    <t>589 SAPPHIRE PKWY</t>
  </si>
  <si>
    <t>593 SAPPHIRE PKWY</t>
  </si>
  <si>
    <t>597 SAPPHIRE PKWY</t>
  </si>
  <si>
    <t>727 RUBY HILL LN</t>
  </si>
  <si>
    <t>731 RUBY HILL LN</t>
  </si>
  <si>
    <t>735 RUBY HILL LN</t>
  </si>
  <si>
    <t>461 BRISTOL CT</t>
  </si>
  <si>
    <t>800 RIVERROCK DR</t>
  </si>
  <si>
    <t>804 RIVERROCK DR</t>
  </si>
  <si>
    <t>808 RIVERROCK DR</t>
  </si>
  <si>
    <t>812 RIVERRROCK DR</t>
  </si>
  <si>
    <t>816 RIVERROCK DR</t>
  </si>
  <si>
    <t>820 RIVERROCK DR</t>
  </si>
  <si>
    <t>333 PARKFIELD WAY</t>
  </si>
  <si>
    <t>337 PARKFIELD WAY</t>
  </si>
  <si>
    <t>341 PARKFIELD WAY</t>
  </si>
  <si>
    <t>345 PARKFIELD WAY</t>
  </si>
  <si>
    <t>349 PARKFIELD WAY</t>
  </si>
  <si>
    <t>362 PARKFIELD WAY</t>
  </si>
  <si>
    <t>358 PARKFIELD WAY</t>
  </si>
  <si>
    <t>346 PARKFIELD WAY</t>
  </si>
  <si>
    <t>342 PARKFIELD WAY</t>
  </si>
  <si>
    <t>338 PARKFIELD WAY</t>
  </si>
  <si>
    <t>334 PARKFIELD WAY</t>
  </si>
  <si>
    <t>214 WYNN ST</t>
  </si>
  <si>
    <t>210 WYNN ST</t>
  </si>
  <si>
    <t>206 WYNN ST</t>
  </si>
  <si>
    <t>201 WYNN ST</t>
  </si>
  <si>
    <t>233 WYNN ST</t>
  </si>
  <si>
    <t>237 WYNN ST</t>
  </si>
  <si>
    <t>241 WYNN ST</t>
  </si>
  <si>
    <t>363 HANSFORD WAY</t>
  </si>
  <si>
    <t>367 HANSFORD WAY</t>
  </si>
  <si>
    <t>371 HANSFORD WAY</t>
  </si>
  <si>
    <t>375 HANSFORD WAY</t>
  </si>
  <si>
    <t>240 SHEARWATER WAY</t>
  </si>
  <si>
    <t>236 SHEARWATER WAY</t>
  </si>
  <si>
    <t>232 SHEARWATER WAY</t>
  </si>
  <si>
    <t>832 RIVERROCK DR</t>
  </si>
  <si>
    <t>836 RIVERROCK DR</t>
  </si>
  <si>
    <t>840 RIVERROCK DR</t>
  </si>
  <si>
    <t>844 RIVERROCK DR</t>
  </si>
  <si>
    <t>848 RIVERROCK DR</t>
  </si>
  <si>
    <t>852 RIVERROCK DR</t>
  </si>
  <si>
    <t>380 COOLCREST DR</t>
  </si>
  <si>
    <t>203 LITTLETON ST</t>
  </si>
  <si>
    <t>207 LITTLETON ST</t>
  </si>
  <si>
    <t>208 LITTLETON ST</t>
  </si>
  <si>
    <t>211 LITTLETON ST</t>
  </si>
  <si>
    <t>212 LITTLETON ST</t>
  </si>
  <si>
    <t>215 LITTLETON ST</t>
  </si>
  <si>
    <t>224 LITTLETON ST</t>
  </si>
  <si>
    <t>384 COOLCREST DR</t>
  </si>
  <si>
    <t>913 WINDDRIFT WAY</t>
  </si>
  <si>
    <t>905 WINDDRIFT WAY</t>
  </si>
  <si>
    <t>932 WINDDRIFT WAY</t>
  </si>
  <si>
    <t>936 WINDDRIFT WAY</t>
  </si>
  <si>
    <t>853 RIVERROCK DR</t>
  </si>
  <si>
    <t>845 RIVERROCK DR</t>
  </si>
  <si>
    <t>841 RIVERROCK DR</t>
  </si>
  <si>
    <t>837 RIVERROCK DR</t>
  </si>
  <si>
    <t>833 RIVERROCK DR</t>
  </si>
  <si>
    <t>829 RIVERROCK DR</t>
  </si>
  <si>
    <t>825 RIVERROCK DR</t>
  </si>
  <si>
    <t>821 RIVERROCK DR</t>
  </si>
  <si>
    <t>817 RIVERROCK DR</t>
  </si>
  <si>
    <t>813 RIVERROCK DR</t>
  </si>
  <si>
    <t>809 RIVERROCK DR</t>
  </si>
  <si>
    <t>805 RIVERRROCK DR</t>
  </si>
  <si>
    <t>801 RIVERROCK DR</t>
  </si>
  <si>
    <t>BLD-2017-0240</t>
  </si>
  <si>
    <t>BLD-2014-0185</t>
  </si>
  <si>
    <t>BLD-2014-0186</t>
  </si>
  <si>
    <t>BLD-2017-0243</t>
  </si>
  <si>
    <t>BLD-2017-0244</t>
  </si>
  <si>
    <t>BLD-2017-0246</t>
  </si>
  <si>
    <t>BLD-2017-0247</t>
  </si>
  <si>
    <t>BLD-2017-0248</t>
  </si>
  <si>
    <t>BLD-2017-0249</t>
  </si>
  <si>
    <t>BLD-2016-1671</t>
  </si>
  <si>
    <t>BLD-2016-0555</t>
  </si>
  <si>
    <t>BLD-2016-1255</t>
  </si>
  <si>
    <t>BLD-2016-1257</t>
  </si>
  <si>
    <t>BLD-2015-0403</t>
  </si>
  <si>
    <t>BLD-2015-1069</t>
  </si>
  <si>
    <t>BLD-2017-1882</t>
  </si>
  <si>
    <t>BLD-2017-1896</t>
  </si>
  <si>
    <t>BLD-2017-1900</t>
  </si>
  <si>
    <t>BLD-2017-1902</t>
  </si>
  <si>
    <t>BLD-2017-1903</t>
  </si>
  <si>
    <t>BLD-2017-1793</t>
  </si>
  <si>
    <t>BLD-2017-1794</t>
  </si>
  <si>
    <t>BLD-2017-1796</t>
  </si>
  <si>
    <t>BLD-2017-1798</t>
  </si>
  <si>
    <t>BLD-2018-0180</t>
  </si>
  <si>
    <t>BLD-2018-0182</t>
  </si>
  <si>
    <t>BLD-2018-0189</t>
  </si>
  <si>
    <t>BLD-2017-1799</t>
  </si>
  <si>
    <t>BLD-2017-0849</t>
  </si>
  <si>
    <t>BLD-2017-0850</t>
  </si>
  <si>
    <t>BLD-2017-0851</t>
  </si>
  <si>
    <t>BLD-2017-0852</t>
  </si>
  <si>
    <t>BLD-2017-0853</t>
  </si>
  <si>
    <t>BLD-2017-0854</t>
  </si>
  <si>
    <t>BLD-2017-0855</t>
  </si>
  <si>
    <t>BLD-2017-0856</t>
  </si>
  <si>
    <t>BLD-2017-0857</t>
  </si>
  <si>
    <t>BLD-2017-0858</t>
  </si>
  <si>
    <t>BLD-2018-0355</t>
  </si>
  <si>
    <t>BLD-2018-0356</t>
  </si>
  <si>
    <t>BLD-2018-0359</t>
  </si>
  <si>
    <t>BLD-2018-0360</t>
  </si>
  <si>
    <t>BLD-2018-0407</t>
  </si>
  <si>
    <t>BLD-2018-0409</t>
  </si>
  <si>
    <t>BLD-2018-0410</t>
  </si>
  <si>
    <t>BLD-2016-1498</t>
  </si>
  <si>
    <t>BLD-2016-1499</t>
  </si>
  <si>
    <t>BLD-2016-1504</t>
  </si>
  <si>
    <t>BLD-2016-1505</t>
  </si>
  <si>
    <t>BLD-2016-1507</t>
  </si>
  <si>
    <t>BLD-2016-1508</t>
  </si>
  <si>
    <t>BLD-2016-1509</t>
  </si>
  <si>
    <t>BLD-2015-0411</t>
  </si>
  <si>
    <t>BLD-2015-0434</t>
  </si>
  <si>
    <t>BLD-2015-0435</t>
  </si>
  <si>
    <t>BLD-2015-0436</t>
  </si>
  <si>
    <t>BLD-2015-1299</t>
  </si>
  <si>
    <t>BLD-2016-0352</t>
  </si>
  <si>
    <t>BLD-2017-1332</t>
  </si>
  <si>
    <t>BLD-2017-1333</t>
  </si>
  <si>
    <t>BLD-2017-1334</t>
  </si>
  <si>
    <t>BLD-2017-1335</t>
  </si>
  <si>
    <t>BLD-2017-1336</t>
  </si>
  <si>
    <t>BLD-2017-1337</t>
  </si>
  <si>
    <t>BLD-2017-0916</t>
  </si>
  <si>
    <t>BLD-2017-0917</t>
  </si>
  <si>
    <t>BLD-2017-0918</t>
  </si>
  <si>
    <t>BLD-2017-1338</t>
  </si>
  <si>
    <t>BLD-2017-0658</t>
  </si>
  <si>
    <t>BLD-2017-0659</t>
  </si>
  <si>
    <t>BLD-2017-0660</t>
  </si>
  <si>
    <t>BLD-2017-0661</t>
  </si>
  <si>
    <t>BLD-2017-0662</t>
  </si>
  <si>
    <t>BLD-2017-0784</t>
  </si>
  <si>
    <t>BLD-2017-0785</t>
  </si>
  <si>
    <t>BLD-2017-0786</t>
  </si>
  <si>
    <t>BLD-2017-0477</t>
  </si>
  <si>
    <t>BLD-2017-0478</t>
  </si>
  <si>
    <t>BLD-2017-0480</t>
  </si>
  <si>
    <t>BLD-2017-0494</t>
  </si>
  <si>
    <t>BLD-2017-0787</t>
  </si>
  <si>
    <t>BLD-2017-0788</t>
  </si>
  <si>
    <t>BLD-2017-0789</t>
  </si>
  <si>
    <t>BLD-2017-0840</t>
  </si>
  <si>
    <t>BLD-2017-0841</t>
  </si>
  <si>
    <t>BLD-2017-0842</t>
  </si>
  <si>
    <t>BLD-2017-0843</t>
  </si>
  <si>
    <t>BLD-2017-0595</t>
  </si>
  <si>
    <t>BLD-2017-0596</t>
  </si>
  <si>
    <t>BLD-2017-0597</t>
  </si>
  <si>
    <t>BLD-2017-0598</t>
  </si>
  <si>
    <t>BLD-2017-0587</t>
  </si>
  <si>
    <t>BLD-2017-0588</t>
  </si>
  <si>
    <t>BLD-2017-0589</t>
  </si>
  <si>
    <t>BLD-2017-0590</t>
  </si>
  <si>
    <t>BLD-2017-0591</t>
  </si>
  <si>
    <t>BLD-2017-0593</t>
  </si>
  <si>
    <t>BLD-2017-0594</t>
  </si>
  <si>
    <t>BLD-2017-0599</t>
  </si>
  <si>
    <t>BLD-2017-0600</t>
  </si>
  <si>
    <t>BLD-2017-0601</t>
  </si>
  <si>
    <t>BLD-2017-0602</t>
  </si>
  <si>
    <t>BLD-2017-0844</t>
  </si>
  <si>
    <t>BLD-2017-0845</t>
  </si>
  <si>
    <t>BLD-2017-0846</t>
  </si>
  <si>
    <t>BLD-2017-0847</t>
  </si>
  <si>
    <t>BLD-2017-0919</t>
  </si>
  <si>
    <t>BLD-2017-0920</t>
  </si>
  <si>
    <t>BLD-2017-0619</t>
  </si>
  <si>
    <t>BLD-2017-0620</t>
  </si>
  <si>
    <t>BLD-2017-0622</t>
  </si>
  <si>
    <t>BLD-2017-0623</t>
  </si>
  <si>
    <t>BLD-2017-0625</t>
  </si>
  <si>
    <t>BLD-2017-0626</t>
  </si>
  <si>
    <t>BLD-2017-0921</t>
  </si>
  <si>
    <t>BLD-2017-0922</t>
  </si>
  <si>
    <t>BLD-2017-0923</t>
  </si>
  <si>
    <t>BLD-2016-0690</t>
  </si>
  <si>
    <t>BLD-2016-0442</t>
  </si>
  <si>
    <t>BLD-2016-0299</t>
  </si>
  <si>
    <t>BLD-2016-0301</t>
  </si>
  <si>
    <t>BLD-2016-0303</t>
  </si>
  <si>
    <t>BLD-2017-1179</t>
  </si>
  <si>
    <t>BLD-2017-1180</t>
  </si>
  <si>
    <t>BLD-2017-1181</t>
  </si>
  <si>
    <t>BLD-2017-1182</t>
  </si>
  <si>
    <t>BLD-2016-0383</t>
  </si>
  <si>
    <t>BLD-2016-0384</t>
  </si>
  <si>
    <t>BLD-2016-0387</t>
  </si>
  <si>
    <t>BLD-2017-0366</t>
  </si>
  <si>
    <t>BLD-2017-0370</t>
  </si>
  <si>
    <t>BLD-2017-0371</t>
  </si>
  <si>
    <t>BLD-2017-0826</t>
  </si>
  <si>
    <t>BLD-2017-0828</t>
  </si>
  <si>
    <t>BLD-2017-0829</t>
  </si>
  <si>
    <t>BLD-2017-0830</t>
  </si>
  <si>
    <t>BLD-2017-1174</t>
  </si>
  <si>
    <t>BLD-2017-1175</t>
  </si>
  <si>
    <t>BLD-2017-1176</t>
  </si>
  <si>
    <t>BLD-2017-1177</t>
  </si>
  <si>
    <t>BLD-2017-1178</t>
  </si>
  <si>
    <t>BLD-2017-0831</t>
  </si>
  <si>
    <t>BLD-2017-0832</t>
  </si>
  <si>
    <t>BLD-2017-0833</t>
  </si>
  <si>
    <t>BLD-2017-0834</t>
  </si>
  <si>
    <t>BLD-2017-0835</t>
  </si>
  <si>
    <t>BLD-2017-0373</t>
  </si>
  <si>
    <t>BLD-2017-0376</t>
  </si>
  <si>
    <t>BLD-2016-1301</t>
  </si>
  <si>
    <t>BLD-2016-0779</t>
  </si>
  <si>
    <t>BLD-2016-0942</t>
  </si>
  <si>
    <t>BLD-2016-0782</t>
  </si>
  <si>
    <t>BLD-2018-0268</t>
  </si>
  <si>
    <t>BLD-2018-0271</t>
  </si>
  <si>
    <t>BLD-2018-0270</t>
  </si>
  <si>
    <t>BLD-2018-0261</t>
  </si>
  <si>
    <t>BLD-2018-0262</t>
  </si>
  <si>
    <t>BLD-2018-0263</t>
  </si>
  <si>
    <t>BLD-2017-0932</t>
  </si>
  <si>
    <t>BLD-2017-0934</t>
  </si>
  <si>
    <t>BLD-2017-0935</t>
  </si>
  <si>
    <t>BLD-2017-0981</t>
  </si>
  <si>
    <t>BLD-2017-0936</t>
  </si>
  <si>
    <t>BLD-2017-0937</t>
  </si>
  <si>
    <t>BLD-2017-0938</t>
  </si>
  <si>
    <t>BLD-2017-0939</t>
  </si>
  <si>
    <t>BLD-2017-0940</t>
  </si>
  <si>
    <t>BLD-2018-0264</t>
  </si>
  <si>
    <t>BLD-2018-0267</t>
  </si>
  <si>
    <t>BLD-2017-1841</t>
  </si>
  <si>
    <t>BLD-2017-1843</t>
  </si>
  <si>
    <t>BLD-2017-1844</t>
  </si>
  <si>
    <t>BLD-2018-0256</t>
  </si>
  <si>
    <t>BLD-2018-0258</t>
  </si>
  <si>
    <t>BLD-2018-0259</t>
  </si>
  <si>
    <t>BLD-2018-0260</t>
  </si>
  <si>
    <t>BLD-2017-1845</t>
  </si>
  <si>
    <t>BLD-2017-1846</t>
  </si>
  <si>
    <t>BLD-2017-1847</t>
  </si>
  <si>
    <t>BLD-2017-1848</t>
  </si>
  <si>
    <t>BLD-2017-1850</t>
  </si>
  <si>
    <t>BLD-2017-1851</t>
  </si>
  <si>
    <t>BLD-2017-1852</t>
  </si>
  <si>
    <t>BLD-2017-1853</t>
  </si>
  <si>
    <t>BLD-2017-1854</t>
  </si>
  <si>
    <t>BLD-2017-1856</t>
  </si>
  <si>
    <t>BLD-2017-1857</t>
  </si>
  <si>
    <t>BLD-2018-0386</t>
  </si>
  <si>
    <t>BLD-2018-0403</t>
  </si>
  <si>
    <t>BLD-2018-0480</t>
  </si>
  <si>
    <t>BLD-2018-0477</t>
  </si>
  <si>
    <t>BLD-2018-0466</t>
  </si>
  <si>
    <t>BLD-2018-0465</t>
  </si>
  <si>
    <t>BLD-2018-0467</t>
  </si>
  <si>
    <t>BLD-2018-0468</t>
  </si>
  <si>
    <t>BLD-2018-0471</t>
  </si>
  <si>
    <t>BLD-2018-0469</t>
  </si>
  <si>
    <t>BLD-2018-0470</t>
  </si>
  <si>
    <t>BLD-2018-0399</t>
  </si>
  <si>
    <t>BLD-2018-0396</t>
  </si>
  <si>
    <t>BLD-2018-0401</t>
  </si>
  <si>
    <t>BLD-2018-0400</t>
  </si>
  <si>
    <t>BLD-2018-0397</t>
  </si>
  <si>
    <t>BLD-2018-0097</t>
  </si>
  <si>
    <t>BLD-2018-0098</t>
  </si>
  <si>
    <t>BLD-2018-0099</t>
  </si>
  <si>
    <t>BLD-2018-0119</t>
  </si>
  <si>
    <t>BLD-2018-0108</t>
  </si>
  <si>
    <t>BLD-2018-0110</t>
  </si>
  <si>
    <t>BLD-2018-0111</t>
  </si>
  <si>
    <t>BLD-2018-0112</t>
  </si>
  <si>
    <t>BLD-2017-1805</t>
  </si>
  <si>
    <t>BLD-2017-1807</t>
  </si>
  <si>
    <t>BLD-2017-1808</t>
  </si>
  <si>
    <t>BLD-2017-1809</t>
  </si>
  <si>
    <t>BLD-2017-1810</t>
  </si>
  <si>
    <t>BLD-2017-1811</t>
  </si>
  <si>
    <t>BLD-2018-0113</t>
  </si>
  <si>
    <t>BLD-2018-0115</t>
  </si>
  <si>
    <t>BLD-2018-0116</t>
  </si>
  <si>
    <t>BLD-2018-0117</t>
  </si>
  <si>
    <t>BLD-2018-0103</t>
  </si>
  <si>
    <t>BLD-2018-0105</t>
  </si>
  <si>
    <t>BLD-2018-0398</t>
  </si>
  <si>
    <t>BLD-2018-0389</t>
  </si>
  <si>
    <t>BLD-2016-1500</t>
  </si>
  <si>
    <t>BLD-2016-1501</t>
  </si>
  <si>
    <t>BLD-2016-1502</t>
  </si>
  <si>
    <t>BLD-2016-1503</t>
  </si>
  <si>
    <t>BLD-2016-1510</t>
  </si>
  <si>
    <t>BLD-2017-0241</t>
  </si>
  <si>
    <t>BLD-2017-0242</t>
  </si>
  <si>
    <t>BLD-2017-0250</t>
  </si>
  <si>
    <t>BLD-2018-1404</t>
  </si>
  <si>
    <t>BLD-2018-1405</t>
  </si>
  <si>
    <t>BLD-2018-1406</t>
  </si>
  <si>
    <t>BLD-2018-0292</t>
  </si>
  <si>
    <t>BLD-2018-0293</t>
  </si>
  <si>
    <t>BLD-2018-0294</t>
  </si>
  <si>
    <t>BLD-2018-0295</t>
  </si>
  <si>
    <t>BLD-2018-0296</t>
  </si>
  <si>
    <t>BLD-2018-0297</t>
  </si>
  <si>
    <t>BLD-2018-0300</t>
  </si>
  <si>
    <t>BLD-2017-1897</t>
  </si>
  <si>
    <t>BLD-2017-1898</t>
  </si>
  <si>
    <t>BLD-2017-1899</t>
  </si>
  <si>
    <t>BLD-2017-1901</t>
  </si>
  <si>
    <t>BLD-2017-1904</t>
  </si>
  <si>
    <t>BLD-2018-0301</t>
  </si>
  <si>
    <t>BLD-2018-0302</t>
  </si>
  <si>
    <t>BLD-2018-0303</t>
  </si>
  <si>
    <t>BLD-2018-0181</t>
  </si>
  <si>
    <t>BLD-2018-0183</t>
  </si>
  <si>
    <t>BLD-2018-0184</t>
  </si>
  <si>
    <t>BLD-2018-0185</t>
  </si>
  <si>
    <t>BLD-2018-0190</t>
  </si>
  <si>
    <t>BLD-2018-0357</t>
  </si>
  <si>
    <t>BLD-2018-0358</t>
  </si>
  <si>
    <t>BLD-2018-0783</t>
  </si>
  <si>
    <t>BLD-2018-0784</t>
  </si>
  <si>
    <t>BLD-2018-0785</t>
  </si>
  <si>
    <t>BLD-2018-0786</t>
  </si>
  <si>
    <t>BLD-2018-0787</t>
  </si>
  <si>
    <t>BLD-2018-0788</t>
  </si>
  <si>
    <t>BLD-2018-1053</t>
  </si>
  <si>
    <t>BLD-2018-1054</t>
  </si>
  <si>
    <t>BLD-2018-1055</t>
  </si>
  <si>
    <t>BLD-2018-1056</t>
  </si>
  <si>
    <t>BLD-2018-1057</t>
  </si>
  <si>
    <t>BLD-2018-1058</t>
  </si>
  <si>
    <t>BLD-2018-0408</t>
  </si>
  <si>
    <t>BLD-2018-0411</t>
  </si>
  <si>
    <t>BLD-2018-0412</t>
  </si>
  <si>
    <t>BLD-2018-0413</t>
  </si>
  <si>
    <t>BLD-2018-0414</t>
  </si>
  <si>
    <t>BLD-2017-1801</t>
  </si>
  <si>
    <t>BLD-2017-1802</t>
  </si>
  <si>
    <t>BLD-2017-1803</t>
  </si>
  <si>
    <t>BLD-2017-1893</t>
  </si>
  <si>
    <t>BLD-2017-1812</t>
  </si>
  <si>
    <t>BLD-2017-1813</t>
  </si>
  <si>
    <t>BLD-2017-1814</t>
  </si>
  <si>
    <t>BLD-2018-0732</t>
  </si>
  <si>
    <t>BLD-2018-0733</t>
  </si>
  <si>
    <t>BLD-2018-0734</t>
  </si>
  <si>
    <t>BLD-2018-0770</t>
  </si>
  <si>
    <t>BLD-2018-0771</t>
  </si>
  <si>
    <t>BLD-2018-0773</t>
  </si>
  <si>
    <t>BLD-2018-0774</t>
  </si>
  <si>
    <t>BLD-2018-0775</t>
  </si>
  <si>
    <t>BLD-2018-0265</t>
  </si>
  <si>
    <t>BLD-2018-0266</t>
  </si>
  <si>
    <t>BLD-2018-0776</t>
  </si>
  <si>
    <t>BLD-2018-0777</t>
  </si>
  <si>
    <t>BLD-2018-0778</t>
  </si>
  <si>
    <t>BLD-2018-0780</t>
  </si>
  <si>
    <t>BLD-2018-0253</t>
  </si>
  <si>
    <t>BLD-2018-0254</t>
  </si>
  <si>
    <t>BLD-2018-0255</t>
  </si>
  <si>
    <t>BLD-2018-0257</t>
  </si>
  <si>
    <t>BLD-2018-1099</t>
  </si>
  <si>
    <t>BLD-2018-1102</t>
  </si>
  <si>
    <t>BLD-2018-1103</t>
  </si>
  <si>
    <t>BLD-2018-1104</t>
  </si>
  <si>
    <t>BLD-2018-1105</t>
  </si>
  <si>
    <t>BLD-2018-1106</t>
  </si>
  <si>
    <t>BLD-2018-1107</t>
  </si>
  <si>
    <t>BLD-2018-1108</t>
  </si>
  <si>
    <t>BLD-2018-1109</t>
  </si>
  <si>
    <t>BLD-2018-1110</t>
  </si>
  <si>
    <t>BLD-2018-0540</t>
  </si>
  <si>
    <t>BLD-2018-0535</t>
  </si>
  <si>
    <t>BLD-2018-0541</t>
  </si>
  <si>
    <t>BLD-2018-0537</t>
  </si>
  <si>
    <t>BLD-2018-0384</t>
  </si>
  <si>
    <t>BLD-2018-0385</t>
  </si>
  <si>
    <t>BLD-2018-0387</t>
  </si>
  <si>
    <t>BLD-2018-0479</t>
  </si>
  <si>
    <t>BLD-2018-0476</t>
  </si>
  <si>
    <t>BLD-2018-0478</t>
  </si>
  <si>
    <t>BLD-2018-0481</t>
  </si>
  <si>
    <t>BLD-2018-0475</t>
  </si>
  <si>
    <t>BLD-2018-0474</t>
  </si>
  <si>
    <t>BLD-2018-0464</t>
  </si>
  <si>
    <t>BLD-2018-0402</t>
  </si>
  <si>
    <t>BLD-2017-1804</t>
  </si>
  <si>
    <t>BLD-2017-1806</t>
  </si>
  <si>
    <t>BLD-2018-0101</t>
  </si>
  <si>
    <t>BLD-2018-0102</t>
  </si>
  <si>
    <t>BLD-2018-0388</t>
  </si>
  <si>
    <t>BLD-2018-0542</t>
  </si>
  <si>
    <t>BLD-2018-0538</t>
  </si>
  <si>
    <t>BLD-2018-0543</t>
  </si>
  <si>
    <t>BLD-2018-0539</t>
  </si>
  <si>
    <t>BLD-2018-0735</t>
  </si>
  <si>
    <t>BLD-2018-0736</t>
  </si>
  <si>
    <t>BLD-2018-0737</t>
  </si>
  <si>
    <t>BLD-2018-0738</t>
  </si>
  <si>
    <t>BLD-2018-0739</t>
  </si>
  <si>
    <t>BLD-2018-0740</t>
  </si>
  <si>
    <t>BLD-2018-0742</t>
  </si>
  <si>
    <t>BLD-2018-0743</t>
  </si>
  <si>
    <t>N</t>
  </si>
  <si>
    <t>The City of Oakley has had the following successes in implementation of its Housing Element:                                                                                                                                                                                                                                                                                                                        * The City approved 74 new affordable low and very-low income housing units in 2017 and the units are complet as of March 2019.                                                                                                                                                                                      * The City has made excellent progress in achieving its RHNA requirements.                                                                                                                                                                                                                                                                           * The City has demonstrated significant progress in accomplishing the goals within the 2015-2023 Housing Element planning period.                                                                                                                                                                              * The City has continued development of housing in a difficult economy, with the permitting of 192 above moderate units in 2018.                                                                                                                                                                      * The City continues to assist citizens in finding local affordable housing opportunities.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</si>
</sst>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63"/>
      </left>
      <right style="thin">
        <color indexed="63"/>
      </right>
      <top style="thin">
        <color indexed="63"/>
      </top>
      <bottom style="thin">
        <color indexed="63"/>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14" fontId="42" fillId="0" borderId="1" xfId="0" applyNumberFormat="1" applyFont="1" applyBorder="1" applyProtection="1">
      <protection locked="0"/>
    </xf>
    <xf numFmtId="0" fontId="33" fillId="0" borderId="55" xfId="0" applyNumberFormat="1" applyFont="1" applyFill="1" applyBorder="1" applyAlignment="1" applyProtection="1">
      <alignment horizontal="left" vertical="top" wrapText="1"/>
      <protection locked="0"/>
    </xf>
    <xf numFmtId="14" fontId="33" fillId="0" borderId="55" xfId="0" applyNumberFormat="1" applyFont="1" applyFill="1" applyBorder="1" applyAlignment="1" applyProtection="1">
      <alignment horizontal="center" vertical="top" wrapText="1"/>
      <protection locked="0"/>
    </xf>
    <xf numFmtId="0" fontId="33" fillId="0" borderId="55" xfId="0" applyNumberFormat="1" applyFont="1" applyFill="1" applyBorder="1" applyAlignment="1" applyProtection="1">
      <alignment horizontal="center"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85" zoomScaleNormal="85" workbookViewId="0">
      <selection activeCell="C30" sqref="C30"/>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74" t="s">
        <v>130</v>
      </c>
      <c r="B1" s="375"/>
      <c r="C1" s="375"/>
      <c r="D1" s="375"/>
      <c r="E1" s="375"/>
      <c r="F1" s="376"/>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83" t="s">
        <v>51</v>
      </c>
      <c r="B3" s="384"/>
      <c r="C3" s="385"/>
      <c r="E3" s="377" t="s">
        <v>131</v>
      </c>
      <c r="F3" s="378"/>
    </row>
    <row r="4" spans="1:12" ht="21.6" customHeight="1" x14ac:dyDescent="0.3">
      <c r="A4" s="31" t="s">
        <v>125</v>
      </c>
      <c r="B4" s="388" t="s">
        <v>1205</v>
      </c>
      <c r="C4" s="389"/>
      <c r="D4" s="24"/>
      <c r="E4" s="379" t="s">
        <v>1378</v>
      </c>
      <c r="F4" s="380"/>
      <c r="G4" s="253"/>
      <c r="H4" s="253"/>
      <c r="I4" s="253"/>
      <c r="J4" s="253"/>
      <c r="K4" s="253"/>
      <c r="L4" s="23"/>
    </row>
    <row r="5" spans="1:12" ht="21.6" customHeight="1" thickBot="1" x14ac:dyDescent="0.35">
      <c r="A5" s="32" t="s">
        <v>126</v>
      </c>
      <c r="B5" s="386">
        <v>2018</v>
      </c>
      <c r="C5" s="387"/>
      <c r="D5" s="25"/>
      <c r="E5" s="379"/>
      <c r="F5" s="380"/>
      <c r="G5" s="25"/>
      <c r="H5" s="25"/>
      <c r="I5" s="25"/>
      <c r="J5" s="25"/>
      <c r="K5" s="25"/>
      <c r="L5" s="23"/>
    </row>
    <row r="6" spans="1:12" ht="21.6" customHeight="1" x14ac:dyDescent="0.3">
      <c r="A6" s="390" t="s">
        <v>124</v>
      </c>
      <c r="B6" s="391"/>
      <c r="C6" s="392"/>
      <c r="D6" s="25"/>
      <c r="E6" s="379"/>
      <c r="F6" s="380"/>
      <c r="G6" s="25"/>
      <c r="H6" s="25"/>
      <c r="I6" s="25"/>
      <c r="J6" s="25"/>
      <c r="K6" s="25"/>
      <c r="L6" s="23"/>
    </row>
    <row r="7" spans="1:12" ht="21.6" customHeight="1" x14ac:dyDescent="0.3">
      <c r="A7" s="30" t="s">
        <v>121</v>
      </c>
      <c r="B7" s="393" t="s">
        <v>1382</v>
      </c>
      <c r="C7" s="394"/>
      <c r="D7" s="26"/>
      <c r="E7" s="379"/>
      <c r="F7" s="380"/>
      <c r="G7" s="25"/>
      <c r="H7" s="25"/>
      <c r="I7" s="25"/>
      <c r="J7" s="25"/>
      <c r="K7" s="25"/>
      <c r="L7" s="23"/>
    </row>
    <row r="8" spans="1:12" ht="21.6" customHeight="1" x14ac:dyDescent="0.3">
      <c r="A8" s="31" t="s">
        <v>122</v>
      </c>
      <c r="B8" s="393" t="s">
        <v>1383</v>
      </c>
      <c r="C8" s="394"/>
      <c r="D8" s="25"/>
      <c r="E8" s="379"/>
      <c r="F8" s="380"/>
      <c r="G8" s="25"/>
      <c r="H8" s="25"/>
      <c r="I8" s="25"/>
      <c r="J8" s="25"/>
      <c r="K8" s="25"/>
      <c r="L8" s="23"/>
    </row>
    <row r="9" spans="1:12" ht="21.6" customHeight="1" x14ac:dyDescent="0.3">
      <c r="A9" s="31" t="s">
        <v>127</v>
      </c>
      <c r="B9" s="393" t="s">
        <v>1384</v>
      </c>
      <c r="C9" s="394"/>
      <c r="D9" s="25"/>
      <c r="E9" s="379"/>
      <c r="F9" s="380"/>
      <c r="G9" s="25"/>
      <c r="H9" s="25"/>
      <c r="I9" s="25"/>
      <c r="J9" s="25"/>
      <c r="K9" s="25"/>
      <c r="L9" s="23"/>
    </row>
    <row r="10" spans="1:12" ht="21.6" customHeight="1" x14ac:dyDescent="0.3">
      <c r="A10" s="31" t="s">
        <v>128</v>
      </c>
      <c r="B10" s="395" t="s">
        <v>1385</v>
      </c>
      <c r="C10" s="394"/>
      <c r="D10" s="25"/>
      <c r="E10" s="379"/>
      <c r="F10" s="380"/>
      <c r="G10" s="25"/>
      <c r="H10" s="25"/>
      <c r="I10" s="25"/>
      <c r="J10" s="25"/>
      <c r="K10" s="25"/>
      <c r="L10" s="23"/>
    </row>
    <row r="11" spans="1:12" ht="21.6" customHeight="1" thickBot="1" x14ac:dyDescent="0.35">
      <c r="A11" s="33" t="s">
        <v>129</v>
      </c>
      <c r="B11" s="396">
        <v>9256257004</v>
      </c>
      <c r="C11" s="397"/>
      <c r="D11" s="25"/>
      <c r="E11" s="379"/>
      <c r="F11" s="380"/>
      <c r="G11" s="25"/>
      <c r="H11" s="25"/>
      <c r="I11" s="25"/>
      <c r="J11" s="25"/>
      <c r="K11" s="25"/>
      <c r="L11" s="23"/>
    </row>
    <row r="12" spans="1:12" ht="21.6" customHeight="1" x14ac:dyDescent="0.3">
      <c r="A12" s="398" t="s">
        <v>123</v>
      </c>
      <c r="B12" s="399"/>
      <c r="C12" s="400"/>
      <c r="D12" s="25"/>
      <c r="E12" s="379"/>
      <c r="F12" s="380"/>
      <c r="G12" s="25"/>
      <c r="H12" s="25"/>
      <c r="I12" s="25"/>
      <c r="J12" s="25"/>
      <c r="K12" s="25"/>
      <c r="L12" s="23"/>
    </row>
    <row r="13" spans="1:12" ht="21.6" customHeight="1" x14ac:dyDescent="0.3">
      <c r="A13" s="29" t="s">
        <v>2</v>
      </c>
      <c r="B13" s="370" t="s">
        <v>1386</v>
      </c>
      <c r="C13" s="371"/>
      <c r="D13" s="27"/>
      <c r="E13" s="379"/>
      <c r="F13" s="380"/>
      <c r="G13" s="27"/>
      <c r="H13" s="27"/>
      <c r="I13" s="27"/>
      <c r="J13" s="27"/>
      <c r="K13" s="27"/>
      <c r="L13" s="23"/>
    </row>
    <row r="14" spans="1:12" ht="21.6" customHeight="1" x14ac:dyDescent="0.3">
      <c r="A14" s="28" t="s">
        <v>119</v>
      </c>
      <c r="B14" s="372" t="s">
        <v>1205</v>
      </c>
      <c r="C14" s="372"/>
      <c r="D14" s="25"/>
      <c r="E14" s="379"/>
      <c r="F14" s="380"/>
      <c r="G14" s="25"/>
      <c r="H14" s="25"/>
      <c r="I14" s="25"/>
      <c r="J14" s="25"/>
      <c r="K14" s="25"/>
      <c r="L14" s="23"/>
    </row>
    <row r="15" spans="1:12" ht="21.6" customHeight="1" thickBot="1" x14ac:dyDescent="0.35">
      <c r="A15" s="28" t="s">
        <v>120</v>
      </c>
      <c r="B15" s="373">
        <v>94561</v>
      </c>
      <c r="C15" s="373"/>
      <c r="D15" s="24"/>
      <c r="E15" s="381"/>
      <c r="F15" s="382"/>
      <c r="G15" s="253"/>
      <c r="H15" s="24"/>
      <c r="I15" s="24"/>
      <c r="J15" s="24"/>
      <c r="K15" s="24"/>
      <c r="L15" s="23"/>
    </row>
    <row r="16" spans="1:12" ht="14.4" customHeight="1" x14ac:dyDescent="0.25">
      <c r="D16" s="20"/>
      <c r="E16" s="342" t="s">
        <v>1381</v>
      </c>
      <c r="F16" s="20"/>
      <c r="G16" s="20"/>
      <c r="H16" s="20"/>
      <c r="I16" s="20"/>
      <c r="J16" s="20"/>
      <c r="K16" s="20"/>
      <c r="L16" s="20"/>
    </row>
    <row r="17" spans="1:12" ht="17.399999999999999" x14ac:dyDescent="0.3">
      <c r="A17" s="26"/>
      <c r="B17" s="26"/>
      <c r="C17" s="26"/>
      <c r="D17" s="18"/>
      <c r="E17" s="18"/>
      <c r="F17" s="18"/>
      <c r="G17" s="18"/>
      <c r="H17" s="18"/>
      <c r="I17" s="18"/>
      <c r="J17" s="18"/>
      <c r="K17" s="18"/>
      <c r="L17" s="18"/>
    </row>
    <row r="18" spans="1:12" ht="46.5" customHeight="1" x14ac:dyDescent="0.3">
      <c r="A18" s="25"/>
      <c r="B18" s="25"/>
      <c r="C18" s="25"/>
      <c r="D18" s="19"/>
      <c r="E18" s="19"/>
      <c r="F18" s="19"/>
      <c r="G18" s="19"/>
      <c r="H18" s="19"/>
      <c r="I18" s="19"/>
      <c r="J18" s="19"/>
      <c r="K18" s="19"/>
      <c r="L18" s="19"/>
    </row>
    <row r="19" spans="1:12" ht="17.399999999999999" x14ac:dyDescent="0.3">
      <c r="A19" s="25"/>
      <c r="B19" s="25"/>
      <c r="C19" s="25"/>
      <c r="D19" s="18"/>
      <c r="E19" s="18"/>
      <c r="F19" s="18"/>
      <c r="G19" s="18"/>
      <c r="H19" s="18"/>
      <c r="I19" s="18"/>
      <c r="J19" s="18"/>
      <c r="K19" s="18"/>
      <c r="L19" s="18"/>
    </row>
    <row r="20" spans="1:12" ht="32.25" customHeight="1" x14ac:dyDescent="0.55000000000000004">
      <c r="B20" s="122"/>
      <c r="C20" s="25"/>
      <c r="D20" s="21"/>
      <c r="E20" s="21"/>
      <c r="F20" s="21"/>
      <c r="G20" s="21"/>
      <c r="H20" s="21"/>
      <c r="I20" s="21"/>
      <c r="J20" s="21"/>
      <c r="K20" s="21"/>
      <c r="L20" s="21"/>
    </row>
    <row r="21" spans="1:12" ht="17.399999999999999" x14ac:dyDescent="0.3">
      <c r="A21" s="25"/>
      <c r="B21" s="25"/>
      <c r="C21" s="25"/>
      <c r="D21" s="18"/>
      <c r="E21" s="18"/>
      <c r="F21" s="18"/>
      <c r="G21" s="18"/>
      <c r="H21" s="18"/>
      <c r="I21" s="18"/>
      <c r="J21" s="18"/>
      <c r="K21" s="18"/>
      <c r="L21" s="18"/>
    </row>
    <row r="22" spans="1:12" ht="17.399999999999999" x14ac:dyDescent="0.3">
      <c r="A22" s="25"/>
      <c r="B22" s="25"/>
      <c r="C22" s="25"/>
      <c r="D22" s="19"/>
      <c r="E22" s="19"/>
      <c r="F22" s="19"/>
      <c r="G22" s="19"/>
      <c r="H22" s="19"/>
      <c r="I22" s="19"/>
      <c r="J22" s="19"/>
      <c r="K22" s="19"/>
      <c r="L22" s="19"/>
    </row>
    <row r="23" spans="1:12" ht="15" x14ac:dyDescent="0.25">
      <c r="A23" s="162"/>
      <c r="B23" s="162"/>
      <c r="C23" s="161"/>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54"/>
      <c r="B25" s="21"/>
      <c r="C25" s="21"/>
      <c r="D25" s="21"/>
      <c r="E25" s="21"/>
      <c r="F25" s="21"/>
      <c r="G25" s="21"/>
      <c r="H25" s="18"/>
      <c r="I25" s="18"/>
      <c r="J25" s="18"/>
      <c r="K25" s="18"/>
      <c r="L25" s="18"/>
    </row>
    <row r="26" spans="1:12" ht="15" customHeight="1" x14ac:dyDescent="0.25">
      <c r="A26" s="254"/>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54"/>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17" fitToWidth="0"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70" zoomScaleNormal="70" zoomScaleSheetLayoutView="50" zoomScalePageLayoutView="80" workbookViewId="0">
      <pane ySplit="12" topLeftCell="A13" activePane="bottomLeft" state="frozen"/>
      <selection pane="bottomLeft" activeCell="U15" sqref="A1:U15"/>
    </sheetView>
  </sheetViews>
  <sheetFormatPr defaultColWidth="0" defaultRowHeight="13.8" x14ac:dyDescent="0.25"/>
  <cols>
    <col min="1" max="3" width="16.6640625" style="257" customWidth="1"/>
    <col min="4" max="4" width="20.88671875" style="257" customWidth="1"/>
    <col min="5" max="6" width="16.6640625" style="257" customWidth="1"/>
    <col min="7" max="7" width="12.33203125" style="257" customWidth="1"/>
    <col min="8" max="8" width="14.109375" style="258" customWidth="1"/>
    <col min="9" max="9" width="12" style="257" customWidth="1"/>
    <col min="10" max="10" width="12.44140625" style="257" customWidth="1"/>
    <col min="11" max="11" width="10.88671875" style="257" customWidth="1"/>
    <col min="12" max="12" width="12.33203125" style="257" customWidth="1"/>
    <col min="13" max="13" width="11.88671875" style="257" customWidth="1"/>
    <col min="14" max="14" width="11.44140625" style="257" customWidth="1"/>
    <col min="15" max="15" width="10.6640625" style="257" customWidth="1"/>
    <col min="16" max="16" width="16.6640625" style="241" customWidth="1"/>
    <col min="17" max="17" width="14.44140625" style="257" customWidth="1"/>
    <col min="18" max="18" width="15.44140625" style="257" customWidth="1"/>
    <col min="19" max="19" width="17.44140625" style="257" customWidth="1"/>
    <col min="20" max="20" width="25.33203125" style="257" customWidth="1"/>
    <col min="21" max="21" width="3" style="257" customWidth="1"/>
    <col min="22" max="16383" width="8.88671875" style="257" hidden="1"/>
    <col min="16384" max="16384" width="5" style="257" hidden="1"/>
  </cols>
  <sheetData>
    <row r="1" spans="1:23" s="255" customFormat="1" ht="20.25" customHeight="1" x14ac:dyDescent="0.4">
      <c r="A1" s="423" t="s">
        <v>8</v>
      </c>
      <c r="B1" s="423"/>
      <c r="C1" s="423"/>
      <c r="D1" s="423"/>
      <c r="E1" s="423"/>
      <c r="F1" s="423"/>
      <c r="G1" s="423"/>
      <c r="H1" s="423"/>
      <c r="I1" s="423"/>
      <c r="J1" s="423"/>
      <c r="K1" s="423"/>
      <c r="L1" s="423"/>
      <c r="M1" s="423"/>
      <c r="N1" s="423"/>
      <c r="O1" s="423"/>
      <c r="P1" s="423"/>
      <c r="Q1" s="423"/>
      <c r="R1" s="423"/>
      <c r="S1" s="423"/>
      <c r="T1" s="423"/>
      <c r="U1" s="74"/>
      <c r="V1" s="74"/>
      <c r="W1" s="74"/>
    </row>
    <row r="2" spans="1:23" s="255" customFormat="1" ht="27.75" customHeight="1" x14ac:dyDescent="0.4">
      <c r="A2" s="423" t="s">
        <v>9</v>
      </c>
      <c r="B2" s="423"/>
      <c r="C2" s="423"/>
      <c r="D2" s="423"/>
      <c r="E2" s="423"/>
      <c r="F2" s="423"/>
      <c r="G2" s="423"/>
      <c r="H2" s="423"/>
      <c r="I2" s="423"/>
      <c r="J2" s="423"/>
      <c r="K2" s="423"/>
      <c r="L2" s="423"/>
      <c r="M2" s="423"/>
      <c r="N2" s="423"/>
      <c r="O2" s="423"/>
      <c r="P2" s="423"/>
      <c r="Q2" s="423"/>
      <c r="R2" s="423"/>
      <c r="S2" s="423"/>
      <c r="T2" s="423"/>
      <c r="U2" s="75"/>
      <c r="V2" s="75"/>
      <c r="W2" s="75"/>
    </row>
    <row r="3" spans="1:23" s="255" customFormat="1" ht="15.75" customHeight="1" x14ac:dyDescent="0.25">
      <c r="A3" s="424" t="s">
        <v>1376</v>
      </c>
      <c r="B3" s="424"/>
      <c r="C3" s="424"/>
      <c r="D3" s="424"/>
      <c r="E3" s="424"/>
      <c r="F3" s="424"/>
      <c r="G3" s="424"/>
      <c r="H3" s="424"/>
      <c r="I3" s="424"/>
      <c r="J3" s="424"/>
      <c r="K3" s="424"/>
      <c r="L3" s="424"/>
      <c r="M3" s="424"/>
      <c r="N3" s="424"/>
      <c r="O3" s="424"/>
      <c r="P3" s="424"/>
      <c r="Q3" s="424"/>
      <c r="R3" s="424"/>
      <c r="S3" s="424"/>
      <c r="T3" s="424"/>
      <c r="U3" s="76"/>
      <c r="V3" s="76"/>
      <c r="W3" s="76"/>
    </row>
    <row r="4" spans="1:23" s="79" customFormat="1" ht="25.5" customHeight="1" x14ac:dyDescent="0.25">
      <c r="A4" s="314" t="s">
        <v>10</v>
      </c>
      <c r="B4" s="236" t="str">
        <f>'Start Here'!B4:D4</f>
        <v>Oakley</v>
      </c>
      <c r="C4" s="315"/>
      <c r="D4" s="78"/>
      <c r="E4" s="78"/>
      <c r="F4" s="78"/>
      <c r="G4" s="78"/>
      <c r="H4" s="78"/>
      <c r="I4" s="78"/>
      <c r="L4" s="417" t="s">
        <v>1374</v>
      </c>
      <c r="M4" s="418"/>
      <c r="N4" s="418"/>
      <c r="O4" s="419"/>
    </row>
    <row r="5" spans="1:23" s="79" customFormat="1" ht="25.5" customHeight="1" x14ac:dyDescent="0.25">
      <c r="A5" s="316" t="s">
        <v>36</v>
      </c>
      <c r="B5" s="237">
        <f>'Start Here'!B5</f>
        <v>2018</v>
      </c>
      <c r="C5" s="318" t="str">
        <f>'Table A2'!C5</f>
        <v>(Jan. 1 - Dec. 31)</v>
      </c>
      <c r="D5" s="7"/>
      <c r="E5" s="78"/>
      <c r="F5" s="78"/>
      <c r="L5" s="420" t="s">
        <v>106</v>
      </c>
      <c r="M5" s="421"/>
      <c r="N5" s="421"/>
      <c r="O5" s="422"/>
    </row>
    <row r="6" spans="1:23" s="255" customFormat="1" x14ac:dyDescent="0.25"/>
    <row r="7" spans="1:23" s="241" customFormat="1" ht="17.399999999999999" x14ac:dyDescent="0.3">
      <c r="A7" s="414" t="s">
        <v>0</v>
      </c>
      <c r="B7" s="415"/>
      <c r="C7" s="415"/>
      <c r="D7" s="415"/>
      <c r="E7" s="415"/>
      <c r="F7" s="415"/>
      <c r="G7" s="415"/>
      <c r="H7" s="415"/>
      <c r="I7" s="415"/>
      <c r="J7" s="415"/>
      <c r="K7" s="415"/>
      <c r="L7" s="415"/>
      <c r="M7" s="415"/>
      <c r="N7" s="415"/>
      <c r="O7" s="415"/>
      <c r="P7" s="415"/>
      <c r="Q7" s="415"/>
      <c r="R7" s="415"/>
      <c r="S7" s="415"/>
      <c r="T7" s="416"/>
    </row>
    <row r="8" spans="1:23" s="241" customFormat="1" ht="22.95" customHeight="1" x14ac:dyDescent="0.25">
      <c r="A8" s="411" t="s">
        <v>64</v>
      </c>
      <c r="B8" s="412"/>
      <c r="C8" s="412"/>
      <c r="D8" s="412"/>
      <c r="E8" s="412"/>
      <c r="F8" s="412"/>
      <c r="G8" s="412"/>
      <c r="H8" s="412"/>
      <c r="I8" s="412"/>
      <c r="J8" s="412"/>
      <c r="K8" s="412"/>
      <c r="L8" s="412"/>
      <c r="M8" s="412"/>
      <c r="N8" s="412"/>
      <c r="O8" s="412"/>
      <c r="P8" s="412"/>
      <c r="Q8" s="412"/>
      <c r="R8" s="412"/>
      <c r="S8" s="412"/>
      <c r="T8" s="413"/>
    </row>
    <row r="9" spans="1:23" s="241" customFormat="1" ht="57.6" customHeight="1" x14ac:dyDescent="0.25">
      <c r="A9" s="406" t="s">
        <v>43</v>
      </c>
      <c r="B9" s="407"/>
      <c r="C9" s="407"/>
      <c r="D9" s="407"/>
      <c r="E9" s="408"/>
      <c r="F9" s="406" t="s">
        <v>112</v>
      </c>
      <c r="G9" s="408"/>
      <c r="H9" s="224" t="s">
        <v>63</v>
      </c>
      <c r="I9" s="406" t="s">
        <v>1363</v>
      </c>
      <c r="J9" s="409"/>
      <c r="K9" s="409"/>
      <c r="L9" s="409"/>
      <c r="M9" s="409"/>
      <c r="N9" s="409"/>
      <c r="O9" s="409"/>
      <c r="P9" s="410"/>
      <c r="Q9" s="224" t="s">
        <v>1364</v>
      </c>
      <c r="R9" s="224" t="s">
        <v>1365</v>
      </c>
      <c r="S9" s="224" t="s">
        <v>113</v>
      </c>
      <c r="T9" s="224" t="s">
        <v>58</v>
      </c>
    </row>
    <row r="10" spans="1:23" s="97" customFormat="1" x14ac:dyDescent="0.25">
      <c r="A10" s="402">
        <v>1</v>
      </c>
      <c r="B10" s="403"/>
      <c r="C10" s="403"/>
      <c r="D10" s="404"/>
      <c r="E10" s="405"/>
      <c r="F10" s="221">
        <v>2</v>
      </c>
      <c r="G10" s="216">
        <v>3</v>
      </c>
      <c r="H10" s="223">
        <v>4</v>
      </c>
      <c r="I10" s="401">
        <v>5</v>
      </c>
      <c r="J10" s="401"/>
      <c r="K10" s="401"/>
      <c r="L10" s="401"/>
      <c r="M10" s="401"/>
      <c r="N10" s="401"/>
      <c r="O10" s="401"/>
      <c r="P10" s="216">
        <v>6</v>
      </c>
      <c r="Q10" s="216">
        <v>7</v>
      </c>
      <c r="R10" s="216">
        <v>8</v>
      </c>
      <c r="S10" s="216">
        <v>9</v>
      </c>
      <c r="T10" s="216">
        <v>10</v>
      </c>
    </row>
    <row r="11" spans="1:23" s="97" customFormat="1" ht="98.4" customHeight="1" thickBot="1" x14ac:dyDescent="0.3">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5">
      <c r="A12" s="347" t="s">
        <v>136</v>
      </c>
      <c r="B12" s="356"/>
      <c r="C12" s="356"/>
      <c r="D12" s="351"/>
      <c r="E12" s="357"/>
      <c r="F12" s="356"/>
      <c r="G12" s="356"/>
      <c r="H12" s="351"/>
      <c r="I12" s="358">
        <f t="shared" ref="I12:O12" si="0">SUM(I13:I1000)</f>
        <v>0</v>
      </c>
      <c r="J12" s="358">
        <f t="shared" si="0"/>
        <v>0</v>
      </c>
      <c r="K12" s="358">
        <f t="shared" si="0"/>
        <v>0</v>
      </c>
      <c r="L12" s="358">
        <f t="shared" si="0"/>
        <v>0</v>
      </c>
      <c r="M12" s="358">
        <f t="shared" si="0"/>
        <v>0</v>
      </c>
      <c r="N12" s="358">
        <f t="shared" si="0"/>
        <v>0</v>
      </c>
      <c r="O12" s="358">
        <f t="shared" si="0"/>
        <v>177</v>
      </c>
      <c r="P12" s="358">
        <f>SUM(P13:P1000)</f>
        <v>177</v>
      </c>
      <c r="Q12" s="358">
        <f>SUM(Q13:Q1000)</f>
        <v>23</v>
      </c>
      <c r="R12" s="358">
        <f>SUM(R13:R1000)</f>
        <v>0</v>
      </c>
      <c r="S12" s="359">
        <f>COUNTIF(S13:S1000,"*Yes*")</f>
        <v>0</v>
      </c>
      <c r="T12" s="360"/>
    </row>
    <row r="13" spans="1:23" x14ac:dyDescent="0.25">
      <c r="A13" s="165"/>
      <c r="B13" s="291" t="s">
        <v>1485</v>
      </c>
      <c r="C13" s="165" t="s">
        <v>1478</v>
      </c>
      <c r="D13" s="165" t="s">
        <v>1475</v>
      </c>
      <c r="E13" s="165"/>
      <c r="F13" s="165" t="s">
        <v>1474</v>
      </c>
      <c r="G13" s="165" t="s">
        <v>1476</v>
      </c>
      <c r="H13" s="329">
        <v>43363</v>
      </c>
      <c r="I13" s="165"/>
      <c r="J13" s="165"/>
      <c r="K13" s="165"/>
      <c r="L13" s="165"/>
      <c r="M13" s="165"/>
      <c r="N13" s="165"/>
      <c r="O13" s="165">
        <v>154</v>
      </c>
      <c r="P13" s="344">
        <f t="shared" ref="P13:P76" si="1">SUM(I13:O13)</f>
        <v>154</v>
      </c>
      <c r="Q13" s="165">
        <v>0</v>
      </c>
      <c r="R13" s="165">
        <v>0</v>
      </c>
      <c r="S13" s="165" t="s">
        <v>1477</v>
      </c>
      <c r="T13" s="330" t="s">
        <v>1486</v>
      </c>
    </row>
    <row r="14" spans="1:23" x14ac:dyDescent="0.25">
      <c r="A14" s="165"/>
      <c r="B14" s="165" t="s">
        <v>1479</v>
      </c>
      <c r="C14" s="165" t="s">
        <v>1481</v>
      </c>
      <c r="D14" s="165" t="s">
        <v>1480</v>
      </c>
      <c r="E14" s="165"/>
      <c r="F14" s="165" t="s">
        <v>1474</v>
      </c>
      <c r="G14" s="165" t="s">
        <v>1476</v>
      </c>
      <c r="H14" s="329">
        <v>43243</v>
      </c>
      <c r="I14" s="165"/>
      <c r="J14" s="165"/>
      <c r="K14" s="165"/>
      <c r="L14" s="165"/>
      <c r="M14" s="165"/>
      <c r="N14" s="165"/>
      <c r="O14" s="165">
        <v>10</v>
      </c>
      <c r="P14" s="344">
        <f>SUM(I14:O14)</f>
        <v>10</v>
      </c>
      <c r="Q14" s="165">
        <v>10</v>
      </c>
      <c r="R14" s="165">
        <v>0</v>
      </c>
      <c r="S14" s="165" t="s">
        <v>1477</v>
      </c>
      <c r="T14" s="330" t="s">
        <v>1482</v>
      </c>
    </row>
    <row r="15" spans="1:23" x14ac:dyDescent="0.25">
      <c r="A15" s="165"/>
      <c r="B15" s="291" t="s">
        <v>1483</v>
      </c>
      <c r="C15" s="165"/>
      <c r="D15" s="165" t="s">
        <v>1484</v>
      </c>
      <c r="E15" s="165"/>
      <c r="F15" s="165" t="s">
        <v>1474</v>
      </c>
      <c r="G15" s="165" t="s">
        <v>1476</v>
      </c>
      <c r="H15" s="366">
        <v>43162</v>
      </c>
      <c r="I15" s="165"/>
      <c r="J15" s="165"/>
      <c r="K15" s="165"/>
      <c r="L15" s="165"/>
      <c r="M15" s="165"/>
      <c r="N15" s="165"/>
      <c r="O15" s="165">
        <v>13</v>
      </c>
      <c r="P15" s="344">
        <f>SUM(I15:O15)</f>
        <v>13</v>
      </c>
      <c r="Q15" s="165">
        <v>13</v>
      </c>
      <c r="R15" s="165">
        <f t="shared" ref="R15:R22" si="2">P15-Q15</f>
        <v>0</v>
      </c>
      <c r="S15" s="165" t="s">
        <v>1477</v>
      </c>
      <c r="T15" s="330" t="s">
        <v>1482</v>
      </c>
    </row>
    <row r="16" spans="1:23" x14ac:dyDescent="0.25">
      <c r="A16" s="165"/>
      <c r="B16" s="165"/>
      <c r="C16" s="165"/>
      <c r="D16" s="165"/>
      <c r="E16" s="165"/>
      <c r="F16" s="165"/>
      <c r="G16" s="165"/>
      <c r="H16" s="329"/>
      <c r="I16" s="165"/>
      <c r="J16" s="165"/>
      <c r="K16" s="165"/>
      <c r="L16" s="165"/>
      <c r="M16" s="165"/>
      <c r="N16" s="165"/>
      <c r="O16" s="165"/>
      <c r="P16" s="344">
        <f t="shared" si="1"/>
        <v>0</v>
      </c>
      <c r="Q16" s="165"/>
      <c r="R16" s="165">
        <f t="shared" si="2"/>
        <v>0</v>
      </c>
      <c r="S16" s="165"/>
      <c r="T16" s="330"/>
    </row>
    <row r="17" spans="1:20" x14ac:dyDescent="0.25">
      <c r="A17" s="165"/>
      <c r="B17" s="165"/>
      <c r="C17" s="165"/>
      <c r="D17" s="165"/>
      <c r="E17" s="165"/>
      <c r="F17" s="165"/>
      <c r="G17" s="165"/>
      <c r="H17" s="329"/>
      <c r="I17" s="165"/>
      <c r="J17" s="165"/>
      <c r="K17" s="165"/>
      <c r="L17" s="165"/>
      <c r="M17" s="165"/>
      <c r="N17" s="165"/>
      <c r="O17" s="165"/>
      <c r="P17" s="344">
        <f t="shared" si="1"/>
        <v>0</v>
      </c>
      <c r="Q17" s="165"/>
      <c r="R17" s="165">
        <f t="shared" si="2"/>
        <v>0</v>
      </c>
      <c r="S17" s="165"/>
      <c r="T17" s="330"/>
    </row>
    <row r="18" spans="1:20" x14ac:dyDescent="0.25">
      <c r="A18" s="165"/>
      <c r="B18" s="165"/>
      <c r="C18" s="165"/>
      <c r="D18" s="165"/>
      <c r="E18" s="165"/>
      <c r="F18" s="165"/>
      <c r="G18" s="165"/>
      <c r="H18" s="329"/>
      <c r="I18" s="165"/>
      <c r="J18" s="165"/>
      <c r="K18" s="165"/>
      <c r="L18" s="165"/>
      <c r="M18" s="165"/>
      <c r="N18" s="165"/>
      <c r="O18" s="165"/>
      <c r="P18" s="344">
        <f t="shared" si="1"/>
        <v>0</v>
      </c>
      <c r="Q18" s="165"/>
      <c r="R18" s="165">
        <f t="shared" si="2"/>
        <v>0</v>
      </c>
      <c r="S18" s="165"/>
      <c r="T18" s="330"/>
    </row>
    <row r="19" spans="1:20" x14ac:dyDescent="0.25">
      <c r="A19" s="165"/>
      <c r="B19" s="165"/>
      <c r="C19" s="165"/>
      <c r="D19" s="165"/>
      <c r="E19" s="165"/>
      <c r="F19" s="165"/>
      <c r="G19" s="165"/>
      <c r="H19" s="329"/>
      <c r="I19" s="165"/>
      <c r="J19" s="165"/>
      <c r="K19" s="165"/>
      <c r="L19" s="165"/>
      <c r="M19" s="165"/>
      <c r="N19" s="165"/>
      <c r="O19" s="165"/>
      <c r="P19" s="344">
        <f t="shared" si="1"/>
        <v>0</v>
      </c>
      <c r="Q19" s="165"/>
      <c r="R19" s="165">
        <f t="shared" si="2"/>
        <v>0</v>
      </c>
      <c r="S19" s="165"/>
      <c r="T19" s="330"/>
    </row>
    <row r="20" spans="1:20" s="258" customFormat="1" x14ac:dyDescent="0.25">
      <c r="A20" s="165"/>
      <c r="B20" s="165"/>
      <c r="C20" s="165"/>
      <c r="D20" s="165"/>
      <c r="E20" s="165"/>
      <c r="F20" s="165"/>
      <c r="G20" s="165"/>
      <c r="H20" s="329"/>
      <c r="I20" s="165"/>
      <c r="J20" s="165"/>
      <c r="K20" s="165"/>
      <c r="L20" s="165"/>
      <c r="M20" s="165"/>
      <c r="N20" s="165"/>
      <c r="O20" s="165"/>
      <c r="P20" s="344">
        <f t="shared" si="1"/>
        <v>0</v>
      </c>
      <c r="Q20" s="165"/>
      <c r="R20" s="165">
        <f t="shared" si="2"/>
        <v>0</v>
      </c>
      <c r="S20" s="165"/>
      <c r="T20" s="330"/>
    </row>
    <row r="21" spans="1:20" s="258" customFormat="1" x14ac:dyDescent="0.25">
      <c r="A21" s="165"/>
      <c r="B21" s="165"/>
      <c r="C21" s="165"/>
      <c r="D21" s="165"/>
      <c r="E21" s="165"/>
      <c r="F21" s="165"/>
      <c r="G21" s="165"/>
      <c r="H21" s="329"/>
      <c r="I21" s="165"/>
      <c r="J21" s="165"/>
      <c r="K21" s="165"/>
      <c r="L21" s="165"/>
      <c r="M21" s="165"/>
      <c r="N21" s="165"/>
      <c r="O21" s="165"/>
      <c r="P21" s="344">
        <f t="shared" si="1"/>
        <v>0</v>
      </c>
      <c r="Q21" s="165"/>
      <c r="R21" s="165">
        <f t="shared" si="2"/>
        <v>0</v>
      </c>
      <c r="S21" s="165"/>
      <c r="T21" s="330"/>
    </row>
    <row r="22" spans="1:20" s="258" customFormat="1" x14ac:dyDescent="0.25">
      <c r="A22" s="165"/>
      <c r="B22" s="165"/>
      <c r="C22" s="165"/>
      <c r="D22" s="165"/>
      <c r="E22" s="165"/>
      <c r="F22" s="165"/>
      <c r="G22" s="165"/>
      <c r="H22" s="329"/>
      <c r="I22" s="165"/>
      <c r="J22" s="165"/>
      <c r="K22" s="165"/>
      <c r="L22" s="165"/>
      <c r="M22" s="165"/>
      <c r="N22" s="165"/>
      <c r="O22" s="165"/>
      <c r="P22" s="344">
        <f t="shared" si="1"/>
        <v>0</v>
      </c>
      <c r="Q22" s="165"/>
      <c r="R22" s="165">
        <f t="shared" si="2"/>
        <v>0</v>
      </c>
      <c r="S22" s="165"/>
      <c r="T22" s="330"/>
    </row>
    <row r="23" spans="1:20" s="258" customFormat="1" x14ac:dyDescent="0.25">
      <c r="A23" s="165"/>
      <c r="B23" s="165"/>
      <c r="C23" s="165"/>
      <c r="D23" s="165"/>
      <c r="E23" s="165"/>
      <c r="F23" s="165"/>
      <c r="G23" s="165"/>
      <c r="H23" s="329"/>
      <c r="I23" s="165"/>
      <c r="J23" s="165"/>
      <c r="K23" s="165"/>
      <c r="L23" s="165"/>
      <c r="M23" s="165"/>
      <c r="N23" s="165"/>
      <c r="O23" s="165"/>
      <c r="P23" s="344">
        <f t="shared" si="1"/>
        <v>0</v>
      </c>
      <c r="Q23" s="165"/>
      <c r="R23" s="165">
        <f t="shared" ref="R23:R89" si="3">P23-Q23</f>
        <v>0</v>
      </c>
      <c r="S23" s="165"/>
      <c r="T23" s="330"/>
    </row>
    <row r="24" spans="1:20" s="258" customFormat="1" x14ac:dyDescent="0.25">
      <c r="A24" s="165"/>
      <c r="B24" s="165"/>
      <c r="C24" s="165"/>
      <c r="D24" s="165"/>
      <c r="E24" s="165"/>
      <c r="F24" s="165"/>
      <c r="G24" s="165"/>
      <c r="H24" s="329"/>
      <c r="I24" s="165"/>
      <c r="J24" s="165"/>
      <c r="K24" s="165"/>
      <c r="L24" s="165"/>
      <c r="M24" s="165"/>
      <c r="N24" s="165"/>
      <c r="O24" s="165"/>
      <c r="P24" s="344">
        <f t="shared" si="1"/>
        <v>0</v>
      </c>
      <c r="Q24" s="165"/>
      <c r="R24" s="165">
        <f t="shared" si="3"/>
        <v>0</v>
      </c>
      <c r="S24" s="165"/>
      <c r="T24" s="330"/>
    </row>
    <row r="25" spans="1:20" s="258" customFormat="1" x14ac:dyDescent="0.25">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5">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5">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5">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5">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5">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5">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5">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5">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5">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5">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5">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5">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5">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5">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5">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5">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5">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5">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5">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5">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5">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5">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5">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5">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5">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5">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5">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5">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5">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5">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5">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5">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5">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5">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5">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5">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5">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5">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5">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5">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5">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5">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5">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5">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5">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5">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5">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5">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5">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5">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5">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5">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5">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5">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5">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5">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5">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5">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5">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5">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5">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5">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5">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5">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5">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5">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5">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5">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5">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5">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5">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5">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5">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5">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5">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5">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5">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5">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5">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5">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5">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5">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5">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5">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5">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5">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5">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5">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5">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5">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5">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5">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5">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5">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5">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5">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5">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5">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5">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5">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5">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5">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5">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5">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5">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5">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5">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5">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5">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5">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5">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5">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5">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5">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5">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5">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5">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5">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5">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5">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5">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5">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5">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5">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5">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5">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5">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5">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5">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5">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5">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5">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5">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5">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5">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5">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5">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5">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5">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5">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5">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5">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5">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5">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5">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5">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5">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5">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5">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5">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5">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5">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5">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5">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5">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5">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5">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5">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5">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5">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5">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5">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5">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5">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5">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5">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5">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5">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5">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5">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5">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5">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5">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5">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5">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5">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5">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5">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5">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5">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5">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5">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5">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5">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5">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5">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5">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5">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5">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5">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5">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5">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5">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5">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5">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5">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5">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5">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5">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5">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5">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5">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5">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5">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5">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5">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5">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5">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5">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5">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5">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5">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5">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5">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5">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5">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5">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5">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5">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5">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5">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5">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5">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5">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5">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5">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5">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5">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5">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5">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5">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5">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5">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5">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5">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5">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5">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5">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5">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5">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5">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5">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5">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5">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5">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5">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5">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5">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5">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5">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5">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5">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5">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5">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5">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5">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5">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5">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5">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5">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5">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5">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5">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5">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5">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5">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5">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5">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5">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5">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5">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5">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5">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5">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5">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5">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5">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5">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5">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5">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5">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5">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5">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5">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5">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5">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5">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5">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5">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5">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5">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5">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5">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5">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5">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5">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5">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5">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5">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5">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5">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5">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5">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5">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5">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5">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5">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5">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5">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5">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5">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5">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5">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5">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5">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5">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5">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5">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5">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5">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5">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5">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5">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5">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5">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5">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5">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5">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5">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5">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5">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5">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5">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5">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5">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5">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5">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5">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5">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5">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5">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5">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5">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5">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5">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5">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5">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5">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5">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5">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5">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5">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5">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5">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5">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5">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5">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5">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5">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5">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5">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5">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5">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5">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5">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5">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5">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5">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5">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5">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5">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5">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5">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5">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5">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5">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5">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5">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5">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5">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5">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5">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5">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5">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5">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5">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5">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5">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5">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5">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5">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5">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5">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5">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5">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5">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5">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5">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5">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5">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5">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5">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5">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5">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5">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5">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5">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5">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5">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5">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5">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5">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5">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5">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5">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5">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5">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5">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5">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5">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5">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5">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5">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5">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5">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5">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5">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5">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5">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5">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5">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5">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5">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5">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5">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5">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5">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5">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5">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5">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5">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5">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5">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5">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5">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5">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5">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5">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5">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5">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5">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5">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5">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5">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5">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5">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5">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5">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5">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5">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5">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5">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5">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5">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5">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5">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5">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5">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5">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5">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5">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5">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5">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5">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5">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5">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5">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5">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5">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5">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5">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5">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5">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5">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5">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5">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5">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5">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5">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5">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5">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5">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5">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5">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5">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5">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5">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5">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5">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5">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5">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5">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5">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5">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5">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5">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5">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5">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5">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5">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5">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5">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5">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5">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5">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5">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5">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5">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5">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5">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5">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5">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5">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5">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5">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5">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5">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5">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5">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5">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5">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5">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5">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5">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5">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5">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5">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5">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5">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5">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5">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5">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5">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5">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5">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5">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5">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5">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5">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5">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5">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5">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5">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5">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5">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5">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5">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5">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5">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5">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5">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5">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5">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5">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5">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5">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5">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5">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5">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5">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5">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5">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5">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5">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5">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5">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5">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5">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5">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5">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5">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5">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5">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5">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5">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5">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5">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5">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5">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5">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5">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5">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5">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5">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5">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5">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5">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5">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5">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5">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5">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5">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5">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5">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5">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5">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5">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5">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5">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5">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5">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5">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5">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5">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5">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5">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5">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5">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5">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5">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5">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5">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5">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5">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5">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5">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5">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5">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5">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5">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5">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5">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5">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5">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5">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5">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5">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5">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5">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5">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5">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5">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5">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5">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5">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5">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5">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5">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5">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5">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5">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5">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5">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5">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5">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5">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5">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5">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5">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5">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5">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5">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5">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5">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5">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5">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5">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5">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5">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5">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5">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5">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5">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5">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5">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5">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5">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5">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5">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5">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5">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5">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5">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5">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5">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5">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5">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5">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5">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5">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5">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5">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5">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5">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5">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5">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5">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5">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5">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5">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5">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5">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5">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5">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5">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5">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5">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5">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5">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5">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5">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5">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5">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5">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5">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5">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5">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5">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5">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5">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5">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5">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5">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5">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5">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5">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5">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5">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5">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5">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5">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5">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5">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5">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5">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5">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5">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5">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5">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5">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5">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5">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5">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5">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5">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5">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5">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5">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5">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5">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5">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5">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5">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5">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5">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5">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5">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5">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5">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5">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5">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5">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5">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5">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5">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5">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5">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5">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5">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5">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5">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5">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5">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5">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5">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5">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5">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5">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5">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5">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5">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5">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5">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5">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5">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5">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5">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5">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5">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5">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5">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5">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5">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5">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5">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5">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5">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5">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5">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5">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5">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5">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5">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5">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5">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5">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5">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5">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5">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5">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5">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5">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5">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5">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5">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5">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5">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5">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5">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5">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5">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5">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5">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5">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5">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5">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5">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5">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5">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5">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5">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5">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5">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5">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5">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5">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5">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5">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5">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5">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5">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5">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5">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5">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5">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5">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5">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5">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5">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5">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5">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5">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5">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5">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5">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5">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5">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5">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5">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5">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5">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5">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5">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5">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5">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5">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5">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5">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5">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5">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5">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5">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5">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5">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5">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5">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5">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5">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5">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5">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5">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5">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5">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5">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5">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5">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5">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5">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5">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5">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5">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5">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5">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5">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5">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5">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5">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5">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5">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5">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5">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5">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5">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5">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5">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5">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5">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5">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5">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5">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5">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5">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5">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5">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5">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5">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5">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5">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5">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5">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5">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5">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5">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5">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5">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5">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5">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5">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5">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5">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5">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5">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5">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5">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5">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5">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5">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5">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5">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5">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5">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5">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5">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5">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5">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5">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5">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5">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5">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5">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5">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5">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5">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5">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5">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5">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5">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5">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5">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5">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5">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5">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5">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5">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5">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5">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5">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5">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5">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5">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5">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5">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5">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5">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5">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5">
      <c r="H1001" s="94"/>
    </row>
    <row r="1002" spans="1:20" s="241" customFormat="1" x14ac:dyDescent="0.25">
      <c r="H1002" s="94"/>
    </row>
    <row r="1003" spans="1:20" s="241" customFormat="1" x14ac:dyDescent="0.25">
      <c r="H1003" s="94"/>
    </row>
    <row r="1004" spans="1:20" s="241" customFormat="1" x14ac:dyDescent="0.25">
      <c r="H1004" s="94"/>
    </row>
    <row r="1005" spans="1:20" s="241" customFormat="1" x14ac:dyDescent="0.25">
      <c r="H1005" s="94"/>
    </row>
    <row r="1006" spans="1:20" s="241" customFormat="1" x14ac:dyDescent="0.25">
      <c r="H1006" s="94"/>
    </row>
    <row r="1007" spans="1:20" s="241" customFormat="1" x14ac:dyDescent="0.25">
      <c r="H1007" s="94"/>
    </row>
    <row r="1008" spans="1:20" s="241" customFormat="1" x14ac:dyDescent="0.25">
      <c r="H1008" s="94"/>
    </row>
    <row r="1009" spans="8:8" s="241" customFormat="1" x14ac:dyDescent="0.25">
      <c r="H1009" s="94"/>
    </row>
    <row r="1010" spans="8:8" s="241" customFormat="1" x14ac:dyDescent="0.25">
      <c r="H1010" s="94"/>
    </row>
    <row r="1011" spans="8:8" s="241" customFormat="1" x14ac:dyDescent="0.25">
      <c r="H1011" s="94"/>
    </row>
  </sheetData>
  <sheetProtection algorithmName="SHA-512" hashValue="aHxU+RnGp5LT4V9x2zzLlDxuCB8dmqo3IDTJ+z0KBcgKaGVeWhuyw2Wv7eAgylQK0/voH4/UtFREcJYXvHo62A==" saltValue="HUJ4gv63GFLF/a/dTfz2uQ=="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E354" activePane="bottomRight" state="frozen"/>
      <selection pane="topRight" activeCell="E1" sqref="E1"/>
      <selection pane="bottomLeft" activeCell="A13" sqref="A13"/>
      <selection pane="bottomRight" sqref="A1:AS362"/>
    </sheetView>
  </sheetViews>
  <sheetFormatPr defaultColWidth="0" defaultRowHeight="13.8" x14ac:dyDescent="0.25"/>
  <cols>
    <col min="1" max="1" width="18.33203125" style="278" customWidth="1"/>
    <col min="2" max="2" width="19.88671875" style="278" bestFit="1" customWidth="1"/>
    <col min="3" max="3" width="19.109375" style="278" customWidth="1"/>
    <col min="4" max="4" width="18" style="278" customWidth="1"/>
    <col min="5" max="5" width="17.6640625" style="278" customWidth="1"/>
    <col min="6" max="6" width="13.109375" style="278" customWidth="1"/>
    <col min="7" max="12" width="12.6640625" style="278" customWidth="1"/>
    <col min="13" max="13" width="14.88671875" style="278" customWidth="1"/>
    <col min="14" max="14" width="14.44140625" style="278" customWidth="1"/>
    <col min="15" max="15" width="16.33203125" style="278" customWidth="1"/>
    <col min="16" max="16" width="17" style="255" customWidth="1"/>
    <col min="17" max="21" width="12.6640625" style="278" customWidth="1"/>
    <col min="22" max="22" width="14.88671875" style="278" customWidth="1"/>
    <col min="23" max="23" width="14.44140625" style="278" customWidth="1"/>
    <col min="24" max="24" width="17.6640625" style="278" customWidth="1"/>
    <col min="25" max="25" width="19.109375" style="255" customWidth="1"/>
    <col min="26" max="30" width="12.6640625" style="278" customWidth="1"/>
    <col min="31" max="31" width="14.88671875" style="278" customWidth="1"/>
    <col min="32" max="32" width="14.44140625" style="278" customWidth="1"/>
    <col min="33" max="33" width="21.44140625" style="278" customWidth="1"/>
    <col min="34" max="34" width="15.33203125" style="278" bestFit="1" customWidth="1"/>
    <col min="35" max="35" width="15.33203125" style="262" customWidth="1"/>
    <col min="36" max="36" width="18.44140625" style="278" customWidth="1"/>
    <col min="37" max="37" width="16.33203125" style="278" customWidth="1"/>
    <col min="38" max="38" width="21.44140625" style="278" customWidth="1"/>
    <col min="39" max="39" width="18.44140625" style="278" customWidth="1"/>
    <col min="40" max="40" width="28.44140625" style="278" customWidth="1"/>
    <col min="41" max="41" width="22.44140625" style="278" customWidth="1"/>
    <col min="42" max="42" width="11.88671875" style="278" customWidth="1"/>
    <col min="43" max="43" width="13.109375" style="278" customWidth="1"/>
    <col min="44" max="44" width="11.88671875" style="279" customWidth="1"/>
    <col min="45" max="45" width="20.109375" style="262" customWidth="1"/>
    <col min="46" max="46" width="27.44140625" style="310" customWidth="1"/>
    <col min="47" max="16384" width="9.109375" style="278" hidden="1"/>
  </cols>
  <sheetData>
    <row r="1" spans="1:46" s="255" customFormat="1" ht="20.25" customHeight="1" x14ac:dyDescent="0.4">
      <c r="B1" s="202"/>
      <c r="C1" s="202"/>
      <c r="D1" s="202"/>
      <c r="E1" s="202"/>
      <c r="F1" s="202"/>
      <c r="G1" s="202"/>
      <c r="H1" s="118"/>
      <c r="I1" s="118"/>
      <c r="J1" s="119" t="s">
        <v>8</v>
      </c>
      <c r="K1" s="118"/>
      <c r="L1" s="118"/>
      <c r="M1" s="118"/>
      <c r="N1" s="118"/>
      <c r="O1" s="202"/>
      <c r="P1" s="364"/>
      <c r="Q1" s="202"/>
      <c r="R1" s="202"/>
      <c r="S1" s="202"/>
      <c r="T1" s="202"/>
      <c r="U1" s="202"/>
      <c r="V1" s="202"/>
      <c r="W1" s="202"/>
      <c r="X1" s="202"/>
      <c r="Y1" s="364"/>
      <c r="Z1" s="202"/>
      <c r="AA1" s="202"/>
      <c r="AB1" s="202"/>
      <c r="AC1" s="202"/>
      <c r="AD1" s="202"/>
      <c r="AE1" s="202"/>
      <c r="AF1" s="202"/>
      <c r="AG1" s="202"/>
      <c r="AH1" s="202"/>
      <c r="AI1" s="113"/>
      <c r="AJ1" s="202"/>
      <c r="AR1" s="261"/>
      <c r="AS1" s="262"/>
      <c r="AT1" s="265"/>
    </row>
    <row r="2" spans="1:46" s="255" customFormat="1" ht="20.25" customHeight="1" x14ac:dyDescent="0.35">
      <c r="B2" s="203"/>
      <c r="C2" s="203"/>
      <c r="D2" s="203"/>
      <c r="E2" s="203"/>
      <c r="F2" s="203"/>
      <c r="G2" s="203"/>
      <c r="H2" s="120"/>
      <c r="J2" s="121" t="s">
        <v>9</v>
      </c>
      <c r="K2" s="120"/>
      <c r="L2" s="120"/>
      <c r="M2" s="203"/>
      <c r="N2" s="203"/>
      <c r="O2" s="203"/>
      <c r="P2" s="365"/>
      <c r="Q2" s="203"/>
      <c r="R2" s="203"/>
      <c r="S2" s="203"/>
      <c r="T2" s="203"/>
      <c r="U2" s="203"/>
      <c r="V2" s="203"/>
      <c r="W2" s="203"/>
      <c r="X2" s="203"/>
      <c r="Y2" s="365"/>
      <c r="Z2" s="203"/>
      <c r="AA2" s="203"/>
      <c r="AB2" s="203"/>
      <c r="AC2" s="203"/>
      <c r="AD2" s="203"/>
      <c r="AE2" s="203"/>
      <c r="AF2" s="203"/>
      <c r="AG2" s="203"/>
      <c r="AH2" s="203"/>
      <c r="AI2" s="114"/>
      <c r="AJ2" s="203"/>
      <c r="AR2" s="261"/>
      <c r="AS2" s="262"/>
      <c r="AT2" s="265"/>
    </row>
    <row r="3" spans="1:46" s="255" customFormat="1" ht="15.75" customHeight="1" x14ac:dyDescent="0.25">
      <c r="B3" s="198"/>
      <c r="C3" s="198"/>
      <c r="D3" s="198"/>
      <c r="E3" s="198"/>
      <c r="F3" s="198"/>
      <c r="G3" s="198"/>
      <c r="H3" s="198"/>
      <c r="I3" s="198"/>
      <c r="J3" s="198" t="s">
        <v>1376</v>
      </c>
      <c r="K3" s="198"/>
      <c r="L3" s="198"/>
      <c r="M3" s="198"/>
      <c r="N3" s="198"/>
      <c r="O3" s="198"/>
      <c r="P3" s="362"/>
      <c r="Q3" s="198"/>
      <c r="R3" s="198"/>
      <c r="S3" s="198"/>
      <c r="T3" s="198"/>
      <c r="U3" s="198"/>
      <c r="V3" s="198"/>
      <c r="W3" s="198"/>
      <c r="X3" s="198"/>
      <c r="Y3" s="362"/>
      <c r="Z3" s="198"/>
      <c r="AA3" s="198"/>
      <c r="AB3" s="198"/>
      <c r="AC3" s="198"/>
      <c r="AD3" s="198"/>
      <c r="AE3" s="198"/>
      <c r="AF3" s="198"/>
      <c r="AG3" s="198"/>
      <c r="AH3" s="198"/>
      <c r="AI3" s="115"/>
      <c r="AJ3" s="198"/>
      <c r="AR3" s="261"/>
      <c r="AS3" s="262"/>
      <c r="AT3" s="265"/>
    </row>
    <row r="4" spans="1:46" s="79" customFormat="1" ht="17.399999999999999" customHeight="1" x14ac:dyDescent="0.25">
      <c r="A4" s="316" t="s">
        <v>10</v>
      </c>
      <c r="B4" s="238" t="str">
        <f>'Start Here'!B4:D4</f>
        <v>Oakley</v>
      </c>
      <c r="C4" s="317"/>
      <c r="D4" s="78"/>
      <c r="E4" s="78"/>
      <c r="F4" s="78"/>
      <c r="G4" s="78"/>
      <c r="H4" s="78"/>
      <c r="I4" s="78"/>
      <c r="J4" s="78"/>
      <c r="L4" s="417" t="s">
        <v>1374</v>
      </c>
      <c r="M4" s="418"/>
      <c r="N4" s="418"/>
      <c r="O4" s="419"/>
      <c r="Q4" s="78"/>
      <c r="R4" s="78"/>
      <c r="S4" s="78"/>
      <c r="Z4" s="78"/>
      <c r="AA4" s="78"/>
      <c r="AB4" s="78"/>
      <c r="AI4" s="81"/>
      <c r="AR4" s="108"/>
      <c r="AS4" s="81"/>
      <c r="AT4" s="78"/>
    </row>
    <row r="5" spans="1:46" s="79" customFormat="1" ht="18.600000000000001" customHeight="1" x14ac:dyDescent="0.25">
      <c r="A5" s="316" t="s">
        <v>36</v>
      </c>
      <c r="B5" s="237">
        <f>'Start Here'!B5</f>
        <v>2018</v>
      </c>
      <c r="C5" s="318" t="s">
        <v>52</v>
      </c>
      <c r="D5" s="9"/>
      <c r="E5" s="78"/>
      <c r="F5" s="78"/>
      <c r="G5" s="78"/>
      <c r="L5" s="84" t="s">
        <v>106</v>
      </c>
      <c r="M5" s="263"/>
      <c r="N5" s="263"/>
      <c r="O5" s="264"/>
      <c r="AI5" s="81"/>
      <c r="AR5" s="108"/>
      <c r="AS5" s="81"/>
      <c r="AT5" s="78"/>
    </row>
    <row r="6" spans="1:46" s="255" customFormat="1" ht="8.4" customHeight="1" x14ac:dyDescent="0.25">
      <c r="AI6" s="262"/>
      <c r="AR6" s="261"/>
      <c r="AS6" s="262"/>
      <c r="AT6" s="265"/>
    </row>
    <row r="7" spans="1:46" s="232" customFormat="1" ht="20.399999999999999" customHeight="1" x14ac:dyDescent="0.3">
      <c r="A7" s="311"/>
      <c r="B7" s="219"/>
      <c r="C7" s="219"/>
      <c r="D7" s="219"/>
      <c r="E7" s="219"/>
      <c r="F7" s="219"/>
      <c r="G7" s="219"/>
      <c r="H7" s="219"/>
      <c r="I7" s="219"/>
      <c r="J7" s="233" t="s">
        <v>12</v>
      </c>
      <c r="K7" s="219"/>
      <c r="L7" s="219"/>
      <c r="M7" s="219"/>
      <c r="N7" s="219"/>
      <c r="O7" s="219"/>
      <c r="P7" s="361"/>
      <c r="Q7" s="219"/>
      <c r="R7" s="219"/>
      <c r="S7" s="219"/>
      <c r="T7" s="219"/>
      <c r="U7" s="219"/>
      <c r="V7" s="219"/>
      <c r="W7" s="219"/>
      <c r="X7" s="219"/>
      <c r="Y7" s="361"/>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3">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5" customHeight="1" x14ac:dyDescent="0.3">
      <c r="A9" s="406" t="s">
        <v>43</v>
      </c>
      <c r="B9" s="409"/>
      <c r="C9" s="409"/>
      <c r="D9" s="409"/>
      <c r="E9" s="410"/>
      <c r="F9" s="406" t="s">
        <v>112</v>
      </c>
      <c r="G9" s="410"/>
      <c r="H9" s="406" t="s">
        <v>1295</v>
      </c>
      <c r="I9" s="409"/>
      <c r="J9" s="409"/>
      <c r="K9" s="409"/>
      <c r="L9" s="409"/>
      <c r="M9" s="409"/>
      <c r="N9" s="409"/>
      <c r="O9" s="410"/>
      <c r="P9" s="266"/>
      <c r="Q9" s="406" t="s">
        <v>68</v>
      </c>
      <c r="R9" s="409"/>
      <c r="S9" s="409"/>
      <c r="T9" s="409"/>
      <c r="U9" s="409"/>
      <c r="V9" s="409"/>
      <c r="W9" s="410"/>
      <c r="X9" s="266"/>
      <c r="Y9" s="266"/>
      <c r="Z9" s="406" t="s">
        <v>69</v>
      </c>
      <c r="AA9" s="409"/>
      <c r="AB9" s="409"/>
      <c r="AC9" s="409"/>
      <c r="AD9" s="409"/>
      <c r="AE9" s="409"/>
      <c r="AF9" s="409"/>
      <c r="AG9" s="409"/>
      <c r="AH9" s="410"/>
      <c r="AI9" s="267"/>
      <c r="AJ9" s="224" t="s">
        <v>113</v>
      </c>
      <c r="AK9" s="224" t="s">
        <v>114</v>
      </c>
      <c r="AL9" s="406" t="s">
        <v>6</v>
      </c>
      <c r="AM9" s="410"/>
      <c r="AN9" s="224" t="s">
        <v>7</v>
      </c>
      <c r="AO9" s="224" t="s">
        <v>115</v>
      </c>
      <c r="AP9" s="406" t="s">
        <v>118</v>
      </c>
      <c r="AQ9" s="409"/>
      <c r="AR9" s="410"/>
      <c r="AS9" s="85" t="s">
        <v>58</v>
      </c>
      <c r="AT9" s="82"/>
    </row>
    <row r="10" spans="1:46" s="10" customFormat="1" ht="15.6" customHeight="1" x14ac:dyDescent="0.3">
      <c r="A10" s="425">
        <v>1</v>
      </c>
      <c r="B10" s="426"/>
      <c r="C10" s="426"/>
      <c r="D10" s="426"/>
      <c r="E10" s="427"/>
      <c r="F10" s="216">
        <v>2</v>
      </c>
      <c r="G10" s="216">
        <v>3</v>
      </c>
      <c r="H10" s="217">
        <v>4</v>
      </c>
      <c r="I10" s="268"/>
      <c r="J10" s="268"/>
      <c r="K10" s="268"/>
      <c r="L10" s="268"/>
      <c r="M10" s="268"/>
      <c r="N10" s="269"/>
      <c r="O10" s="216">
        <v>5</v>
      </c>
      <c r="P10" s="363">
        <v>6</v>
      </c>
      <c r="Q10" s="217">
        <v>7</v>
      </c>
      <c r="R10" s="218"/>
      <c r="S10" s="218"/>
      <c r="T10" s="218"/>
      <c r="U10" s="218"/>
      <c r="V10" s="218"/>
      <c r="W10" s="111"/>
      <c r="X10" s="216">
        <v>8</v>
      </c>
      <c r="Y10" s="363">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2" customHeight="1" thickBot="1" x14ac:dyDescent="0.35">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5">
      <c r="A12" s="347" t="s">
        <v>136</v>
      </c>
      <c r="B12" s="348"/>
      <c r="C12" s="348"/>
      <c r="D12" s="349"/>
      <c r="E12" s="350"/>
      <c r="F12" s="348"/>
      <c r="G12" s="348"/>
      <c r="H12" s="349">
        <f>SUM(H13:H1000)</f>
        <v>0</v>
      </c>
      <c r="I12" s="349">
        <f t="shared" ref="I12:AH12" si="0">SUM(I13:I1000)</f>
        <v>0</v>
      </c>
      <c r="J12" s="349">
        <f t="shared" si="0"/>
        <v>0</v>
      </c>
      <c r="K12" s="349">
        <f t="shared" si="0"/>
        <v>0</v>
      </c>
      <c r="L12" s="349">
        <f t="shared" si="0"/>
        <v>0</v>
      </c>
      <c r="M12" s="349">
        <f t="shared" si="0"/>
        <v>0</v>
      </c>
      <c r="N12" s="349">
        <f t="shared" si="0"/>
        <v>0</v>
      </c>
      <c r="O12" s="349"/>
      <c r="P12" s="349">
        <f t="shared" si="0"/>
        <v>0</v>
      </c>
      <c r="Q12" s="349">
        <f t="shared" si="0"/>
        <v>0</v>
      </c>
      <c r="R12" s="349">
        <f t="shared" si="0"/>
        <v>0</v>
      </c>
      <c r="S12" s="349">
        <f t="shared" si="0"/>
        <v>0</v>
      </c>
      <c r="T12" s="349">
        <f t="shared" si="0"/>
        <v>0</v>
      </c>
      <c r="U12" s="349">
        <f t="shared" si="0"/>
        <v>0</v>
      </c>
      <c r="V12" s="349">
        <f t="shared" si="0"/>
        <v>0</v>
      </c>
      <c r="W12" s="349">
        <f t="shared" si="0"/>
        <v>192</v>
      </c>
      <c r="X12" s="349"/>
      <c r="Y12" s="351">
        <f t="shared" si="0"/>
        <v>192</v>
      </c>
      <c r="Z12" s="349">
        <f t="shared" si="0"/>
        <v>0</v>
      </c>
      <c r="AA12" s="349">
        <f t="shared" si="0"/>
        <v>0</v>
      </c>
      <c r="AB12" s="349">
        <f t="shared" si="0"/>
        <v>0</v>
      </c>
      <c r="AC12" s="349">
        <f t="shared" si="0"/>
        <v>0</v>
      </c>
      <c r="AD12" s="349">
        <f t="shared" si="0"/>
        <v>0</v>
      </c>
      <c r="AE12" s="349">
        <f t="shared" si="0"/>
        <v>0</v>
      </c>
      <c r="AF12" s="349">
        <f t="shared" si="0"/>
        <v>237</v>
      </c>
      <c r="AG12" s="349"/>
      <c r="AH12" s="351">
        <f t="shared" si="0"/>
        <v>237</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13.2" x14ac:dyDescent="0.25">
      <c r="A13" s="367"/>
      <c r="B13" s="367" t="s">
        <v>1502</v>
      </c>
      <c r="C13" s="367" t="s">
        <v>1822</v>
      </c>
      <c r="D13" s="11"/>
      <c r="E13" s="367" t="s">
        <v>2164</v>
      </c>
      <c r="F13" s="11" t="s">
        <v>1474</v>
      </c>
      <c r="G13" s="277" t="s">
        <v>1476</v>
      </c>
      <c r="H13" s="271"/>
      <c r="I13" s="271"/>
      <c r="J13" s="271"/>
      <c r="K13" s="271"/>
      <c r="L13" s="271"/>
      <c r="M13" s="271"/>
      <c r="N13" s="271"/>
      <c r="O13" s="272"/>
      <c r="P13" s="345">
        <f t="shared" ref="P13:P76" si="1">SUM(H13:N13)</f>
        <v>0</v>
      </c>
      <c r="Q13" s="165"/>
      <c r="R13" s="165"/>
      <c r="S13" s="165"/>
      <c r="T13" s="165"/>
      <c r="U13" s="165"/>
      <c r="V13" s="11"/>
      <c r="W13" s="277">
        <v>1</v>
      </c>
      <c r="X13" s="368">
        <v>43117</v>
      </c>
      <c r="Y13" s="346">
        <f t="shared" ref="Y13:Y76" si="2">SUM(Q13:W13)</f>
        <v>1</v>
      </c>
      <c r="Z13" s="165"/>
      <c r="AA13" s="165"/>
      <c r="AB13" s="165"/>
      <c r="AC13" s="165"/>
      <c r="AD13" s="165"/>
      <c r="AE13" s="165"/>
      <c r="AF13" s="165">
        <v>1</v>
      </c>
      <c r="AG13" s="368">
        <v>43461</v>
      </c>
      <c r="AH13" s="346">
        <f>SUM(Z13:AF13)</f>
        <v>1</v>
      </c>
      <c r="AI13" s="274"/>
      <c r="AJ13" s="11" t="s">
        <v>2491</v>
      </c>
      <c r="AK13" s="11"/>
      <c r="AL13" s="11"/>
      <c r="AM13" s="11"/>
      <c r="AN13" s="11"/>
      <c r="AO13" s="11"/>
      <c r="AP13" s="11"/>
      <c r="AQ13" s="11"/>
      <c r="AR13" s="11"/>
      <c r="AS13" s="275"/>
      <c r="AT13" s="226"/>
    </row>
    <row r="14" spans="1:46" s="2" customFormat="1" ht="13.2" x14ac:dyDescent="0.25">
      <c r="A14" s="367"/>
      <c r="B14" s="367" t="s">
        <v>1503</v>
      </c>
      <c r="C14" s="367" t="s">
        <v>1823</v>
      </c>
      <c r="D14" s="11"/>
      <c r="E14" s="367" t="s">
        <v>2165</v>
      </c>
      <c r="F14" s="11" t="s">
        <v>1474</v>
      </c>
      <c r="G14" s="277" t="s">
        <v>1476</v>
      </c>
      <c r="H14" s="271"/>
      <c r="I14" s="271"/>
      <c r="J14" s="271"/>
      <c r="K14" s="271"/>
      <c r="L14" s="271"/>
      <c r="M14" s="271"/>
      <c r="N14" s="271"/>
      <c r="O14" s="272"/>
      <c r="P14" s="345">
        <f t="shared" si="1"/>
        <v>0</v>
      </c>
      <c r="Q14" s="165"/>
      <c r="R14" s="165"/>
      <c r="S14" s="165"/>
      <c r="T14" s="165"/>
      <c r="U14" s="165"/>
      <c r="V14" s="11"/>
      <c r="W14" s="277">
        <v>1</v>
      </c>
      <c r="X14" s="368">
        <v>43117</v>
      </c>
      <c r="Y14" s="346">
        <f t="shared" si="2"/>
        <v>1</v>
      </c>
      <c r="Z14" s="165"/>
      <c r="AA14" s="165"/>
      <c r="AB14" s="165"/>
      <c r="AC14" s="165"/>
      <c r="AD14" s="165"/>
      <c r="AE14" s="165"/>
      <c r="AF14" s="165">
        <v>1</v>
      </c>
      <c r="AG14" s="368">
        <v>43494</v>
      </c>
      <c r="AH14" s="346">
        <f>SUM(Z14:AF14)</f>
        <v>1</v>
      </c>
      <c r="AI14" s="274"/>
      <c r="AJ14" s="11" t="s">
        <v>2491</v>
      </c>
      <c r="AK14" s="11"/>
      <c r="AL14" s="11"/>
      <c r="AM14" s="11"/>
      <c r="AN14" s="11"/>
      <c r="AO14" s="11"/>
      <c r="AP14" s="11"/>
      <c r="AQ14" s="11"/>
      <c r="AR14" s="11"/>
      <c r="AS14" s="275"/>
      <c r="AT14" s="226"/>
    </row>
    <row r="15" spans="1:46" s="2" customFormat="1" ht="13.2" x14ac:dyDescent="0.25">
      <c r="A15" s="367"/>
      <c r="B15" s="367" t="s">
        <v>1504</v>
      </c>
      <c r="C15" s="367" t="s">
        <v>1824</v>
      </c>
      <c r="D15" s="11"/>
      <c r="E15" s="367" t="s">
        <v>2166</v>
      </c>
      <c r="F15" s="11" t="s">
        <v>1474</v>
      </c>
      <c r="G15" s="277" t="s">
        <v>1476</v>
      </c>
      <c r="H15" s="271"/>
      <c r="I15" s="271"/>
      <c r="J15" s="271"/>
      <c r="K15" s="276"/>
      <c r="L15" s="271"/>
      <c r="M15" s="271"/>
      <c r="N15" s="271"/>
      <c r="O15" s="272"/>
      <c r="P15" s="345">
        <f t="shared" si="1"/>
        <v>0</v>
      </c>
      <c r="Q15" s="11"/>
      <c r="R15" s="11"/>
      <c r="S15" s="11"/>
      <c r="T15" s="277"/>
      <c r="U15" s="11"/>
      <c r="V15" s="11"/>
      <c r="W15" s="277">
        <v>1</v>
      </c>
      <c r="X15" s="368">
        <v>43117</v>
      </c>
      <c r="Y15" s="346">
        <f t="shared" si="2"/>
        <v>1</v>
      </c>
      <c r="Z15" s="165"/>
      <c r="AA15" s="165"/>
      <c r="AB15" s="165"/>
      <c r="AC15" s="165"/>
      <c r="AD15" s="165"/>
      <c r="AE15" s="165"/>
      <c r="AF15" s="165">
        <v>1</v>
      </c>
      <c r="AG15" s="368">
        <v>43370</v>
      </c>
      <c r="AH15" s="346">
        <f t="shared" ref="AH15:AH31" si="3">SUM(Z15:AF15)</f>
        <v>1</v>
      </c>
      <c r="AI15" s="274"/>
      <c r="AJ15" s="11" t="s">
        <v>2491</v>
      </c>
      <c r="AK15" s="11"/>
      <c r="AL15" s="11"/>
      <c r="AM15" s="11"/>
      <c r="AN15" s="11"/>
      <c r="AO15" s="11"/>
      <c r="AP15" s="11"/>
      <c r="AQ15" s="11"/>
      <c r="AR15" s="11"/>
      <c r="AS15" s="275"/>
      <c r="AT15" s="226"/>
    </row>
    <row r="16" spans="1:46" s="2" customFormat="1" ht="13.2" x14ac:dyDescent="0.25">
      <c r="A16" s="367"/>
      <c r="B16" s="367" t="s">
        <v>1505</v>
      </c>
      <c r="C16" s="367" t="s">
        <v>1825</v>
      </c>
      <c r="D16" s="11"/>
      <c r="E16" s="367" t="s">
        <v>2167</v>
      </c>
      <c r="F16" s="11" t="s">
        <v>1474</v>
      </c>
      <c r="G16" s="277" t="s">
        <v>1476</v>
      </c>
      <c r="H16" s="271"/>
      <c r="I16" s="271"/>
      <c r="J16" s="271"/>
      <c r="K16" s="271"/>
      <c r="L16" s="271"/>
      <c r="M16" s="271"/>
      <c r="N16" s="271"/>
      <c r="O16" s="272"/>
      <c r="P16" s="345">
        <f t="shared" si="1"/>
        <v>0</v>
      </c>
      <c r="Q16" s="11"/>
      <c r="R16" s="11"/>
      <c r="S16" s="11"/>
      <c r="T16" s="11"/>
      <c r="U16" s="11"/>
      <c r="V16" s="11"/>
      <c r="W16" s="277">
        <v>1</v>
      </c>
      <c r="X16" s="368">
        <v>43117</v>
      </c>
      <c r="Y16" s="346">
        <f t="shared" si="2"/>
        <v>1</v>
      </c>
      <c r="Z16" s="165"/>
      <c r="AA16" s="165"/>
      <c r="AB16" s="165"/>
      <c r="AC16" s="165"/>
      <c r="AD16" s="165"/>
      <c r="AE16" s="165"/>
      <c r="AF16" s="165">
        <v>1</v>
      </c>
      <c r="AG16" s="368">
        <v>43410</v>
      </c>
      <c r="AH16" s="346">
        <f t="shared" si="3"/>
        <v>1</v>
      </c>
      <c r="AI16" s="274"/>
      <c r="AJ16" s="11" t="s">
        <v>2491</v>
      </c>
      <c r="AK16" s="11"/>
      <c r="AL16" s="11"/>
      <c r="AM16" s="11"/>
      <c r="AN16" s="11"/>
      <c r="AO16" s="11"/>
      <c r="AP16" s="11"/>
      <c r="AQ16" s="11"/>
      <c r="AR16" s="11"/>
      <c r="AS16" s="275"/>
      <c r="AT16" s="226"/>
    </row>
    <row r="17" spans="1:46" s="2" customFormat="1" ht="13.2" x14ac:dyDescent="0.25">
      <c r="A17" s="367"/>
      <c r="B17" s="367" t="s">
        <v>1506</v>
      </c>
      <c r="C17" s="367" t="s">
        <v>1826</v>
      </c>
      <c r="D17" s="11"/>
      <c r="E17" s="367" t="s">
        <v>2168</v>
      </c>
      <c r="F17" s="11" t="s">
        <v>1474</v>
      </c>
      <c r="G17" s="277" t="s">
        <v>1476</v>
      </c>
      <c r="H17" s="271"/>
      <c r="I17" s="271"/>
      <c r="J17" s="271"/>
      <c r="K17" s="271"/>
      <c r="L17" s="271"/>
      <c r="M17" s="271"/>
      <c r="N17" s="271"/>
      <c r="O17" s="272"/>
      <c r="P17" s="345">
        <f t="shared" si="1"/>
        <v>0</v>
      </c>
      <c r="Q17" s="11"/>
      <c r="R17" s="11"/>
      <c r="S17" s="11"/>
      <c r="T17" s="11"/>
      <c r="U17" s="11"/>
      <c r="V17" s="11"/>
      <c r="W17" s="277">
        <v>1</v>
      </c>
      <c r="X17" s="368">
        <v>43117</v>
      </c>
      <c r="Y17" s="346">
        <f t="shared" si="2"/>
        <v>1</v>
      </c>
      <c r="Z17" s="165"/>
      <c r="AA17" s="165"/>
      <c r="AB17" s="165"/>
      <c r="AC17" s="165"/>
      <c r="AD17" s="165"/>
      <c r="AE17" s="165"/>
      <c r="AF17" s="165">
        <v>1</v>
      </c>
      <c r="AG17" s="368">
        <v>43474</v>
      </c>
      <c r="AH17" s="346">
        <f t="shared" si="3"/>
        <v>1</v>
      </c>
      <c r="AI17" s="274"/>
      <c r="AJ17" s="11" t="s">
        <v>2491</v>
      </c>
      <c r="AK17" s="11"/>
      <c r="AL17" s="11"/>
      <c r="AM17" s="11"/>
      <c r="AN17" s="11"/>
      <c r="AO17" s="11"/>
      <c r="AP17" s="11"/>
      <c r="AQ17" s="11"/>
      <c r="AR17" s="11"/>
      <c r="AS17" s="275"/>
      <c r="AT17" s="226"/>
    </row>
    <row r="18" spans="1:46" s="2" customFormat="1" ht="13.2" x14ac:dyDescent="0.25">
      <c r="A18" s="367"/>
      <c r="B18" s="367" t="s">
        <v>1716</v>
      </c>
      <c r="C18" s="367" t="s">
        <v>2050</v>
      </c>
      <c r="D18" s="11"/>
      <c r="E18" s="367" t="s">
        <v>2392</v>
      </c>
      <c r="F18" s="11" t="s">
        <v>1474</v>
      </c>
      <c r="G18" s="277" t="s">
        <v>1476</v>
      </c>
      <c r="H18" s="271"/>
      <c r="I18" s="271"/>
      <c r="J18" s="271"/>
      <c r="K18" s="271"/>
      <c r="L18" s="271"/>
      <c r="M18" s="271"/>
      <c r="N18" s="271"/>
      <c r="O18" s="272"/>
      <c r="P18" s="345">
        <f t="shared" si="1"/>
        <v>0</v>
      </c>
      <c r="Q18" s="11"/>
      <c r="R18" s="11"/>
      <c r="S18" s="11"/>
      <c r="T18" s="11"/>
      <c r="U18" s="11"/>
      <c r="V18" s="11"/>
      <c r="W18" s="277">
        <v>1</v>
      </c>
      <c r="X18" s="368">
        <v>43117</v>
      </c>
      <c r="Y18" s="346">
        <f t="shared" si="2"/>
        <v>1</v>
      </c>
      <c r="Z18" s="165"/>
      <c r="AA18" s="165"/>
      <c r="AB18" s="165"/>
      <c r="AC18" s="165"/>
      <c r="AD18" s="165"/>
      <c r="AE18" s="165"/>
      <c r="AF18" s="165"/>
      <c r="AG18" s="369"/>
      <c r="AH18" s="346">
        <f t="shared" si="3"/>
        <v>0</v>
      </c>
      <c r="AI18" s="274"/>
      <c r="AJ18" s="11" t="s">
        <v>2491</v>
      </c>
      <c r="AK18" s="11"/>
      <c r="AL18" s="11"/>
      <c r="AM18" s="11"/>
      <c r="AN18" s="11"/>
      <c r="AO18" s="11"/>
      <c r="AP18" s="11"/>
      <c r="AQ18" s="11"/>
      <c r="AR18" s="11"/>
      <c r="AS18" s="275"/>
      <c r="AT18" s="226"/>
    </row>
    <row r="19" spans="1:46" s="2" customFormat="1" ht="13.2" x14ac:dyDescent="0.25">
      <c r="A19" s="367"/>
      <c r="B19" s="367" t="s">
        <v>1717</v>
      </c>
      <c r="C19" s="367" t="s">
        <v>2051</v>
      </c>
      <c r="D19" s="11"/>
      <c r="E19" s="367" t="s">
        <v>2393</v>
      </c>
      <c r="F19" s="11" t="s">
        <v>1474</v>
      </c>
      <c r="G19" s="277" t="s">
        <v>1476</v>
      </c>
      <c r="H19" s="271"/>
      <c r="I19" s="271"/>
      <c r="J19" s="271"/>
      <c r="K19" s="271"/>
      <c r="L19" s="271"/>
      <c r="M19" s="271"/>
      <c r="N19" s="271"/>
      <c r="O19" s="272"/>
      <c r="P19" s="345">
        <f t="shared" si="1"/>
        <v>0</v>
      </c>
      <c r="Q19" s="11"/>
      <c r="R19" s="11"/>
      <c r="S19" s="11"/>
      <c r="T19" s="11"/>
      <c r="U19" s="11"/>
      <c r="V19" s="11"/>
      <c r="W19" s="277">
        <v>1</v>
      </c>
      <c r="X19" s="368">
        <v>43117</v>
      </c>
      <c r="Y19" s="346">
        <f t="shared" si="2"/>
        <v>1</v>
      </c>
      <c r="Z19" s="165"/>
      <c r="AA19" s="165"/>
      <c r="AB19" s="165"/>
      <c r="AC19" s="165"/>
      <c r="AD19" s="165"/>
      <c r="AE19" s="165"/>
      <c r="AF19" s="165"/>
      <c r="AG19" s="369"/>
      <c r="AH19" s="346">
        <f t="shared" si="3"/>
        <v>0</v>
      </c>
      <c r="AI19" s="274"/>
      <c r="AJ19" s="11" t="s">
        <v>2491</v>
      </c>
      <c r="AK19" s="11"/>
      <c r="AL19" s="11"/>
      <c r="AM19" s="11"/>
      <c r="AN19" s="11"/>
      <c r="AO19" s="11"/>
      <c r="AP19" s="11"/>
      <c r="AQ19" s="11"/>
      <c r="AR19" s="11"/>
      <c r="AS19" s="275"/>
      <c r="AT19" s="226"/>
    </row>
    <row r="20" spans="1:46" s="2" customFormat="1" ht="13.2" x14ac:dyDescent="0.25">
      <c r="A20" s="11"/>
      <c r="B20" s="367" t="s">
        <v>1718</v>
      </c>
      <c r="C20" s="367" t="s">
        <v>2052</v>
      </c>
      <c r="D20" s="11"/>
      <c r="E20" s="367" t="s">
        <v>2394</v>
      </c>
      <c r="F20" s="11" t="s">
        <v>1474</v>
      </c>
      <c r="G20" s="277" t="s">
        <v>1476</v>
      </c>
      <c r="H20" s="271"/>
      <c r="I20" s="271"/>
      <c r="J20" s="271"/>
      <c r="K20" s="271"/>
      <c r="L20" s="271"/>
      <c r="M20" s="271"/>
      <c r="N20" s="271"/>
      <c r="O20" s="272"/>
      <c r="P20" s="345">
        <f t="shared" si="1"/>
        <v>0</v>
      </c>
      <c r="Q20" s="11"/>
      <c r="R20" s="11"/>
      <c r="S20" s="11"/>
      <c r="T20" s="11"/>
      <c r="U20" s="11"/>
      <c r="V20" s="11"/>
      <c r="W20" s="277">
        <v>1</v>
      </c>
      <c r="X20" s="368">
        <v>43117</v>
      </c>
      <c r="Y20" s="346">
        <f t="shared" si="2"/>
        <v>1</v>
      </c>
      <c r="Z20" s="165"/>
      <c r="AA20" s="165"/>
      <c r="AB20" s="165"/>
      <c r="AC20" s="165"/>
      <c r="AD20" s="165"/>
      <c r="AE20" s="165"/>
      <c r="AF20" s="165"/>
      <c r="AG20" s="369"/>
      <c r="AH20" s="346">
        <f t="shared" si="3"/>
        <v>0</v>
      </c>
      <c r="AI20" s="274"/>
      <c r="AJ20" s="11" t="s">
        <v>2491</v>
      </c>
      <c r="AK20" s="11"/>
      <c r="AL20" s="11"/>
      <c r="AM20" s="11"/>
      <c r="AN20" s="11"/>
      <c r="AO20" s="11"/>
      <c r="AP20" s="11"/>
      <c r="AQ20" s="11"/>
      <c r="AR20" s="11"/>
      <c r="AS20" s="275"/>
      <c r="AT20" s="226"/>
    </row>
    <row r="21" spans="1:46" s="2" customFormat="1" ht="13.2" x14ac:dyDescent="0.25">
      <c r="A21" s="11"/>
      <c r="B21" s="367" t="s">
        <v>1719</v>
      </c>
      <c r="C21" s="367" t="s">
        <v>2053</v>
      </c>
      <c r="D21" s="11"/>
      <c r="E21" s="367" t="s">
        <v>2395</v>
      </c>
      <c r="F21" s="11" t="s">
        <v>1474</v>
      </c>
      <c r="G21" s="277" t="s">
        <v>1476</v>
      </c>
      <c r="H21" s="271"/>
      <c r="I21" s="271"/>
      <c r="J21" s="271"/>
      <c r="K21" s="271"/>
      <c r="L21" s="271"/>
      <c r="M21" s="271"/>
      <c r="N21" s="271"/>
      <c r="O21" s="272"/>
      <c r="P21" s="345">
        <f t="shared" si="1"/>
        <v>0</v>
      </c>
      <c r="Q21" s="11"/>
      <c r="R21" s="11"/>
      <c r="S21" s="11"/>
      <c r="T21" s="11"/>
      <c r="U21" s="11"/>
      <c r="V21" s="11"/>
      <c r="W21" s="277">
        <v>1</v>
      </c>
      <c r="X21" s="368">
        <v>43117</v>
      </c>
      <c r="Y21" s="346">
        <f t="shared" si="2"/>
        <v>1</v>
      </c>
      <c r="Z21" s="165"/>
      <c r="AA21" s="165"/>
      <c r="AB21" s="165"/>
      <c r="AC21" s="165"/>
      <c r="AD21" s="165"/>
      <c r="AE21" s="165"/>
      <c r="AF21" s="165"/>
      <c r="AG21" s="369"/>
      <c r="AH21" s="346">
        <f t="shared" si="3"/>
        <v>0</v>
      </c>
      <c r="AI21" s="274"/>
      <c r="AJ21" s="11" t="s">
        <v>2491</v>
      </c>
      <c r="AK21" s="11"/>
      <c r="AL21" s="11"/>
      <c r="AM21" s="11"/>
      <c r="AN21" s="11"/>
      <c r="AO21" s="11"/>
      <c r="AP21" s="11"/>
      <c r="AQ21" s="11"/>
      <c r="AR21" s="11"/>
      <c r="AS21" s="275"/>
      <c r="AT21" s="226"/>
    </row>
    <row r="22" spans="1:46" s="2" customFormat="1" ht="13.2" x14ac:dyDescent="0.25">
      <c r="A22" s="11"/>
      <c r="B22" s="367" t="s">
        <v>1720</v>
      </c>
      <c r="C22" s="367" t="s">
        <v>2054</v>
      </c>
      <c r="D22" s="11"/>
      <c r="E22" s="367" t="s">
        <v>2396</v>
      </c>
      <c r="F22" s="11" t="s">
        <v>1474</v>
      </c>
      <c r="G22" s="277" t="s">
        <v>1476</v>
      </c>
      <c r="H22" s="271"/>
      <c r="I22" s="271"/>
      <c r="J22" s="271"/>
      <c r="K22" s="271"/>
      <c r="L22" s="271"/>
      <c r="M22" s="271"/>
      <c r="N22" s="271"/>
      <c r="O22" s="272"/>
      <c r="P22" s="345">
        <f t="shared" si="1"/>
        <v>0</v>
      </c>
      <c r="Q22" s="11"/>
      <c r="R22" s="11"/>
      <c r="S22" s="11"/>
      <c r="T22" s="11"/>
      <c r="U22" s="11"/>
      <c r="V22" s="11"/>
      <c r="W22" s="277">
        <v>1</v>
      </c>
      <c r="X22" s="368">
        <v>43117</v>
      </c>
      <c r="Y22" s="346">
        <f t="shared" si="2"/>
        <v>1</v>
      </c>
      <c r="Z22" s="165"/>
      <c r="AA22" s="165"/>
      <c r="AB22" s="165"/>
      <c r="AC22" s="165"/>
      <c r="AD22" s="165"/>
      <c r="AE22" s="165"/>
      <c r="AF22" s="165"/>
      <c r="AG22" s="369"/>
      <c r="AH22" s="346">
        <f t="shared" si="3"/>
        <v>0</v>
      </c>
      <c r="AI22" s="274"/>
      <c r="AJ22" s="11" t="s">
        <v>2491</v>
      </c>
      <c r="AK22" s="11"/>
      <c r="AL22" s="11"/>
      <c r="AM22" s="11"/>
      <c r="AN22" s="11"/>
      <c r="AO22" s="11"/>
      <c r="AP22" s="11"/>
      <c r="AQ22" s="11"/>
      <c r="AR22" s="11"/>
      <c r="AS22" s="275"/>
      <c r="AT22" s="226"/>
    </row>
    <row r="23" spans="1:46" s="2" customFormat="1" ht="13.2" x14ac:dyDescent="0.25">
      <c r="A23" s="11"/>
      <c r="B23" s="367" t="s">
        <v>1752</v>
      </c>
      <c r="C23" s="367" t="s">
        <v>2086</v>
      </c>
      <c r="D23" s="11"/>
      <c r="E23" s="367" t="s">
        <v>2428</v>
      </c>
      <c r="F23" s="11" t="s">
        <v>1474</v>
      </c>
      <c r="G23" s="277" t="s">
        <v>1476</v>
      </c>
      <c r="H23" s="271"/>
      <c r="I23" s="271"/>
      <c r="J23" s="271"/>
      <c r="K23" s="271"/>
      <c r="L23" s="271"/>
      <c r="M23" s="271"/>
      <c r="N23" s="271"/>
      <c r="O23" s="272"/>
      <c r="P23" s="345">
        <f t="shared" si="1"/>
        <v>0</v>
      </c>
      <c r="Q23" s="11"/>
      <c r="R23" s="11"/>
      <c r="S23" s="11"/>
      <c r="T23" s="11"/>
      <c r="U23" s="11"/>
      <c r="V23" s="11"/>
      <c r="W23" s="277">
        <v>1</v>
      </c>
      <c r="X23" s="368">
        <v>43124</v>
      </c>
      <c r="Y23" s="346">
        <f t="shared" si="2"/>
        <v>1</v>
      </c>
      <c r="Z23" s="165"/>
      <c r="AA23" s="165"/>
      <c r="AB23" s="165"/>
      <c r="AC23" s="165"/>
      <c r="AD23" s="165"/>
      <c r="AE23" s="165"/>
      <c r="AF23" s="165"/>
      <c r="AG23" s="369"/>
      <c r="AH23" s="346">
        <f t="shared" si="3"/>
        <v>0</v>
      </c>
      <c r="AI23" s="274"/>
      <c r="AJ23" s="11" t="s">
        <v>2491</v>
      </c>
      <c r="AK23" s="11"/>
      <c r="AL23" s="11"/>
      <c r="AM23" s="11"/>
      <c r="AN23" s="11"/>
      <c r="AO23" s="11"/>
      <c r="AP23" s="11"/>
      <c r="AQ23" s="11"/>
      <c r="AR23" s="11"/>
      <c r="AS23" s="275"/>
      <c r="AT23" s="226"/>
    </row>
    <row r="24" spans="1:46" s="2" customFormat="1" ht="13.2" x14ac:dyDescent="0.25">
      <c r="A24" s="11"/>
      <c r="B24" s="367" t="s">
        <v>1753</v>
      </c>
      <c r="C24" s="367" t="s">
        <v>2087</v>
      </c>
      <c r="D24" s="11"/>
      <c r="E24" s="367" t="s">
        <v>2429</v>
      </c>
      <c r="F24" s="11" t="s">
        <v>1474</v>
      </c>
      <c r="G24" s="277" t="s">
        <v>1476</v>
      </c>
      <c r="H24" s="271"/>
      <c r="I24" s="271"/>
      <c r="J24" s="271"/>
      <c r="K24" s="271"/>
      <c r="L24" s="271"/>
      <c r="M24" s="271"/>
      <c r="N24" s="271"/>
      <c r="O24" s="272"/>
      <c r="P24" s="345">
        <f t="shared" si="1"/>
        <v>0</v>
      </c>
      <c r="Q24" s="11"/>
      <c r="R24" s="11"/>
      <c r="S24" s="11"/>
      <c r="T24" s="11"/>
      <c r="U24" s="11"/>
      <c r="V24" s="11"/>
      <c r="W24" s="277">
        <v>1</v>
      </c>
      <c r="X24" s="368">
        <v>43124</v>
      </c>
      <c r="Y24" s="346">
        <f t="shared" si="2"/>
        <v>1</v>
      </c>
      <c r="Z24" s="165"/>
      <c r="AA24" s="165"/>
      <c r="AB24" s="165"/>
      <c r="AC24" s="165"/>
      <c r="AD24" s="165"/>
      <c r="AE24" s="165"/>
      <c r="AF24" s="165"/>
      <c r="AG24" s="369"/>
      <c r="AH24" s="346">
        <f t="shared" si="3"/>
        <v>0</v>
      </c>
      <c r="AI24" s="274"/>
      <c r="AJ24" s="11" t="s">
        <v>2491</v>
      </c>
      <c r="AK24" s="11"/>
      <c r="AL24" s="11"/>
      <c r="AM24" s="11"/>
      <c r="AN24" s="11"/>
      <c r="AO24" s="11"/>
      <c r="AP24" s="11"/>
      <c r="AQ24" s="11"/>
      <c r="AR24" s="11"/>
      <c r="AS24" s="275"/>
      <c r="AT24" s="226"/>
    </row>
    <row r="25" spans="1:46" s="2" customFormat="1" ht="13.2" x14ac:dyDescent="0.25">
      <c r="A25" s="11"/>
      <c r="B25" s="367" t="s">
        <v>1754</v>
      </c>
      <c r="C25" s="367" t="s">
        <v>2088</v>
      </c>
      <c r="D25" s="11"/>
      <c r="E25" s="367" t="s">
        <v>2430</v>
      </c>
      <c r="F25" s="11" t="s">
        <v>1474</v>
      </c>
      <c r="G25" s="277" t="s">
        <v>1476</v>
      </c>
      <c r="H25" s="271"/>
      <c r="I25" s="271"/>
      <c r="J25" s="271"/>
      <c r="K25" s="271"/>
      <c r="L25" s="271"/>
      <c r="M25" s="271"/>
      <c r="N25" s="271"/>
      <c r="O25" s="272"/>
      <c r="P25" s="345">
        <f t="shared" si="1"/>
        <v>0</v>
      </c>
      <c r="Q25" s="11"/>
      <c r="R25" s="11"/>
      <c r="S25" s="11"/>
      <c r="T25" s="11"/>
      <c r="U25" s="11"/>
      <c r="V25" s="11"/>
      <c r="W25" s="277">
        <v>1</v>
      </c>
      <c r="X25" s="368">
        <v>43124</v>
      </c>
      <c r="Y25" s="346">
        <f t="shared" si="2"/>
        <v>1</v>
      </c>
      <c r="Z25" s="165"/>
      <c r="AA25" s="165"/>
      <c r="AB25" s="165"/>
      <c r="AC25" s="165"/>
      <c r="AD25" s="165"/>
      <c r="AE25" s="165"/>
      <c r="AF25" s="165"/>
      <c r="AG25" s="369"/>
      <c r="AH25" s="346">
        <f t="shared" si="3"/>
        <v>0</v>
      </c>
      <c r="AI25" s="274"/>
      <c r="AJ25" s="11" t="s">
        <v>2491</v>
      </c>
      <c r="AK25" s="11"/>
      <c r="AL25" s="11"/>
      <c r="AM25" s="11"/>
      <c r="AN25" s="11"/>
      <c r="AO25" s="11"/>
      <c r="AP25" s="11"/>
      <c r="AQ25" s="11"/>
      <c r="AR25" s="11"/>
      <c r="AS25" s="275"/>
      <c r="AT25" s="226"/>
    </row>
    <row r="26" spans="1:46" s="2" customFormat="1" ht="26.4" x14ac:dyDescent="0.25">
      <c r="A26" s="11"/>
      <c r="B26" s="367" t="s">
        <v>1676</v>
      </c>
      <c r="C26" s="367" t="s">
        <v>2010</v>
      </c>
      <c r="D26" s="11"/>
      <c r="E26" s="367" t="s">
        <v>2352</v>
      </c>
      <c r="F26" s="11" t="s">
        <v>1474</v>
      </c>
      <c r="G26" s="277" t="s">
        <v>1476</v>
      </c>
      <c r="H26" s="271"/>
      <c r="I26" s="271"/>
      <c r="J26" s="271"/>
      <c r="K26" s="271"/>
      <c r="L26" s="271"/>
      <c r="M26" s="271"/>
      <c r="N26" s="271"/>
      <c r="O26" s="272"/>
      <c r="P26" s="345">
        <f t="shared" si="1"/>
        <v>0</v>
      </c>
      <c r="Q26" s="11"/>
      <c r="R26" s="11"/>
      <c r="S26" s="11"/>
      <c r="T26" s="11"/>
      <c r="U26" s="11"/>
      <c r="V26" s="11"/>
      <c r="W26" s="277">
        <v>1</v>
      </c>
      <c r="X26" s="368">
        <v>43140</v>
      </c>
      <c r="Y26" s="346">
        <f t="shared" si="2"/>
        <v>1</v>
      </c>
      <c r="Z26" s="165"/>
      <c r="AA26" s="165"/>
      <c r="AB26" s="165"/>
      <c r="AC26" s="165"/>
      <c r="AD26" s="165"/>
      <c r="AE26" s="165"/>
      <c r="AF26" s="165"/>
      <c r="AG26" s="368">
        <v>43362</v>
      </c>
      <c r="AH26" s="346">
        <f t="shared" si="3"/>
        <v>0</v>
      </c>
      <c r="AI26" s="274"/>
      <c r="AJ26" s="11" t="s">
        <v>2491</v>
      </c>
      <c r="AK26" s="11"/>
      <c r="AL26" s="11"/>
      <c r="AM26" s="11"/>
      <c r="AN26" s="11"/>
      <c r="AO26" s="11"/>
      <c r="AP26" s="11"/>
      <c r="AQ26" s="11"/>
      <c r="AR26" s="11"/>
      <c r="AS26" s="275"/>
      <c r="AT26" s="226"/>
    </row>
    <row r="27" spans="1:46" s="2" customFormat="1" ht="26.4" x14ac:dyDescent="0.25">
      <c r="A27" s="11"/>
      <c r="B27" s="367" t="s">
        <v>1677</v>
      </c>
      <c r="C27" s="367" t="s">
        <v>2011</v>
      </c>
      <c r="D27" s="11"/>
      <c r="E27" s="367" t="s">
        <v>2353</v>
      </c>
      <c r="F27" s="11" t="s">
        <v>1474</v>
      </c>
      <c r="G27" s="277" t="s">
        <v>1476</v>
      </c>
      <c r="H27" s="271"/>
      <c r="I27" s="271"/>
      <c r="J27" s="271"/>
      <c r="K27" s="271"/>
      <c r="L27" s="271"/>
      <c r="M27" s="271"/>
      <c r="N27" s="271"/>
      <c r="O27" s="272"/>
      <c r="P27" s="345">
        <f t="shared" si="1"/>
        <v>0</v>
      </c>
      <c r="Q27" s="11"/>
      <c r="R27" s="11"/>
      <c r="S27" s="11"/>
      <c r="T27" s="11"/>
      <c r="U27" s="11"/>
      <c r="V27" s="11"/>
      <c r="W27" s="277">
        <v>1</v>
      </c>
      <c r="X27" s="368">
        <v>43140</v>
      </c>
      <c r="Y27" s="346">
        <f t="shared" si="2"/>
        <v>1</v>
      </c>
      <c r="Z27" s="165"/>
      <c r="AA27" s="165"/>
      <c r="AB27" s="165"/>
      <c r="AC27" s="165"/>
      <c r="AD27" s="165"/>
      <c r="AE27" s="165"/>
      <c r="AF27" s="165">
        <v>1</v>
      </c>
      <c r="AG27" s="368">
        <v>43403</v>
      </c>
      <c r="AH27" s="346">
        <f t="shared" si="3"/>
        <v>1</v>
      </c>
      <c r="AI27" s="274"/>
      <c r="AJ27" s="11" t="s">
        <v>2491</v>
      </c>
      <c r="AK27" s="11"/>
      <c r="AL27" s="11"/>
      <c r="AM27" s="11"/>
      <c r="AN27" s="11"/>
      <c r="AO27" s="11"/>
      <c r="AP27" s="11"/>
      <c r="AQ27" s="11"/>
      <c r="AR27" s="11"/>
      <c r="AS27" s="275"/>
      <c r="AT27" s="226"/>
    </row>
    <row r="28" spans="1:46" s="2" customFormat="1" ht="26.4" x14ac:dyDescent="0.25">
      <c r="A28" s="11"/>
      <c r="B28" s="367" t="s">
        <v>1678</v>
      </c>
      <c r="C28" s="367" t="s">
        <v>2012</v>
      </c>
      <c r="D28" s="11"/>
      <c r="E28" s="367" t="s">
        <v>2354</v>
      </c>
      <c r="F28" s="11" t="s">
        <v>1474</v>
      </c>
      <c r="G28" s="277" t="s">
        <v>1476</v>
      </c>
      <c r="H28" s="271"/>
      <c r="I28" s="271"/>
      <c r="J28" s="271"/>
      <c r="K28" s="271"/>
      <c r="L28" s="271"/>
      <c r="M28" s="271"/>
      <c r="N28" s="271"/>
      <c r="O28" s="272"/>
      <c r="P28" s="345">
        <f t="shared" si="1"/>
        <v>0</v>
      </c>
      <c r="Q28" s="11"/>
      <c r="R28" s="11"/>
      <c r="S28" s="11"/>
      <c r="T28" s="11"/>
      <c r="U28" s="11"/>
      <c r="V28" s="11"/>
      <c r="W28" s="277">
        <v>1</v>
      </c>
      <c r="X28" s="368">
        <v>43140</v>
      </c>
      <c r="Y28" s="346">
        <f t="shared" si="2"/>
        <v>1</v>
      </c>
      <c r="Z28" s="165"/>
      <c r="AA28" s="165"/>
      <c r="AB28" s="165"/>
      <c r="AC28" s="165"/>
      <c r="AD28" s="165"/>
      <c r="AE28" s="165"/>
      <c r="AF28" s="165">
        <v>1</v>
      </c>
      <c r="AG28" s="368">
        <v>43356</v>
      </c>
      <c r="AH28" s="346">
        <f t="shared" si="3"/>
        <v>1</v>
      </c>
      <c r="AI28" s="274"/>
      <c r="AJ28" s="11" t="s">
        <v>2491</v>
      </c>
      <c r="AK28" s="11"/>
      <c r="AL28" s="11"/>
      <c r="AM28" s="11"/>
      <c r="AN28" s="11"/>
      <c r="AO28" s="11"/>
      <c r="AP28" s="11"/>
      <c r="AQ28" s="11"/>
      <c r="AR28" s="11"/>
      <c r="AS28" s="275"/>
      <c r="AT28" s="226"/>
    </row>
    <row r="29" spans="1:46" s="2" customFormat="1" ht="26.4" x14ac:dyDescent="0.25">
      <c r="A29" s="11"/>
      <c r="B29" s="367" t="s">
        <v>1679</v>
      </c>
      <c r="C29" s="367" t="s">
        <v>2013</v>
      </c>
      <c r="D29" s="11"/>
      <c r="E29" s="367" t="s">
        <v>2355</v>
      </c>
      <c r="F29" s="11" t="s">
        <v>1474</v>
      </c>
      <c r="G29" s="277" t="s">
        <v>1476</v>
      </c>
      <c r="H29" s="271"/>
      <c r="I29" s="271"/>
      <c r="J29" s="271"/>
      <c r="K29" s="271"/>
      <c r="L29" s="271"/>
      <c r="M29" s="271"/>
      <c r="N29" s="271"/>
      <c r="O29" s="272"/>
      <c r="P29" s="345">
        <f t="shared" si="1"/>
        <v>0</v>
      </c>
      <c r="Q29" s="11"/>
      <c r="R29" s="11"/>
      <c r="S29" s="11"/>
      <c r="T29" s="11"/>
      <c r="U29" s="11"/>
      <c r="V29" s="11"/>
      <c r="W29" s="277">
        <v>1</v>
      </c>
      <c r="X29" s="368">
        <v>43140</v>
      </c>
      <c r="Y29" s="346">
        <f t="shared" si="2"/>
        <v>1</v>
      </c>
      <c r="Z29" s="165"/>
      <c r="AA29" s="165"/>
      <c r="AB29" s="165"/>
      <c r="AC29" s="165"/>
      <c r="AD29" s="165"/>
      <c r="AE29" s="165"/>
      <c r="AF29" s="165">
        <v>1</v>
      </c>
      <c r="AG29" s="368">
        <v>43403</v>
      </c>
      <c r="AH29" s="346">
        <f t="shared" si="3"/>
        <v>1</v>
      </c>
      <c r="AI29" s="274"/>
      <c r="AJ29" s="11" t="s">
        <v>2491</v>
      </c>
      <c r="AK29" s="11"/>
      <c r="AL29" s="11"/>
      <c r="AM29" s="11"/>
      <c r="AN29" s="11"/>
      <c r="AO29" s="11"/>
      <c r="AP29" s="11"/>
      <c r="AQ29" s="11"/>
      <c r="AR29" s="11"/>
      <c r="AS29" s="275"/>
      <c r="AT29" s="226"/>
    </row>
    <row r="30" spans="1:46" s="2" customFormat="1" ht="26.4" x14ac:dyDescent="0.25">
      <c r="A30" s="11"/>
      <c r="B30" s="367" t="s">
        <v>1684</v>
      </c>
      <c r="C30" s="367" t="s">
        <v>2018</v>
      </c>
      <c r="D30" s="11"/>
      <c r="E30" s="367" t="s">
        <v>2360</v>
      </c>
      <c r="F30" s="11" t="s">
        <v>1474</v>
      </c>
      <c r="G30" s="277" t="s">
        <v>1476</v>
      </c>
      <c r="H30" s="271"/>
      <c r="I30" s="271"/>
      <c r="J30" s="271"/>
      <c r="K30" s="271"/>
      <c r="L30" s="271"/>
      <c r="M30" s="271"/>
      <c r="N30" s="271"/>
      <c r="O30" s="272"/>
      <c r="P30" s="345">
        <f t="shared" si="1"/>
        <v>0</v>
      </c>
      <c r="Q30" s="11"/>
      <c r="R30" s="11"/>
      <c r="S30" s="11"/>
      <c r="T30" s="11"/>
      <c r="U30" s="11"/>
      <c r="V30" s="11"/>
      <c r="W30" s="277">
        <v>1</v>
      </c>
      <c r="X30" s="368">
        <v>43140</v>
      </c>
      <c r="Y30" s="346">
        <f t="shared" si="2"/>
        <v>1</v>
      </c>
      <c r="Z30" s="165"/>
      <c r="AA30" s="165"/>
      <c r="AB30" s="165"/>
      <c r="AC30" s="165"/>
      <c r="AD30" s="165"/>
      <c r="AE30" s="165"/>
      <c r="AF30" s="165">
        <v>1</v>
      </c>
      <c r="AG30" s="368">
        <v>43334</v>
      </c>
      <c r="AH30" s="346">
        <f t="shared" si="3"/>
        <v>1</v>
      </c>
      <c r="AI30" s="274"/>
      <c r="AJ30" s="11" t="s">
        <v>2491</v>
      </c>
      <c r="AK30" s="11"/>
      <c r="AL30" s="11"/>
      <c r="AM30" s="11"/>
      <c r="AN30" s="11"/>
      <c r="AO30" s="11"/>
      <c r="AP30" s="11"/>
      <c r="AQ30" s="11"/>
      <c r="AR30" s="11"/>
      <c r="AS30" s="275"/>
      <c r="AT30" s="226"/>
    </row>
    <row r="31" spans="1:46" s="2" customFormat="1" ht="26.4" x14ac:dyDescent="0.25">
      <c r="A31" s="11"/>
      <c r="B31" s="367" t="s">
        <v>1685</v>
      </c>
      <c r="C31" s="367" t="s">
        <v>2019</v>
      </c>
      <c r="D31" s="11"/>
      <c r="E31" s="367" t="s">
        <v>2361</v>
      </c>
      <c r="F31" s="11" t="s">
        <v>1474</v>
      </c>
      <c r="G31" s="277" t="s">
        <v>1476</v>
      </c>
      <c r="H31" s="271"/>
      <c r="I31" s="271"/>
      <c r="J31" s="271"/>
      <c r="K31" s="271"/>
      <c r="L31" s="271"/>
      <c r="M31" s="271"/>
      <c r="N31" s="271"/>
      <c r="O31" s="272"/>
      <c r="P31" s="345">
        <f t="shared" si="1"/>
        <v>0</v>
      </c>
      <c r="Q31" s="11"/>
      <c r="R31" s="11"/>
      <c r="S31" s="11"/>
      <c r="T31" s="11"/>
      <c r="U31" s="11"/>
      <c r="V31" s="11"/>
      <c r="W31" s="277">
        <v>1</v>
      </c>
      <c r="X31" s="368">
        <v>43140</v>
      </c>
      <c r="Y31" s="346">
        <f t="shared" si="2"/>
        <v>1</v>
      </c>
      <c r="Z31" s="165"/>
      <c r="AA31" s="165"/>
      <c r="AB31" s="165"/>
      <c r="AC31" s="165"/>
      <c r="AD31" s="165"/>
      <c r="AE31" s="165"/>
      <c r="AF31" s="165">
        <v>1</v>
      </c>
      <c r="AG31" s="368">
        <v>43360</v>
      </c>
      <c r="AH31" s="346">
        <f t="shared" si="3"/>
        <v>1</v>
      </c>
      <c r="AI31" s="274"/>
      <c r="AJ31" s="11" t="s">
        <v>2491</v>
      </c>
      <c r="AK31" s="11"/>
      <c r="AL31" s="11"/>
      <c r="AM31" s="11"/>
      <c r="AN31" s="11"/>
      <c r="AO31" s="11"/>
      <c r="AP31" s="11"/>
      <c r="AQ31" s="11"/>
      <c r="AR31" s="11"/>
      <c r="AS31" s="275"/>
      <c r="AT31" s="226"/>
    </row>
    <row r="32" spans="1:46" s="2" customFormat="1" ht="26.4" x14ac:dyDescent="0.25">
      <c r="A32" s="11"/>
      <c r="B32" s="367" t="s">
        <v>1686</v>
      </c>
      <c r="C32" s="367" t="s">
        <v>2020</v>
      </c>
      <c r="D32" s="11"/>
      <c r="E32" s="367" t="s">
        <v>2362</v>
      </c>
      <c r="F32" s="11" t="s">
        <v>1474</v>
      </c>
      <c r="G32" s="277" t="s">
        <v>1476</v>
      </c>
      <c r="H32" s="271"/>
      <c r="I32" s="271"/>
      <c r="J32" s="271"/>
      <c r="K32" s="271"/>
      <c r="L32" s="271"/>
      <c r="M32" s="271"/>
      <c r="N32" s="271"/>
      <c r="O32" s="272"/>
      <c r="P32" s="345">
        <f t="shared" si="1"/>
        <v>0</v>
      </c>
      <c r="Q32" s="11"/>
      <c r="R32" s="11"/>
      <c r="S32" s="11"/>
      <c r="T32" s="11"/>
      <c r="U32" s="11"/>
      <c r="V32" s="11"/>
      <c r="W32" s="277">
        <v>1</v>
      </c>
      <c r="X32" s="368">
        <v>43140</v>
      </c>
      <c r="Y32" s="346">
        <f t="shared" si="2"/>
        <v>1</v>
      </c>
      <c r="Z32" s="165"/>
      <c r="AA32" s="165"/>
      <c r="AB32" s="165"/>
      <c r="AC32" s="165"/>
      <c r="AD32" s="165"/>
      <c r="AE32" s="165"/>
      <c r="AF32" s="165">
        <v>1</v>
      </c>
      <c r="AG32" s="368">
        <v>43307</v>
      </c>
      <c r="AH32" s="346">
        <f t="shared" ref="AH32:AH96" si="4">SUM(Z32:AF32)</f>
        <v>1</v>
      </c>
      <c r="AI32" s="274"/>
      <c r="AJ32" s="11" t="s">
        <v>2491</v>
      </c>
      <c r="AK32" s="11"/>
      <c r="AL32" s="11"/>
      <c r="AM32" s="11"/>
      <c r="AN32" s="11"/>
      <c r="AO32" s="11"/>
      <c r="AP32" s="11"/>
      <c r="AQ32" s="11"/>
      <c r="AR32" s="11"/>
      <c r="AS32" s="275"/>
      <c r="AT32" s="226"/>
    </row>
    <row r="33" spans="1:132" s="277" customFormat="1" ht="26.4" x14ac:dyDescent="0.25">
      <c r="A33" s="11"/>
      <c r="B33" s="367" t="s">
        <v>1687</v>
      </c>
      <c r="C33" s="367" t="s">
        <v>2021</v>
      </c>
      <c r="D33" s="11"/>
      <c r="E33" s="367" t="s">
        <v>2363</v>
      </c>
      <c r="F33" s="11" t="s">
        <v>1474</v>
      </c>
      <c r="G33" s="277" t="s">
        <v>1476</v>
      </c>
      <c r="H33" s="271"/>
      <c r="I33" s="271"/>
      <c r="J33" s="271"/>
      <c r="K33" s="271"/>
      <c r="L33" s="271"/>
      <c r="M33" s="271"/>
      <c r="N33" s="271"/>
      <c r="O33" s="272"/>
      <c r="P33" s="345">
        <f t="shared" si="1"/>
        <v>0</v>
      </c>
      <c r="Q33" s="11"/>
      <c r="R33" s="11"/>
      <c r="S33" s="11"/>
      <c r="T33" s="11"/>
      <c r="U33" s="11"/>
      <c r="V33" s="11"/>
      <c r="W33" s="277">
        <v>1</v>
      </c>
      <c r="X33" s="368">
        <v>43140</v>
      </c>
      <c r="Y33" s="346">
        <f t="shared" si="2"/>
        <v>1</v>
      </c>
      <c r="Z33" s="165"/>
      <c r="AA33" s="165"/>
      <c r="AB33" s="165"/>
      <c r="AC33" s="165"/>
      <c r="AD33" s="165"/>
      <c r="AE33" s="165"/>
      <c r="AF33" s="165">
        <v>1</v>
      </c>
      <c r="AG33" s="368">
        <v>43341</v>
      </c>
      <c r="AH33" s="346">
        <f t="shared" si="4"/>
        <v>1</v>
      </c>
      <c r="AI33" s="274"/>
      <c r="AJ33" s="11" t="s">
        <v>2491</v>
      </c>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26.4" x14ac:dyDescent="0.3">
      <c r="A34" s="333"/>
      <c r="B34" s="367" t="s">
        <v>1688</v>
      </c>
      <c r="C34" s="367" t="s">
        <v>2022</v>
      </c>
      <c r="D34" s="333"/>
      <c r="E34" s="367" t="s">
        <v>2364</v>
      </c>
      <c r="F34" s="11" t="s">
        <v>1474</v>
      </c>
      <c r="G34" s="277" t="s">
        <v>1476</v>
      </c>
      <c r="H34" s="334"/>
      <c r="I34" s="334"/>
      <c r="J34" s="334"/>
      <c r="K34" s="334"/>
      <c r="L34" s="334"/>
      <c r="M34" s="334"/>
      <c r="N34" s="334"/>
      <c r="O34" s="334"/>
      <c r="P34" s="345">
        <f t="shared" si="1"/>
        <v>0</v>
      </c>
      <c r="Q34" s="333"/>
      <c r="R34" s="333"/>
      <c r="S34" s="333"/>
      <c r="T34" s="333"/>
      <c r="U34" s="333"/>
      <c r="V34" s="333"/>
      <c r="W34" s="277">
        <v>1</v>
      </c>
      <c r="X34" s="368">
        <v>43140</v>
      </c>
      <c r="Y34" s="346">
        <f t="shared" si="2"/>
        <v>1</v>
      </c>
      <c r="Z34" s="335"/>
      <c r="AA34" s="335"/>
      <c r="AB34" s="335"/>
      <c r="AC34" s="335"/>
      <c r="AD34" s="335"/>
      <c r="AE34" s="335"/>
      <c r="AF34" s="165">
        <v>1</v>
      </c>
      <c r="AG34" s="368">
        <v>43334</v>
      </c>
      <c r="AH34" s="346">
        <f t="shared" si="4"/>
        <v>1</v>
      </c>
      <c r="AI34" s="335"/>
      <c r="AJ34" s="11" t="s">
        <v>2491</v>
      </c>
      <c r="AK34" s="333"/>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26.4" x14ac:dyDescent="0.25">
      <c r="A35" s="277"/>
      <c r="B35" s="367" t="s">
        <v>1689</v>
      </c>
      <c r="C35" s="367" t="s">
        <v>2023</v>
      </c>
      <c r="D35" s="277"/>
      <c r="E35" s="367" t="s">
        <v>2365</v>
      </c>
      <c r="F35" s="11" t="s">
        <v>1474</v>
      </c>
      <c r="G35" s="277" t="s">
        <v>1476</v>
      </c>
      <c r="H35" s="276"/>
      <c r="I35" s="276"/>
      <c r="J35" s="276"/>
      <c r="K35" s="276"/>
      <c r="L35" s="276"/>
      <c r="M35" s="276"/>
      <c r="N35" s="276"/>
      <c r="O35" s="276"/>
      <c r="P35" s="345">
        <f t="shared" si="1"/>
        <v>0</v>
      </c>
      <c r="Q35" s="277"/>
      <c r="R35" s="277"/>
      <c r="S35" s="277"/>
      <c r="T35" s="277"/>
      <c r="U35" s="277"/>
      <c r="V35" s="277"/>
      <c r="W35" s="277">
        <v>1</v>
      </c>
      <c r="X35" s="368">
        <v>43140</v>
      </c>
      <c r="Y35" s="346">
        <f t="shared" si="2"/>
        <v>1</v>
      </c>
      <c r="Z35" s="165"/>
      <c r="AA35" s="165"/>
      <c r="AB35" s="165"/>
      <c r="AC35" s="165"/>
      <c r="AD35" s="165"/>
      <c r="AE35" s="165"/>
      <c r="AF35" s="165">
        <v>1</v>
      </c>
      <c r="AG35" s="368">
        <v>43336</v>
      </c>
      <c r="AH35" s="346">
        <f t="shared" si="4"/>
        <v>1</v>
      </c>
      <c r="AI35" s="165"/>
      <c r="AJ35" s="11" t="s">
        <v>2491</v>
      </c>
      <c r="AK35" s="277"/>
      <c r="AL35" s="11"/>
      <c r="AM35" s="11"/>
      <c r="AN35" s="277"/>
      <c r="AO35" s="277"/>
      <c r="AP35" s="277"/>
      <c r="AQ35" s="277"/>
      <c r="AR35" s="338"/>
      <c r="AS35" s="275"/>
      <c r="AT35" s="305"/>
    </row>
    <row r="36" spans="1:132" s="88" customFormat="1" ht="26.4" x14ac:dyDescent="0.25">
      <c r="A36" s="277"/>
      <c r="B36" s="367" t="s">
        <v>1694</v>
      </c>
      <c r="C36" s="367" t="s">
        <v>2028</v>
      </c>
      <c r="D36" s="277"/>
      <c r="E36" s="367" t="s">
        <v>2370</v>
      </c>
      <c r="F36" s="11" t="s">
        <v>1474</v>
      </c>
      <c r="G36" s="277" t="s">
        <v>1476</v>
      </c>
      <c r="H36" s="276"/>
      <c r="I36" s="276"/>
      <c r="J36" s="276"/>
      <c r="K36" s="276"/>
      <c r="L36" s="276"/>
      <c r="M36" s="276"/>
      <c r="N36" s="276"/>
      <c r="O36" s="276"/>
      <c r="P36" s="345">
        <f t="shared" si="1"/>
        <v>0</v>
      </c>
      <c r="Q36" s="277"/>
      <c r="R36" s="277"/>
      <c r="S36" s="277"/>
      <c r="T36" s="277"/>
      <c r="U36" s="277"/>
      <c r="V36" s="277"/>
      <c r="W36" s="277">
        <v>1</v>
      </c>
      <c r="X36" s="368">
        <v>43140</v>
      </c>
      <c r="Y36" s="346">
        <f t="shared" si="2"/>
        <v>1</v>
      </c>
      <c r="Z36" s="165"/>
      <c r="AA36" s="165"/>
      <c r="AB36" s="165"/>
      <c r="AC36" s="165"/>
      <c r="AD36" s="165"/>
      <c r="AE36" s="165"/>
      <c r="AF36" s="165">
        <v>1</v>
      </c>
      <c r="AG36" s="368">
        <v>43461</v>
      </c>
      <c r="AH36" s="346">
        <f t="shared" si="4"/>
        <v>1</v>
      </c>
      <c r="AI36" s="165"/>
      <c r="AJ36" s="11" t="s">
        <v>2491</v>
      </c>
      <c r="AK36" s="277"/>
      <c r="AL36" s="11"/>
      <c r="AM36" s="11"/>
      <c r="AN36" s="277"/>
      <c r="AO36" s="277"/>
      <c r="AP36" s="277"/>
      <c r="AQ36" s="277"/>
      <c r="AR36" s="338"/>
      <c r="AS36" s="275"/>
      <c r="AT36" s="305"/>
    </row>
    <row r="37" spans="1:132" s="88" customFormat="1" ht="26.4" x14ac:dyDescent="0.25">
      <c r="A37" s="277"/>
      <c r="B37" s="367" t="s">
        <v>1695</v>
      </c>
      <c r="C37" s="367" t="s">
        <v>2029</v>
      </c>
      <c r="D37" s="277"/>
      <c r="E37" s="367" t="s">
        <v>2371</v>
      </c>
      <c r="F37" s="11" t="s">
        <v>1474</v>
      </c>
      <c r="G37" s="277" t="s">
        <v>1476</v>
      </c>
      <c r="H37" s="276"/>
      <c r="I37" s="276"/>
      <c r="J37" s="276"/>
      <c r="K37" s="276"/>
      <c r="L37" s="276"/>
      <c r="M37" s="276"/>
      <c r="N37" s="276"/>
      <c r="O37" s="276"/>
      <c r="P37" s="345">
        <f t="shared" si="1"/>
        <v>0</v>
      </c>
      <c r="Q37" s="277"/>
      <c r="R37" s="277"/>
      <c r="S37" s="277"/>
      <c r="T37" s="277"/>
      <c r="U37" s="277"/>
      <c r="V37" s="277"/>
      <c r="W37" s="277">
        <v>1</v>
      </c>
      <c r="X37" s="368">
        <v>43140</v>
      </c>
      <c r="Y37" s="346">
        <f t="shared" si="2"/>
        <v>1</v>
      </c>
      <c r="Z37" s="165"/>
      <c r="AA37" s="165"/>
      <c r="AB37" s="165"/>
      <c r="AC37" s="165"/>
      <c r="AD37" s="165"/>
      <c r="AE37" s="165"/>
      <c r="AF37" s="165">
        <v>1</v>
      </c>
      <c r="AG37" s="368">
        <v>43404</v>
      </c>
      <c r="AH37" s="346">
        <f t="shared" si="4"/>
        <v>1</v>
      </c>
      <c r="AI37" s="165"/>
      <c r="AJ37" s="11" t="s">
        <v>2491</v>
      </c>
      <c r="AK37" s="277"/>
      <c r="AL37" s="11"/>
      <c r="AM37" s="11"/>
      <c r="AN37" s="277"/>
      <c r="AO37" s="277"/>
      <c r="AP37" s="277"/>
      <c r="AQ37" s="277"/>
      <c r="AR37" s="338"/>
      <c r="AS37" s="275"/>
      <c r="AT37" s="305"/>
    </row>
    <row r="38" spans="1:132" s="88" customFormat="1" ht="26.4" x14ac:dyDescent="0.25">
      <c r="A38" s="277"/>
      <c r="B38" s="367" t="s">
        <v>1790</v>
      </c>
      <c r="C38" s="367" t="s">
        <v>2132</v>
      </c>
      <c r="D38" s="277"/>
      <c r="E38" s="367" t="s">
        <v>2474</v>
      </c>
      <c r="F38" s="11" t="s">
        <v>1474</v>
      </c>
      <c r="G38" s="277" t="s">
        <v>1476</v>
      </c>
      <c r="H38" s="276"/>
      <c r="I38" s="276"/>
      <c r="J38" s="276"/>
      <c r="K38" s="276"/>
      <c r="L38" s="276"/>
      <c r="M38" s="276"/>
      <c r="N38" s="276"/>
      <c r="O38" s="276"/>
      <c r="P38" s="345">
        <f t="shared" si="1"/>
        <v>0</v>
      </c>
      <c r="Q38" s="277"/>
      <c r="R38" s="277"/>
      <c r="S38" s="277"/>
      <c r="T38" s="277"/>
      <c r="U38" s="277"/>
      <c r="V38" s="277"/>
      <c r="W38" s="277">
        <v>1</v>
      </c>
      <c r="X38" s="368">
        <v>43140</v>
      </c>
      <c r="Y38" s="346">
        <f t="shared" si="2"/>
        <v>1</v>
      </c>
      <c r="Z38" s="165"/>
      <c r="AA38" s="165"/>
      <c r="AB38" s="165"/>
      <c r="AC38" s="165"/>
      <c r="AD38" s="165"/>
      <c r="AE38" s="165"/>
      <c r="AF38" s="165"/>
      <c r="AG38" s="369"/>
      <c r="AH38" s="346">
        <f t="shared" si="4"/>
        <v>0</v>
      </c>
      <c r="AI38" s="165"/>
      <c r="AJ38" s="11" t="s">
        <v>2491</v>
      </c>
      <c r="AK38" s="277"/>
      <c r="AL38" s="11"/>
      <c r="AM38" s="11"/>
      <c r="AN38" s="277"/>
      <c r="AO38" s="277"/>
      <c r="AP38" s="277"/>
      <c r="AQ38" s="277"/>
      <c r="AR38" s="338"/>
      <c r="AS38" s="275"/>
      <c r="AT38" s="305"/>
    </row>
    <row r="39" spans="1:132" s="88" customFormat="1" ht="26.4" x14ac:dyDescent="0.25">
      <c r="A39" s="277"/>
      <c r="B39" s="367" t="s">
        <v>1791</v>
      </c>
      <c r="C39" s="367" t="s">
        <v>2133</v>
      </c>
      <c r="D39" s="277"/>
      <c r="E39" s="367" t="s">
        <v>2475</v>
      </c>
      <c r="F39" s="11" t="s">
        <v>1474</v>
      </c>
      <c r="G39" s="277" t="s">
        <v>1476</v>
      </c>
      <c r="H39" s="276"/>
      <c r="I39" s="276"/>
      <c r="J39" s="276"/>
      <c r="K39" s="276"/>
      <c r="L39" s="276"/>
      <c r="M39" s="276"/>
      <c r="N39" s="276"/>
      <c r="O39" s="276"/>
      <c r="P39" s="345">
        <f t="shared" si="1"/>
        <v>0</v>
      </c>
      <c r="Q39" s="277"/>
      <c r="R39" s="277"/>
      <c r="S39" s="277"/>
      <c r="T39" s="277"/>
      <c r="U39" s="277"/>
      <c r="V39" s="277"/>
      <c r="W39" s="277">
        <v>1</v>
      </c>
      <c r="X39" s="368">
        <v>43140</v>
      </c>
      <c r="Y39" s="346">
        <f t="shared" si="2"/>
        <v>1</v>
      </c>
      <c r="Z39" s="165"/>
      <c r="AA39" s="165"/>
      <c r="AB39" s="165"/>
      <c r="AC39" s="165"/>
      <c r="AD39" s="165"/>
      <c r="AE39" s="165"/>
      <c r="AF39" s="165"/>
      <c r="AG39" s="369"/>
      <c r="AH39" s="346">
        <f t="shared" si="4"/>
        <v>0</v>
      </c>
      <c r="AI39" s="165"/>
      <c r="AJ39" s="11" t="s">
        <v>2491</v>
      </c>
      <c r="AK39" s="277"/>
      <c r="AL39" s="11"/>
      <c r="AM39" s="11"/>
      <c r="AN39" s="277"/>
      <c r="AO39" s="277"/>
      <c r="AP39" s="277"/>
      <c r="AQ39" s="277"/>
      <c r="AR39" s="338"/>
      <c r="AS39" s="275"/>
      <c r="AT39" s="305"/>
    </row>
    <row r="40" spans="1:132" s="88" customFormat="1" ht="26.4" x14ac:dyDescent="0.25">
      <c r="A40" s="277"/>
      <c r="B40" s="367" t="s">
        <v>1792</v>
      </c>
      <c r="C40" s="367" t="s">
        <v>2134</v>
      </c>
      <c r="D40" s="277"/>
      <c r="E40" s="367" t="s">
        <v>2476</v>
      </c>
      <c r="F40" s="11" t="s">
        <v>1474</v>
      </c>
      <c r="G40" s="277" t="s">
        <v>1476</v>
      </c>
      <c r="H40" s="276"/>
      <c r="I40" s="276"/>
      <c r="J40" s="276"/>
      <c r="K40" s="276"/>
      <c r="L40" s="276"/>
      <c r="M40" s="276"/>
      <c r="N40" s="276"/>
      <c r="O40" s="276"/>
      <c r="P40" s="345">
        <f t="shared" si="1"/>
        <v>0</v>
      </c>
      <c r="Q40" s="277"/>
      <c r="R40" s="277"/>
      <c r="S40" s="277"/>
      <c r="T40" s="277"/>
      <c r="U40" s="277"/>
      <c r="V40" s="277"/>
      <c r="W40" s="277">
        <v>1</v>
      </c>
      <c r="X40" s="368">
        <v>43140</v>
      </c>
      <c r="Y40" s="346">
        <f t="shared" si="2"/>
        <v>1</v>
      </c>
      <c r="Z40" s="165"/>
      <c r="AA40" s="165"/>
      <c r="AB40" s="165"/>
      <c r="AC40" s="165"/>
      <c r="AD40" s="165"/>
      <c r="AE40" s="165"/>
      <c r="AF40" s="165"/>
      <c r="AG40" s="369"/>
      <c r="AH40" s="346">
        <f t="shared" si="4"/>
        <v>0</v>
      </c>
      <c r="AI40" s="165"/>
      <c r="AJ40" s="11" t="s">
        <v>2491</v>
      </c>
      <c r="AK40" s="277"/>
      <c r="AL40" s="11"/>
      <c r="AM40" s="11"/>
      <c r="AN40" s="277"/>
      <c r="AO40" s="277"/>
      <c r="AP40" s="277"/>
      <c r="AQ40" s="277"/>
      <c r="AR40" s="338"/>
      <c r="AS40" s="275"/>
      <c r="AT40" s="305"/>
    </row>
    <row r="41" spans="1:132" s="88" customFormat="1" ht="26.4" x14ac:dyDescent="0.25">
      <c r="A41" s="277"/>
      <c r="B41" s="367" t="s">
        <v>1793</v>
      </c>
      <c r="C41" s="367" t="s">
        <v>2135</v>
      </c>
      <c r="D41" s="277"/>
      <c r="E41" s="367" t="s">
        <v>2477</v>
      </c>
      <c r="F41" s="11" t="s">
        <v>1474</v>
      </c>
      <c r="G41" s="277" t="s">
        <v>1476</v>
      </c>
      <c r="H41" s="276"/>
      <c r="I41" s="276"/>
      <c r="J41" s="276"/>
      <c r="K41" s="276"/>
      <c r="L41" s="276"/>
      <c r="M41" s="276"/>
      <c r="N41" s="276"/>
      <c r="O41" s="276"/>
      <c r="P41" s="345">
        <f t="shared" si="1"/>
        <v>0</v>
      </c>
      <c r="Q41" s="277"/>
      <c r="R41" s="277"/>
      <c r="S41" s="277"/>
      <c r="T41" s="277"/>
      <c r="U41" s="277"/>
      <c r="V41" s="277"/>
      <c r="W41" s="277">
        <v>1</v>
      </c>
      <c r="X41" s="368">
        <v>43140</v>
      </c>
      <c r="Y41" s="346">
        <f t="shared" si="2"/>
        <v>1</v>
      </c>
      <c r="Z41" s="165"/>
      <c r="AA41" s="165"/>
      <c r="AB41" s="165"/>
      <c r="AC41" s="165"/>
      <c r="AD41" s="165"/>
      <c r="AE41" s="165"/>
      <c r="AF41" s="165"/>
      <c r="AG41" s="369"/>
      <c r="AH41" s="346">
        <f t="shared" si="4"/>
        <v>0</v>
      </c>
      <c r="AI41" s="165"/>
      <c r="AJ41" s="11" t="s">
        <v>2491</v>
      </c>
      <c r="AK41" s="277"/>
      <c r="AL41" s="11"/>
      <c r="AM41" s="11"/>
      <c r="AN41" s="277"/>
      <c r="AO41" s="277"/>
      <c r="AP41" s="277"/>
      <c r="AQ41" s="277"/>
      <c r="AR41" s="338"/>
      <c r="AS41" s="275"/>
      <c r="AT41" s="305"/>
    </row>
    <row r="42" spans="1:132" s="88" customFormat="1" ht="26.4" x14ac:dyDescent="0.25">
      <c r="A42" s="277"/>
      <c r="B42" s="367" t="s">
        <v>1487</v>
      </c>
      <c r="C42" s="367" t="s">
        <v>1807</v>
      </c>
      <c r="D42" s="277"/>
      <c r="E42" s="367" t="s">
        <v>2149</v>
      </c>
      <c r="F42" s="11" t="s">
        <v>1474</v>
      </c>
      <c r="G42" s="277" t="s">
        <v>1476</v>
      </c>
      <c r="H42" s="276"/>
      <c r="I42" s="276"/>
      <c r="J42" s="276"/>
      <c r="K42" s="276"/>
      <c r="L42" s="276"/>
      <c r="M42" s="276"/>
      <c r="N42" s="276"/>
      <c r="O42" s="276"/>
      <c r="P42" s="345">
        <f t="shared" si="1"/>
        <v>0</v>
      </c>
      <c r="Q42" s="277"/>
      <c r="R42" s="277"/>
      <c r="S42" s="277"/>
      <c r="T42" s="277"/>
      <c r="U42" s="277"/>
      <c r="V42" s="277"/>
      <c r="W42" s="277">
        <v>1</v>
      </c>
      <c r="X42" s="368">
        <v>43146</v>
      </c>
      <c r="Y42" s="346">
        <f t="shared" si="2"/>
        <v>1</v>
      </c>
      <c r="Z42" s="165"/>
      <c r="AA42" s="165"/>
      <c r="AB42" s="165"/>
      <c r="AC42" s="165"/>
      <c r="AD42" s="165"/>
      <c r="AE42" s="165"/>
      <c r="AF42" s="165">
        <v>1</v>
      </c>
      <c r="AG42" s="368">
        <v>43404</v>
      </c>
      <c r="AH42" s="346">
        <f t="shared" si="4"/>
        <v>1</v>
      </c>
      <c r="AI42" s="165"/>
      <c r="AJ42" s="11" t="s">
        <v>2491</v>
      </c>
      <c r="AK42" s="277"/>
      <c r="AL42" s="11"/>
      <c r="AM42" s="11"/>
      <c r="AN42" s="277"/>
      <c r="AO42" s="277"/>
      <c r="AP42" s="277"/>
      <c r="AQ42" s="277"/>
      <c r="AR42" s="338"/>
      <c r="AS42" s="275"/>
      <c r="AT42" s="305"/>
    </row>
    <row r="43" spans="1:132" s="88" customFormat="1" ht="26.4" x14ac:dyDescent="0.25">
      <c r="A43" s="277"/>
      <c r="B43" s="367" t="s">
        <v>1490</v>
      </c>
      <c r="C43" s="367" t="s">
        <v>1810</v>
      </c>
      <c r="D43" s="277"/>
      <c r="E43" s="367" t="s">
        <v>2152</v>
      </c>
      <c r="F43" s="11" t="s">
        <v>1474</v>
      </c>
      <c r="G43" s="277" t="s">
        <v>1476</v>
      </c>
      <c r="H43" s="276"/>
      <c r="I43" s="276"/>
      <c r="J43" s="276"/>
      <c r="K43" s="276"/>
      <c r="L43" s="276"/>
      <c r="M43" s="276"/>
      <c r="N43" s="276"/>
      <c r="O43" s="276"/>
      <c r="P43" s="345">
        <f t="shared" si="1"/>
        <v>0</v>
      </c>
      <c r="Q43" s="277"/>
      <c r="R43" s="277"/>
      <c r="S43" s="277"/>
      <c r="T43" s="277"/>
      <c r="U43" s="277"/>
      <c r="V43" s="277"/>
      <c r="W43" s="277">
        <v>1</v>
      </c>
      <c r="X43" s="368">
        <v>43146</v>
      </c>
      <c r="Y43" s="346">
        <f t="shared" si="2"/>
        <v>1</v>
      </c>
      <c r="Z43" s="165"/>
      <c r="AA43" s="165"/>
      <c r="AB43" s="165"/>
      <c r="AC43" s="165"/>
      <c r="AD43" s="165"/>
      <c r="AE43" s="165"/>
      <c r="AF43" s="165">
        <v>1</v>
      </c>
      <c r="AG43" s="368">
        <v>43404</v>
      </c>
      <c r="AH43" s="346">
        <f t="shared" si="4"/>
        <v>1</v>
      </c>
      <c r="AI43" s="165"/>
      <c r="AJ43" s="11" t="s">
        <v>2491</v>
      </c>
      <c r="AK43" s="277"/>
      <c r="AL43" s="11"/>
      <c r="AM43" s="11"/>
      <c r="AN43" s="277"/>
      <c r="AO43" s="277"/>
      <c r="AP43" s="277"/>
      <c r="AQ43" s="277"/>
      <c r="AR43" s="338"/>
      <c r="AS43" s="275"/>
      <c r="AT43" s="305"/>
    </row>
    <row r="44" spans="1:132" s="88" customFormat="1" ht="26.4" x14ac:dyDescent="0.25">
      <c r="A44" s="277"/>
      <c r="B44" s="367" t="s">
        <v>1491</v>
      </c>
      <c r="C44" s="367" t="s">
        <v>1811</v>
      </c>
      <c r="D44" s="277"/>
      <c r="E44" s="367" t="s">
        <v>2153</v>
      </c>
      <c r="F44" s="11" t="s">
        <v>1474</v>
      </c>
      <c r="G44" s="277" t="s">
        <v>1476</v>
      </c>
      <c r="H44" s="276"/>
      <c r="I44" s="276"/>
      <c r="J44" s="276"/>
      <c r="K44" s="276"/>
      <c r="L44" s="276"/>
      <c r="M44" s="276"/>
      <c r="N44" s="276"/>
      <c r="O44" s="276"/>
      <c r="P44" s="345">
        <f t="shared" si="1"/>
        <v>0</v>
      </c>
      <c r="Q44" s="277"/>
      <c r="R44" s="277"/>
      <c r="S44" s="277"/>
      <c r="T44" s="277"/>
      <c r="U44" s="277"/>
      <c r="V44" s="277"/>
      <c r="W44" s="277">
        <v>1</v>
      </c>
      <c r="X44" s="368">
        <v>43146</v>
      </c>
      <c r="Y44" s="346">
        <f t="shared" si="2"/>
        <v>1</v>
      </c>
      <c r="Z44" s="165"/>
      <c r="AA44" s="165"/>
      <c r="AB44" s="165"/>
      <c r="AC44" s="165"/>
      <c r="AD44" s="165"/>
      <c r="AE44" s="165"/>
      <c r="AF44" s="165">
        <v>1</v>
      </c>
      <c r="AG44" s="368">
        <v>43411</v>
      </c>
      <c r="AH44" s="346">
        <f t="shared" si="4"/>
        <v>1</v>
      </c>
      <c r="AI44" s="165"/>
      <c r="AJ44" s="11" t="s">
        <v>2491</v>
      </c>
      <c r="AK44" s="277"/>
      <c r="AL44" s="11"/>
      <c r="AM44" s="11"/>
      <c r="AN44" s="277"/>
      <c r="AO44" s="277"/>
      <c r="AP44" s="277"/>
      <c r="AQ44" s="277"/>
      <c r="AR44" s="338"/>
      <c r="AS44" s="275"/>
      <c r="AT44" s="305"/>
    </row>
    <row r="45" spans="1:132" s="88" customFormat="1" ht="26.4" x14ac:dyDescent="0.25">
      <c r="A45" s="277"/>
      <c r="B45" s="367" t="s">
        <v>1492</v>
      </c>
      <c r="C45" s="367" t="s">
        <v>1812</v>
      </c>
      <c r="D45" s="277"/>
      <c r="E45" s="367" t="s">
        <v>2154</v>
      </c>
      <c r="F45" s="11" t="s">
        <v>1474</v>
      </c>
      <c r="G45" s="277" t="s">
        <v>1476</v>
      </c>
      <c r="H45" s="276"/>
      <c r="I45" s="276"/>
      <c r="J45" s="276"/>
      <c r="K45" s="276"/>
      <c r="L45" s="276"/>
      <c r="M45" s="276"/>
      <c r="N45" s="276"/>
      <c r="O45" s="276"/>
      <c r="P45" s="345">
        <f t="shared" si="1"/>
        <v>0</v>
      </c>
      <c r="Q45" s="277"/>
      <c r="R45" s="277"/>
      <c r="S45" s="277"/>
      <c r="T45" s="277"/>
      <c r="U45" s="277"/>
      <c r="V45" s="277"/>
      <c r="W45" s="277">
        <v>1</v>
      </c>
      <c r="X45" s="368">
        <v>43146</v>
      </c>
      <c r="Y45" s="346">
        <f t="shared" si="2"/>
        <v>1</v>
      </c>
      <c r="Z45" s="165"/>
      <c r="AA45" s="165"/>
      <c r="AB45" s="165"/>
      <c r="AC45" s="165"/>
      <c r="AD45" s="165"/>
      <c r="AE45" s="165"/>
      <c r="AF45" s="165">
        <v>1</v>
      </c>
      <c r="AG45" s="368">
        <v>43389</v>
      </c>
      <c r="AH45" s="346">
        <f t="shared" si="4"/>
        <v>1</v>
      </c>
      <c r="AI45" s="165"/>
      <c r="AJ45" s="11" t="s">
        <v>2491</v>
      </c>
      <c r="AK45" s="277"/>
      <c r="AL45" s="11"/>
      <c r="AM45" s="11"/>
      <c r="AN45" s="277"/>
      <c r="AO45" s="277"/>
      <c r="AP45" s="277"/>
      <c r="AQ45" s="277"/>
      <c r="AR45" s="338"/>
      <c r="AS45" s="275"/>
      <c r="AT45" s="305"/>
    </row>
    <row r="46" spans="1:132" s="88" customFormat="1" ht="26.4" x14ac:dyDescent="0.25">
      <c r="A46" s="277"/>
      <c r="B46" s="367" t="s">
        <v>1492</v>
      </c>
      <c r="C46" s="367" t="s">
        <v>1812</v>
      </c>
      <c r="D46" s="277"/>
      <c r="E46" s="367" t="s">
        <v>2154</v>
      </c>
      <c r="F46" s="11" t="s">
        <v>1474</v>
      </c>
      <c r="G46" s="277" t="s">
        <v>1476</v>
      </c>
      <c r="H46" s="276"/>
      <c r="I46" s="276"/>
      <c r="J46" s="276"/>
      <c r="K46" s="276"/>
      <c r="L46" s="276"/>
      <c r="M46" s="276"/>
      <c r="N46" s="276"/>
      <c r="O46" s="276"/>
      <c r="P46" s="345">
        <f t="shared" si="1"/>
        <v>0</v>
      </c>
      <c r="Q46" s="277"/>
      <c r="R46" s="277"/>
      <c r="S46" s="277"/>
      <c r="T46" s="277"/>
      <c r="U46" s="277"/>
      <c r="V46" s="277"/>
      <c r="W46" s="277">
        <v>1</v>
      </c>
      <c r="X46" s="368">
        <v>43146</v>
      </c>
      <c r="Y46" s="346">
        <f t="shared" si="2"/>
        <v>1</v>
      </c>
      <c r="Z46" s="165"/>
      <c r="AA46" s="165"/>
      <c r="AB46" s="165"/>
      <c r="AC46" s="165"/>
      <c r="AD46" s="165"/>
      <c r="AE46" s="165"/>
      <c r="AF46" s="165">
        <v>1</v>
      </c>
      <c r="AG46" s="368">
        <v>43389</v>
      </c>
      <c r="AH46" s="346">
        <f t="shared" si="4"/>
        <v>1</v>
      </c>
      <c r="AI46" s="165"/>
      <c r="AJ46" s="11" t="s">
        <v>2491</v>
      </c>
      <c r="AK46" s="277"/>
      <c r="AL46" s="11"/>
      <c r="AM46" s="11"/>
      <c r="AN46" s="277"/>
      <c r="AO46" s="277"/>
      <c r="AP46" s="277"/>
      <c r="AQ46" s="277"/>
      <c r="AR46" s="338"/>
      <c r="AS46" s="275"/>
      <c r="AT46" s="305"/>
    </row>
    <row r="47" spans="1:132" s="88" customFormat="1" ht="26.4" x14ac:dyDescent="0.25">
      <c r="A47" s="277"/>
      <c r="B47" s="367" t="s">
        <v>1493</v>
      </c>
      <c r="C47" s="367" t="s">
        <v>1813</v>
      </c>
      <c r="D47" s="277"/>
      <c r="E47" s="367" t="s">
        <v>2155</v>
      </c>
      <c r="F47" s="11" t="s">
        <v>1474</v>
      </c>
      <c r="G47" s="277" t="s">
        <v>1476</v>
      </c>
      <c r="H47" s="276"/>
      <c r="I47" s="276"/>
      <c r="J47" s="276"/>
      <c r="K47" s="276"/>
      <c r="L47" s="276"/>
      <c r="M47" s="276"/>
      <c r="N47" s="276"/>
      <c r="O47" s="276"/>
      <c r="P47" s="345">
        <f t="shared" si="1"/>
        <v>0</v>
      </c>
      <c r="Q47" s="277"/>
      <c r="R47" s="277"/>
      <c r="S47" s="277"/>
      <c r="T47" s="277"/>
      <c r="U47" s="277"/>
      <c r="V47" s="277"/>
      <c r="W47" s="277">
        <v>1</v>
      </c>
      <c r="X47" s="368">
        <v>43146</v>
      </c>
      <c r="Y47" s="346">
        <f t="shared" si="2"/>
        <v>1</v>
      </c>
      <c r="Z47" s="165"/>
      <c r="AA47" s="165"/>
      <c r="AB47" s="165"/>
      <c r="AC47" s="165"/>
      <c r="AD47" s="165"/>
      <c r="AE47" s="165"/>
      <c r="AF47" s="165">
        <v>1</v>
      </c>
      <c r="AG47" s="368">
        <v>43389</v>
      </c>
      <c r="AH47" s="346">
        <f t="shared" si="4"/>
        <v>1</v>
      </c>
      <c r="AI47" s="165"/>
      <c r="AJ47" s="11" t="s">
        <v>2491</v>
      </c>
      <c r="AK47" s="277"/>
      <c r="AL47" s="11"/>
      <c r="AM47" s="11"/>
      <c r="AN47" s="277"/>
      <c r="AO47" s="277"/>
      <c r="AP47" s="277"/>
      <c r="AQ47" s="277"/>
      <c r="AR47" s="338"/>
      <c r="AS47" s="275"/>
      <c r="AT47" s="305"/>
    </row>
    <row r="48" spans="1:132" s="262" customFormat="1" ht="26.4" x14ac:dyDescent="0.25">
      <c r="A48" s="277"/>
      <c r="B48" s="367" t="s">
        <v>1494</v>
      </c>
      <c r="C48" s="367" t="s">
        <v>1814</v>
      </c>
      <c r="D48" s="277"/>
      <c r="E48" s="367" t="s">
        <v>2156</v>
      </c>
      <c r="F48" s="11" t="s">
        <v>1474</v>
      </c>
      <c r="G48" s="277" t="s">
        <v>1476</v>
      </c>
      <c r="H48" s="276"/>
      <c r="I48" s="276"/>
      <c r="J48" s="276"/>
      <c r="K48" s="276"/>
      <c r="L48" s="276"/>
      <c r="M48" s="276"/>
      <c r="N48" s="276"/>
      <c r="O48" s="276"/>
      <c r="P48" s="345">
        <f t="shared" si="1"/>
        <v>0</v>
      </c>
      <c r="Q48" s="277"/>
      <c r="R48" s="277"/>
      <c r="S48" s="277"/>
      <c r="T48" s="277"/>
      <c r="U48" s="277"/>
      <c r="V48" s="277"/>
      <c r="W48" s="277">
        <v>1</v>
      </c>
      <c r="X48" s="368">
        <v>43146</v>
      </c>
      <c r="Y48" s="346">
        <f t="shared" si="2"/>
        <v>1</v>
      </c>
      <c r="Z48" s="165"/>
      <c r="AA48" s="165"/>
      <c r="AB48" s="165"/>
      <c r="AC48" s="165"/>
      <c r="AD48" s="165"/>
      <c r="AE48" s="165"/>
      <c r="AF48" s="165">
        <v>1</v>
      </c>
      <c r="AG48" s="368">
        <v>43385</v>
      </c>
      <c r="AH48" s="346">
        <f t="shared" si="4"/>
        <v>1</v>
      </c>
      <c r="AI48" s="165"/>
      <c r="AJ48" s="11" t="s">
        <v>2491</v>
      </c>
      <c r="AK48" s="277"/>
      <c r="AL48" s="11"/>
      <c r="AM48" s="11"/>
      <c r="AN48" s="277"/>
      <c r="AO48" s="277"/>
      <c r="AP48" s="277"/>
      <c r="AQ48" s="277"/>
      <c r="AR48" s="338"/>
      <c r="AS48" s="275"/>
      <c r="AT48" s="306"/>
    </row>
    <row r="49" spans="1:46" s="262" customFormat="1" ht="26.4" x14ac:dyDescent="0.25">
      <c r="A49" s="277"/>
      <c r="B49" s="367" t="s">
        <v>1494</v>
      </c>
      <c r="C49" s="367" t="s">
        <v>1814</v>
      </c>
      <c r="D49" s="277"/>
      <c r="E49" s="367" t="s">
        <v>2156</v>
      </c>
      <c r="F49" s="11" t="s">
        <v>1474</v>
      </c>
      <c r="G49" s="277" t="s">
        <v>1476</v>
      </c>
      <c r="H49" s="276"/>
      <c r="I49" s="276"/>
      <c r="J49" s="276"/>
      <c r="K49" s="276"/>
      <c r="L49" s="276"/>
      <c r="M49" s="276"/>
      <c r="N49" s="276"/>
      <c r="O49" s="276"/>
      <c r="P49" s="345">
        <f t="shared" si="1"/>
        <v>0</v>
      </c>
      <c r="Q49" s="277"/>
      <c r="R49" s="277"/>
      <c r="S49" s="277"/>
      <c r="T49" s="277"/>
      <c r="U49" s="277"/>
      <c r="V49" s="277"/>
      <c r="W49" s="277">
        <v>1</v>
      </c>
      <c r="X49" s="368">
        <v>43146</v>
      </c>
      <c r="Y49" s="346">
        <f t="shared" si="2"/>
        <v>1</v>
      </c>
      <c r="Z49" s="165"/>
      <c r="AA49" s="165"/>
      <c r="AB49" s="165"/>
      <c r="AC49" s="165"/>
      <c r="AD49" s="165"/>
      <c r="AE49" s="165"/>
      <c r="AF49" s="165">
        <v>1</v>
      </c>
      <c r="AG49" s="368">
        <v>43385</v>
      </c>
      <c r="AH49" s="346">
        <f t="shared" si="4"/>
        <v>1</v>
      </c>
      <c r="AI49" s="165"/>
      <c r="AJ49" s="11" t="s">
        <v>2491</v>
      </c>
      <c r="AK49" s="277"/>
      <c r="AL49" s="11"/>
      <c r="AM49" s="11"/>
      <c r="AN49" s="277"/>
      <c r="AO49" s="277"/>
      <c r="AP49" s="277"/>
      <c r="AQ49" s="277"/>
      <c r="AR49" s="338"/>
      <c r="AS49" s="275"/>
      <c r="AT49" s="306"/>
    </row>
    <row r="50" spans="1:46" s="87" customFormat="1" ht="26.4" x14ac:dyDescent="0.3">
      <c r="A50" s="333"/>
      <c r="B50" s="367" t="s">
        <v>1495</v>
      </c>
      <c r="C50" s="367" t="s">
        <v>1815</v>
      </c>
      <c r="D50" s="333"/>
      <c r="E50" s="367" t="s">
        <v>2157</v>
      </c>
      <c r="F50" s="11" t="s">
        <v>1474</v>
      </c>
      <c r="G50" s="277" t="s">
        <v>1476</v>
      </c>
      <c r="H50" s="334"/>
      <c r="I50" s="334"/>
      <c r="J50" s="334"/>
      <c r="K50" s="334"/>
      <c r="L50" s="334"/>
      <c r="M50" s="334"/>
      <c r="N50" s="334"/>
      <c r="O50" s="334"/>
      <c r="P50" s="345">
        <f t="shared" si="1"/>
        <v>0</v>
      </c>
      <c r="Q50" s="333"/>
      <c r="R50" s="333"/>
      <c r="S50" s="333"/>
      <c r="T50" s="333"/>
      <c r="U50" s="333"/>
      <c r="V50" s="333"/>
      <c r="W50" s="277">
        <v>1</v>
      </c>
      <c r="X50" s="368">
        <v>43146</v>
      </c>
      <c r="Y50" s="346">
        <f t="shared" si="2"/>
        <v>1</v>
      </c>
      <c r="Z50" s="335"/>
      <c r="AA50" s="335"/>
      <c r="AB50" s="335"/>
      <c r="AC50" s="335"/>
      <c r="AD50" s="335"/>
      <c r="AE50" s="335"/>
      <c r="AF50" s="165">
        <v>1</v>
      </c>
      <c r="AG50" s="368">
        <v>43391</v>
      </c>
      <c r="AH50" s="346">
        <f t="shared" si="4"/>
        <v>1</v>
      </c>
      <c r="AI50" s="335"/>
      <c r="AJ50" s="11" t="s">
        <v>2491</v>
      </c>
      <c r="AK50" s="333"/>
      <c r="AL50" s="11"/>
      <c r="AM50" s="11"/>
      <c r="AN50" s="333"/>
      <c r="AO50" s="333"/>
      <c r="AP50" s="333"/>
      <c r="AQ50" s="333"/>
      <c r="AR50" s="336"/>
      <c r="AS50" s="337"/>
      <c r="AT50" s="123"/>
    </row>
    <row r="51" spans="1:46" s="87" customFormat="1" ht="26.4" x14ac:dyDescent="0.3">
      <c r="A51" s="333"/>
      <c r="B51" s="367" t="s">
        <v>1495</v>
      </c>
      <c r="C51" s="367" t="s">
        <v>1815</v>
      </c>
      <c r="D51" s="333"/>
      <c r="E51" s="367" t="s">
        <v>2157</v>
      </c>
      <c r="F51" s="11" t="s">
        <v>1474</v>
      </c>
      <c r="G51" s="277" t="s">
        <v>1476</v>
      </c>
      <c r="H51" s="334"/>
      <c r="I51" s="334"/>
      <c r="J51" s="334"/>
      <c r="K51" s="334"/>
      <c r="L51" s="334"/>
      <c r="M51" s="334"/>
      <c r="N51" s="334"/>
      <c r="O51" s="334"/>
      <c r="P51" s="345">
        <f t="shared" si="1"/>
        <v>0</v>
      </c>
      <c r="Q51" s="333"/>
      <c r="R51" s="333"/>
      <c r="S51" s="333"/>
      <c r="T51" s="333"/>
      <c r="U51" s="333"/>
      <c r="V51" s="333"/>
      <c r="W51" s="277">
        <v>1</v>
      </c>
      <c r="X51" s="368">
        <v>43146</v>
      </c>
      <c r="Y51" s="346">
        <f t="shared" si="2"/>
        <v>1</v>
      </c>
      <c r="Z51" s="335"/>
      <c r="AA51" s="335"/>
      <c r="AB51" s="335"/>
      <c r="AC51" s="335"/>
      <c r="AD51" s="335"/>
      <c r="AE51" s="335"/>
      <c r="AF51" s="165">
        <v>1</v>
      </c>
      <c r="AG51" s="368">
        <v>43391</v>
      </c>
      <c r="AH51" s="346">
        <f t="shared" si="4"/>
        <v>1</v>
      </c>
      <c r="AI51" s="335"/>
      <c r="AJ51" s="11" t="s">
        <v>2491</v>
      </c>
      <c r="AK51" s="333"/>
      <c r="AL51" s="11"/>
      <c r="AM51" s="11"/>
      <c r="AN51" s="333"/>
      <c r="AO51" s="333"/>
      <c r="AP51" s="333"/>
      <c r="AQ51" s="333"/>
      <c r="AR51" s="336"/>
      <c r="AS51" s="337"/>
      <c r="AT51" s="123"/>
    </row>
    <row r="52" spans="1:46" s="262" customFormat="1" ht="26.4" x14ac:dyDescent="0.25">
      <c r="A52" s="277"/>
      <c r="B52" s="367" t="s">
        <v>1680</v>
      </c>
      <c r="C52" s="367" t="s">
        <v>2014</v>
      </c>
      <c r="D52" s="277"/>
      <c r="E52" s="367" t="s">
        <v>2356</v>
      </c>
      <c r="F52" s="11" t="s">
        <v>1474</v>
      </c>
      <c r="G52" s="277" t="s">
        <v>1476</v>
      </c>
      <c r="H52" s="276"/>
      <c r="I52" s="276"/>
      <c r="J52" s="276"/>
      <c r="K52" s="276"/>
      <c r="L52" s="276"/>
      <c r="M52" s="276"/>
      <c r="N52" s="276"/>
      <c r="O52" s="276"/>
      <c r="P52" s="345">
        <f t="shared" si="1"/>
        <v>0</v>
      </c>
      <c r="Q52" s="277"/>
      <c r="R52" s="277"/>
      <c r="S52" s="277"/>
      <c r="T52" s="277"/>
      <c r="U52" s="277"/>
      <c r="V52" s="277"/>
      <c r="W52" s="277">
        <v>1</v>
      </c>
      <c r="X52" s="368">
        <v>43146</v>
      </c>
      <c r="Y52" s="346">
        <f t="shared" si="2"/>
        <v>1</v>
      </c>
      <c r="Z52" s="165"/>
      <c r="AA52" s="165"/>
      <c r="AB52" s="165"/>
      <c r="AC52" s="165"/>
      <c r="AD52" s="165"/>
      <c r="AE52" s="165"/>
      <c r="AF52" s="165">
        <v>1</v>
      </c>
      <c r="AG52" s="368">
        <v>43399</v>
      </c>
      <c r="AH52" s="346">
        <f t="shared" si="4"/>
        <v>1</v>
      </c>
      <c r="AI52" s="165"/>
      <c r="AJ52" s="11" t="s">
        <v>2491</v>
      </c>
      <c r="AK52" s="277"/>
      <c r="AL52" s="11"/>
      <c r="AM52" s="11"/>
      <c r="AN52" s="277"/>
      <c r="AO52" s="277"/>
      <c r="AP52" s="277"/>
      <c r="AQ52" s="277"/>
      <c r="AR52" s="338"/>
      <c r="AS52" s="275"/>
      <c r="AT52" s="306"/>
    </row>
    <row r="53" spans="1:46" s="89" customFormat="1" ht="26.4" x14ac:dyDescent="0.25">
      <c r="A53" s="333"/>
      <c r="B53" s="367" t="s">
        <v>1681</v>
      </c>
      <c r="C53" s="367" t="s">
        <v>2015</v>
      </c>
      <c r="D53" s="333"/>
      <c r="E53" s="367" t="s">
        <v>2357</v>
      </c>
      <c r="F53" s="11" t="s">
        <v>1474</v>
      </c>
      <c r="G53" s="277" t="s">
        <v>1476</v>
      </c>
      <c r="H53" s="334"/>
      <c r="I53" s="334"/>
      <c r="J53" s="334"/>
      <c r="K53" s="334"/>
      <c r="L53" s="334"/>
      <c r="M53" s="334"/>
      <c r="N53" s="334"/>
      <c r="O53" s="334"/>
      <c r="P53" s="345">
        <f t="shared" si="1"/>
        <v>0</v>
      </c>
      <c r="Q53" s="333"/>
      <c r="R53" s="333"/>
      <c r="S53" s="333"/>
      <c r="T53" s="333"/>
      <c r="U53" s="333"/>
      <c r="V53" s="333"/>
      <c r="W53" s="277">
        <v>1</v>
      </c>
      <c r="X53" s="368">
        <v>43146</v>
      </c>
      <c r="Y53" s="346">
        <f t="shared" si="2"/>
        <v>1</v>
      </c>
      <c r="Z53" s="335"/>
      <c r="AA53" s="335"/>
      <c r="AB53" s="335"/>
      <c r="AC53" s="335"/>
      <c r="AD53" s="335"/>
      <c r="AE53" s="335"/>
      <c r="AF53" s="165">
        <v>1</v>
      </c>
      <c r="AG53" s="368">
        <v>43402</v>
      </c>
      <c r="AH53" s="346">
        <f t="shared" si="4"/>
        <v>1</v>
      </c>
      <c r="AI53" s="335"/>
      <c r="AJ53" s="11" t="s">
        <v>2491</v>
      </c>
      <c r="AK53" s="333"/>
      <c r="AL53" s="11"/>
      <c r="AM53" s="11"/>
      <c r="AN53" s="333"/>
      <c r="AO53" s="333"/>
      <c r="AP53" s="333"/>
      <c r="AQ53" s="333"/>
      <c r="AR53" s="336"/>
      <c r="AS53" s="337"/>
      <c r="AT53" s="307"/>
    </row>
    <row r="54" spans="1:46" s="89" customFormat="1" ht="26.4" x14ac:dyDescent="0.25">
      <c r="A54" s="333"/>
      <c r="B54" s="367" t="s">
        <v>1682</v>
      </c>
      <c r="C54" s="367" t="s">
        <v>2016</v>
      </c>
      <c r="D54" s="333"/>
      <c r="E54" s="367" t="s">
        <v>2358</v>
      </c>
      <c r="F54" s="11" t="s">
        <v>1474</v>
      </c>
      <c r="G54" s="277" t="s">
        <v>1476</v>
      </c>
      <c r="H54" s="334"/>
      <c r="I54" s="334"/>
      <c r="J54" s="334"/>
      <c r="K54" s="334"/>
      <c r="L54" s="334"/>
      <c r="M54" s="334"/>
      <c r="N54" s="334"/>
      <c r="O54" s="334"/>
      <c r="P54" s="345">
        <f t="shared" si="1"/>
        <v>0</v>
      </c>
      <c r="Q54" s="333"/>
      <c r="R54" s="333"/>
      <c r="S54" s="333"/>
      <c r="T54" s="333"/>
      <c r="U54" s="333"/>
      <c r="V54" s="333"/>
      <c r="W54" s="277">
        <v>1</v>
      </c>
      <c r="X54" s="368">
        <v>43146</v>
      </c>
      <c r="Y54" s="346">
        <f t="shared" si="2"/>
        <v>1</v>
      </c>
      <c r="Z54" s="335"/>
      <c r="AA54" s="335"/>
      <c r="AB54" s="335"/>
      <c r="AC54" s="335"/>
      <c r="AD54" s="335"/>
      <c r="AE54" s="335"/>
      <c r="AF54" s="165">
        <v>1</v>
      </c>
      <c r="AG54" s="368">
        <v>43430</v>
      </c>
      <c r="AH54" s="346">
        <f t="shared" si="4"/>
        <v>1</v>
      </c>
      <c r="AI54" s="335"/>
      <c r="AJ54" s="11" t="s">
        <v>2491</v>
      </c>
      <c r="AK54" s="333"/>
      <c r="AL54" s="11"/>
      <c r="AM54" s="11"/>
      <c r="AN54" s="333"/>
      <c r="AO54" s="333"/>
      <c r="AP54" s="333"/>
      <c r="AQ54" s="333"/>
      <c r="AR54" s="336"/>
      <c r="AS54" s="337"/>
      <c r="AT54" s="307"/>
    </row>
    <row r="55" spans="1:46" s="262" customFormat="1" ht="26.4" x14ac:dyDescent="0.25">
      <c r="A55" s="277"/>
      <c r="B55" s="367" t="s">
        <v>1683</v>
      </c>
      <c r="C55" s="367" t="s">
        <v>2017</v>
      </c>
      <c r="D55" s="277"/>
      <c r="E55" s="367" t="s">
        <v>2359</v>
      </c>
      <c r="F55" s="11" t="s">
        <v>1474</v>
      </c>
      <c r="G55" s="277" t="s">
        <v>1476</v>
      </c>
      <c r="H55" s="276"/>
      <c r="I55" s="276"/>
      <c r="J55" s="276"/>
      <c r="K55" s="276"/>
      <c r="L55" s="276"/>
      <c r="M55" s="276"/>
      <c r="N55" s="276"/>
      <c r="O55" s="276"/>
      <c r="P55" s="345">
        <f t="shared" si="1"/>
        <v>0</v>
      </c>
      <c r="Q55" s="277"/>
      <c r="R55" s="277"/>
      <c r="S55" s="277"/>
      <c r="T55" s="277"/>
      <c r="U55" s="277"/>
      <c r="V55" s="277"/>
      <c r="W55" s="277">
        <v>1</v>
      </c>
      <c r="X55" s="368">
        <v>43146</v>
      </c>
      <c r="Y55" s="346">
        <f t="shared" si="2"/>
        <v>1</v>
      </c>
      <c r="Z55" s="165"/>
      <c r="AA55" s="165"/>
      <c r="AB55" s="165"/>
      <c r="AC55" s="165"/>
      <c r="AD55" s="165"/>
      <c r="AE55" s="165"/>
      <c r="AF55" s="165">
        <v>1</v>
      </c>
      <c r="AG55" s="368">
        <v>43402</v>
      </c>
      <c r="AH55" s="346">
        <f t="shared" si="4"/>
        <v>1</v>
      </c>
      <c r="AI55" s="165"/>
      <c r="AJ55" s="11" t="s">
        <v>2491</v>
      </c>
      <c r="AK55" s="277"/>
      <c r="AL55" s="11"/>
      <c r="AM55" s="11"/>
      <c r="AN55" s="277"/>
      <c r="AO55" s="277"/>
      <c r="AP55" s="277"/>
      <c r="AQ55" s="277"/>
      <c r="AR55" s="338"/>
      <c r="AS55" s="275"/>
      <c r="AT55" s="306"/>
    </row>
    <row r="56" spans="1:46" s="262" customFormat="1" ht="26.4" x14ac:dyDescent="0.25">
      <c r="A56" s="277"/>
      <c r="B56" s="367" t="s">
        <v>1690</v>
      </c>
      <c r="C56" s="367" t="s">
        <v>2024</v>
      </c>
      <c r="D56" s="277"/>
      <c r="E56" s="367" t="s">
        <v>2366</v>
      </c>
      <c r="F56" s="11" t="s">
        <v>1474</v>
      </c>
      <c r="G56" s="277" t="s">
        <v>1476</v>
      </c>
      <c r="H56" s="276"/>
      <c r="I56" s="276"/>
      <c r="J56" s="276"/>
      <c r="K56" s="276"/>
      <c r="L56" s="276"/>
      <c r="M56" s="276"/>
      <c r="N56" s="276"/>
      <c r="O56" s="276"/>
      <c r="P56" s="345">
        <f t="shared" si="1"/>
        <v>0</v>
      </c>
      <c r="Q56" s="277"/>
      <c r="R56" s="277"/>
      <c r="S56" s="277"/>
      <c r="T56" s="277"/>
      <c r="U56" s="277"/>
      <c r="V56" s="277"/>
      <c r="W56" s="277">
        <v>1</v>
      </c>
      <c r="X56" s="368">
        <v>43146</v>
      </c>
      <c r="Y56" s="346">
        <f t="shared" si="2"/>
        <v>1</v>
      </c>
      <c r="Z56" s="165"/>
      <c r="AA56" s="165"/>
      <c r="AB56" s="165"/>
      <c r="AC56" s="165"/>
      <c r="AD56" s="165"/>
      <c r="AE56" s="165"/>
      <c r="AF56" s="165">
        <v>1</v>
      </c>
      <c r="AG56" s="368">
        <v>43390</v>
      </c>
      <c r="AH56" s="346">
        <f t="shared" si="4"/>
        <v>1</v>
      </c>
      <c r="AI56" s="165"/>
      <c r="AJ56" s="11" t="s">
        <v>2491</v>
      </c>
      <c r="AK56" s="277"/>
      <c r="AL56" s="11"/>
      <c r="AM56" s="11"/>
      <c r="AN56" s="277"/>
      <c r="AO56" s="277"/>
      <c r="AP56" s="277"/>
      <c r="AQ56" s="277"/>
      <c r="AR56" s="338"/>
      <c r="AS56" s="275"/>
      <c r="AT56" s="306"/>
    </row>
    <row r="57" spans="1:46" s="262" customFormat="1" ht="26.4" x14ac:dyDescent="0.25">
      <c r="A57" s="277"/>
      <c r="B57" s="367" t="s">
        <v>1691</v>
      </c>
      <c r="C57" s="367" t="s">
        <v>2025</v>
      </c>
      <c r="D57" s="277"/>
      <c r="E57" s="367" t="s">
        <v>2367</v>
      </c>
      <c r="F57" s="11" t="s">
        <v>1474</v>
      </c>
      <c r="G57" s="277" t="s">
        <v>1476</v>
      </c>
      <c r="H57" s="276"/>
      <c r="I57" s="276"/>
      <c r="J57" s="276"/>
      <c r="K57" s="276"/>
      <c r="L57" s="276"/>
      <c r="M57" s="276"/>
      <c r="N57" s="276"/>
      <c r="O57" s="276"/>
      <c r="P57" s="345">
        <f t="shared" si="1"/>
        <v>0</v>
      </c>
      <c r="Q57" s="277"/>
      <c r="R57" s="277"/>
      <c r="S57" s="277"/>
      <c r="T57" s="277"/>
      <c r="U57" s="277"/>
      <c r="V57" s="277"/>
      <c r="W57" s="277">
        <v>1</v>
      </c>
      <c r="X57" s="368">
        <v>43146</v>
      </c>
      <c r="Y57" s="346">
        <f t="shared" si="2"/>
        <v>1</v>
      </c>
      <c r="Z57" s="165"/>
      <c r="AA57" s="165"/>
      <c r="AB57" s="165"/>
      <c r="AC57" s="165"/>
      <c r="AD57" s="165"/>
      <c r="AE57" s="165"/>
      <c r="AF57" s="165">
        <v>1</v>
      </c>
      <c r="AG57" s="368">
        <v>43399</v>
      </c>
      <c r="AH57" s="346">
        <f t="shared" si="4"/>
        <v>1</v>
      </c>
      <c r="AI57" s="165"/>
      <c r="AJ57" s="11" t="s">
        <v>2491</v>
      </c>
      <c r="AK57" s="277"/>
      <c r="AL57" s="11"/>
      <c r="AM57" s="11"/>
      <c r="AN57" s="277"/>
      <c r="AO57" s="277"/>
      <c r="AP57" s="277"/>
      <c r="AQ57" s="277"/>
      <c r="AR57" s="338"/>
      <c r="AS57" s="275"/>
      <c r="AT57" s="306"/>
    </row>
    <row r="58" spans="1:46" s="262" customFormat="1" x14ac:dyDescent="0.25">
      <c r="A58" s="277"/>
      <c r="B58" s="367" t="s">
        <v>1692</v>
      </c>
      <c r="C58" s="367" t="s">
        <v>2026</v>
      </c>
      <c r="D58" s="277"/>
      <c r="E58" s="367" t="s">
        <v>2368</v>
      </c>
      <c r="F58" s="11" t="s">
        <v>1474</v>
      </c>
      <c r="G58" s="277" t="s">
        <v>1476</v>
      </c>
      <c r="H58" s="276"/>
      <c r="I58" s="276"/>
      <c r="J58" s="276"/>
      <c r="K58" s="276"/>
      <c r="L58" s="276"/>
      <c r="M58" s="276"/>
      <c r="N58" s="276"/>
      <c r="O58" s="276"/>
      <c r="P58" s="345">
        <f t="shared" si="1"/>
        <v>0</v>
      </c>
      <c r="Q58" s="277"/>
      <c r="R58" s="277"/>
      <c r="S58" s="277"/>
      <c r="T58" s="277"/>
      <c r="U58" s="277"/>
      <c r="V58" s="277"/>
      <c r="W58" s="277">
        <v>1</v>
      </c>
      <c r="X58" s="368">
        <v>43146</v>
      </c>
      <c r="Y58" s="346">
        <f t="shared" si="2"/>
        <v>1</v>
      </c>
      <c r="Z58" s="165"/>
      <c r="AA58" s="165"/>
      <c r="AB58" s="165"/>
      <c r="AC58" s="165"/>
      <c r="AD58" s="165"/>
      <c r="AE58" s="165"/>
      <c r="AF58" s="165">
        <v>1</v>
      </c>
      <c r="AG58" s="368">
        <v>43439</v>
      </c>
      <c r="AH58" s="346">
        <f t="shared" si="4"/>
        <v>1</v>
      </c>
      <c r="AI58" s="165"/>
      <c r="AJ58" s="11" t="s">
        <v>2491</v>
      </c>
      <c r="AK58" s="277"/>
      <c r="AL58" s="11"/>
      <c r="AM58" s="11"/>
      <c r="AN58" s="277"/>
      <c r="AO58" s="277"/>
      <c r="AP58" s="277"/>
      <c r="AQ58" s="277"/>
      <c r="AR58" s="338"/>
      <c r="AS58" s="275"/>
      <c r="AT58" s="306"/>
    </row>
    <row r="59" spans="1:46" s="262" customFormat="1" ht="26.4" x14ac:dyDescent="0.25">
      <c r="A59" s="277"/>
      <c r="B59" s="367" t="s">
        <v>1693</v>
      </c>
      <c r="C59" s="367" t="s">
        <v>2027</v>
      </c>
      <c r="D59" s="277"/>
      <c r="E59" s="367" t="s">
        <v>2369</v>
      </c>
      <c r="F59" s="11" t="s">
        <v>1474</v>
      </c>
      <c r="G59" s="277" t="s">
        <v>1476</v>
      </c>
      <c r="H59" s="276"/>
      <c r="I59" s="276"/>
      <c r="J59" s="276"/>
      <c r="K59" s="276"/>
      <c r="L59" s="276"/>
      <c r="M59" s="276"/>
      <c r="N59" s="276"/>
      <c r="O59" s="276"/>
      <c r="P59" s="345">
        <f t="shared" si="1"/>
        <v>0</v>
      </c>
      <c r="Q59" s="277"/>
      <c r="R59" s="277"/>
      <c r="S59" s="277"/>
      <c r="T59" s="277"/>
      <c r="U59" s="277"/>
      <c r="V59" s="277"/>
      <c r="W59" s="277">
        <v>1</v>
      </c>
      <c r="X59" s="368">
        <v>43146</v>
      </c>
      <c r="Y59" s="346">
        <f t="shared" si="2"/>
        <v>1</v>
      </c>
      <c r="Z59" s="165"/>
      <c r="AA59" s="165"/>
      <c r="AB59" s="165"/>
      <c r="AC59" s="165"/>
      <c r="AD59" s="165"/>
      <c r="AE59" s="165"/>
      <c r="AF59" s="165">
        <v>1</v>
      </c>
      <c r="AG59" s="368">
        <v>43438</v>
      </c>
      <c r="AH59" s="346">
        <f t="shared" si="4"/>
        <v>1</v>
      </c>
      <c r="AI59" s="165"/>
      <c r="AJ59" s="11" t="s">
        <v>2491</v>
      </c>
      <c r="AK59" s="277"/>
      <c r="AL59" s="11"/>
      <c r="AM59" s="11"/>
      <c r="AN59" s="277"/>
      <c r="AO59" s="277"/>
      <c r="AP59" s="277"/>
      <c r="AQ59" s="277"/>
      <c r="AR59" s="338"/>
      <c r="AS59" s="275"/>
      <c r="AT59" s="306"/>
    </row>
    <row r="60" spans="1:46" s="262" customFormat="1" ht="26.4" x14ac:dyDescent="0.25">
      <c r="A60" s="277"/>
      <c r="B60" s="367" t="s">
        <v>1703</v>
      </c>
      <c r="C60" s="367" t="s">
        <v>2037</v>
      </c>
      <c r="D60" s="277"/>
      <c r="E60" s="367" t="s">
        <v>2379</v>
      </c>
      <c r="F60" s="11" t="s">
        <v>1474</v>
      </c>
      <c r="G60" s="277" t="s">
        <v>1476</v>
      </c>
      <c r="H60" s="276"/>
      <c r="I60" s="276"/>
      <c r="J60" s="276"/>
      <c r="K60" s="276"/>
      <c r="L60" s="276"/>
      <c r="M60" s="276"/>
      <c r="N60" s="276"/>
      <c r="O60" s="276"/>
      <c r="P60" s="345">
        <f t="shared" si="1"/>
        <v>0</v>
      </c>
      <c r="Q60" s="277"/>
      <c r="R60" s="277"/>
      <c r="S60" s="277"/>
      <c r="T60" s="277"/>
      <c r="U60" s="277"/>
      <c r="V60" s="277"/>
      <c r="W60" s="277">
        <v>1</v>
      </c>
      <c r="X60" s="368">
        <v>43146</v>
      </c>
      <c r="Y60" s="346">
        <f t="shared" si="2"/>
        <v>1</v>
      </c>
      <c r="Z60" s="165"/>
      <c r="AA60" s="165"/>
      <c r="AB60" s="165"/>
      <c r="AC60" s="165"/>
      <c r="AD60" s="165"/>
      <c r="AE60" s="165"/>
      <c r="AF60" s="165"/>
      <c r="AG60" s="369"/>
      <c r="AH60" s="346">
        <f t="shared" si="4"/>
        <v>0</v>
      </c>
      <c r="AI60" s="165"/>
      <c r="AJ60" s="11" t="s">
        <v>2491</v>
      </c>
      <c r="AK60" s="277"/>
      <c r="AL60" s="11"/>
      <c r="AM60" s="11"/>
      <c r="AN60" s="277"/>
      <c r="AO60" s="277"/>
      <c r="AP60" s="277"/>
      <c r="AQ60" s="277"/>
      <c r="AR60" s="338"/>
      <c r="AS60" s="275"/>
      <c r="AT60" s="306"/>
    </row>
    <row r="61" spans="1:46" s="262" customFormat="1" ht="26.4" x14ac:dyDescent="0.25">
      <c r="A61" s="277"/>
      <c r="B61" s="367" t="s">
        <v>1704</v>
      </c>
      <c r="C61" s="367" t="s">
        <v>2038</v>
      </c>
      <c r="D61" s="277"/>
      <c r="E61" s="367" t="s">
        <v>2380</v>
      </c>
      <c r="F61" s="11" t="s">
        <v>1474</v>
      </c>
      <c r="G61" s="277" t="s">
        <v>1476</v>
      </c>
      <c r="H61" s="276"/>
      <c r="I61" s="276"/>
      <c r="J61" s="276"/>
      <c r="K61" s="276"/>
      <c r="L61" s="276"/>
      <c r="M61" s="276"/>
      <c r="N61" s="276"/>
      <c r="O61" s="276"/>
      <c r="P61" s="345">
        <f t="shared" si="1"/>
        <v>0</v>
      </c>
      <c r="Q61" s="277"/>
      <c r="R61" s="277"/>
      <c r="S61" s="277"/>
      <c r="T61" s="277"/>
      <c r="U61" s="277"/>
      <c r="V61" s="277"/>
      <c r="W61" s="277">
        <v>1</v>
      </c>
      <c r="X61" s="368">
        <v>43146</v>
      </c>
      <c r="Y61" s="346">
        <f t="shared" si="2"/>
        <v>1</v>
      </c>
      <c r="Z61" s="165"/>
      <c r="AA61" s="165"/>
      <c r="AB61" s="165"/>
      <c r="AC61" s="165"/>
      <c r="AD61" s="165"/>
      <c r="AE61" s="165"/>
      <c r="AF61" s="165"/>
      <c r="AG61" s="369"/>
      <c r="AH61" s="346">
        <f t="shared" si="4"/>
        <v>0</v>
      </c>
      <c r="AI61" s="165"/>
      <c r="AJ61" s="11" t="s">
        <v>2491</v>
      </c>
      <c r="AK61" s="277"/>
      <c r="AL61" s="11"/>
      <c r="AM61" s="11"/>
      <c r="AN61" s="277"/>
      <c r="AO61" s="277"/>
      <c r="AP61" s="277"/>
      <c r="AQ61" s="277"/>
      <c r="AR61" s="338"/>
      <c r="AS61" s="275"/>
      <c r="AT61" s="306"/>
    </row>
    <row r="62" spans="1:46" s="262" customFormat="1" ht="26.4" x14ac:dyDescent="0.25">
      <c r="A62" s="277"/>
      <c r="B62" s="367" t="s">
        <v>1705</v>
      </c>
      <c r="C62" s="367" t="s">
        <v>2039</v>
      </c>
      <c r="D62" s="277"/>
      <c r="E62" s="367" t="s">
        <v>2381</v>
      </c>
      <c r="F62" s="11" t="s">
        <v>1474</v>
      </c>
      <c r="G62" s="277" t="s">
        <v>1476</v>
      </c>
      <c r="H62" s="276"/>
      <c r="I62" s="276"/>
      <c r="J62" s="276"/>
      <c r="K62" s="276"/>
      <c r="L62" s="276"/>
      <c r="M62" s="276"/>
      <c r="N62" s="276"/>
      <c r="O62" s="276"/>
      <c r="P62" s="345">
        <f t="shared" si="1"/>
        <v>0</v>
      </c>
      <c r="Q62" s="277"/>
      <c r="R62" s="277"/>
      <c r="S62" s="277"/>
      <c r="T62" s="277"/>
      <c r="U62" s="277"/>
      <c r="V62" s="277"/>
      <c r="W62" s="277">
        <v>1</v>
      </c>
      <c r="X62" s="368">
        <v>43146</v>
      </c>
      <c r="Y62" s="346">
        <f t="shared" si="2"/>
        <v>1</v>
      </c>
      <c r="Z62" s="165"/>
      <c r="AA62" s="165"/>
      <c r="AB62" s="165"/>
      <c r="AC62" s="165"/>
      <c r="AD62" s="165"/>
      <c r="AE62" s="165"/>
      <c r="AF62" s="165"/>
      <c r="AG62" s="369"/>
      <c r="AH62" s="346">
        <f t="shared" si="4"/>
        <v>0</v>
      </c>
      <c r="AI62" s="165"/>
      <c r="AJ62" s="11" t="s">
        <v>2491</v>
      </c>
      <c r="AK62" s="277"/>
      <c r="AL62" s="11"/>
      <c r="AM62" s="11"/>
      <c r="AN62" s="277"/>
      <c r="AO62" s="277"/>
      <c r="AP62" s="277"/>
      <c r="AQ62" s="277"/>
      <c r="AR62" s="338"/>
      <c r="AS62" s="275"/>
      <c r="AT62" s="306"/>
    </row>
    <row r="63" spans="1:46" s="262" customFormat="1" ht="26.4" x14ac:dyDescent="0.25">
      <c r="A63" s="277"/>
      <c r="B63" s="367" t="s">
        <v>1636</v>
      </c>
      <c r="C63" s="367" t="s">
        <v>1959</v>
      </c>
      <c r="D63" s="277"/>
      <c r="E63" s="367" t="s">
        <v>2301</v>
      </c>
      <c r="F63" s="11" t="s">
        <v>1474</v>
      </c>
      <c r="G63" s="277" t="s">
        <v>1476</v>
      </c>
      <c r="H63" s="276"/>
      <c r="I63" s="276"/>
      <c r="J63" s="276"/>
      <c r="K63" s="276"/>
      <c r="L63" s="276"/>
      <c r="M63" s="276"/>
      <c r="N63" s="276"/>
      <c r="O63" s="276"/>
      <c r="P63" s="345">
        <f t="shared" si="1"/>
        <v>0</v>
      </c>
      <c r="Q63" s="277"/>
      <c r="R63" s="277"/>
      <c r="S63" s="277"/>
      <c r="T63" s="277"/>
      <c r="U63" s="277"/>
      <c r="V63" s="277"/>
      <c r="W63" s="277">
        <v>1</v>
      </c>
      <c r="X63" s="368">
        <v>43164</v>
      </c>
      <c r="Y63" s="346">
        <f t="shared" si="2"/>
        <v>1</v>
      </c>
      <c r="Z63" s="165"/>
      <c r="AA63" s="165"/>
      <c r="AB63" s="165"/>
      <c r="AC63" s="165"/>
      <c r="AD63" s="165"/>
      <c r="AE63" s="165"/>
      <c r="AF63" s="165">
        <v>1</v>
      </c>
      <c r="AG63" s="368">
        <v>43403</v>
      </c>
      <c r="AH63" s="346">
        <f t="shared" si="4"/>
        <v>1</v>
      </c>
      <c r="AI63" s="165"/>
      <c r="AJ63" s="11" t="s">
        <v>2491</v>
      </c>
      <c r="AK63" s="277"/>
      <c r="AL63" s="11"/>
      <c r="AM63" s="11"/>
      <c r="AN63" s="277"/>
      <c r="AO63" s="277"/>
      <c r="AP63" s="277"/>
      <c r="AQ63" s="277"/>
      <c r="AR63" s="338"/>
      <c r="AS63" s="275"/>
      <c r="AT63" s="306"/>
    </row>
    <row r="64" spans="1:46" s="262" customFormat="1" ht="26.4" x14ac:dyDescent="0.25">
      <c r="A64" s="277"/>
      <c r="B64" s="367" t="s">
        <v>1637</v>
      </c>
      <c r="C64" s="367" t="s">
        <v>1960</v>
      </c>
      <c r="D64" s="277"/>
      <c r="E64" s="367" t="s">
        <v>2302</v>
      </c>
      <c r="F64" s="11" t="s">
        <v>1474</v>
      </c>
      <c r="G64" s="277" t="s">
        <v>1476</v>
      </c>
      <c r="H64" s="276"/>
      <c r="I64" s="276"/>
      <c r="J64" s="276"/>
      <c r="K64" s="276"/>
      <c r="L64" s="276"/>
      <c r="M64" s="276"/>
      <c r="N64" s="276"/>
      <c r="O64" s="276"/>
      <c r="P64" s="345">
        <f t="shared" si="1"/>
        <v>0</v>
      </c>
      <c r="Q64" s="277"/>
      <c r="R64" s="277"/>
      <c r="S64" s="277"/>
      <c r="T64" s="277"/>
      <c r="U64" s="277"/>
      <c r="V64" s="277"/>
      <c r="W64" s="277">
        <v>1</v>
      </c>
      <c r="X64" s="368">
        <v>43164</v>
      </c>
      <c r="Y64" s="346">
        <f t="shared" si="2"/>
        <v>1</v>
      </c>
      <c r="Z64" s="165"/>
      <c r="AA64" s="165"/>
      <c r="AB64" s="165"/>
      <c r="AC64" s="165"/>
      <c r="AD64" s="165"/>
      <c r="AE64" s="165"/>
      <c r="AF64" s="165">
        <v>1</v>
      </c>
      <c r="AG64" s="368">
        <v>43403</v>
      </c>
      <c r="AH64" s="346">
        <f t="shared" si="4"/>
        <v>1</v>
      </c>
      <c r="AI64" s="165"/>
      <c r="AJ64" s="11" t="s">
        <v>2491</v>
      </c>
      <c r="AK64" s="277"/>
      <c r="AL64" s="11"/>
      <c r="AM64" s="11"/>
      <c r="AN64" s="277"/>
      <c r="AO64" s="277"/>
      <c r="AP64" s="277"/>
      <c r="AQ64" s="277"/>
      <c r="AR64" s="338"/>
      <c r="AS64" s="275"/>
      <c r="AT64" s="306"/>
    </row>
    <row r="65" spans="1:46" s="262" customFormat="1" ht="26.4" x14ac:dyDescent="0.25">
      <c r="A65" s="277"/>
      <c r="B65" s="367" t="s">
        <v>1638</v>
      </c>
      <c r="C65" s="367" t="s">
        <v>1961</v>
      </c>
      <c r="D65" s="277"/>
      <c r="E65" s="367" t="s">
        <v>2303</v>
      </c>
      <c r="F65" s="11" t="s">
        <v>1474</v>
      </c>
      <c r="G65" s="277" t="s">
        <v>1476</v>
      </c>
      <c r="H65" s="276"/>
      <c r="I65" s="276"/>
      <c r="J65" s="276"/>
      <c r="K65" s="276"/>
      <c r="L65" s="276"/>
      <c r="M65" s="276"/>
      <c r="N65" s="276"/>
      <c r="O65" s="276"/>
      <c r="P65" s="345">
        <f t="shared" si="1"/>
        <v>0</v>
      </c>
      <c r="Q65" s="277"/>
      <c r="R65" s="277"/>
      <c r="S65" s="277"/>
      <c r="T65" s="277"/>
      <c r="U65" s="277"/>
      <c r="V65" s="277"/>
      <c r="W65" s="277">
        <v>1</v>
      </c>
      <c r="X65" s="368">
        <v>43164</v>
      </c>
      <c r="Y65" s="346">
        <f t="shared" si="2"/>
        <v>1</v>
      </c>
      <c r="Z65" s="165"/>
      <c r="AA65" s="165"/>
      <c r="AB65" s="165"/>
      <c r="AC65" s="165"/>
      <c r="AD65" s="165"/>
      <c r="AE65" s="165"/>
      <c r="AF65" s="165">
        <v>1</v>
      </c>
      <c r="AG65" s="368">
        <v>43399</v>
      </c>
      <c r="AH65" s="346">
        <f t="shared" si="4"/>
        <v>1</v>
      </c>
      <c r="AI65" s="165"/>
      <c r="AJ65" s="11" t="s">
        <v>2491</v>
      </c>
      <c r="AK65" s="277"/>
      <c r="AL65" s="11"/>
      <c r="AM65" s="11"/>
      <c r="AN65" s="277"/>
      <c r="AO65" s="277"/>
      <c r="AP65" s="277"/>
      <c r="AQ65" s="277"/>
      <c r="AR65" s="338"/>
      <c r="AS65" s="275"/>
      <c r="AT65" s="306"/>
    </row>
    <row r="66" spans="1:46" s="87" customFormat="1" ht="26.4" x14ac:dyDescent="0.3">
      <c r="A66" s="333"/>
      <c r="B66" s="367" t="s">
        <v>1639</v>
      </c>
      <c r="C66" s="367" t="s">
        <v>1962</v>
      </c>
      <c r="D66" s="333"/>
      <c r="E66" s="367" t="s">
        <v>2304</v>
      </c>
      <c r="F66" s="11" t="s">
        <v>1474</v>
      </c>
      <c r="G66" s="277" t="s">
        <v>1476</v>
      </c>
      <c r="H66" s="334"/>
      <c r="I66" s="334"/>
      <c r="J66" s="334"/>
      <c r="K66" s="334"/>
      <c r="L66" s="334"/>
      <c r="M66" s="334"/>
      <c r="N66" s="334"/>
      <c r="O66" s="334"/>
      <c r="P66" s="345">
        <f t="shared" si="1"/>
        <v>0</v>
      </c>
      <c r="Q66" s="333"/>
      <c r="R66" s="333"/>
      <c r="S66" s="333"/>
      <c r="T66" s="333"/>
      <c r="U66" s="333"/>
      <c r="V66" s="333"/>
      <c r="W66" s="277">
        <v>1</v>
      </c>
      <c r="X66" s="368">
        <v>43164</v>
      </c>
      <c r="Y66" s="346">
        <f t="shared" si="2"/>
        <v>1</v>
      </c>
      <c r="Z66" s="335"/>
      <c r="AA66" s="335"/>
      <c r="AB66" s="335"/>
      <c r="AC66" s="335"/>
      <c r="AD66" s="335"/>
      <c r="AE66" s="335"/>
      <c r="AF66" s="165">
        <v>1</v>
      </c>
      <c r="AG66" s="368">
        <v>43399</v>
      </c>
      <c r="AH66" s="346">
        <f t="shared" si="4"/>
        <v>1</v>
      </c>
      <c r="AI66" s="335"/>
      <c r="AJ66" s="11" t="s">
        <v>2491</v>
      </c>
      <c r="AK66" s="333"/>
      <c r="AL66" s="11"/>
      <c r="AM66" s="11"/>
      <c r="AN66" s="333"/>
      <c r="AO66" s="333"/>
      <c r="AP66" s="333"/>
      <c r="AQ66" s="333"/>
      <c r="AR66" s="336"/>
      <c r="AS66" s="337"/>
      <c r="AT66" s="123"/>
    </row>
    <row r="67" spans="1:46" s="87" customFormat="1" ht="26.4" x14ac:dyDescent="0.3">
      <c r="A67" s="333"/>
      <c r="B67" s="367" t="s">
        <v>1640</v>
      </c>
      <c r="C67" s="367" t="s">
        <v>1963</v>
      </c>
      <c r="D67" s="333"/>
      <c r="E67" s="367" t="s">
        <v>2305</v>
      </c>
      <c r="F67" s="11" t="s">
        <v>1474</v>
      </c>
      <c r="G67" s="277" t="s">
        <v>1476</v>
      </c>
      <c r="H67" s="334"/>
      <c r="I67" s="334"/>
      <c r="J67" s="334"/>
      <c r="K67" s="334"/>
      <c r="L67" s="334"/>
      <c r="M67" s="334"/>
      <c r="N67" s="334"/>
      <c r="O67" s="334"/>
      <c r="P67" s="345">
        <f t="shared" si="1"/>
        <v>0</v>
      </c>
      <c r="Q67" s="333"/>
      <c r="R67" s="333"/>
      <c r="S67" s="333"/>
      <c r="T67" s="333"/>
      <c r="U67" s="333"/>
      <c r="V67" s="333"/>
      <c r="W67" s="277">
        <v>1</v>
      </c>
      <c r="X67" s="368">
        <v>43164</v>
      </c>
      <c r="Y67" s="346">
        <f t="shared" si="2"/>
        <v>1</v>
      </c>
      <c r="Z67" s="335"/>
      <c r="AA67" s="335"/>
      <c r="AB67" s="335"/>
      <c r="AC67" s="335"/>
      <c r="AD67" s="335"/>
      <c r="AE67" s="335"/>
      <c r="AF67" s="165">
        <v>1</v>
      </c>
      <c r="AG67" s="368">
        <v>43404</v>
      </c>
      <c r="AH67" s="346">
        <f t="shared" si="4"/>
        <v>1</v>
      </c>
      <c r="AI67" s="335"/>
      <c r="AJ67" s="11" t="s">
        <v>2491</v>
      </c>
      <c r="AK67" s="333"/>
      <c r="AL67" s="11"/>
      <c r="AM67" s="11"/>
      <c r="AN67" s="333"/>
      <c r="AO67" s="333"/>
      <c r="AP67" s="333"/>
      <c r="AQ67" s="333"/>
      <c r="AR67" s="336"/>
      <c r="AS67" s="337"/>
      <c r="AT67" s="123"/>
    </row>
    <row r="68" spans="1:46" s="89" customFormat="1" ht="26.4" x14ac:dyDescent="0.25">
      <c r="A68" s="333"/>
      <c r="B68" s="367" t="s">
        <v>1641</v>
      </c>
      <c r="C68" s="367" t="s">
        <v>1964</v>
      </c>
      <c r="D68" s="333"/>
      <c r="E68" s="367" t="s">
        <v>2306</v>
      </c>
      <c r="F68" s="11" t="s">
        <v>1474</v>
      </c>
      <c r="G68" s="277" t="s">
        <v>1476</v>
      </c>
      <c r="H68" s="334"/>
      <c r="I68" s="334"/>
      <c r="J68" s="334"/>
      <c r="K68" s="334"/>
      <c r="L68" s="334"/>
      <c r="M68" s="334"/>
      <c r="N68" s="334"/>
      <c r="O68" s="334"/>
      <c r="P68" s="345">
        <f t="shared" si="1"/>
        <v>0</v>
      </c>
      <c r="Q68" s="333"/>
      <c r="R68" s="333"/>
      <c r="S68" s="333"/>
      <c r="T68" s="333"/>
      <c r="U68" s="333"/>
      <c r="V68" s="333"/>
      <c r="W68" s="277">
        <v>1</v>
      </c>
      <c r="X68" s="368">
        <v>43164</v>
      </c>
      <c r="Y68" s="346">
        <f t="shared" si="2"/>
        <v>1</v>
      </c>
      <c r="Z68" s="335"/>
      <c r="AA68" s="335"/>
      <c r="AB68" s="335"/>
      <c r="AC68" s="335"/>
      <c r="AD68" s="335"/>
      <c r="AE68" s="335"/>
      <c r="AF68" s="165">
        <v>1</v>
      </c>
      <c r="AG68" s="368">
        <v>43404</v>
      </c>
      <c r="AH68" s="346">
        <f t="shared" si="4"/>
        <v>1</v>
      </c>
      <c r="AI68" s="335"/>
      <c r="AJ68" s="11" t="s">
        <v>2491</v>
      </c>
      <c r="AK68" s="333"/>
      <c r="AL68" s="11"/>
      <c r="AM68" s="11"/>
      <c r="AN68" s="333"/>
      <c r="AO68" s="333"/>
      <c r="AP68" s="333"/>
      <c r="AQ68" s="333"/>
      <c r="AR68" s="336"/>
      <c r="AS68" s="337"/>
      <c r="AT68" s="307"/>
    </row>
    <row r="69" spans="1:46" s="88" customFormat="1" ht="26.4" x14ac:dyDescent="0.25">
      <c r="A69" s="277"/>
      <c r="B69" s="367" t="s">
        <v>1651</v>
      </c>
      <c r="C69" s="367" t="s">
        <v>1974</v>
      </c>
      <c r="D69" s="277"/>
      <c r="E69" s="367" t="s">
        <v>2316</v>
      </c>
      <c r="F69" s="11" t="s">
        <v>1474</v>
      </c>
      <c r="G69" s="277" t="s">
        <v>1476</v>
      </c>
      <c r="H69" s="276"/>
      <c r="I69" s="276"/>
      <c r="J69" s="276"/>
      <c r="K69" s="276"/>
      <c r="L69" s="276"/>
      <c r="M69" s="276"/>
      <c r="N69" s="276"/>
      <c r="O69" s="276"/>
      <c r="P69" s="345">
        <f t="shared" si="1"/>
        <v>0</v>
      </c>
      <c r="Q69" s="277"/>
      <c r="R69" s="277"/>
      <c r="S69" s="277"/>
      <c r="T69" s="277"/>
      <c r="U69" s="277"/>
      <c r="V69" s="277"/>
      <c r="W69" s="277">
        <v>1</v>
      </c>
      <c r="X69" s="368">
        <v>43164</v>
      </c>
      <c r="Y69" s="346">
        <f t="shared" si="2"/>
        <v>1</v>
      </c>
      <c r="Z69" s="165"/>
      <c r="AA69" s="165"/>
      <c r="AB69" s="165"/>
      <c r="AC69" s="165"/>
      <c r="AD69" s="165"/>
      <c r="AE69" s="165"/>
      <c r="AF69" s="165">
        <v>1</v>
      </c>
      <c r="AG69" s="368">
        <v>43385</v>
      </c>
      <c r="AH69" s="346">
        <f t="shared" si="4"/>
        <v>1</v>
      </c>
      <c r="AI69" s="165"/>
      <c r="AJ69" s="11" t="s">
        <v>2491</v>
      </c>
      <c r="AK69" s="277"/>
      <c r="AL69" s="11"/>
      <c r="AM69" s="11"/>
      <c r="AN69" s="277"/>
      <c r="AO69" s="277"/>
      <c r="AP69" s="277"/>
      <c r="AQ69" s="277"/>
      <c r="AR69" s="338"/>
      <c r="AS69" s="275"/>
      <c r="AT69" s="305"/>
    </row>
    <row r="70" spans="1:46" s="88" customFormat="1" ht="26.4" x14ac:dyDescent="0.25">
      <c r="A70" s="277"/>
      <c r="B70" s="367" t="s">
        <v>1651</v>
      </c>
      <c r="C70" s="367" t="s">
        <v>1974</v>
      </c>
      <c r="D70" s="277"/>
      <c r="E70" s="367" t="s">
        <v>2316</v>
      </c>
      <c r="F70" s="11" t="s">
        <v>1474</v>
      </c>
      <c r="G70" s="277" t="s">
        <v>1476</v>
      </c>
      <c r="H70" s="276"/>
      <c r="I70" s="276"/>
      <c r="J70" s="276"/>
      <c r="K70" s="276"/>
      <c r="L70" s="276"/>
      <c r="M70" s="276"/>
      <c r="N70" s="276"/>
      <c r="O70" s="276"/>
      <c r="P70" s="345">
        <f t="shared" si="1"/>
        <v>0</v>
      </c>
      <c r="Q70" s="277"/>
      <c r="R70" s="277"/>
      <c r="S70" s="277"/>
      <c r="T70" s="277"/>
      <c r="U70" s="277"/>
      <c r="V70" s="277"/>
      <c r="W70" s="277">
        <v>1</v>
      </c>
      <c r="X70" s="368">
        <v>43164</v>
      </c>
      <c r="Y70" s="346">
        <f t="shared" si="2"/>
        <v>1</v>
      </c>
      <c r="Z70" s="165"/>
      <c r="AA70" s="165"/>
      <c r="AB70" s="165"/>
      <c r="AC70" s="165"/>
      <c r="AD70" s="165"/>
      <c r="AE70" s="165"/>
      <c r="AF70" s="165">
        <v>1</v>
      </c>
      <c r="AG70" s="368">
        <v>43385</v>
      </c>
      <c r="AH70" s="346">
        <f t="shared" si="4"/>
        <v>1</v>
      </c>
      <c r="AI70" s="165"/>
      <c r="AJ70" s="11" t="s">
        <v>2491</v>
      </c>
      <c r="AK70" s="277"/>
      <c r="AL70" s="11"/>
      <c r="AM70" s="11"/>
      <c r="AN70" s="277"/>
      <c r="AO70" s="277"/>
      <c r="AP70" s="277"/>
      <c r="AQ70" s="277"/>
      <c r="AR70" s="338"/>
      <c r="AS70" s="275"/>
      <c r="AT70" s="305"/>
    </row>
    <row r="71" spans="1:46" s="88" customFormat="1" ht="26.4" x14ac:dyDescent="0.25">
      <c r="A71" s="277"/>
      <c r="B71" s="367" t="s">
        <v>1652</v>
      </c>
      <c r="C71" s="367" t="s">
        <v>1975</v>
      </c>
      <c r="D71" s="277"/>
      <c r="E71" s="367" t="s">
        <v>2317</v>
      </c>
      <c r="F71" s="11" t="s">
        <v>1474</v>
      </c>
      <c r="G71" s="277" t="s">
        <v>1476</v>
      </c>
      <c r="H71" s="276"/>
      <c r="I71" s="276"/>
      <c r="J71" s="276"/>
      <c r="K71" s="276"/>
      <c r="L71" s="276"/>
      <c r="M71" s="276"/>
      <c r="N71" s="276"/>
      <c r="O71" s="276"/>
      <c r="P71" s="345">
        <f t="shared" si="1"/>
        <v>0</v>
      </c>
      <c r="Q71" s="277"/>
      <c r="R71" s="277"/>
      <c r="S71" s="277"/>
      <c r="T71" s="277"/>
      <c r="U71" s="277"/>
      <c r="V71" s="277"/>
      <c r="W71" s="277">
        <v>1</v>
      </c>
      <c r="X71" s="368">
        <v>43164</v>
      </c>
      <c r="Y71" s="346">
        <f t="shared" si="2"/>
        <v>1</v>
      </c>
      <c r="Z71" s="165"/>
      <c r="AA71" s="165"/>
      <c r="AB71" s="165"/>
      <c r="AC71" s="165"/>
      <c r="AD71" s="165"/>
      <c r="AE71" s="165"/>
      <c r="AF71" s="165">
        <v>1</v>
      </c>
      <c r="AG71" s="368">
        <v>43385</v>
      </c>
      <c r="AH71" s="346">
        <f t="shared" si="4"/>
        <v>1</v>
      </c>
      <c r="AI71" s="165"/>
      <c r="AJ71" s="11" t="s">
        <v>2491</v>
      </c>
      <c r="AK71" s="277"/>
      <c r="AL71" s="11"/>
      <c r="AM71" s="11"/>
      <c r="AN71" s="277"/>
      <c r="AO71" s="277"/>
      <c r="AP71" s="277"/>
      <c r="AQ71" s="277"/>
      <c r="AR71" s="338"/>
      <c r="AS71" s="275"/>
      <c r="AT71" s="305"/>
    </row>
    <row r="72" spans="1:46" s="88" customFormat="1" ht="26.4" x14ac:dyDescent="0.25">
      <c r="A72" s="277"/>
      <c r="B72" s="367" t="s">
        <v>1652</v>
      </c>
      <c r="C72" s="367" t="s">
        <v>1975</v>
      </c>
      <c r="D72" s="277"/>
      <c r="E72" s="367" t="s">
        <v>2317</v>
      </c>
      <c r="F72" s="11" t="s">
        <v>1474</v>
      </c>
      <c r="G72" s="277" t="s">
        <v>1476</v>
      </c>
      <c r="H72" s="276"/>
      <c r="I72" s="276"/>
      <c r="J72" s="276"/>
      <c r="K72" s="276"/>
      <c r="L72" s="276"/>
      <c r="M72" s="276"/>
      <c r="N72" s="276"/>
      <c r="O72" s="276"/>
      <c r="P72" s="345">
        <f t="shared" si="1"/>
        <v>0</v>
      </c>
      <c r="Q72" s="277"/>
      <c r="R72" s="277"/>
      <c r="S72" s="277"/>
      <c r="T72" s="277"/>
      <c r="U72" s="277"/>
      <c r="V72" s="277"/>
      <c r="W72" s="277">
        <v>1</v>
      </c>
      <c r="X72" s="368">
        <v>43164</v>
      </c>
      <c r="Y72" s="346">
        <f t="shared" si="2"/>
        <v>1</v>
      </c>
      <c r="Z72" s="165"/>
      <c r="AA72" s="165"/>
      <c r="AB72" s="165"/>
      <c r="AC72" s="165"/>
      <c r="AD72" s="165"/>
      <c r="AE72" s="165"/>
      <c r="AF72" s="165">
        <v>1</v>
      </c>
      <c r="AG72" s="368">
        <v>43385</v>
      </c>
      <c r="AH72" s="346">
        <f t="shared" si="4"/>
        <v>1</v>
      </c>
      <c r="AI72" s="165"/>
      <c r="AJ72" s="11" t="s">
        <v>2491</v>
      </c>
      <c r="AK72" s="277"/>
      <c r="AL72" s="11"/>
      <c r="AM72" s="11"/>
      <c r="AN72" s="277"/>
      <c r="AO72" s="277"/>
      <c r="AP72" s="277"/>
      <c r="AQ72" s="277"/>
      <c r="AR72" s="338"/>
      <c r="AS72" s="275"/>
      <c r="AT72" s="305"/>
    </row>
    <row r="73" spans="1:46" s="88" customFormat="1" ht="13.2" x14ac:dyDescent="0.25">
      <c r="A73" s="277"/>
      <c r="B73" s="367" t="s">
        <v>1656</v>
      </c>
      <c r="C73" s="367" t="s">
        <v>1979</v>
      </c>
      <c r="D73" s="277"/>
      <c r="E73" s="367" t="s">
        <v>2321</v>
      </c>
      <c r="F73" s="11" t="s">
        <v>1474</v>
      </c>
      <c r="G73" s="277" t="s">
        <v>1476</v>
      </c>
      <c r="H73" s="276"/>
      <c r="I73" s="276"/>
      <c r="J73" s="276"/>
      <c r="K73" s="276"/>
      <c r="L73" s="276"/>
      <c r="M73" s="276"/>
      <c r="N73" s="276"/>
      <c r="O73" s="276"/>
      <c r="P73" s="345">
        <f t="shared" si="1"/>
        <v>0</v>
      </c>
      <c r="Q73" s="277"/>
      <c r="R73" s="277"/>
      <c r="S73" s="277"/>
      <c r="T73" s="277"/>
      <c r="U73" s="277"/>
      <c r="V73" s="277"/>
      <c r="W73" s="277">
        <v>1</v>
      </c>
      <c r="X73" s="368">
        <v>43164</v>
      </c>
      <c r="Y73" s="346">
        <f t="shared" si="2"/>
        <v>1</v>
      </c>
      <c r="Z73" s="165"/>
      <c r="AA73" s="165"/>
      <c r="AB73" s="165"/>
      <c r="AC73" s="165"/>
      <c r="AD73" s="165"/>
      <c r="AE73" s="165"/>
      <c r="AF73" s="165">
        <v>1</v>
      </c>
      <c r="AG73" s="368">
        <v>43377</v>
      </c>
      <c r="AH73" s="346">
        <f t="shared" si="4"/>
        <v>1</v>
      </c>
      <c r="AI73" s="165"/>
      <c r="AJ73" s="11" t="s">
        <v>2491</v>
      </c>
      <c r="AK73" s="277"/>
      <c r="AL73" s="11"/>
      <c r="AM73" s="11"/>
      <c r="AN73" s="277"/>
      <c r="AO73" s="277"/>
      <c r="AP73" s="277"/>
      <c r="AQ73" s="277"/>
      <c r="AR73" s="338"/>
      <c r="AS73" s="275"/>
      <c r="AT73" s="305"/>
    </row>
    <row r="74" spans="1:46" s="88" customFormat="1" ht="13.2" x14ac:dyDescent="0.25">
      <c r="A74" s="277"/>
      <c r="B74" s="367" t="s">
        <v>1656</v>
      </c>
      <c r="C74" s="367" t="s">
        <v>1979</v>
      </c>
      <c r="D74" s="277"/>
      <c r="E74" s="367" t="s">
        <v>2321</v>
      </c>
      <c r="F74" s="11" t="s">
        <v>1474</v>
      </c>
      <c r="G74" s="277" t="s">
        <v>1476</v>
      </c>
      <c r="H74" s="276"/>
      <c r="I74" s="276"/>
      <c r="J74" s="276"/>
      <c r="K74" s="276"/>
      <c r="L74" s="276"/>
      <c r="M74" s="276"/>
      <c r="N74" s="276"/>
      <c r="O74" s="276"/>
      <c r="P74" s="345">
        <f t="shared" si="1"/>
        <v>0</v>
      </c>
      <c r="Q74" s="277"/>
      <c r="R74" s="277"/>
      <c r="S74" s="277"/>
      <c r="T74" s="277"/>
      <c r="U74" s="277"/>
      <c r="V74" s="277"/>
      <c r="W74" s="277">
        <v>1</v>
      </c>
      <c r="X74" s="368">
        <v>43164</v>
      </c>
      <c r="Y74" s="346">
        <f t="shared" si="2"/>
        <v>1</v>
      </c>
      <c r="Z74" s="165"/>
      <c r="AA74" s="165"/>
      <c r="AB74" s="165"/>
      <c r="AC74" s="165"/>
      <c r="AD74" s="165"/>
      <c r="AE74" s="165"/>
      <c r="AF74" s="165">
        <v>1</v>
      </c>
      <c r="AG74" s="368">
        <v>43377</v>
      </c>
      <c r="AH74" s="346">
        <f t="shared" si="4"/>
        <v>1</v>
      </c>
      <c r="AI74" s="165"/>
      <c r="AJ74" s="11" t="s">
        <v>2491</v>
      </c>
      <c r="AK74" s="277"/>
      <c r="AL74" s="11"/>
      <c r="AM74" s="11"/>
      <c r="AN74" s="277"/>
      <c r="AO74" s="277"/>
      <c r="AP74" s="277"/>
      <c r="AQ74" s="277"/>
      <c r="AR74" s="338"/>
      <c r="AS74" s="275"/>
      <c r="AT74" s="305"/>
    </row>
    <row r="75" spans="1:46" s="88" customFormat="1" ht="13.2" x14ac:dyDescent="0.25">
      <c r="A75" s="277"/>
      <c r="B75" s="367" t="s">
        <v>1657</v>
      </c>
      <c r="C75" s="367" t="s">
        <v>1980</v>
      </c>
      <c r="D75" s="277"/>
      <c r="E75" s="367" t="s">
        <v>2322</v>
      </c>
      <c r="F75" s="11" t="s">
        <v>1474</v>
      </c>
      <c r="G75" s="277" t="s">
        <v>1476</v>
      </c>
      <c r="H75" s="276"/>
      <c r="I75" s="276"/>
      <c r="J75" s="276"/>
      <c r="K75" s="276"/>
      <c r="L75" s="276"/>
      <c r="M75" s="276"/>
      <c r="N75" s="276"/>
      <c r="O75" s="276"/>
      <c r="P75" s="345">
        <f t="shared" si="1"/>
        <v>0</v>
      </c>
      <c r="Q75" s="277"/>
      <c r="R75" s="277"/>
      <c r="S75" s="277"/>
      <c r="T75" s="277"/>
      <c r="U75" s="277"/>
      <c r="V75" s="277"/>
      <c r="W75" s="277">
        <v>1</v>
      </c>
      <c r="X75" s="368">
        <v>43164</v>
      </c>
      <c r="Y75" s="346">
        <f t="shared" si="2"/>
        <v>1</v>
      </c>
      <c r="Z75" s="165"/>
      <c r="AA75" s="165"/>
      <c r="AB75" s="165"/>
      <c r="AC75" s="165"/>
      <c r="AD75" s="165"/>
      <c r="AE75" s="165"/>
      <c r="AF75" s="165">
        <v>1</v>
      </c>
      <c r="AG75" s="368">
        <v>43357</v>
      </c>
      <c r="AH75" s="346">
        <f t="shared" si="4"/>
        <v>1</v>
      </c>
      <c r="AI75" s="165"/>
      <c r="AJ75" s="11" t="s">
        <v>2491</v>
      </c>
      <c r="AK75" s="277"/>
      <c r="AL75" s="11"/>
      <c r="AM75" s="11"/>
      <c r="AN75" s="277"/>
      <c r="AO75" s="277"/>
      <c r="AP75" s="277"/>
      <c r="AQ75" s="277"/>
      <c r="AR75" s="338"/>
      <c r="AS75" s="275"/>
      <c r="AT75" s="305"/>
    </row>
    <row r="76" spans="1:46" s="88" customFormat="1" ht="13.2" x14ac:dyDescent="0.25">
      <c r="A76" s="277"/>
      <c r="B76" s="367" t="s">
        <v>1658</v>
      </c>
      <c r="C76" s="367" t="s">
        <v>1981</v>
      </c>
      <c r="D76" s="277"/>
      <c r="E76" s="367" t="s">
        <v>2323</v>
      </c>
      <c r="F76" s="11" t="s">
        <v>1474</v>
      </c>
      <c r="G76" s="277" t="s">
        <v>1476</v>
      </c>
      <c r="H76" s="276"/>
      <c r="I76" s="276"/>
      <c r="J76" s="276"/>
      <c r="K76" s="276"/>
      <c r="L76" s="276"/>
      <c r="M76" s="276"/>
      <c r="N76" s="276"/>
      <c r="O76" s="276"/>
      <c r="P76" s="345">
        <f t="shared" si="1"/>
        <v>0</v>
      </c>
      <c r="Q76" s="277"/>
      <c r="R76" s="277"/>
      <c r="S76" s="277"/>
      <c r="T76" s="277"/>
      <c r="U76" s="277"/>
      <c r="V76" s="277"/>
      <c r="W76" s="277">
        <v>1</v>
      </c>
      <c r="X76" s="368">
        <v>43164</v>
      </c>
      <c r="Y76" s="346">
        <f t="shared" si="2"/>
        <v>1</v>
      </c>
      <c r="Z76" s="165"/>
      <c r="AA76" s="165"/>
      <c r="AB76" s="165"/>
      <c r="AC76" s="165"/>
      <c r="AD76" s="165"/>
      <c r="AE76" s="165"/>
      <c r="AF76" s="165">
        <v>1</v>
      </c>
      <c r="AG76" s="368">
        <v>43357</v>
      </c>
      <c r="AH76" s="346">
        <f t="shared" si="4"/>
        <v>1</v>
      </c>
      <c r="AI76" s="165"/>
      <c r="AJ76" s="11" t="s">
        <v>2491</v>
      </c>
      <c r="AK76" s="277"/>
      <c r="AL76" s="11"/>
      <c r="AM76" s="11"/>
      <c r="AN76" s="277"/>
      <c r="AO76" s="277"/>
      <c r="AP76" s="277"/>
      <c r="AQ76" s="277"/>
      <c r="AR76" s="338"/>
      <c r="AS76" s="275"/>
      <c r="AT76" s="305"/>
    </row>
    <row r="77" spans="1:46" s="88" customFormat="1" ht="13.2" x14ac:dyDescent="0.25">
      <c r="A77" s="277"/>
      <c r="B77" s="367" t="s">
        <v>1659</v>
      </c>
      <c r="C77" s="367" t="s">
        <v>1982</v>
      </c>
      <c r="D77" s="277"/>
      <c r="E77" s="367" t="s">
        <v>2324</v>
      </c>
      <c r="F77" s="11" t="s">
        <v>1474</v>
      </c>
      <c r="G77" s="277" t="s">
        <v>1476</v>
      </c>
      <c r="H77" s="276"/>
      <c r="I77" s="276"/>
      <c r="J77" s="276"/>
      <c r="K77" s="276"/>
      <c r="L77" s="276"/>
      <c r="M77" s="276"/>
      <c r="N77" s="276"/>
      <c r="O77" s="276"/>
      <c r="P77" s="345">
        <f t="shared" ref="P77:P140" si="5">SUM(H77:N77)</f>
        <v>0</v>
      </c>
      <c r="Q77" s="277"/>
      <c r="R77" s="277"/>
      <c r="S77" s="277"/>
      <c r="T77" s="277"/>
      <c r="U77" s="277"/>
      <c r="V77" s="277"/>
      <c r="W77" s="277">
        <v>1</v>
      </c>
      <c r="X77" s="368">
        <v>43164</v>
      </c>
      <c r="Y77" s="346">
        <f t="shared" ref="Y77:Y140" si="6">SUM(Q77:W77)</f>
        <v>1</v>
      </c>
      <c r="Z77" s="165"/>
      <c r="AA77" s="165"/>
      <c r="AB77" s="165"/>
      <c r="AC77" s="165"/>
      <c r="AD77" s="165"/>
      <c r="AE77" s="165"/>
      <c r="AF77" s="165">
        <v>1</v>
      </c>
      <c r="AG77" s="368">
        <v>43349</v>
      </c>
      <c r="AH77" s="346">
        <f t="shared" si="4"/>
        <v>1</v>
      </c>
      <c r="AI77" s="165"/>
      <c r="AJ77" s="11" t="s">
        <v>2491</v>
      </c>
      <c r="AK77" s="277"/>
      <c r="AL77" s="11"/>
      <c r="AM77" s="11"/>
      <c r="AN77" s="277"/>
      <c r="AO77" s="277"/>
      <c r="AP77" s="277"/>
      <c r="AQ77" s="277"/>
      <c r="AR77" s="338"/>
      <c r="AS77" s="275"/>
      <c r="AT77" s="305"/>
    </row>
    <row r="78" spans="1:46" s="88" customFormat="1" ht="26.4" x14ac:dyDescent="0.25">
      <c r="A78" s="277"/>
      <c r="B78" s="367" t="s">
        <v>1763</v>
      </c>
      <c r="C78" s="367" t="s">
        <v>2097</v>
      </c>
      <c r="D78" s="277"/>
      <c r="E78" s="367" t="s">
        <v>2439</v>
      </c>
      <c r="F78" s="11" t="s">
        <v>1474</v>
      </c>
      <c r="G78" s="277" t="s">
        <v>1476</v>
      </c>
      <c r="H78" s="276"/>
      <c r="I78" s="276"/>
      <c r="J78" s="276"/>
      <c r="K78" s="276"/>
      <c r="L78" s="276"/>
      <c r="M78" s="276"/>
      <c r="N78" s="276"/>
      <c r="O78" s="276"/>
      <c r="P78" s="345">
        <f t="shared" si="5"/>
        <v>0</v>
      </c>
      <c r="Q78" s="277"/>
      <c r="R78" s="277"/>
      <c r="S78" s="277"/>
      <c r="T78" s="277"/>
      <c r="U78" s="277"/>
      <c r="V78" s="277"/>
      <c r="W78" s="277">
        <v>1</v>
      </c>
      <c r="X78" s="368">
        <v>43164</v>
      </c>
      <c r="Y78" s="346">
        <f t="shared" si="6"/>
        <v>1</v>
      </c>
      <c r="Z78" s="165"/>
      <c r="AA78" s="165"/>
      <c r="AB78" s="165"/>
      <c r="AC78" s="165"/>
      <c r="AD78" s="165"/>
      <c r="AE78" s="165"/>
      <c r="AF78" s="165"/>
      <c r="AG78" s="369"/>
      <c r="AH78" s="346">
        <f t="shared" si="4"/>
        <v>0</v>
      </c>
      <c r="AI78" s="165"/>
      <c r="AJ78" s="11" t="s">
        <v>2491</v>
      </c>
      <c r="AK78" s="277"/>
      <c r="AL78" s="11"/>
      <c r="AM78" s="11"/>
      <c r="AN78" s="277"/>
      <c r="AO78" s="277"/>
      <c r="AP78" s="277"/>
      <c r="AQ78" s="277"/>
      <c r="AR78" s="338"/>
      <c r="AS78" s="275"/>
      <c r="AT78" s="305"/>
    </row>
    <row r="79" spans="1:46" s="88" customFormat="1" ht="26.4" x14ac:dyDescent="0.25">
      <c r="A79" s="277"/>
      <c r="B79" s="367" t="s">
        <v>1764</v>
      </c>
      <c r="C79" s="367" t="s">
        <v>2098</v>
      </c>
      <c r="D79" s="277"/>
      <c r="E79" s="367" t="s">
        <v>2440</v>
      </c>
      <c r="F79" s="11" t="s">
        <v>1474</v>
      </c>
      <c r="G79" s="277" t="s">
        <v>1476</v>
      </c>
      <c r="H79" s="276"/>
      <c r="I79" s="276"/>
      <c r="J79" s="276"/>
      <c r="K79" s="276"/>
      <c r="L79" s="276"/>
      <c r="M79" s="276"/>
      <c r="N79" s="276"/>
      <c r="O79" s="276"/>
      <c r="P79" s="345">
        <f t="shared" si="5"/>
        <v>0</v>
      </c>
      <c r="Q79" s="277"/>
      <c r="R79" s="277"/>
      <c r="S79" s="277"/>
      <c r="T79" s="277"/>
      <c r="U79" s="277"/>
      <c r="V79" s="277"/>
      <c r="W79" s="277">
        <v>1</v>
      </c>
      <c r="X79" s="368">
        <v>43164</v>
      </c>
      <c r="Y79" s="346">
        <f t="shared" si="6"/>
        <v>1</v>
      </c>
      <c r="Z79" s="165"/>
      <c r="AA79" s="165"/>
      <c r="AB79" s="165"/>
      <c r="AC79" s="165"/>
      <c r="AD79" s="165"/>
      <c r="AE79" s="165"/>
      <c r="AF79" s="165"/>
      <c r="AG79" s="369"/>
      <c r="AH79" s="346">
        <f t="shared" si="4"/>
        <v>0</v>
      </c>
      <c r="AI79" s="165"/>
      <c r="AJ79" s="11" t="s">
        <v>2491</v>
      </c>
      <c r="AK79" s="277"/>
      <c r="AL79" s="11"/>
      <c r="AM79" s="11"/>
      <c r="AN79" s="277"/>
      <c r="AO79" s="277"/>
      <c r="AP79" s="277"/>
      <c r="AQ79" s="277"/>
      <c r="AR79" s="338"/>
      <c r="AS79" s="275"/>
      <c r="AT79" s="305"/>
    </row>
    <row r="80" spans="1:46" s="90" customFormat="1" ht="15.6" x14ac:dyDescent="0.25">
      <c r="A80" s="339"/>
      <c r="B80" s="367" t="s">
        <v>1769</v>
      </c>
      <c r="C80" s="367" t="s">
        <v>2103</v>
      </c>
      <c r="D80" s="339"/>
      <c r="E80" s="367" t="s">
        <v>2445</v>
      </c>
      <c r="F80" s="11" t="s">
        <v>1474</v>
      </c>
      <c r="G80" s="277" t="s">
        <v>1476</v>
      </c>
      <c r="H80" s="340"/>
      <c r="I80" s="340"/>
      <c r="J80" s="340"/>
      <c r="K80" s="340"/>
      <c r="L80" s="340"/>
      <c r="M80" s="340"/>
      <c r="N80" s="340"/>
      <c r="O80" s="340"/>
      <c r="P80" s="345">
        <f t="shared" si="5"/>
        <v>0</v>
      </c>
      <c r="Q80" s="339"/>
      <c r="R80" s="339"/>
      <c r="S80" s="339"/>
      <c r="T80" s="339"/>
      <c r="U80" s="339"/>
      <c r="V80" s="339"/>
      <c r="W80" s="277">
        <v>1</v>
      </c>
      <c r="X80" s="368">
        <v>43164</v>
      </c>
      <c r="Y80" s="346">
        <f t="shared" si="6"/>
        <v>1</v>
      </c>
      <c r="Z80" s="335"/>
      <c r="AA80" s="335"/>
      <c r="AB80" s="335"/>
      <c r="AC80" s="335"/>
      <c r="AD80" s="335"/>
      <c r="AE80" s="335"/>
      <c r="AF80" s="335"/>
      <c r="AG80" s="369"/>
      <c r="AH80" s="346">
        <f t="shared" si="4"/>
        <v>0</v>
      </c>
      <c r="AI80" s="335"/>
      <c r="AJ80" s="11" t="s">
        <v>2491</v>
      </c>
      <c r="AK80" s="339"/>
      <c r="AL80" s="11"/>
      <c r="AM80" s="11"/>
      <c r="AN80" s="339"/>
      <c r="AO80" s="339"/>
      <c r="AP80" s="339"/>
      <c r="AQ80" s="339"/>
      <c r="AR80" s="117"/>
      <c r="AS80" s="337"/>
      <c r="AT80" s="308"/>
    </row>
    <row r="81" spans="1:46" s="90" customFormat="1" ht="15.6" x14ac:dyDescent="0.25">
      <c r="A81" s="339"/>
      <c r="B81" s="367" t="s">
        <v>1770</v>
      </c>
      <c r="C81" s="367" t="s">
        <v>2104</v>
      </c>
      <c r="D81" s="339"/>
      <c r="E81" s="367" t="s">
        <v>2446</v>
      </c>
      <c r="F81" s="11" t="s">
        <v>1474</v>
      </c>
      <c r="G81" s="277" t="s">
        <v>1476</v>
      </c>
      <c r="H81" s="340"/>
      <c r="I81" s="340"/>
      <c r="J81" s="340"/>
      <c r="K81" s="340"/>
      <c r="L81" s="340"/>
      <c r="M81" s="340"/>
      <c r="N81" s="340"/>
      <c r="O81" s="340"/>
      <c r="P81" s="345">
        <f t="shared" si="5"/>
        <v>0</v>
      </c>
      <c r="Q81" s="339"/>
      <c r="R81" s="339"/>
      <c r="S81" s="339"/>
      <c r="T81" s="339"/>
      <c r="U81" s="339"/>
      <c r="V81" s="339"/>
      <c r="W81" s="277">
        <v>1</v>
      </c>
      <c r="X81" s="368">
        <v>43164</v>
      </c>
      <c r="Y81" s="346">
        <f t="shared" si="6"/>
        <v>1</v>
      </c>
      <c r="Z81" s="335"/>
      <c r="AA81" s="335"/>
      <c r="AB81" s="335"/>
      <c r="AC81" s="335"/>
      <c r="AD81" s="335"/>
      <c r="AE81" s="335"/>
      <c r="AF81" s="335"/>
      <c r="AG81" s="369"/>
      <c r="AH81" s="346">
        <f t="shared" si="4"/>
        <v>0</v>
      </c>
      <c r="AI81" s="335"/>
      <c r="AJ81" s="11" t="s">
        <v>2491</v>
      </c>
      <c r="AK81" s="339"/>
      <c r="AL81" s="11"/>
      <c r="AM81" s="11"/>
      <c r="AN81" s="339"/>
      <c r="AO81" s="339"/>
      <c r="AP81" s="339"/>
      <c r="AQ81" s="339"/>
      <c r="AR81" s="117"/>
      <c r="AS81" s="337"/>
      <c r="AT81" s="308"/>
    </row>
    <row r="82" spans="1:46" s="262" customFormat="1" x14ac:dyDescent="0.25">
      <c r="A82" s="277"/>
      <c r="B82" s="367" t="s">
        <v>1771</v>
      </c>
      <c r="C82" s="367" t="s">
        <v>2105</v>
      </c>
      <c r="D82" s="277"/>
      <c r="E82" s="367" t="s">
        <v>2447</v>
      </c>
      <c r="F82" s="11" t="s">
        <v>1474</v>
      </c>
      <c r="G82" s="277" t="s">
        <v>1476</v>
      </c>
      <c r="H82" s="276"/>
      <c r="I82" s="276"/>
      <c r="J82" s="276"/>
      <c r="K82" s="276"/>
      <c r="L82" s="276"/>
      <c r="M82" s="276"/>
      <c r="N82" s="276"/>
      <c r="O82" s="276"/>
      <c r="P82" s="345">
        <f t="shared" si="5"/>
        <v>0</v>
      </c>
      <c r="Q82" s="277"/>
      <c r="R82" s="277"/>
      <c r="S82" s="277"/>
      <c r="T82" s="277"/>
      <c r="U82" s="277"/>
      <c r="V82" s="277"/>
      <c r="W82" s="277">
        <v>1</v>
      </c>
      <c r="X82" s="368">
        <v>43164</v>
      </c>
      <c r="Y82" s="346">
        <f t="shared" si="6"/>
        <v>1</v>
      </c>
      <c r="Z82" s="165"/>
      <c r="AA82" s="165"/>
      <c r="AB82" s="165"/>
      <c r="AC82" s="165"/>
      <c r="AD82" s="165"/>
      <c r="AE82" s="165"/>
      <c r="AF82" s="165"/>
      <c r="AG82" s="369"/>
      <c r="AH82" s="346">
        <f t="shared" si="4"/>
        <v>0</v>
      </c>
      <c r="AI82" s="165"/>
      <c r="AJ82" s="11" t="s">
        <v>2491</v>
      </c>
      <c r="AK82" s="277"/>
      <c r="AL82" s="11"/>
      <c r="AM82" s="11"/>
      <c r="AN82" s="277"/>
      <c r="AO82" s="277"/>
      <c r="AP82" s="277"/>
      <c r="AQ82" s="277"/>
      <c r="AR82" s="338"/>
      <c r="AS82" s="275"/>
      <c r="AT82" s="306"/>
    </row>
    <row r="83" spans="1:46" s="262" customFormat="1" x14ac:dyDescent="0.25">
      <c r="A83" s="277"/>
      <c r="B83" s="367" t="s">
        <v>1772</v>
      </c>
      <c r="C83" s="367" t="s">
        <v>2106</v>
      </c>
      <c r="D83" s="277"/>
      <c r="E83" s="367" t="s">
        <v>2448</v>
      </c>
      <c r="F83" s="11" t="s">
        <v>1474</v>
      </c>
      <c r="G83" s="277" t="s">
        <v>1476</v>
      </c>
      <c r="H83" s="276"/>
      <c r="I83" s="276"/>
      <c r="J83" s="276"/>
      <c r="K83" s="276"/>
      <c r="L83" s="276"/>
      <c r="M83" s="276"/>
      <c r="N83" s="276"/>
      <c r="O83" s="276"/>
      <c r="P83" s="345">
        <f t="shared" si="5"/>
        <v>0</v>
      </c>
      <c r="Q83" s="277"/>
      <c r="R83" s="277"/>
      <c r="S83" s="277"/>
      <c r="T83" s="277"/>
      <c r="U83" s="277"/>
      <c r="V83" s="277"/>
      <c r="W83" s="277">
        <v>1</v>
      </c>
      <c r="X83" s="368">
        <v>43164</v>
      </c>
      <c r="Y83" s="346">
        <f t="shared" si="6"/>
        <v>1</v>
      </c>
      <c r="Z83" s="165"/>
      <c r="AA83" s="165"/>
      <c r="AB83" s="165"/>
      <c r="AC83" s="165"/>
      <c r="AD83" s="165"/>
      <c r="AE83" s="165"/>
      <c r="AF83" s="165"/>
      <c r="AG83" s="369"/>
      <c r="AH83" s="346">
        <f t="shared" si="4"/>
        <v>0</v>
      </c>
      <c r="AI83" s="165"/>
      <c r="AJ83" s="11" t="s">
        <v>2491</v>
      </c>
      <c r="AK83" s="277"/>
      <c r="AL83" s="11"/>
      <c r="AM83" s="11"/>
      <c r="AN83" s="277"/>
      <c r="AO83" s="277"/>
      <c r="AP83" s="277"/>
      <c r="AQ83" s="277"/>
      <c r="AR83" s="338"/>
      <c r="AS83" s="275"/>
      <c r="AT83" s="306"/>
    </row>
    <row r="84" spans="1:46" s="262" customFormat="1" x14ac:dyDescent="0.25">
      <c r="A84" s="277"/>
      <c r="B84" s="367" t="s">
        <v>1748</v>
      </c>
      <c r="C84" s="367" t="s">
        <v>2082</v>
      </c>
      <c r="D84" s="277"/>
      <c r="E84" s="367" t="s">
        <v>2424</v>
      </c>
      <c r="F84" s="11" t="s">
        <v>1474</v>
      </c>
      <c r="G84" s="277" t="s">
        <v>1476</v>
      </c>
      <c r="H84" s="276"/>
      <c r="I84" s="276"/>
      <c r="J84" s="276"/>
      <c r="K84" s="276"/>
      <c r="L84" s="276"/>
      <c r="M84" s="276"/>
      <c r="N84" s="276"/>
      <c r="O84" s="276"/>
      <c r="P84" s="345">
        <f t="shared" si="5"/>
        <v>0</v>
      </c>
      <c r="Q84" s="277"/>
      <c r="R84" s="277"/>
      <c r="S84" s="277"/>
      <c r="T84" s="277"/>
      <c r="U84" s="277"/>
      <c r="V84" s="277"/>
      <c r="W84" s="277">
        <v>1</v>
      </c>
      <c r="X84" s="368">
        <v>43167</v>
      </c>
      <c r="Y84" s="346">
        <f t="shared" si="6"/>
        <v>1</v>
      </c>
      <c r="Z84" s="165"/>
      <c r="AA84" s="165"/>
      <c r="AB84" s="165"/>
      <c r="AC84" s="165"/>
      <c r="AD84" s="165"/>
      <c r="AE84" s="165"/>
      <c r="AF84" s="165"/>
      <c r="AG84" s="369"/>
      <c r="AH84" s="346">
        <f t="shared" si="4"/>
        <v>0</v>
      </c>
      <c r="AI84" s="165"/>
      <c r="AJ84" s="11" t="s">
        <v>2491</v>
      </c>
      <c r="AK84" s="277"/>
      <c r="AL84" s="11"/>
      <c r="AM84" s="11"/>
      <c r="AN84" s="277"/>
      <c r="AO84" s="277"/>
      <c r="AP84" s="277"/>
      <c r="AQ84" s="277"/>
      <c r="AR84" s="338"/>
      <c r="AS84" s="275"/>
      <c r="AT84" s="306"/>
    </row>
    <row r="85" spans="1:46" s="262" customFormat="1" x14ac:dyDescent="0.25">
      <c r="A85" s="277"/>
      <c r="B85" s="367" t="s">
        <v>1749</v>
      </c>
      <c r="C85" s="367" t="s">
        <v>2083</v>
      </c>
      <c r="D85" s="277"/>
      <c r="E85" s="367" t="s">
        <v>2425</v>
      </c>
      <c r="F85" s="11" t="s">
        <v>1474</v>
      </c>
      <c r="G85" s="277" t="s">
        <v>1476</v>
      </c>
      <c r="H85" s="276"/>
      <c r="I85" s="276"/>
      <c r="J85" s="276"/>
      <c r="K85" s="276"/>
      <c r="L85" s="276"/>
      <c r="M85" s="276"/>
      <c r="N85" s="276"/>
      <c r="O85" s="276"/>
      <c r="P85" s="345">
        <f t="shared" si="5"/>
        <v>0</v>
      </c>
      <c r="Q85" s="277"/>
      <c r="R85" s="277"/>
      <c r="S85" s="277"/>
      <c r="T85" s="277"/>
      <c r="U85" s="277"/>
      <c r="V85" s="277"/>
      <c r="W85" s="277">
        <v>1</v>
      </c>
      <c r="X85" s="368">
        <v>43167</v>
      </c>
      <c r="Y85" s="346">
        <f t="shared" si="6"/>
        <v>1</v>
      </c>
      <c r="Z85" s="165"/>
      <c r="AA85" s="165"/>
      <c r="AB85" s="165"/>
      <c r="AC85" s="165"/>
      <c r="AD85" s="165"/>
      <c r="AE85" s="165"/>
      <c r="AF85" s="165"/>
      <c r="AG85" s="369"/>
      <c r="AH85" s="346">
        <f t="shared" si="4"/>
        <v>0</v>
      </c>
      <c r="AI85" s="165"/>
      <c r="AJ85" s="11" t="s">
        <v>2491</v>
      </c>
      <c r="AK85" s="277"/>
      <c r="AL85" s="11"/>
      <c r="AM85" s="11"/>
      <c r="AN85" s="277"/>
      <c r="AO85" s="277"/>
      <c r="AP85" s="277"/>
      <c r="AQ85" s="277"/>
      <c r="AR85" s="338"/>
      <c r="AS85" s="275"/>
      <c r="AT85" s="306"/>
    </row>
    <row r="86" spans="1:46" s="262" customFormat="1" x14ac:dyDescent="0.25">
      <c r="A86" s="277"/>
      <c r="B86" s="367" t="s">
        <v>1750</v>
      </c>
      <c r="C86" s="367" t="s">
        <v>2084</v>
      </c>
      <c r="D86" s="277"/>
      <c r="E86" s="367" t="s">
        <v>2426</v>
      </c>
      <c r="F86" s="11" t="s">
        <v>1474</v>
      </c>
      <c r="G86" s="277" t="s">
        <v>1476</v>
      </c>
      <c r="H86" s="276"/>
      <c r="I86" s="276"/>
      <c r="J86" s="276"/>
      <c r="K86" s="276"/>
      <c r="L86" s="276"/>
      <c r="M86" s="276"/>
      <c r="N86" s="276"/>
      <c r="O86" s="276"/>
      <c r="P86" s="345">
        <f t="shared" si="5"/>
        <v>0</v>
      </c>
      <c r="Q86" s="277"/>
      <c r="R86" s="277"/>
      <c r="S86" s="277"/>
      <c r="T86" s="277"/>
      <c r="U86" s="277"/>
      <c r="V86" s="277"/>
      <c r="W86" s="277">
        <v>1</v>
      </c>
      <c r="X86" s="368">
        <v>43167</v>
      </c>
      <c r="Y86" s="346">
        <f t="shared" si="6"/>
        <v>1</v>
      </c>
      <c r="Z86" s="165"/>
      <c r="AA86" s="165"/>
      <c r="AB86" s="165"/>
      <c r="AC86" s="165"/>
      <c r="AD86" s="165"/>
      <c r="AE86" s="165"/>
      <c r="AF86" s="165"/>
      <c r="AG86" s="369"/>
      <c r="AH86" s="346">
        <f t="shared" si="4"/>
        <v>0</v>
      </c>
      <c r="AI86" s="165"/>
      <c r="AJ86" s="11" t="s">
        <v>2491</v>
      </c>
      <c r="AK86" s="277"/>
      <c r="AL86" s="11"/>
      <c r="AM86" s="11"/>
      <c r="AN86" s="277"/>
      <c r="AO86" s="277"/>
      <c r="AP86" s="277"/>
      <c r="AQ86" s="277"/>
      <c r="AR86" s="338"/>
      <c r="AS86" s="275"/>
      <c r="AT86" s="306"/>
    </row>
    <row r="87" spans="1:46" s="262" customFormat="1" ht="26.4" x14ac:dyDescent="0.25">
      <c r="A87" s="277"/>
      <c r="B87" s="367" t="s">
        <v>1525</v>
      </c>
      <c r="C87" s="367" t="s">
        <v>1845</v>
      </c>
      <c r="D87" s="277"/>
      <c r="E87" s="367" t="s">
        <v>2187</v>
      </c>
      <c r="F87" s="11" t="s">
        <v>1474</v>
      </c>
      <c r="G87" s="277" t="s">
        <v>1476</v>
      </c>
      <c r="H87" s="276"/>
      <c r="I87" s="276"/>
      <c r="J87" s="276"/>
      <c r="K87" s="276"/>
      <c r="L87" s="276"/>
      <c r="M87" s="276"/>
      <c r="N87" s="276"/>
      <c r="O87" s="276"/>
      <c r="P87" s="345">
        <f t="shared" si="5"/>
        <v>0</v>
      </c>
      <c r="Q87" s="277"/>
      <c r="R87" s="277"/>
      <c r="S87" s="277"/>
      <c r="T87" s="277"/>
      <c r="U87" s="277"/>
      <c r="V87" s="277"/>
      <c r="W87" s="277">
        <v>1</v>
      </c>
      <c r="X87" s="368">
        <v>43180</v>
      </c>
      <c r="Y87" s="346">
        <f t="shared" si="6"/>
        <v>1</v>
      </c>
      <c r="Z87" s="165"/>
      <c r="AA87" s="165"/>
      <c r="AB87" s="165"/>
      <c r="AC87" s="165"/>
      <c r="AD87" s="165"/>
      <c r="AE87" s="165"/>
      <c r="AF87" s="165">
        <v>1</v>
      </c>
      <c r="AG87" s="368">
        <v>43425</v>
      </c>
      <c r="AH87" s="346">
        <f t="shared" si="4"/>
        <v>1</v>
      </c>
      <c r="AI87" s="165"/>
      <c r="AJ87" s="11" t="s">
        <v>2491</v>
      </c>
      <c r="AK87" s="277"/>
      <c r="AL87" s="11"/>
      <c r="AM87" s="11"/>
      <c r="AN87" s="277"/>
      <c r="AO87" s="277"/>
      <c r="AP87" s="277"/>
      <c r="AQ87" s="277"/>
      <c r="AR87" s="338"/>
      <c r="AS87" s="275"/>
      <c r="AT87" s="306"/>
    </row>
    <row r="88" spans="1:46" s="262" customFormat="1" ht="26.4" x14ac:dyDescent="0.25">
      <c r="A88" s="277"/>
      <c r="B88" s="367" t="s">
        <v>1526</v>
      </c>
      <c r="C88" s="367" t="s">
        <v>1846</v>
      </c>
      <c r="D88" s="277"/>
      <c r="E88" s="367" t="s">
        <v>2188</v>
      </c>
      <c r="F88" s="11" t="s">
        <v>1474</v>
      </c>
      <c r="G88" s="277" t="s">
        <v>1476</v>
      </c>
      <c r="H88" s="276"/>
      <c r="I88" s="276"/>
      <c r="J88" s="276"/>
      <c r="K88" s="276"/>
      <c r="L88" s="276"/>
      <c r="M88" s="276"/>
      <c r="N88" s="276"/>
      <c r="O88" s="276"/>
      <c r="P88" s="345">
        <f t="shared" si="5"/>
        <v>0</v>
      </c>
      <c r="Q88" s="277"/>
      <c r="R88" s="277"/>
      <c r="S88" s="277"/>
      <c r="T88" s="277"/>
      <c r="U88" s="277"/>
      <c r="V88" s="277"/>
      <c r="W88" s="277">
        <v>1</v>
      </c>
      <c r="X88" s="368">
        <v>43180</v>
      </c>
      <c r="Y88" s="346">
        <f t="shared" si="6"/>
        <v>1</v>
      </c>
      <c r="Z88" s="165"/>
      <c r="AA88" s="165"/>
      <c r="AB88" s="165"/>
      <c r="AC88" s="165"/>
      <c r="AD88" s="165"/>
      <c r="AE88" s="165"/>
      <c r="AF88" s="165">
        <v>1</v>
      </c>
      <c r="AG88" s="368">
        <v>43405</v>
      </c>
      <c r="AH88" s="346">
        <f t="shared" si="4"/>
        <v>1</v>
      </c>
      <c r="AI88" s="165"/>
      <c r="AJ88" s="11" t="s">
        <v>2491</v>
      </c>
      <c r="AK88" s="277"/>
      <c r="AL88" s="11"/>
      <c r="AM88" s="11"/>
      <c r="AN88" s="277"/>
      <c r="AO88" s="277"/>
      <c r="AP88" s="277"/>
      <c r="AQ88" s="277"/>
      <c r="AR88" s="338"/>
      <c r="AS88" s="275"/>
      <c r="AT88" s="306"/>
    </row>
    <row r="89" spans="1:46" s="262" customFormat="1" ht="26.4" x14ac:dyDescent="0.25">
      <c r="A89" s="277"/>
      <c r="B89" s="367" t="s">
        <v>1527</v>
      </c>
      <c r="C89" s="367" t="s">
        <v>1847</v>
      </c>
      <c r="D89" s="277"/>
      <c r="E89" s="367" t="s">
        <v>2189</v>
      </c>
      <c r="F89" s="11" t="s">
        <v>1474</v>
      </c>
      <c r="G89" s="277" t="s">
        <v>1476</v>
      </c>
      <c r="H89" s="276"/>
      <c r="I89" s="276"/>
      <c r="J89" s="276"/>
      <c r="K89" s="276"/>
      <c r="L89" s="276"/>
      <c r="M89" s="276"/>
      <c r="N89" s="276"/>
      <c r="O89" s="276"/>
      <c r="P89" s="345">
        <f t="shared" si="5"/>
        <v>0</v>
      </c>
      <c r="Q89" s="277"/>
      <c r="R89" s="277"/>
      <c r="S89" s="277"/>
      <c r="T89" s="277"/>
      <c r="U89" s="277"/>
      <c r="V89" s="277"/>
      <c r="W89" s="277">
        <v>1</v>
      </c>
      <c r="X89" s="368">
        <v>43180</v>
      </c>
      <c r="Y89" s="346">
        <f t="shared" si="6"/>
        <v>1</v>
      </c>
      <c r="Z89" s="165"/>
      <c r="AA89" s="165"/>
      <c r="AB89" s="165"/>
      <c r="AC89" s="165"/>
      <c r="AD89" s="165"/>
      <c r="AE89" s="165"/>
      <c r="AF89" s="165">
        <v>1</v>
      </c>
      <c r="AG89" s="368">
        <v>43418</v>
      </c>
      <c r="AH89" s="346">
        <f t="shared" si="4"/>
        <v>1</v>
      </c>
      <c r="AI89" s="165"/>
      <c r="AJ89" s="11" t="s">
        <v>2491</v>
      </c>
      <c r="AK89" s="277"/>
      <c r="AL89" s="11"/>
      <c r="AM89" s="11"/>
      <c r="AN89" s="277"/>
      <c r="AO89" s="277"/>
      <c r="AP89" s="277"/>
      <c r="AQ89" s="277"/>
      <c r="AR89" s="338"/>
      <c r="AS89" s="275"/>
      <c r="AT89" s="306"/>
    </row>
    <row r="90" spans="1:46" s="90" customFormat="1" ht="26.4" x14ac:dyDescent="0.25">
      <c r="A90" s="339"/>
      <c r="B90" s="367" t="s">
        <v>1528</v>
      </c>
      <c r="C90" s="367" t="s">
        <v>1848</v>
      </c>
      <c r="D90" s="339"/>
      <c r="E90" s="367" t="s">
        <v>2190</v>
      </c>
      <c r="F90" s="11" t="s">
        <v>1474</v>
      </c>
      <c r="G90" s="277" t="s">
        <v>1476</v>
      </c>
      <c r="H90" s="340"/>
      <c r="I90" s="340"/>
      <c r="J90" s="340"/>
      <c r="K90" s="340"/>
      <c r="L90" s="340"/>
      <c r="M90" s="340"/>
      <c r="N90" s="340"/>
      <c r="O90" s="340"/>
      <c r="P90" s="345">
        <f t="shared" si="5"/>
        <v>0</v>
      </c>
      <c r="Q90" s="339"/>
      <c r="R90" s="339"/>
      <c r="S90" s="339"/>
      <c r="T90" s="339"/>
      <c r="U90" s="339"/>
      <c r="V90" s="339"/>
      <c r="W90" s="277">
        <v>1</v>
      </c>
      <c r="X90" s="368">
        <v>43180</v>
      </c>
      <c r="Y90" s="346">
        <f t="shared" si="6"/>
        <v>1</v>
      </c>
      <c r="Z90" s="335"/>
      <c r="AA90" s="335"/>
      <c r="AB90" s="335"/>
      <c r="AC90" s="335"/>
      <c r="AD90" s="335"/>
      <c r="AE90" s="335"/>
      <c r="AF90" s="165">
        <v>1</v>
      </c>
      <c r="AG90" s="368">
        <v>43493</v>
      </c>
      <c r="AH90" s="346">
        <f t="shared" si="4"/>
        <v>1</v>
      </c>
      <c r="AI90" s="335"/>
      <c r="AJ90" s="11" t="s">
        <v>2491</v>
      </c>
      <c r="AK90" s="339"/>
      <c r="AL90" s="11"/>
      <c r="AM90" s="11"/>
      <c r="AN90" s="339"/>
      <c r="AO90" s="339"/>
      <c r="AP90" s="339"/>
      <c r="AQ90" s="339"/>
      <c r="AR90" s="117"/>
      <c r="AS90" s="337"/>
      <c r="AT90" s="308"/>
    </row>
    <row r="91" spans="1:46" s="90" customFormat="1" ht="15.6" x14ac:dyDescent="0.25">
      <c r="A91" s="339"/>
      <c r="B91" s="367" t="s">
        <v>1672</v>
      </c>
      <c r="C91" s="367" t="s">
        <v>1995</v>
      </c>
      <c r="D91" s="339"/>
      <c r="E91" s="367" t="s">
        <v>2337</v>
      </c>
      <c r="F91" s="11" t="s">
        <v>1474</v>
      </c>
      <c r="G91" s="277" t="s">
        <v>1476</v>
      </c>
      <c r="H91" s="340"/>
      <c r="I91" s="340"/>
      <c r="J91" s="340"/>
      <c r="K91" s="340"/>
      <c r="L91" s="340"/>
      <c r="M91" s="340"/>
      <c r="N91" s="340"/>
      <c r="O91" s="340"/>
      <c r="P91" s="345">
        <f t="shared" si="5"/>
        <v>0</v>
      </c>
      <c r="Q91" s="339"/>
      <c r="R91" s="339"/>
      <c r="S91" s="339"/>
      <c r="T91" s="339"/>
      <c r="U91" s="339"/>
      <c r="V91" s="339"/>
      <c r="W91" s="277">
        <v>1</v>
      </c>
      <c r="X91" s="368">
        <v>43182</v>
      </c>
      <c r="Y91" s="346">
        <f t="shared" si="6"/>
        <v>1</v>
      </c>
      <c r="Z91" s="335"/>
      <c r="AA91" s="335"/>
      <c r="AB91" s="335"/>
      <c r="AC91" s="335"/>
      <c r="AD91" s="335"/>
      <c r="AE91" s="335"/>
      <c r="AF91" s="165">
        <v>1</v>
      </c>
      <c r="AG91" s="368">
        <v>43475</v>
      </c>
      <c r="AH91" s="346">
        <f t="shared" si="4"/>
        <v>1</v>
      </c>
      <c r="AI91" s="335"/>
      <c r="AJ91" s="11" t="s">
        <v>2491</v>
      </c>
      <c r="AK91" s="339"/>
      <c r="AL91" s="11"/>
      <c r="AM91" s="11"/>
      <c r="AN91" s="339"/>
      <c r="AO91" s="339"/>
      <c r="AP91" s="339"/>
      <c r="AQ91" s="339"/>
      <c r="AR91" s="117"/>
      <c r="AS91" s="337"/>
      <c r="AT91" s="308"/>
    </row>
    <row r="92" spans="1:46" s="91" customFormat="1" ht="13.2" x14ac:dyDescent="0.25">
      <c r="A92" s="117"/>
      <c r="B92" s="367" t="s">
        <v>1673</v>
      </c>
      <c r="C92" s="367" t="s">
        <v>2005</v>
      </c>
      <c r="D92" s="117"/>
      <c r="E92" s="367" t="s">
        <v>2347</v>
      </c>
      <c r="F92" s="11" t="s">
        <v>1474</v>
      </c>
      <c r="G92" s="277" t="s">
        <v>1476</v>
      </c>
      <c r="H92" s="340"/>
      <c r="I92" s="340"/>
      <c r="J92" s="340"/>
      <c r="K92" s="340"/>
      <c r="L92" s="340"/>
      <c r="M92" s="340"/>
      <c r="N92" s="340"/>
      <c r="O92" s="340"/>
      <c r="P92" s="345">
        <f t="shared" si="5"/>
        <v>0</v>
      </c>
      <c r="Q92" s="117"/>
      <c r="R92" s="117"/>
      <c r="S92" s="117"/>
      <c r="T92" s="117"/>
      <c r="U92" s="117"/>
      <c r="V92" s="117"/>
      <c r="W92" s="277">
        <v>1</v>
      </c>
      <c r="X92" s="368">
        <v>43182</v>
      </c>
      <c r="Y92" s="346">
        <f t="shared" si="6"/>
        <v>1</v>
      </c>
      <c r="Z92" s="335"/>
      <c r="AA92" s="335"/>
      <c r="AB92" s="335"/>
      <c r="AC92" s="335"/>
      <c r="AD92" s="335"/>
      <c r="AE92" s="335"/>
      <c r="AF92" s="165">
        <v>1</v>
      </c>
      <c r="AG92" s="368">
        <v>43474</v>
      </c>
      <c r="AH92" s="346">
        <f t="shared" si="4"/>
        <v>1</v>
      </c>
      <c r="AI92" s="335"/>
      <c r="AJ92" s="11" t="s">
        <v>2491</v>
      </c>
      <c r="AK92" s="117"/>
      <c r="AL92" s="11"/>
      <c r="AM92" s="11"/>
      <c r="AN92" s="117"/>
      <c r="AO92" s="117"/>
      <c r="AP92" s="117"/>
      <c r="AQ92" s="117"/>
      <c r="AR92" s="117"/>
      <c r="AS92" s="337"/>
      <c r="AT92" s="309"/>
    </row>
    <row r="93" spans="1:46" s="91" customFormat="1" ht="13.2" x14ac:dyDescent="0.25">
      <c r="A93" s="117"/>
      <c r="B93" s="367" t="s">
        <v>1673</v>
      </c>
      <c r="C93" s="367" t="s">
        <v>2006</v>
      </c>
      <c r="D93" s="117"/>
      <c r="E93" s="367" t="s">
        <v>2348</v>
      </c>
      <c r="F93" s="11" t="s">
        <v>1474</v>
      </c>
      <c r="G93" s="277" t="s">
        <v>1476</v>
      </c>
      <c r="H93" s="340"/>
      <c r="I93" s="340"/>
      <c r="J93" s="340"/>
      <c r="K93" s="340"/>
      <c r="L93" s="340"/>
      <c r="M93" s="340"/>
      <c r="N93" s="340"/>
      <c r="O93" s="340"/>
      <c r="P93" s="345">
        <f t="shared" si="5"/>
        <v>0</v>
      </c>
      <c r="Q93" s="117"/>
      <c r="R93" s="117"/>
      <c r="S93" s="117"/>
      <c r="T93" s="117"/>
      <c r="U93" s="117"/>
      <c r="V93" s="117"/>
      <c r="W93" s="277">
        <v>1</v>
      </c>
      <c r="X93" s="368">
        <v>43182</v>
      </c>
      <c r="Y93" s="346">
        <f t="shared" si="6"/>
        <v>1</v>
      </c>
      <c r="Z93" s="335"/>
      <c r="AA93" s="335"/>
      <c r="AB93" s="335"/>
      <c r="AC93" s="335"/>
      <c r="AD93" s="335"/>
      <c r="AE93" s="335"/>
      <c r="AF93" s="165">
        <v>1</v>
      </c>
      <c r="AG93" s="368">
        <v>43434</v>
      </c>
      <c r="AH93" s="346">
        <f t="shared" si="4"/>
        <v>1</v>
      </c>
      <c r="AI93" s="335"/>
      <c r="AJ93" s="11" t="s">
        <v>2491</v>
      </c>
      <c r="AK93" s="117"/>
      <c r="AL93" s="11"/>
      <c r="AM93" s="11"/>
      <c r="AN93" s="117"/>
      <c r="AO93" s="117"/>
      <c r="AP93" s="117"/>
      <c r="AQ93" s="117"/>
      <c r="AR93" s="117"/>
      <c r="AS93" s="337"/>
      <c r="AT93" s="309"/>
    </row>
    <row r="94" spans="1:46" s="91" customFormat="1" ht="26.4" x14ac:dyDescent="0.25">
      <c r="A94" s="117"/>
      <c r="B94" s="367" t="s">
        <v>1673</v>
      </c>
      <c r="C94" s="367" t="s">
        <v>2007</v>
      </c>
      <c r="D94" s="117"/>
      <c r="E94" s="367" t="s">
        <v>2349</v>
      </c>
      <c r="F94" s="11" t="s">
        <v>1474</v>
      </c>
      <c r="G94" s="277" t="s">
        <v>1476</v>
      </c>
      <c r="H94" s="340"/>
      <c r="I94" s="340"/>
      <c r="J94" s="340"/>
      <c r="K94" s="340"/>
      <c r="L94" s="340"/>
      <c r="M94" s="340"/>
      <c r="N94" s="340"/>
      <c r="O94" s="340"/>
      <c r="P94" s="345">
        <f t="shared" si="5"/>
        <v>0</v>
      </c>
      <c r="Q94" s="117"/>
      <c r="R94" s="117"/>
      <c r="S94" s="117"/>
      <c r="T94" s="117"/>
      <c r="U94" s="117"/>
      <c r="V94" s="117"/>
      <c r="W94" s="277">
        <v>1</v>
      </c>
      <c r="X94" s="368">
        <v>43182</v>
      </c>
      <c r="Y94" s="346">
        <f t="shared" si="6"/>
        <v>1</v>
      </c>
      <c r="Z94" s="335"/>
      <c r="AA94" s="335"/>
      <c r="AB94" s="335"/>
      <c r="AC94" s="335"/>
      <c r="AD94" s="335"/>
      <c r="AE94" s="335"/>
      <c r="AF94" s="165">
        <v>1</v>
      </c>
      <c r="AG94" s="368">
        <v>43405</v>
      </c>
      <c r="AH94" s="346">
        <f t="shared" si="4"/>
        <v>1</v>
      </c>
      <c r="AI94" s="335"/>
      <c r="AJ94" s="11" t="s">
        <v>2491</v>
      </c>
      <c r="AK94" s="117"/>
      <c r="AL94" s="11"/>
      <c r="AM94" s="11"/>
      <c r="AN94" s="117"/>
      <c r="AO94" s="117"/>
      <c r="AP94" s="117"/>
      <c r="AQ94" s="117"/>
      <c r="AR94" s="117"/>
      <c r="AS94" s="337"/>
      <c r="AT94" s="309"/>
    </row>
    <row r="95" spans="1:46" s="262" customFormat="1" ht="26.4" x14ac:dyDescent="0.25">
      <c r="A95" s="277"/>
      <c r="B95" s="367" t="s">
        <v>1674</v>
      </c>
      <c r="C95" s="367" t="s">
        <v>2008</v>
      </c>
      <c r="D95" s="277"/>
      <c r="E95" s="367" t="s">
        <v>2350</v>
      </c>
      <c r="F95" s="11" t="s">
        <v>1474</v>
      </c>
      <c r="G95" s="277" t="s">
        <v>1476</v>
      </c>
      <c r="H95" s="276"/>
      <c r="I95" s="276"/>
      <c r="J95" s="276"/>
      <c r="K95" s="276"/>
      <c r="L95" s="276"/>
      <c r="M95" s="276"/>
      <c r="N95" s="276"/>
      <c r="O95" s="276"/>
      <c r="P95" s="345">
        <f t="shared" si="5"/>
        <v>0</v>
      </c>
      <c r="Q95" s="277"/>
      <c r="R95" s="277"/>
      <c r="S95" s="277"/>
      <c r="T95" s="277"/>
      <c r="U95" s="277"/>
      <c r="V95" s="277"/>
      <c r="W95" s="277">
        <v>1</v>
      </c>
      <c r="X95" s="368">
        <v>43182</v>
      </c>
      <c r="Y95" s="346">
        <f t="shared" si="6"/>
        <v>1</v>
      </c>
      <c r="Z95" s="165"/>
      <c r="AA95" s="165"/>
      <c r="AB95" s="165"/>
      <c r="AC95" s="165"/>
      <c r="AD95" s="165"/>
      <c r="AE95" s="165"/>
      <c r="AF95" s="165">
        <v>1</v>
      </c>
      <c r="AG95" s="368">
        <v>43405</v>
      </c>
      <c r="AH95" s="346">
        <f t="shared" si="4"/>
        <v>1</v>
      </c>
      <c r="AI95" s="165"/>
      <c r="AJ95" s="11" t="s">
        <v>2491</v>
      </c>
      <c r="AK95" s="277"/>
      <c r="AL95" s="11"/>
      <c r="AM95" s="11"/>
      <c r="AN95" s="277"/>
      <c r="AO95" s="277"/>
      <c r="AP95" s="277"/>
      <c r="AQ95" s="277"/>
      <c r="AR95" s="338"/>
      <c r="AS95" s="275"/>
      <c r="AT95" s="306"/>
    </row>
    <row r="96" spans="1:46" s="262" customFormat="1" ht="26.4" x14ac:dyDescent="0.25">
      <c r="A96" s="277"/>
      <c r="B96" s="367" t="s">
        <v>1675</v>
      </c>
      <c r="C96" s="367" t="s">
        <v>2009</v>
      </c>
      <c r="D96" s="277"/>
      <c r="E96" s="367" t="s">
        <v>2351</v>
      </c>
      <c r="F96" s="11" t="s">
        <v>1474</v>
      </c>
      <c r="G96" s="277" t="s">
        <v>1476</v>
      </c>
      <c r="H96" s="276"/>
      <c r="I96" s="276"/>
      <c r="J96" s="276"/>
      <c r="K96" s="276"/>
      <c r="L96" s="276"/>
      <c r="M96" s="276"/>
      <c r="N96" s="276"/>
      <c r="O96" s="276"/>
      <c r="P96" s="345">
        <f t="shared" si="5"/>
        <v>0</v>
      </c>
      <c r="Q96" s="277"/>
      <c r="R96" s="277"/>
      <c r="S96" s="277"/>
      <c r="T96" s="277"/>
      <c r="U96" s="277"/>
      <c r="V96" s="277"/>
      <c r="W96" s="277">
        <v>1</v>
      </c>
      <c r="X96" s="368">
        <v>43182</v>
      </c>
      <c r="Y96" s="346">
        <f t="shared" si="6"/>
        <v>1</v>
      </c>
      <c r="Z96" s="165"/>
      <c r="AA96" s="165"/>
      <c r="AB96" s="165"/>
      <c r="AC96" s="165"/>
      <c r="AD96" s="165"/>
      <c r="AE96" s="165"/>
      <c r="AF96" s="165">
        <v>1</v>
      </c>
      <c r="AG96" s="368">
        <v>43405</v>
      </c>
      <c r="AH96" s="346">
        <f t="shared" si="4"/>
        <v>1</v>
      </c>
      <c r="AI96" s="165"/>
      <c r="AJ96" s="11" t="s">
        <v>2491</v>
      </c>
      <c r="AK96" s="277"/>
      <c r="AL96" s="11"/>
      <c r="AM96" s="11"/>
      <c r="AN96" s="277"/>
      <c r="AO96" s="277"/>
      <c r="AP96" s="277"/>
      <c r="AQ96" s="277"/>
      <c r="AR96" s="338"/>
      <c r="AS96" s="275"/>
      <c r="AT96" s="306"/>
    </row>
    <row r="97" spans="1:46" s="262" customFormat="1" ht="26.4" x14ac:dyDescent="0.25">
      <c r="A97" s="277"/>
      <c r="B97" s="367" t="s">
        <v>1696</v>
      </c>
      <c r="C97" s="367" t="s">
        <v>2030</v>
      </c>
      <c r="D97" s="277"/>
      <c r="E97" s="367" t="s">
        <v>2372</v>
      </c>
      <c r="F97" s="11" t="s">
        <v>1474</v>
      </c>
      <c r="G97" s="277" t="s">
        <v>1476</v>
      </c>
      <c r="H97" s="276"/>
      <c r="I97" s="276"/>
      <c r="J97" s="276"/>
      <c r="K97" s="276"/>
      <c r="L97" s="276"/>
      <c r="M97" s="276"/>
      <c r="N97" s="276"/>
      <c r="O97" s="276"/>
      <c r="P97" s="345">
        <f t="shared" si="5"/>
        <v>0</v>
      </c>
      <c r="Q97" s="277"/>
      <c r="R97" s="277"/>
      <c r="S97" s="277"/>
      <c r="T97" s="277"/>
      <c r="U97" s="277"/>
      <c r="V97" s="277"/>
      <c r="W97" s="277">
        <v>1</v>
      </c>
      <c r="X97" s="368">
        <v>43182</v>
      </c>
      <c r="Y97" s="346">
        <f t="shared" si="6"/>
        <v>1</v>
      </c>
      <c r="Z97" s="165"/>
      <c r="AA97" s="165"/>
      <c r="AB97" s="165"/>
      <c r="AC97" s="165"/>
      <c r="AD97" s="165"/>
      <c r="AE97" s="165"/>
      <c r="AF97" s="165">
        <v>1</v>
      </c>
      <c r="AG97" s="368">
        <v>43433</v>
      </c>
      <c r="AH97" s="346">
        <f t="shared" ref="AH97:AH160" si="7">SUM(Z97:AF97)</f>
        <v>1</v>
      </c>
      <c r="AI97" s="165"/>
      <c r="AJ97" s="11" t="s">
        <v>2491</v>
      </c>
      <c r="AK97" s="277"/>
      <c r="AL97" s="11"/>
      <c r="AM97" s="11"/>
      <c r="AN97" s="277"/>
      <c r="AO97" s="277"/>
      <c r="AP97" s="277"/>
      <c r="AQ97" s="277"/>
      <c r="AR97" s="338"/>
      <c r="AS97" s="275"/>
      <c r="AT97" s="306"/>
    </row>
    <row r="98" spans="1:46" s="262" customFormat="1" x14ac:dyDescent="0.25">
      <c r="A98" s="277"/>
      <c r="B98" s="367" t="s">
        <v>1673</v>
      </c>
      <c r="C98" s="367" t="s">
        <v>2131</v>
      </c>
      <c r="D98" s="277"/>
      <c r="E98" s="367" t="s">
        <v>2473</v>
      </c>
      <c r="F98" s="11" t="s">
        <v>1474</v>
      </c>
      <c r="G98" s="277" t="s">
        <v>1476</v>
      </c>
      <c r="H98" s="276"/>
      <c r="I98" s="276"/>
      <c r="J98" s="276"/>
      <c r="K98" s="276"/>
      <c r="L98" s="276"/>
      <c r="M98" s="276"/>
      <c r="N98" s="276"/>
      <c r="O98" s="276"/>
      <c r="P98" s="345">
        <f t="shared" si="5"/>
        <v>0</v>
      </c>
      <c r="Q98" s="277"/>
      <c r="R98" s="277"/>
      <c r="S98" s="277"/>
      <c r="T98" s="277"/>
      <c r="U98" s="277"/>
      <c r="V98" s="277"/>
      <c r="W98" s="277">
        <v>1</v>
      </c>
      <c r="X98" s="368">
        <v>43182</v>
      </c>
      <c r="Y98" s="346">
        <f t="shared" si="6"/>
        <v>1</v>
      </c>
      <c r="Z98" s="165"/>
      <c r="AA98" s="165"/>
      <c r="AB98" s="165"/>
      <c r="AC98" s="165"/>
      <c r="AD98" s="165"/>
      <c r="AE98" s="165"/>
      <c r="AF98" s="165"/>
      <c r="AG98" s="369"/>
      <c r="AH98" s="346">
        <f t="shared" si="7"/>
        <v>0</v>
      </c>
      <c r="AI98" s="165"/>
      <c r="AJ98" s="11" t="s">
        <v>2491</v>
      </c>
      <c r="AK98" s="277"/>
      <c r="AL98" s="11"/>
      <c r="AM98" s="11"/>
      <c r="AN98" s="277"/>
      <c r="AO98" s="277"/>
      <c r="AP98" s="277"/>
      <c r="AQ98" s="277"/>
      <c r="AR98" s="338"/>
      <c r="AS98" s="275"/>
      <c r="AT98" s="306"/>
    </row>
    <row r="99" spans="1:46" s="262" customFormat="1" x14ac:dyDescent="0.25">
      <c r="A99" s="277"/>
      <c r="B99" s="367" t="s">
        <v>1671</v>
      </c>
      <c r="C99" s="367" t="s">
        <v>1994</v>
      </c>
      <c r="D99" s="277"/>
      <c r="E99" s="367" t="s">
        <v>2336</v>
      </c>
      <c r="F99" s="11" t="s">
        <v>1474</v>
      </c>
      <c r="G99" s="277" t="s">
        <v>1476</v>
      </c>
      <c r="H99" s="276"/>
      <c r="I99" s="276"/>
      <c r="J99" s="276"/>
      <c r="K99" s="276"/>
      <c r="L99" s="276"/>
      <c r="M99" s="276"/>
      <c r="N99" s="276"/>
      <c r="O99" s="276"/>
      <c r="P99" s="345">
        <f t="shared" si="5"/>
        <v>0</v>
      </c>
      <c r="Q99" s="277"/>
      <c r="R99" s="277"/>
      <c r="S99" s="277"/>
      <c r="T99" s="277"/>
      <c r="U99" s="277"/>
      <c r="V99" s="277"/>
      <c r="W99" s="277">
        <v>1</v>
      </c>
      <c r="X99" s="368">
        <v>43185</v>
      </c>
      <c r="Y99" s="346">
        <f t="shared" si="6"/>
        <v>1</v>
      </c>
      <c r="Z99" s="165"/>
      <c r="AA99" s="165"/>
      <c r="AB99" s="165"/>
      <c r="AC99" s="165"/>
      <c r="AD99" s="165"/>
      <c r="AE99" s="165"/>
      <c r="AF99" s="165">
        <v>1</v>
      </c>
      <c r="AG99" s="368">
        <v>43446</v>
      </c>
      <c r="AH99" s="346">
        <f t="shared" si="7"/>
        <v>1</v>
      </c>
      <c r="AI99" s="165"/>
      <c r="AJ99" s="11" t="s">
        <v>2491</v>
      </c>
      <c r="AK99" s="277"/>
      <c r="AL99" s="11"/>
      <c r="AM99" s="11"/>
      <c r="AN99" s="277"/>
      <c r="AO99" s="277"/>
      <c r="AP99" s="277"/>
      <c r="AQ99" s="277"/>
      <c r="AR99" s="338"/>
      <c r="AS99" s="275"/>
      <c r="AT99" s="306"/>
    </row>
    <row r="100" spans="1:46" s="262" customFormat="1" x14ac:dyDescent="0.25">
      <c r="A100" s="277"/>
      <c r="B100" s="367" t="s">
        <v>1671</v>
      </c>
      <c r="C100" s="367" t="s">
        <v>1994</v>
      </c>
      <c r="D100" s="277"/>
      <c r="E100" s="367" t="s">
        <v>2336</v>
      </c>
      <c r="F100" s="11" t="s">
        <v>1474</v>
      </c>
      <c r="G100" s="277" t="s">
        <v>1476</v>
      </c>
      <c r="H100" s="276"/>
      <c r="I100" s="276"/>
      <c r="J100" s="276"/>
      <c r="K100" s="276"/>
      <c r="L100" s="276"/>
      <c r="M100" s="276"/>
      <c r="N100" s="276"/>
      <c r="O100" s="276"/>
      <c r="P100" s="345">
        <f t="shared" si="5"/>
        <v>0</v>
      </c>
      <c r="Q100" s="277"/>
      <c r="R100" s="277"/>
      <c r="S100" s="277"/>
      <c r="T100" s="277"/>
      <c r="U100" s="277"/>
      <c r="V100" s="277"/>
      <c r="W100" s="277">
        <v>1</v>
      </c>
      <c r="X100" s="368">
        <v>43185</v>
      </c>
      <c r="Y100" s="346">
        <f t="shared" si="6"/>
        <v>1</v>
      </c>
      <c r="Z100" s="165"/>
      <c r="AA100" s="165"/>
      <c r="AB100" s="165"/>
      <c r="AC100" s="165"/>
      <c r="AD100" s="165"/>
      <c r="AE100" s="165"/>
      <c r="AF100" s="165">
        <v>1</v>
      </c>
      <c r="AG100" s="368">
        <v>43446</v>
      </c>
      <c r="AH100" s="346">
        <f t="shared" si="7"/>
        <v>1</v>
      </c>
      <c r="AI100" s="165"/>
      <c r="AJ100" s="11" t="s">
        <v>2491</v>
      </c>
      <c r="AK100" s="277"/>
      <c r="AL100" s="11"/>
      <c r="AM100" s="11"/>
      <c r="AN100" s="277"/>
      <c r="AO100" s="277"/>
      <c r="AP100" s="277"/>
      <c r="AQ100" s="277"/>
      <c r="AR100" s="338"/>
      <c r="AS100" s="275"/>
      <c r="AT100" s="306"/>
    </row>
    <row r="101" spans="1:46" s="262" customFormat="1" x14ac:dyDescent="0.25">
      <c r="A101" s="277"/>
      <c r="B101" s="367" t="s">
        <v>1787</v>
      </c>
      <c r="C101" s="367" t="s">
        <v>2121</v>
      </c>
      <c r="D101" s="277"/>
      <c r="E101" s="367" t="s">
        <v>2463</v>
      </c>
      <c r="F101" s="11" t="s">
        <v>1474</v>
      </c>
      <c r="G101" s="277" t="s">
        <v>1476</v>
      </c>
      <c r="H101" s="276"/>
      <c r="I101" s="276"/>
      <c r="J101" s="276"/>
      <c r="K101" s="276"/>
      <c r="L101" s="276"/>
      <c r="M101" s="276"/>
      <c r="N101" s="276"/>
      <c r="O101" s="276"/>
      <c r="P101" s="345">
        <f t="shared" si="5"/>
        <v>0</v>
      </c>
      <c r="Q101" s="277"/>
      <c r="R101" s="277"/>
      <c r="S101" s="277"/>
      <c r="T101" s="277"/>
      <c r="U101" s="277"/>
      <c r="V101" s="277"/>
      <c r="W101" s="277">
        <v>1</v>
      </c>
      <c r="X101" s="368">
        <v>43185</v>
      </c>
      <c r="Y101" s="346">
        <f t="shared" si="6"/>
        <v>1</v>
      </c>
      <c r="Z101" s="165"/>
      <c r="AA101" s="165"/>
      <c r="AB101" s="165"/>
      <c r="AC101" s="165"/>
      <c r="AD101" s="165"/>
      <c r="AE101" s="165"/>
      <c r="AF101" s="165"/>
      <c r="AG101" s="369"/>
      <c r="AH101" s="346">
        <f t="shared" si="7"/>
        <v>0</v>
      </c>
      <c r="AI101" s="165"/>
      <c r="AJ101" s="11" t="s">
        <v>2491</v>
      </c>
      <c r="AK101" s="277"/>
      <c r="AL101" s="11"/>
      <c r="AM101" s="11"/>
      <c r="AN101" s="277"/>
      <c r="AO101" s="277"/>
      <c r="AP101" s="277"/>
      <c r="AQ101" s="277"/>
      <c r="AR101" s="338"/>
      <c r="AS101" s="275"/>
      <c r="AT101" s="306"/>
    </row>
    <row r="102" spans="1:46" s="262" customFormat="1" x14ac:dyDescent="0.25">
      <c r="A102" s="277"/>
      <c r="B102" s="367" t="s">
        <v>1788</v>
      </c>
      <c r="C102" s="367" t="s">
        <v>2122</v>
      </c>
      <c r="D102" s="277"/>
      <c r="E102" s="367" t="s">
        <v>2464</v>
      </c>
      <c r="F102" s="11" t="s">
        <v>1474</v>
      </c>
      <c r="G102" s="277" t="s">
        <v>1476</v>
      </c>
      <c r="H102" s="276"/>
      <c r="I102" s="276"/>
      <c r="J102" s="276"/>
      <c r="K102" s="276"/>
      <c r="L102" s="276"/>
      <c r="M102" s="276"/>
      <c r="N102" s="276"/>
      <c r="O102" s="276"/>
      <c r="P102" s="345">
        <f t="shared" si="5"/>
        <v>0</v>
      </c>
      <c r="Q102" s="277"/>
      <c r="R102" s="277"/>
      <c r="S102" s="277"/>
      <c r="T102" s="277"/>
      <c r="U102" s="277"/>
      <c r="V102" s="277"/>
      <c r="W102" s="277">
        <v>1</v>
      </c>
      <c r="X102" s="368">
        <v>43185</v>
      </c>
      <c r="Y102" s="346">
        <f t="shared" si="6"/>
        <v>1</v>
      </c>
      <c r="Z102" s="165"/>
      <c r="AA102" s="165"/>
      <c r="AB102" s="165"/>
      <c r="AC102" s="165"/>
      <c r="AD102" s="165"/>
      <c r="AE102" s="165"/>
      <c r="AF102" s="165"/>
      <c r="AG102" s="369"/>
      <c r="AH102" s="346">
        <f t="shared" si="7"/>
        <v>0</v>
      </c>
      <c r="AI102" s="165"/>
      <c r="AJ102" s="11" t="s">
        <v>2491</v>
      </c>
      <c r="AK102" s="277"/>
      <c r="AL102" s="11"/>
      <c r="AM102" s="11"/>
      <c r="AN102" s="277"/>
      <c r="AO102" s="277"/>
      <c r="AP102" s="277"/>
      <c r="AQ102" s="277"/>
      <c r="AR102" s="338"/>
      <c r="AS102" s="275"/>
      <c r="AT102" s="306"/>
    </row>
    <row r="103" spans="1:46" s="262" customFormat="1" x14ac:dyDescent="0.25">
      <c r="A103" s="277"/>
      <c r="B103" s="367" t="s">
        <v>1697</v>
      </c>
      <c r="C103" s="367" t="s">
        <v>2031</v>
      </c>
      <c r="D103" s="277"/>
      <c r="E103" s="367" t="s">
        <v>2373</v>
      </c>
      <c r="F103" s="11" t="s">
        <v>1474</v>
      </c>
      <c r="G103" s="277" t="s">
        <v>1476</v>
      </c>
      <c r="H103" s="276"/>
      <c r="I103" s="276"/>
      <c r="J103" s="276"/>
      <c r="K103" s="276"/>
      <c r="L103" s="276"/>
      <c r="M103" s="276"/>
      <c r="N103" s="276"/>
      <c r="O103" s="276"/>
      <c r="P103" s="345">
        <f t="shared" si="5"/>
        <v>0</v>
      </c>
      <c r="Q103" s="277"/>
      <c r="R103" s="277"/>
      <c r="S103" s="277"/>
      <c r="T103" s="277"/>
      <c r="U103" s="277"/>
      <c r="V103" s="277"/>
      <c r="W103" s="277">
        <v>1</v>
      </c>
      <c r="X103" s="368">
        <v>43186</v>
      </c>
      <c r="Y103" s="346">
        <f t="shared" si="6"/>
        <v>1</v>
      </c>
      <c r="Z103" s="165"/>
      <c r="AA103" s="165"/>
      <c r="AB103" s="165"/>
      <c r="AC103" s="165"/>
      <c r="AD103" s="165"/>
      <c r="AE103" s="165"/>
      <c r="AF103" s="165">
        <v>1</v>
      </c>
      <c r="AG103" s="368">
        <v>43488</v>
      </c>
      <c r="AH103" s="346">
        <f t="shared" si="7"/>
        <v>1</v>
      </c>
      <c r="AI103" s="165"/>
      <c r="AJ103" s="11" t="s">
        <v>2491</v>
      </c>
      <c r="AK103" s="277"/>
      <c r="AL103" s="11"/>
      <c r="AM103" s="11"/>
      <c r="AN103" s="277"/>
      <c r="AO103" s="277"/>
      <c r="AP103" s="277"/>
      <c r="AQ103" s="277"/>
      <c r="AR103" s="338"/>
      <c r="AS103" s="275"/>
      <c r="AT103" s="306"/>
    </row>
    <row r="104" spans="1:46" s="262" customFormat="1" x14ac:dyDescent="0.25">
      <c r="A104" s="277"/>
      <c r="B104" s="367" t="s">
        <v>1789</v>
      </c>
      <c r="C104" s="367" t="s">
        <v>2123</v>
      </c>
      <c r="D104" s="277"/>
      <c r="E104" s="367" t="s">
        <v>2465</v>
      </c>
      <c r="F104" s="11" t="s">
        <v>1474</v>
      </c>
      <c r="G104" s="277" t="s">
        <v>1476</v>
      </c>
      <c r="H104" s="276"/>
      <c r="I104" s="276"/>
      <c r="J104" s="276"/>
      <c r="K104" s="276"/>
      <c r="L104" s="276"/>
      <c r="M104" s="276"/>
      <c r="N104" s="276"/>
      <c r="O104" s="276"/>
      <c r="P104" s="345">
        <f t="shared" si="5"/>
        <v>0</v>
      </c>
      <c r="Q104" s="277"/>
      <c r="R104" s="277"/>
      <c r="S104" s="277"/>
      <c r="T104" s="277"/>
      <c r="U104" s="277"/>
      <c r="V104" s="277"/>
      <c r="W104" s="277">
        <v>1</v>
      </c>
      <c r="X104" s="368">
        <v>43186</v>
      </c>
      <c r="Y104" s="346">
        <f t="shared" si="6"/>
        <v>1</v>
      </c>
      <c r="Z104" s="165"/>
      <c r="AA104" s="165"/>
      <c r="AB104" s="165"/>
      <c r="AC104" s="165"/>
      <c r="AD104" s="165"/>
      <c r="AE104" s="165"/>
      <c r="AF104" s="165"/>
      <c r="AG104" s="369"/>
      <c r="AH104" s="346">
        <f t="shared" si="7"/>
        <v>0</v>
      </c>
      <c r="AI104" s="165"/>
      <c r="AJ104" s="11" t="s">
        <v>2491</v>
      </c>
      <c r="AK104" s="277"/>
      <c r="AL104" s="11"/>
      <c r="AM104" s="11"/>
      <c r="AN104" s="277"/>
      <c r="AO104" s="277"/>
      <c r="AP104" s="277"/>
      <c r="AQ104" s="277"/>
      <c r="AR104" s="338"/>
      <c r="AS104" s="275"/>
      <c r="AT104" s="306"/>
    </row>
    <row r="105" spans="1:46" s="90" customFormat="1" ht="15.6" x14ac:dyDescent="0.25">
      <c r="A105" s="339"/>
      <c r="B105" s="367" t="s">
        <v>1794</v>
      </c>
      <c r="C105" s="367" t="s">
        <v>2136</v>
      </c>
      <c r="D105" s="339"/>
      <c r="E105" s="367" t="s">
        <v>2478</v>
      </c>
      <c r="F105" s="11" t="s">
        <v>1474</v>
      </c>
      <c r="G105" s="277" t="s">
        <v>1476</v>
      </c>
      <c r="H105" s="340"/>
      <c r="I105" s="340"/>
      <c r="J105" s="340"/>
      <c r="K105" s="340"/>
      <c r="L105" s="340"/>
      <c r="M105" s="340"/>
      <c r="N105" s="340"/>
      <c r="O105" s="340"/>
      <c r="P105" s="345">
        <f t="shared" si="5"/>
        <v>0</v>
      </c>
      <c r="Q105" s="339"/>
      <c r="R105" s="339"/>
      <c r="S105" s="339"/>
      <c r="T105" s="339"/>
      <c r="U105" s="339"/>
      <c r="V105" s="339"/>
      <c r="W105" s="277">
        <v>1</v>
      </c>
      <c r="X105" s="368">
        <v>43186</v>
      </c>
      <c r="Y105" s="346">
        <f t="shared" si="6"/>
        <v>1</v>
      </c>
      <c r="Z105" s="335"/>
      <c r="AA105" s="335"/>
      <c r="AB105" s="335"/>
      <c r="AC105" s="335"/>
      <c r="AD105" s="335"/>
      <c r="AE105" s="335"/>
      <c r="AF105" s="335"/>
      <c r="AG105" s="369"/>
      <c r="AH105" s="346">
        <f t="shared" si="7"/>
        <v>0</v>
      </c>
      <c r="AI105" s="335"/>
      <c r="AJ105" s="11" t="s">
        <v>2491</v>
      </c>
      <c r="AK105" s="339"/>
      <c r="AL105" s="11"/>
      <c r="AM105" s="11"/>
      <c r="AN105" s="339"/>
      <c r="AO105" s="339"/>
      <c r="AP105" s="339"/>
      <c r="AQ105" s="339"/>
      <c r="AR105" s="117"/>
      <c r="AS105" s="337"/>
      <c r="AT105" s="308"/>
    </row>
    <row r="106" spans="1:46" s="90" customFormat="1" ht="26.4" x14ac:dyDescent="0.25">
      <c r="A106" s="339"/>
      <c r="B106" s="367" t="s">
        <v>1729</v>
      </c>
      <c r="C106" s="367" t="s">
        <v>2063</v>
      </c>
      <c r="D106" s="339"/>
      <c r="E106" s="367" t="s">
        <v>2405</v>
      </c>
      <c r="F106" s="11" t="s">
        <v>1474</v>
      </c>
      <c r="G106" s="277" t="s">
        <v>1476</v>
      </c>
      <c r="H106" s="340"/>
      <c r="I106" s="340"/>
      <c r="J106" s="340"/>
      <c r="K106" s="340"/>
      <c r="L106" s="340"/>
      <c r="M106" s="340"/>
      <c r="N106" s="340"/>
      <c r="O106" s="340"/>
      <c r="P106" s="345">
        <f t="shared" si="5"/>
        <v>0</v>
      </c>
      <c r="Q106" s="339"/>
      <c r="R106" s="339"/>
      <c r="S106" s="339"/>
      <c r="T106" s="339"/>
      <c r="U106" s="339"/>
      <c r="V106" s="339"/>
      <c r="W106" s="277">
        <v>1</v>
      </c>
      <c r="X106" s="368">
        <v>43199</v>
      </c>
      <c r="Y106" s="346">
        <f t="shared" si="6"/>
        <v>1</v>
      </c>
      <c r="Z106" s="335"/>
      <c r="AA106" s="335"/>
      <c r="AB106" s="335"/>
      <c r="AC106" s="335"/>
      <c r="AD106" s="335"/>
      <c r="AE106" s="335"/>
      <c r="AF106" s="335"/>
      <c r="AG106" s="369"/>
      <c r="AH106" s="346">
        <f t="shared" si="7"/>
        <v>0</v>
      </c>
      <c r="AI106" s="335"/>
      <c r="AJ106" s="11" t="s">
        <v>2491</v>
      </c>
      <c r="AK106" s="339"/>
      <c r="AL106" s="11"/>
      <c r="AM106" s="11"/>
      <c r="AN106" s="339"/>
      <c r="AO106" s="339"/>
      <c r="AP106" s="339"/>
      <c r="AQ106" s="339"/>
      <c r="AR106" s="117"/>
      <c r="AS106" s="337"/>
      <c r="AT106" s="308"/>
    </row>
    <row r="107" spans="1:46" s="262" customFormat="1" x14ac:dyDescent="0.25">
      <c r="A107" s="277"/>
      <c r="B107" s="367" t="s">
        <v>1673</v>
      </c>
      <c r="C107" s="367" t="s">
        <v>1996</v>
      </c>
      <c r="D107" s="277"/>
      <c r="E107" s="367" t="s">
        <v>2338</v>
      </c>
      <c r="F107" s="11" t="s">
        <v>1474</v>
      </c>
      <c r="G107" s="277" t="s">
        <v>1476</v>
      </c>
      <c r="H107" s="276"/>
      <c r="I107" s="276"/>
      <c r="J107" s="276"/>
      <c r="K107" s="276"/>
      <c r="L107" s="276"/>
      <c r="M107" s="276"/>
      <c r="N107" s="276"/>
      <c r="O107" s="276"/>
      <c r="P107" s="345">
        <f t="shared" si="5"/>
        <v>0</v>
      </c>
      <c r="Q107" s="277"/>
      <c r="R107" s="277"/>
      <c r="S107" s="277"/>
      <c r="T107" s="277"/>
      <c r="U107" s="277"/>
      <c r="V107" s="277"/>
      <c r="W107" s="277">
        <v>1</v>
      </c>
      <c r="X107" s="368">
        <v>43201</v>
      </c>
      <c r="Y107" s="346">
        <f t="shared" si="6"/>
        <v>1</v>
      </c>
      <c r="Z107" s="165"/>
      <c r="AA107" s="165"/>
      <c r="AB107" s="165"/>
      <c r="AC107" s="165"/>
      <c r="AD107" s="165"/>
      <c r="AE107" s="165"/>
      <c r="AF107" s="165">
        <v>1</v>
      </c>
      <c r="AG107" s="368">
        <v>43447</v>
      </c>
      <c r="AH107" s="346">
        <f t="shared" si="7"/>
        <v>1</v>
      </c>
      <c r="AI107" s="165"/>
      <c r="AJ107" s="11" t="s">
        <v>2491</v>
      </c>
      <c r="AK107" s="277"/>
      <c r="AL107" s="11"/>
      <c r="AM107" s="11"/>
      <c r="AN107" s="277"/>
      <c r="AO107" s="277"/>
      <c r="AP107" s="277"/>
      <c r="AQ107" s="277"/>
      <c r="AR107" s="338"/>
      <c r="AS107" s="275"/>
      <c r="AT107" s="306"/>
    </row>
    <row r="108" spans="1:46" s="88" customFormat="1" ht="13.2" x14ac:dyDescent="0.25">
      <c r="A108" s="277"/>
      <c r="B108" s="367" t="s">
        <v>1673</v>
      </c>
      <c r="C108" s="367" t="s">
        <v>1996</v>
      </c>
      <c r="D108" s="277"/>
      <c r="E108" s="367" t="s">
        <v>2338</v>
      </c>
      <c r="F108" s="11" t="s">
        <v>1474</v>
      </c>
      <c r="G108" s="277" t="s">
        <v>1476</v>
      </c>
      <c r="H108" s="276"/>
      <c r="I108" s="276"/>
      <c r="J108" s="276"/>
      <c r="K108" s="276"/>
      <c r="L108" s="276"/>
      <c r="M108" s="276"/>
      <c r="N108" s="276"/>
      <c r="O108" s="276"/>
      <c r="P108" s="345">
        <f t="shared" si="5"/>
        <v>0</v>
      </c>
      <c r="Q108" s="277"/>
      <c r="R108" s="277"/>
      <c r="S108" s="277"/>
      <c r="T108" s="277"/>
      <c r="U108" s="277"/>
      <c r="V108" s="277"/>
      <c r="W108" s="277">
        <v>1</v>
      </c>
      <c r="X108" s="368">
        <v>43201</v>
      </c>
      <c r="Y108" s="346">
        <f t="shared" si="6"/>
        <v>1</v>
      </c>
      <c r="Z108" s="165"/>
      <c r="AA108" s="165"/>
      <c r="AB108" s="165"/>
      <c r="AC108" s="165"/>
      <c r="AD108" s="165"/>
      <c r="AE108" s="165"/>
      <c r="AF108" s="165">
        <v>1</v>
      </c>
      <c r="AG108" s="368">
        <v>43447</v>
      </c>
      <c r="AH108" s="346">
        <f t="shared" si="7"/>
        <v>1</v>
      </c>
      <c r="AI108" s="165"/>
      <c r="AJ108" s="11" t="s">
        <v>2491</v>
      </c>
      <c r="AK108" s="277"/>
      <c r="AL108" s="11"/>
      <c r="AM108" s="11"/>
      <c r="AN108" s="277"/>
      <c r="AO108" s="277"/>
      <c r="AP108" s="277"/>
      <c r="AQ108" s="277"/>
      <c r="AR108" s="338"/>
      <c r="AS108" s="275"/>
      <c r="AT108" s="305"/>
    </row>
    <row r="109" spans="1:46" s="88" customFormat="1" ht="13.2" x14ac:dyDescent="0.25">
      <c r="A109" s="277"/>
      <c r="B109" s="367" t="s">
        <v>1673</v>
      </c>
      <c r="C109" s="367" t="s">
        <v>1997</v>
      </c>
      <c r="D109" s="277"/>
      <c r="E109" s="367" t="s">
        <v>2339</v>
      </c>
      <c r="F109" s="11" t="s">
        <v>1474</v>
      </c>
      <c r="G109" s="277" t="s">
        <v>1476</v>
      </c>
      <c r="H109" s="276"/>
      <c r="I109" s="276"/>
      <c r="J109" s="276"/>
      <c r="K109" s="276"/>
      <c r="L109" s="276"/>
      <c r="M109" s="276"/>
      <c r="N109" s="276"/>
      <c r="O109" s="276"/>
      <c r="P109" s="345">
        <f t="shared" si="5"/>
        <v>0</v>
      </c>
      <c r="Q109" s="277"/>
      <c r="R109" s="277"/>
      <c r="S109" s="277"/>
      <c r="T109" s="277"/>
      <c r="U109" s="277"/>
      <c r="V109" s="277"/>
      <c r="W109" s="277">
        <v>1</v>
      </c>
      <c r="X109" s="368">
        <v>43201</v>
      </c>
      <c r="Y109" s="346">
        <f t="shared" si="6"/>
        <v>1</v>
      </c>
      <c r="Z109" s="165"/>
      <c r="AA109" s="165"/>
      <c r="AB109" s="165"/>
      <c r="AC109" s="165"/>
      <c r="AD109" s="165"/>
      <c r="AE109" s="165"/>
      <c r="AF109" s="165">
        <v>1</v>
      </c>
      <c r="AG109" s="368">
        <v>43447</v>
      </c>
      <c r="AH109" s="346">
        <f t="shared" si="7"/>
        <v>1</v>
      </c>
      <c r="AI109" s="165"/>
      <c r="AJ109" s="11" t="s">
        <v>2491</v>
      </c>
      <c r="AK109" s="277"/>
      <c r="AL109" s="11"/>
      <c r="AM109" s="11"/>
      <c r="AN109" s="277"/>
      <c r="AO109" s="277"/>
      <c r="AP109" s="277"/>
      <c r="AQ109" s="277"/>
      <c r="AR109" s="338"/>
      <c r="AS109" s="275"/>
      <c r="AT109" s="305"/>
    </row>
    <row r="110" spans="1:46" s="88" customFormat="1" ht="13.2" x14ac:dyDescent="0.25">
      <c r="A110" s="277"/>
      <c r="B110" s="367" t="s">
        <v>1673</v>
      </c>
      <c r="C110" s="367" t="s">
        <v>1998</v>
      </c>
      <c r="D110" s="277"/>
      <c r="E110" s="367" t="s">
        <v>2340</v>
      </c>
      <c r="F110" s="11" t="s">
        <v>1474</v>
      </c>
      <c r="G110" s="277" t="s">
        <v>1476</v>
      </c>
      <c r="H110" s="276"/>
      <c r="I110" s="276"/>
      <c r="J110" s="276"/>
      <c r="K110" s="276"/>
      <c r="L110" s="276"/>
      <c r="M110" s="276"/>
      <c r="N110" s="276"/>
      <c r="O110" s="276"/>
      <c r="P110" s="345">
        <f t="shared" si="5"/>
        <v>0</v>
      </c>
      <c r="Q110" s="277"/>
      <c r="R110" s="277"/>
      <c r="S110" s="277"/>
      <c r="T110" s="277"/>
      <c r="U110" s="277"/>
      <c r="V110" s="277"/>
      <c r="W110" s="277">
        <v>1</v>
      </c>
      <c r="X110" s="368">
        <v>43201</v>
      </c>
      <c r="Y110" s="346">
        <f t="shared" si="6"/>
        <v>1</v>
      </c>
      <c r="Z110" s="165"/>
      <c r="AA110" s="165"/>
      <c r="AB110" s="165"/>
      <c r="AC110" s="165"/>
      <c r="AD110" s="165"/>
      <c r="AE110" s="165"/>
      <c r="AF110" s="165">
        <v>1</v>
      </c>
      <c r="AG110" s="368">
        <v>43489</v>
      </c>
      <c r="AH110" s="346">
        <f t="shared" si="7"/>
        <v>1</v>
      </c>
      <c r="AI110" s="165"/>
      <c r="AJ110" s="11" t="s">
        <v>2491</v>
      </c>
      <c r="AK110" s="277"/>
      <c r="AL110" s="11"/>
      <c r="AM110" s="11"/>
      <c r="AN110" s="277"/>
      <c r="AO110" s="277"/>
      <c r="AP110" s="277"/>
      <c r="AQ110" s="277"/>
      <c r="AR110" s="338"/>
      <c r="AS110" s="275"/>
      <c r="AT110" s="305"/>
    </row>
    <row r="111" spans="1:46" s="88" customFormat="1" ht="13.2" x14ac:dyDescent="0.25">
      <c r="A111" s="277"/>
      <c r="B111" s="367" t="s">
        <v>1673</v>
      </c>
      <c r="C111" s="367" t="s">
        <v>1999</v>
      </c>
      <c r="D111" s="277"/>
      <c r="E111" s="367" t="s">
        <v>2341</v>
      </c>
      <c r="F111" s="11" t="s">
        <v>1474</v>
      </c>
      <c r="G111" s="277" t="s">
        <v>1476</v>
      </c>
      <c r="H111" s="276"/>
      <c r="I111" s="276"/>
      <c r="J111" s="276"/>
      <c r="K111" s="276"/>
      <c r="L111" s="276"/>
      <c r="M111" s="276"/>
      <c r="N111" s="276"/>
      <c r="O111" s="276"/>
      <c r="P111" s="345">
        <f t="shared" si="5"/>
        <v>0</v>
      </c>
      <c r="Q111" s="277"/>
      <c r="R111" s="277"/>
      <c r="S111" s="277"/>
      <c r="T111" s="277"/>
      <c r="U111" s="277"/>
      <c r="V111" s="277"/>
      <c r="W111" s="277">
        <v>1</v>
      </c>
      <c r="X111" s="368">
        <v>43201</v>
      </c>
      <c r="Y111" s="346">
        <f t="shared" si="6"/>
        <v>1</v>
      </c>
      <c r="Z111" s="165"/>
      <c r="AA111" s="165"/>
      <c r="AB111" s="165"/>
      <c r="AC111" s="165"/>
      <c r="AD111" s="165"/>
      <c r="AE111" s="165"/>
      <c r="AF111" s="165">
        <v>1</v>
      </c>
      <c r="AG111" s="368">
        <v>43440</v>
      </c>
      <c r="AH111" s="346">
        <f t="shared" si="7"/>
        <v>1</v>
      </c>
      <c r="AI111" s="165"/>
      <c r="AJ111" s="11" t="s">
        <v>2491</v>
      </c>
      <c r="AK111" s="277"/>
      <c r="AL111" s="11"/>
      <c r="AM111" s="11"/>
      <c r="AN111" s="277"/>
      <c r="AO111" s="277"/>
      <c r="AP111" s="277"/>
      <c r="AQ111" s="277"/>
      <c r="AR111" s="338"/>
      <c r="AS111" s="275"/>
      <c r="AT111" s="305"/>
    </row>
    <row r="112" spans="1:46" s="88" customFormat="1" ht="13.2" x14ac:dyDescent="0.25">
      <c r="A112" s="277"/>
      <c r="B112" s="367" t="s">
        <v>1673</v>
      </c>
      <c r="C112" s="367" t="s">
        <v>2000</v>
      </c>
      <c r="D112" s="277"/>
      <c r="E112" s="367" t="s">
        <v>2342</v>
      </c>
      <c r="F112" s="11" t="s">
        <v>1474</v>
      </c>
      <c r="G112" s="277" t="s">
        <v>1476</v>
      </c>
      <c r="H112" s="276"/>
      <c r="I112" s="276"/>
      <c r="J112" s="276"/>
      <c r="K112" s="276"/>
      <c r="L112" s="276"/>
      <c r="M112" s="276"/>
      <c r="N112" s="276"/>
      <c r="O112" s="276"/>
      <c r="P112" s="345">
        <f t="shared" si="5"/>
        <v>0</v>
      </c>
      <c r="Q112" s="277"/>
      <c r="R112" s="277"/>
      <c r="S112" s="277"/>
      <c r="T112" s="277"/>
      <c r="U112" s="277"/>
      <c r="V112" s="277"/>
      <c r="W112" s="277">
        <v>1</v>
      </c>
      <c r="X112" s="368">
        <v>43201</v>
      </c>
      <c r="Y112" s="346">
        <f t="shared" si="6"/>
        <v>1</v>
      </c>
      <c r="Z112" s="165"/>
      <c r="AA112" s="165"/>
      <c r="AB112" s="165"/>
      <c r="AC112" s="165"/>
      <c r="AD112" s="165"/>
      <c r="AE112" s="165"/>
      <c r="AF112" s="165">
        <v>1</v>
      </c>
      <c r="AG112" s="368">
        <v>43489</v>
      </c>
      <c r="AH112" s="346">
        <f t="shared" si="7"/>
        <v>1</v>
      </c>
      <c r="AI112" s="165"/>
      <c r="AJ112" s="11" t="s">
        <v>2491</v>
      </c>
      <c r="AK112" s="277"/>
      <c r="AL112" s="11"/>
      <c r="AM112" s="11"/>
      <c r="AN112" s="277"/>
      <c r="AO112" s="277"/>
      <c r="AP112" s="277"/>
      <c r="AQ112" s="277"/>
      <c r="AR112" s="338"/>
      <c r="AS112" s="275"/>
      <c r="AT112" s="305"/>
    </row>
    <row r="113" spans="1:46" s="88" customFormat="1" ht="13.2" x14ac:dyDescent="0.25">
      <c r="A113" s="277"/>
      <c r="B113" s="367" t="s">
        <v>1673</v>
      </c>
      <c r="C113" s="367" t="s">
        <v>2001</v>
      </c>
      <c r="D113" s="277"/>
      <c r="E113" s="367" t="s">
        <v>2343</v>
      </c>
      <c r="F113" s="11" t="s">
        <v>1474</v>
      </c>
      <c r="G113" s="277" t="s">
        <v>1476</v>
      </c>
      <c r="H113" s="276"/>
      <c r="I113" s="276"/>
      <c r="J113" s="276"/>
      <c r="K113" s="276"/>
      <c r="L113" s="276"/>
      <c r="M113" s="276"/>
      <c r="N113" s="276"/>
      <c r="O113" s="276"/>
      <c r="P113" s="345">
        <f t="shared" si="5"/>
        <v>0</v>
      </c>
      <c r="Q113" s="277"/>
      <c r="R113" s="277"/>
      <c r="S113" s="277"/>
      <c r="T113" s="277"/>
      <c r="U113" s="277"/>
      <c r="V113" s="277"/>
      <c r="W113" s="277">
        <v>1</v>
      </c>
      <c r="X113" s="368">
        <v>43201</v>
      </c>
      <c r="Y113" s="346">
        <f t="shared" si="6"/>
        <v>1</v>
      </c>
      <c r="Z113" s="165"/>
      <c r="AA113" s="165"/>
      <c r="AB113" s="165"/>
      <c r="AC113" s="165"/>
      <c r="AD113" s="165"/>
      <c r="AE113" s="165"/>
      <c r="AF113" s="165">
        <v>1</v>
      </c>
      <c r="AG113" s="368">
        <v>43480</v>
      </c>
      <c r="AH113" s="346">
        <f t="shared" si="7"/>
        <v>1</v>
      </c>
      <c r="AI113" s="165"/>
      <c r="AJ113" s="11" t="s">
        <v>2491</v>
      </c>
      <c r="AK113" s="277"/>
      <c r="AL113" s="11"/>
      <c r="AM113" s="11"/>
      <c r="AN113" s="277"/>
      <c r="AO113" s="277"/>
      <c r="AP113" s="277"/>
      <c r="AQ113" s="277"/>
      <c r="AR113" s="338"/>
      <c r="AS113" s="275"/>
      <c r="AT113" s="305"/>
    </row>
    <row r="114" spans="1:46" s="88" customFormat="1" ht="13.2" x14ac:dyDescent="0.25">
      <c r="A114" s="277"/>
      <c r="B114" s="367" t="s">
        <v>1673</v>
      </c>
      <c r="C114" s="367" t="s">
        <v>2002</v>
      </c>
      <c r="D114" s="277"/>
      <c r="E114" s="367" t="s">
        <v>2344</v>
      </c>
      <c r="F114" s="11" t="s">
        <v>1474</v>
      </c>
      <c r="G114" s="277" t="s">
        <v>1476</v>
      </c>
      <c r="H114" s="276"/>
      <c r="I114" s="276"/>
      <c r="J114" s="276"/>
      <c r="K114" s="276"/>
      <c r="L114" s="276"/>
      <c r="M114" s="276"/>
      <c r="N114" s="276"/>
      <c r="O114" s="276"/>
      <c r="P114" s="345">
        <f t="shared" si="5"/>
        <v>0</v>
      </c>
      <c r="Q114" s="277"/>
      <c r="R114" s="277"/>
      <c r="S114" s="277"/>
      <c r="T114" s="277"/>
      <c r="U114" s="277"/>
      <c r="V114" s="277"/>
      <c r="W114" s="277">
        <v>1</v>
      </c>
      <c r="X114" s="368">
        <v>43201</v>
      </c>
      <c r="Y114" s="346">
        <f t="shared" si="6"/>
        <v>1</v>
      </c>
      <c r="Z114" s="165"/>
      <c r="AA114" s="165"/>
      <c r="AB114" s="165"/>
      <c r="AC114" s="165"/>
      <c r="AD114" s="165"/>
      <c r="AE114" s="165"/>
      <c r="AF114" s="165">
        <v>1</v>
      </c>
      <c r="AG114" s="368">
        <v>43434</v>
      </c>
      <c r="AH114" s="346">
        <f t="shared" si="7"/>
        <v>1</v>
      </c>
      <c r="AI114" s="165"/>
      <c r="AJ114" s="11" t="s">
        <v>2491</v>
      </c>
      <c r="AK114" s="277"/>
      <c r="AL114" s="11"/>
      <c r="AM114" s="11"/>
      <c r="AN114" s="277"/>
      <c r="AO114" s="277"/>
      <c r="AP114" s="277"/>
      <c r="AQ114" s="277"/>
      <c r="AR114" s="338"/>
      <c r="AS114" s="275"/>
      <c r="AT114" s="305"/>
    </row>
    <row r="115" spans="1:46" s="262" customFormat="1" x14ac:dyDescent="0.25">
      <c r="A115" s="277"/>
      <c r="B115" s="367" t="s">
        <v>1673</v>
      </c>
      <c r="C115" s="367" t="s">
        <v>2003</v>
      </c>
      <c r="D115" s="277"/>
      <c r="E115" s="367" t="s">
        <v>2345</v>
      </c>
      <c r="F115" s="11" t="s">
        <v>1474</v>
      </c>
      <c r="G115" s="277" t="s">
        <v>1476</v>
      </c>
      <c r="H115" s="276"/>
      <c r="I115" s="276"/>
      <c r="J115" s="276"/>
      <c r="K115" s="276"/>
      <c r="L115" s="276"/>
      <c r="M115" s="276"/>
      <c r="N115" s="276"/>
      <c r="O115" s="276"/>
      <c r="P115" s="345">
        <f t="shared" si="5"/>
        <v>0</v>
      </c>
      <c r="Q115" s="277"/>
      <c r="R115" s="277"/>
      <c r="S115" s="277"/>
      <c r="T115" s="277"/>
      <c r="U115" s="277"/>
      <c r="V115" s="277"/>
      <c r="W115" s="277">
        <v>1</v>
      </c>
      <c r="X115" s="368">
        <v>43201</v>
      </c>
      <c r="Y115" s="346">
        <f t="shared" si="6"/>
        <v>1</v>
      </c>
      <c r="Z115" s="165"/>
      <c r="AA115" s="165"/>
      <c r="AB115" s="165"/>
      <c r="AC115" s="165"/>
      <c r="AD115" s="165"/>
      <c r="AE115" s="165"/>
      <c r="AF115" s="165">
        <v>1</v>
      </c>
      <c r="AG115" s="368">
        <v>43482</v>
      </c>
      <c r="AH115" s="346">
        <f t="shared" si="7"/>
        <v>1</v>
      </c>
      <c r="AI115" s="165"/>
      <c r="AJ115" s="11" t="s">
        <v>2491</v>
      </c>
      <c r="AK115" s="277"/>
      <c r="AL115" s="11"/>
      <c r="AM115" s="11"/>
      <c r="AN115" s="277"/>
      <c r="AO115" s="277"/>
      <c r="AP115" s="277"/>
      <c r="AQ115" s="277"/>
      <c r="AR115" s="338"/>
      <c r="AS115" s="275"/>
      <c r="AT115" s="306"/>
    </row>
    <row r="116" spans="1:46" s="262" customFormat="1" x14ac:dyDescent="0.25">
      <c r="A116" s="277"/>
      <c r="B116" s="367" t="s">
        <v>1673</v>
      </c>
      <c r="C116" s="367" t="s">
        <v>2004</v>
      </c>
      <c r="D116" s="277"/>
      <c r="E116" s="367" t="s">
        <v>2346</v>
      </c>
      <c r="F116" s="11" t="s">
        <v>1474</v>
      </c>
      <c r="G116" s="277" t="s">
        <v>1476</v>
      </c>
      <c r="H116" s="276"/>
      <c r="I116" s="276"/>
      <c r="J116" s="276"/>
      <c r="K116" s="276"/>
      <c r="L116" s="276"/>
      <c r="M116" s="276"/>
      <c r="N116" s="276"/>
      <c r="O116" s="276"/>
      <c r="P116" s="345">
        <f t="shared" si="5"/>
        <v>0</v>
      </c>
      <c r="Q116" s="277"/>
      <c r="R116" s="277"/>
      <c r="S116" s="277"/>
      <c r="T116" s="277"/>
      <c r="U116" s="277"/>
      <c r="V116" s="277"/>
      <c r="W116" s="277">
        <v>1</v>
      </c>
      <c r="X116" s="368">
        <v>43201</v>
      </c>
      <c r="Y116" s="346">
        <f t="shared" si="6"/>
        <v>1</v>
      </c>
      <c r="Z116" s="165"/>
      <c r="AA116" s="165"/>
      <c r="AB116" s="165"/>
      <c r="AC116" s="165"/>
      <c r="AD116" s="165"/>
      <c r="AE116" s="165"/>
      <c r="AF116" s="165">
        <v>1</v>
      </c>
      <c r="AG116" s="368">
        <v>43439</v>
      </c>
      <c r="AH116" s="346">
        <f t="shared" si="7"/>
        <v>1</v>
      </c>
      <c r="AI116" s="165"/>
      <c r="AJ116" s="11" t="s">
        <v>2491</v>
      </c>
      <c r="AK116" s="277"/>
      <c r="AL116" s="11"/>
      <c r="AM116" s="11"/>
      <c r="AN116" s="277"/>
      <c r="AO116" s="277"/>
      <c r="AP116" s="277"/>
      <c r="AQ116" s="277"/>
      <c r="AR116" s="338"/>
      <c r="AS116" s="275"/>
      <c r="AT116" s="306"/>
    </row>
    <row r="117" spans="1:46" s="262" customFormat="1" x14ac:dyDescent="0.25">
      <c r="A117" s="277"/>
      <c r="B117" s="367" t="s">
        <v>1673</v>
      </c>
      <c r="C117" s="367" t="s">
        <v>2124</v>
      </c>
      <c r="D117" s="277"/>
      <c r="E117" s="367" t="s">
        <v>2466</v>
      </c>
      <c r="F117" s="11" t="s">
        <v>1474</v>
      </c>
      <c r="G117" s="277" t="s">
        <v>1476</v>
      </c>
      <c r="H117" s="276"/>
      <c r="I117" s="276"/>
      <c r="J117" s="276"/>
      <c r="K117" s="276"/>
      <c r="L117" s="276"/>
      <c r="M117" s="276"/>
      <c r="N117" s="276"/>
      <c r="O117" s="276"/>
      <c r="P117" s="345">
        <f t="shared" si="5"/>
        <v>0</v>
      </c>
      <c r="Q117" s="277"/>
      <c r="R117" s="277"/>
      <c r="S117" s="277"/>
      <c r="T117" s="277"/>
      <c r="U117" s="277"/>
      <c r="V117" s="277"/>
      <c r="W117" s="277">
        <v>1</v>
      </c>
      <c r="X117" s="368">
        <v>43201</v>
      </c>
      <c r="Y117" s="346">
        <f t="shared" si="6"/>
        <v>1</v>
      </c>
      <c r="Z117" s="165"/>
      <c r="AA117" s="165"/>
      <c r="AB117" s="165"/>
      <c r="AC117" s="165"/>
      <c r="AD117" s="165"/>
      <c r="AE117" s="165"/>
      <c r="AF117" s="165"/>
      <c r="AG117" s="369"/>
      <c r="AH117" s="346">
        <f t="shared" si="7"/>
        <v>0</v>
      </c>
      <c r="AI117" s="165"/>
      <c r="AJ117" s="11" t="s">
        <v>2491</v>
      </c>
      <c r="AK117" s="277"/>
      <c r="AL117" s="11"/>
      <c r="AM117" s="11"/>
      <c r="AN117" s="277"/>
      <c r="AO117" s="277"/>
      <c r="AP117" s="277"/>
      <c r="AQ117" s="277"/>
      <c r="AR117" s="338"/>
      <c r="AS117" s="275"/>
      <c r="AT117" s="306"/>
    </row>
    <row r="118" spans="1:46" s="262" customFormat="1" x14ac:dyDescent="0.25">
      <c r="A118" s="277"/>
      <c r="B118" s="367" t="s">
        <v>1673</v>
      </c>
      <c r="C118" s="367" t="s">
        <v>2125</v>
      </c>
      <c r="D118" s="277"/>
      <c r="E118" s="367" t="s">
        <v>2467</v>
      </c>
      <c r="F118" s="11" t="s">
        <v>1474</v>
      </c>
      <c r="G118" s="277" t="s">
        <v>1476</v>
      </c>
      <c r="H118" s="276"/>
      <c r="I118" s="276"/>
      <c r="J118" s="276"/>
      <c r="K118" s="276"/>
      <c r="L118" s="276"/>
      <c r="M118" s="276"/>
      <c r="N118" s="276"/>
      <c r="O118" s="276"/>
      <c r="P118" s="345">
        <f t="shared" si="5"/>
        <v>0</v>
      </c>
      <c r="Q118" s="277"/>
      <c r="R118" s="277"/>
      <c r="S118" s="277"/>
      <c r="T118" s="277"/>
      <c r="U118" s="277"/>
      <c r="V118" s="277"/>
      <c r="W118" s="277">
        <v>1</v>
      </c>
      <c r="X118" s="368">
        <v>43201</v>
      </c>
      <c r="Y118" s="346">
        <f t="shared" si="6"/>
        <v>1</v>
      </c>
      <c r="Z118" s="165"/>
      <c r="AA118" s="165"/>
      <c r="AB118" s="165"/>
      <c r="AC118" s="165"/>
      <c r="AD118" s="165"/>
      <c r="AE118" s="165"/>
      <c r="AF118" s="165"/>
      <c r="AG118" s="369"/>
      <c r="AH118" s="346">
        <f t="shared" si="7"/>
        <v>0</v>
      </c>
      <c r="AI118" s="165"/>
      <c r="AJ118" s="11" t="s">
        <v>2491</v>
      </c>
      <c r="AK118" s="277"/>
      <c r="AL118" s="11"/>
      <c r="AM118" s="11"/>
      <c r="AN118" s="277"/>
      <c r="AO118" s="277"/>
      <c r="AP118" s="277"/>
      <c r="AQ118" s="277"/>
      <c r="AR118" s="338"/>
      <c r="AS118" s="275"/>
      <c r="AT118" s="306"/>
    </row>
    <row r="119" spans="1:46" s="262" customFormat="1" x14ac:dyDescent="0.25">
      <c r="A119" s="277"/>
      <c r="B119" s="367" t="s">
        <v>1673</v>
      </c>
      <c r="C119" s="367" t="s">
        <v>2126</v>
      </c>
      <c r="D119" s="277"/>
      <c r="E119" s="367" t="s">
        <v>2468</v>
      </c>
      <c r="F119" s="11" t="s">
        <v>1474</v>
      </c>
      <c r="G119" s="277" t="s">
        <v>1476</v>
      </c>
      <c r="H119" s="276"/>
      <c r="I119" s="276"/>
      <c r="J119" s="276"/>
      <c r="K119" s="276"/>
      <c r="L119" s="276"/>
      <c r="M119" s="276"/>
      <c r="N119" s="276"/>
      <c r="O119" s="276"/>
      <c r="P119" s="345">
        <f t="shared" si="5"/>
        <v>0</v>
      </c>
      <c r="Q119" s="277"/>
      <c r="R119" s="277"/>
      <c r="S119" s="277"/>
      <c r="T119" s="277"/>
      <c r="U119" s="277"/>
      <c r="V119" s="277"/>
      <c r="W119" s="277">
        <v>1</v>
      </c>
      <c r="X119" s="368">
        <v>43201</v>
      </c>
      <c r="Y119" s="346">
        <f t="shared" si="6"/>
        <v>1</v>
      </c>
      <c r="Z119" s="165"/>
      <c r="AA119" s="165"/>
      <c r="AB119" s="165"/>
      <c r="AC119" s="165"/>
      <c r="AD119" s="165"/>
      <c r="AE119" s="165"/>
      <c r="AF119" s="165"/>
      <c r="AG119" s="369"/>
      <c r="AH119" s="346">
        <f t="shared" si="7"/>
        <v>0</v>
      </c>
      <c r="AI119" s="165"/>
      <c r="AJ119" s="11" t="s">
        <v>2491</v>
      </c>
      <c r="AK119" s="277"/>
      <c r="AL119" s="11"/>
      <c r="AM119" s="11"/>
      <c r="AN119" s="277"/>
      <c r="AO119" s="277"/>
      <c r="AP119" s="277"/>
      <c r="AQ119" s="277"/>
      <c r="AR119" s="338"/>
      <c r="AS119" s="275"/>
      <c r="AT119" s="306"/>
    </row>
    <row r="120" spans="1:46" s="262" customFormat="1" x14ac:dyDescent="0.25">
      <c r="A120" s="277"/>
      <c r="B120" s="367" t="s">
        <v>1673</v>
      </c>
      <c r="C120" s="367" t="s">
        <v>2127</v>
      </c>
      <c r="D120" s="277"/>
      <c r="E120" s="367" t="s">
        <v>2469</v>
      </c>
      <c r="F120" s="11" t="s">
        <v>1474</v>
      </c>
      <c r="G120" s="277" t="s">
        <v>1476</v>
      </c>
      <c r="H120" s="276"/>
      <c r="I120" s="276"/>
      <c r="J120" s="276"/>
      <c r="K120" s="276"/>
      <c r="L120" s="276"/>
      <c r="M120" s="276"/>
      <c r="N120" s="276"/>
      <c r="O120" s="276"/>
      <c r="P120" s="345">
        <f t="shared" si="5"/>
        <v>0</v>
      </c>
      <c r="Q120" s="277"/>
      <c r="R120" s="277"/>
      <c r="S120" s="277"/>
      <c r="T120" s="277"/>
      <c r="U120" s="277"/>
      <c r="V120" s="277"/>
      <c r="W120" s="277">
        <v>1</v>
      </c>
      <c r="X120" s="368">
        <v>43201</v>
      </c>
      <c r="Y120" s="346">
        <f t="shared" si="6"/>
        <v>1</v>
      </c>
      <c r="Z120" s="165"/>
      <c r="AA120" s="165"/>
      <c r="AB120" s="165"/>
      <c r="AC120" s="165"/>
      <c r="AD120" s="165"/>
      <c r="AE120" s="165"/>
      <c r="AF120" s="165"/>
      <c r="AG120" s="369"/>
      <c r="AH120" s="346">
        <f t="shared" si="7"/>
        <v>0</v>
      </c>
      <c r="AI120" s="165"/>
      <c r="AJ120" s="11" t="s">
        <v>2491</v>
      </c>
      <c r="AK120" s="277"/>
      <c r="AL120" s="11"/>
      <c r="AM120" s="11"/>
      <c r="AN120" s="277"/>
      <c r="AO120" s="277"/>
      <c r="AP120" s="277"/>
      <c r="AQ120" s="277"/>
      <c r="AR120" s="338"/>
      <c r="AS120" s="275"/>
      <c r="AT120" s="306"/>
    </row>
    <row r="121" spans="1:46" s="262" customFormat="1" x14ac:dyDescent="0.25">
      <c r="A121" s="277"/>
      <c r="B121" s="367" t="s">
        <v>1673</v>
      </c>
      <c r="C121" s="367" t="s">
        <v>2128</v>
      </c>
      <c r="D121" s="277"/>
      <c r="E121" s="367" t="s">
        <v>2470</v>
      </c>
      <c r="F121" s="11" t="s">
        <v>1474</v>
      </c>
      <c r="G121" s="277" t="s">
        <v>1476</v>
      </c>
      <c r="H121" s="276"/>
      <c r="I121" s="276"/>
      <c r="J121" s="276"/>
      <c r="K121" s="276"/>
      <c r="L121" s="276"/>
      <c r="M121" s="276"/>
      <c r="N121" s="276"/>
      <c r="O121" s="276"/>
      <c r="P121" s="345">
        <f t="shared" si="5"/>
        <v>0</v>
      </c>
      <c r="Q121" s="277"/>
      <c r="R121" s="277"/>
      <c r="S121" s="277"/>
      <c r="T121" s="277"/>
      <c r="U121" s="277"/>
      <c r="V121" s="277"/>
      <c r="W121" s="277">
        <v>1</v>
      </c>
      <c r="X121" s="368">
        <v>43201</v>
      </c>
      <c r="Y121" s="346">
        <f t="shared" si="6"/>
        <v>1</v>
      </c>
      <c r="Z121" s="165"/>
      <c r="AA121" s="165"/>
      <c r="AB121" s="165"/>
      <c r="AC121" s="165"/>
      <c r="AD121" s="165"/>
      <c r="AE121" s="165"/>
      <c r="AF121" s="165"/>
      <c r="AG121" s="369"/>
      <c r="AH121" s="346">
        <f t="shared" si="7"/>
        <v>0</v>
      </c>
      <c r="AI121" s="165"/>
      <c r="AJ121" s="11" t="s">
        <v>2491</v>
      </c>
      <c r="AK121" s="277"/>
      <c r="AL121" s="11"/>
      <c r="AM121" s="11"/>
      <c r="AN121" s="277"/>
      <c r="AO121" s="277"/>
      <c r="AP121" s="277"/>
      <c r="AQ121" s="277"/>
      <c r="AR121" s="338"/>
      <c r="AS121" s="275"/>
      <c r="AT121" s="306"/>
    </row>
    <row r="122" spans="1:46" s="262" customFormat="1" x14ac:dyDescent="0.25">
      <c r="A122" s="277"/>
      <c r="B122" s="367" t="s">
        <v>1673</v>
      </c>
      <c r="C122" s="367" t="s">
        <v>2129</v>
      </c>
      <c r="D122" s="277"/>
      <c r="E122" s="367" t="s">
        <v>2471</v>
      </c>
      <c r="F122" s="11" t="s">
        <v>1474</v>
      </c>
      <c r="G122" s="277" t="s">
        <v>1476</v>
      </c>
      <c r="H122" s="276"/>
      <c r="I122" s="276"/>
      <c r="J122" s="276"/>
      <c r="K122" s="276"/>
      <c r="L122" s="276"/>
      <c r="M122" s="276"/>
      <c r="N122" s="276"/>
      <c r="O122" s="276"/>
      <c r="P122" s="345">
        <f t="shared" si="5"/>
        <v>0</v>
      </c>
      <c r="Q122" s="277"/>
      <c r="R122" s="277"/>
      <c r="S122" s="277"/>
      <c r="T122" s="277"/>
      <c r="U122" s="277"/>
      <c r="V122" s="277"/>
      <c r="W122" s="277">
        <v>1</v>
      </c>
      <c r="X122" s="368">
        <v>43201</v>
      </c>
      <c r="Y122" s="346">
        <f t="shared" si="6"/>
        <v>1</v>
      </c>
      <c r="Z122" s="165"/>
      <c r="AA122" s="165"/>
      <c r="AB122" s="165"/>
      <c r="AC122" s="165"/>
      <c r="AD122" s="165"/>
      <c r="AE122" s="165"/>
      <c r="AF122" s="165"/>
      <c r="AG122" s="369"/>
      <c r="AH122" s="346">
        <f t="shared" si="7"/>
        <v>0</v>
      </c>
      <c r="AI122" s="165"/>
      <c r="AJ122" s="11" t="s">
        <v>2491</v>
      </c>
      <c r="AK122" s="277"/>
      <c r="AL122" s="11"/>
      <c r="AM122" s="11"/>
      <c r="AN122" s="277"/>
      <c r="AO122" s="277"/>
      <c r="AP122" s="277"/>
      <c r="AQ122" s="277"/>
      <c r="AR122" s="338"/>
      <c r="AS122" s="275"/>
      <c r="AT122" s="306"/>
    </row>
    <row r="123" spans="1:46" s="262" customFormat="1" x14ac:dyDescent="0.25">
      <c r="A123" s="277"/>
      <c r="B123" s="367" t="s">
        <v>1673</v>
      </c>
      <c r="C123" s="367" t="s">
        <v>2130</v>
      </c>
      <c r="D123" s="277"/>
      <c r="E123" s="367" t="s">
        <v>2472</v>
      </c>
      <c r="F123" s="11" t="s">
        <v>1474</v>
      </c>
      <c r="G123" s="277" t="s">
        <v>1476</v>
      </c>
      <c r="H123" s="276"/>
      <c r="I123" s="276"/>
      <c r="J123" s="276"/>
      <c r="K123" s="276"/>
      <c r="L123" s="276"/>
      <c r="M123" s="276"/>
      <c r="N123" s="276"/>
      <c r="O123" s="276"/>
      <c r="P123" s="345">
        <f t="shared" si="5"/>
        <v>0</v>
      </c>
      <c r="Q123" s="277"/>
      <c r="R123" s="277"/>
      <c r="S123" s="277"/>
      <c r="T123" s="277"/>
      <c r="U123" s="277"/>
      <c r="V123" s="277"/>
      <c r="W123" s="277">
        <v>1</v>
      </c>
      <c r="X123" s="368">
        <v>43201</v>
      </c>
      <c r="Y123" s="346">
        <f t="shared" si="6"/>
        <v>1</v>
      </c>
      <c r="Z123" s="165"/>
      <c r="AA123" s="165"/>
      <c r="AB123" s="165"/>
      <c r="AC123" s="165"/>
      <c r="AD123" s="165"/>
      <c r="AE123" s="165"/>
      <c r="AF123" s="165"/>
      <c r="AG123" s="369"/>
      <c r="AH123" s="346">
        <f t="shared" si="7"/>
        <v>0</v>
      </c>
      <c r="AI123" s="165"/>
      <c r="AJ123" s="11" t="s">
        <v>2491</v>
      </c>
      <c r="AK123" s="277"/>
      <c r="AL123" s="11"/>
      <c r="AM123" s="11"/>
      <c r="AN123" s="277"/>
      <c r="AO123" s="277"/>
      <c r="AP123" s="277"/>
      <c r="AQ123" s="277"/>
      <c r="AR123" s="338"/>
      <c r="AS123" s="275"/>
      <c r="AT123" s="306"/>
    </row>
    <row r="124" spans="1:46" s="262" customFormat="1" x14ac:dyDescent="0.25">
      <c r="A124" s="277"/>
      <c r="B124" s="367" t="s">
        <v>1783</v>
      </c>
      <c r="C124" s="367" t="s">
        <v>2117</v>
      </c>
      <c r="D124" s="277"/>
      <c r="E124" s="367" t="s">
        <v>2459</v>
      </c>
      <c r="F124" s="11" t="s">
        <v>1474</v>
      </c>
      <c r="G124" s="277" t="s">
        <v>1476</v>
      </c>
      <c r="H124" s="276"/>
      <c r="I124" s="276"/>
      <c r="J124" s="276"/>
      <c r="K124" s="276"/>
      <c r="L124" s="276"/>
      <c r="M124" s="276"/>
      <c r="N124" s="276"/>
      <c r="O124" s="276"/>
      <c r="P124" s="345">
        <f t="shared" si="5"/>
        <v>0</v>
      </c>
      <c r="Q124" s="277"/>
      <c r="R124" s="277"/>
      <c r="S124" s="277"/>
      <c r="T124" s="277"/>
      <c r="U124" s="277"/>
      <c r="V124" s="277"/>
      <c r="W124" s="277">
        <v>1</v>
      </c>
      <c r="X124" s="368">
        <v>43209</v>
      </c>
      <c r="Y124" s="346">
        <f t="shared" si="6"/>
        <v>1</v>
      </c>
      <c r="Z124" s="165"/>
      <c r="AA124" s="165"/>
      <c r="AB124" s="165"/>
      <c r="AC124" s="165"/>
      <c r="AD124" s="165"/>
      <c r="AE124" s="165"/>
      <c r="AF124" s="165"/>
      <c r="AG124" s="369"/>
      <c r="AH124" s="346">
        <f t="shared" si="7"/>
        <v>0</v>
      </c>
      <c r="AI124" s="165"/>
      <c r="AJ124" s="11" t="s">
        <v>2491</v>
      </c>
      <c r="AK124" s="277"/>
      <c r="AL124" s="11"/>
      <c r="AM124" s="11"/>
      <c r="AN124" s="277"/>
      <c r="AO124" s="277"/>
      <c r="AP124" s="277"/>
      <c r="AQ124" s="277"/>
      <c r="AR124" s="338"/>
      <c r="AS124" s="275"/>
      <c r="AT124" s="306"/>
    </row>
    <row r="125" spans="1:46" s="262" customFormat="1" x14ac:dyDescent="0.25">
      <c r="A125" s="277"/>
      <c r="B125" s="367" t="s">
        <v>1784</v>
      </c>
      <c r="C125" s="367" t="s">
        <v>2118</v>
      </c>
      <c r="D125" s="277"/>
      <c r="E125" s="367" t="s">
        <v>2460</v>
      </c>
      <c r="F125" s="11" t="s">
        <v>1474</v>
      </c>
      <c r="G125" s="277" t="s">
        <v>1476</v>
      </c>
      <c r="H125" s="276"/>
      <c r="I125" s="276"/>
      <c r="J125" s="276"/>
      <c r="K125" s="276"/>
      <c r="L125" s="276"/>
      <c r="M125" s="276"/>
      <c r="N125" s="276"/>
      <c r="O125" s="276"/>
      <c r="P125" s="345">
        <f t="shared" si="5"/>
        <v>0</v>
      </c>
      <c r="Q125" s="277"/>
      <c r="R125" s="277"/>
      <c r="S125" s="277"/>
      <c r="T125" s="277"/>
      <c r="U125" s="277"/>
      <c r="V125" s="277"/>
      <c r="W125" s="277">
        <v>1</v>
      </c>
      <c r="X125" s="368">
        <v>43209</v>
      </c>
      <c r="Y125" s="346">
        <f t="shared" si="6"/>
        <v>1</v>
      </c>
      <c r="Z125" s="165"/>
      <c r="AA125" s="165"/>
      <c r="AB125" s="165"/>
      <c r="AC125" s="165"/>
      <c r="AD125" s="165"/>
      <c r="AE125" s="165"/>
      <c r="AF125" s="165"/>
      <c r="AG125" s="369"/>
      <c r="AH125" s="346">
        <f t="shared" si="7"/>
        <v>0</v>
      </c>
      <c r="AI125" s="165"/>
      <c r="AJ125" s="11" t="s">
        <v>2491</v>
      </c>
      <c r="AK125" s="277"/>
      <c r="AL125" s="11"/>
      <c r="AM125" s="11"/>
      <c r="AN125" s="277"/>
      <c r="AO125" s="277"/>
      <c r="AP125" s="277"/>
      <c r="AQ125" s="277"/>
      <c r="AR125" s="338"/>
      <c r="AS125" s="275"/>
      <c r="AT125" s="306"/>
    </row>
    <row r="126" spans="1:46" s="262" customFormat="1" ht="26.4" x14ac:dyDescent="0.25">
      <c r="A126" s="277"/>
      <c r="B126" s="367" t="s">
        <v>1730</v>
      </c>
      <c r="C126" s="367" t="s">
        <v>2064</v>
      </c>
      <c r="D126" s="277"/>
      <c r="E126" s="367" t="s">
        <v>2406</v>
      </c>
      <c r="F126" s="11" t="s">
        <v>1474</v>
      </c>
      <c r="G126" s="277" t="s">
        <v>1476</v>
      </c>
      <c r="H126" s="276"/>
      <c r="I126" s="276"/>
      <c r="J126" s="276"/>
      <c r="K126" s="276"/>
      <c r="L126" s="276"/>
      <c r="M126" s="276"/>
      <c r="N126" s="276"/>
      <c r="O126" s="276"/>
      <c r="P126" s="345">
        <f t="shared" si="5"/>
        <v>0</v>
      </c>
      <c r="Q126" s="277"/>
      <c r="R126" s="277"/>
      <c r="S126" s="277"/>
      <c r="T126" s="277"/>
      <c r="U126" s="277"/>
      <c r="V126" s="277"/>
      <c r="W126" s="277">
        <v>1</v>
      </c>
      <c r="X126" s="368">
        <v>43214</v>
      </c>
      <c r="Y126" s="346">
        <f t="shared" si="6"/>
        <v>1</v>
      </c>
      <c r="Z126" s="165"/>
      <c r="AA126" s="165"/>
      <c r="AB126" s="165"/>
      <c r="AC126" s="165"/>
      <c r="AD126" s="165"/>
      <c r="AE126" s="165"/>
      <c r="AF126" s="165"/>
      <c r="AG126" s="369"/>
      <c r="AH126" s="346">
        <f t="shared" si="7"/>
        <v>0</v>
      </c>
      <c r="AI126" s="165"/>
      <c r="AJ126" s="11" t="s">
        <v>2491</v>
      </c>
      <c r="AK126" s="277"/>
      <c r="AL126" s="11"/>
      <c r="AM126" s="11"/>
      <c r="AN126" s="277"/>
      <c r="AO126" s="277"/>
      <c r="AP126" s="277"/>
      <c r="AQ126" s="277"/>
      <c r="AR126" s="338"/>
      <c r="AS126" s="275"/>
      <c r="AT126" s="306"/>
    </row>
    <row r="127" spans="1:46" s="262" customFormat="1" x14ac:dyDescent="0.25">
      <c r="A127" s="277"/>
      <c r="B127" s="367" t="s">
        <v>1785</v>
      </c>
      <c r="C127" s="367" t="s">
        <v>2119</v>
      </c>
      <c r="D127" s="277"/>
      <c r="E127" s="367" t="s">
        <v>2461</v>
      </c>
      <c r="F127" s="11" t="s">
        <v>1474</v>
      </c>
      <c r="G127" s="277" t="s">
        <v>1476</v>
      </c>
      <c r="H127" s="276"/>
      <c r="I127" s="276"/>
      <c r="J127" s="276"/>
      <c r="K127" s="276"/>
      <c r="L127" s="276"/>
      <c r="M127" s="276"/>
      <c r="N127" s="276"/>
      <c r="O127" s="276"/>
      <c r="P127" s="345">
        <f t="shared" si="5"/>
        <v>0</v>
      </c>
      <c r="Q127" s="277"/>
      <c r="R127" s="277"/>
      <c r="S127" s="277"/>
      <c r="T127" s="277"/>
      <c r="U127" s="277"/>
      <c r="V127" s="277"/>
      <c r="W127" s="277">
        <v>1</v>
      </c>
      <c r="X127" s="368">
        <v>43214</v>
      </c>
      <c r="Y127" s="346">
        <f t="shared" si="6"/>
        <v>1</v>
      </c>
      <c r="Z127" s="165"/>
      <c r="AA127" s="165"/>
      <c r="AB127" s="165"/>
      <c r="AC127" s="165"/>
      <c r="AD127" s="165"/>
      <c r="AE127" s="165"/>
      <c r="AF127" s="165"/>
      <c r="AG127" s="369"/>
      <c r="AH127" s="346">
        <f t="shared" si="7"/>
        <v>0</v>
      </c>
      <c r="AI127" s="165"/>
      <c r="AJ127" s="11" t="s">
        <v>2491</v>
      </c>
      <c r="AK127" s="277"/>
      <c r="AL127" s="11"/>
      <c r="AM127" s="11"/>
      <c r="AN127" s="277"/>
      <c r="AO127" s="277"/>
      <c r="AP127" s="277"/>
      <c r="AQ127" s="277"/>
      <c r="AR127" s="338"/>
      <c r="AS127" s="275"/>
      <c r="AT127" s="306"/>
    </row>
    <row r="128" spans="1:46" s="262" customFormat="1" x14ac:dyDescent="0.25">
      <c r="A128" s="277"/>
      <c r="B128" s="367" t="s">
        <v>1786</v>
      </c>
      <c r="C128" s="367" t="s">
        <v>2120</v>
      </c>
      <c r="D128" s="277"/>
      <c r="E128" s="367" t="s">
        <v>2462</v>
      </c>
      <c r="F128" s="11" t="s">
        <v>1474</v>
      </c>
      <c r="G128" s="277" t="s">
        <v>1476</v>
      </c>
      <c r="H128" s="276"/>
      <c r="I128" s="276"/>
      <c r="J128" s="276"/>
      <c r="K128" s="276"/>
      <c r="L128" s="276"/>
      <c r="M128" s="276"/>
      <c r="N128" s="276"/>
      <c r="O128" s="276"/>
      <c r="P128" s="345">
        <f t="shared" si="5"/>
        <v>0</v>
      </c>
      <c r="Q128" s="277"/>
      <c r="R128" s="277"/>
      <c r="S128" s="277"/>
      <c r="T128" s="277"/>
      <c r="U128" s="277"/>
      <c r="V128" s="277"/>
      <c r="W128" s="277">
        <v>1</v>
      </c>
      <c r="X128" s="368">
        <v>43214</v>
      </c>
      <c r="Y128" s="346">
        <f t="shared" si="6"/>
        <v>1</v>
      </c>
      <c r="Z128" s="165"/>
      <c r="AA128" s="165"/>
      <c r="AB128" s="165"/>
      <c r="AC128" s="165"/>
      <c r="AD128" s="165"/>
      <c r="AE128" s="165"/>
      <c r="AF128" s="165"/>
      <c r="AG128" s="369"/>
      <c r="AH128" s="346">
        <f t="shared" si="7"/>
        <v>0</v>
      </c>
      <c r="AI128" s="165"/>
      <c r="AJ128" s="11" t="s">
        <v>2491</v>
      </c>
      <c r="AK128" s="277"/>
      <c r="AL128" s="11"/>
      <c r="AM128" s="11"/>
      <c r="AN128" s="277"/>
      <c r="AO128" s="277"/>
      <c r="AP128" s="277"/>
      <c r="AQ128" s="277"/>
      <c r="AR128" s="338"/>
      <c r="AS128" s="275"/>
      <c r="AT128" s="306"/>
    </row>
    <row r="129" spans="1:46" s="262" customFormat="1" x14ac:dyDescent="0.25">
      <c r="A129" s="277"/>
      <c r="B129" s="367" t="s">
        <v>1795</v>
      </c>
      <c r="C129" s="367" t="s">
        <v>2137</v>
      </c>
      <c r="D129" s="277"/>
      <c r="E129" s="367" t="s">
        <v>2479</v>
      </c>
      <c r="F129" s="11" t="s">
        <v>1474</v>
      </c>
      <c r="G129" s="277" t="s">
        <v>1476</v>
      </c>
      <c r="H129" s="276"/>
      <c r="I129" s="276"/>
      <c r="J129" s="276"/>
      <c r="K129" s="276"/>
      <c r="L129" s="276"/>
      <c r="M129" s="276"/>
      <c r="N129" s="276"/>
      <c r="O129" s="276"/>
      <c r="P129" s="345">
        <f t="shared" si="5"/>
        <v>0</v>
      </c>
      <c r="Q129" s="277"/>
      <c r="R129" s="277"/>
      <c r="S129" s="277"/>
      <c r="T129" s="277"/>
      <c r="U129" s="277"/>
      <c r="V129" s="277"/>
      <c r="W129" s="277">
        <v>1</v>
      </c>
      <c r="X129" s="368">
        <v>43214</v>
      </c>
      <c r="Y129" s="346">
        <f t="shared" si="6"/>
        <v>1</v>
      </c>
      <c r="Z129" s="165"/>
      <c r="AA129" s="165"/>
      <c r="AB129" s="165"/>
      <c r="AC129" s="165"/>
      <c r="AD129" s="165"/>
      <c r="AE129" s="165"/>
      <c r="AF129" s="165"/>
      <c r="AG129" s="369"/>
      <c r="AH129" s="346">
        <f t="shared" si="7"/>
        <v>0</v>
      </c>
      <c r="AI129" s="165"/>
      <c r="AJ129" s="11" t="s">
        <v>2491</v>
      </c>
      <c r="AK129" s="277"/>
      <c r="AL129" s="11"/>
      <c r="AM129" s="11"/>
      <c r="AN129" s="277"/>
      <c r="AO129" s="277"/>
      <c r="AP129" s="277"/>
      <c r="AQ129" s="277"/>
      <c r="AR129" s="338"/>
      <c r="AS129" s="275"/>
      <c r="AT129" s="306"/>
    </row>
    <row r="130" spans="1:46" s="262" customFormat="1" x14ac:dyDescent="0.25">
      <c r="A130" s="277"/>
      <c r="B130" s="367" t="s">
        <v>1796</v>
      </c>
      <c r="C130" s="367" t="s">
        <v>2138</v>
      </c>
      <c r="D130" s="277"/>
      <c r="E130" s="367" t="s">
        <v>2480</v>
      </c>
      <c r="F130" s="11" t="s">
        <v>1474</v>
      </c>
      <c r="G130" s="277" t="s">
        <v>1476</v>
      </c>
      <c r="H130" s="276"/>
      <c r="I130" s="276"/>
      <c r="J130" s="276"/>
      <c r="K130" s="276"/>
      <c r="L130" s="276"/>
      <c r="M130" s="276"/>
      <c r="N130" s="276"/>
      <c r="O130" s="276"/>
      <c r="P130" s="345">
        <f t="shared" si="5"/>
        <v>0</v>
      </c>
      <c r="Q130" s="277"/>
      <c r="R130" s="277"/>
      <c r="S130" s="277"/>
      <c r="T130" s="277"/>
      <c r="U130" s="277"/>
      <c r="V130" s="277"/>
      <c r="W130" s="277">
        <v>1</v>
      </c>
      <c r="X130" s="368">
        <v>43214</v>
      </c>
      <c r="Y130" s="346">
        <f t="shared" si="6"/>
        <v>1</v>
      </c>
      <c r="Z130" s="165"/>
      <c r="AA130" s="165"/>
      <c r="AB130" s="165"/>
      <c r="AC130" s="165"/>
      <c r="AD130" s="165"/>
      <c r="AE130" s="165"/>
      <c r="AF130" s="165"/>
      <c r="AG130" s="369"/>
      <c r="AH130" s="346">
        <f t="shared" si="7"/>
        <v>0</v>
      </c>
      <c r="AI130" s="165"/>
      <c r="AJ130" s="11" t="s">
        <v>2491</v>
      </c>
      <c r="AK130" s="277"/>
      <c r="AL130" s="11"/>
      <c r="AM130" s="11"/>
      <c r="AN130" s="277"/>
      <c r="AO130" s="277"/>
      <c r="AP130" s="277"/>
      <c r="AQ130" s="277"/>
      <c r="AR130" s="338"/>
      <c r="AS130" s="275"/>
      <c r="AT130" s="306"/>
    </row>
    <row r="131" spans="1:46" s="262" customFormat="1" x14ac:dyDescent="0.25">
      <c r="A131" s="277"/>
      <c r="B131" s="367" t="s">
        <v>1797</v>
      </c>
      <c r="C131" s="367" t="s">
        <v>2139</v>
      </c>
      <c r="D131" s="277"/>
      <c r="E131" s="367" t="s">
        <v>2481</v>
      </c>
      <c r="F131" s="11" t="s">
        <v>1474</v>
      </c>
      <c r="G131" s="277" t="s">
        <v>1476</v>
      </c>
      <c r="H131" s="276"/>
      <c r="I131" s="276"/>
      <c r="J131" s="276"/>
      <c r="K131" s="276"/>
      <c r="L131" s="276"/>
      <c r="M131" s="276"/>
      <c r="N131" s="276"/>
      <c r="O131" s="276"/>
      <c r="P131" s="345">
        <f t="shared" si="5"/>
        <v>0</v>
      </c>
      <c r="Q131" s="277"/>
      <c r="R131" s="277"/>
      <c r="S131" s="277"/>
      <c r="T131" s="277"/>
      <c r="U131" s="277"/>
      <c r="V131" s="277"/>
      <c r="W131" s="277">
        <v>1</v>
      </c>
      <c r="X131" s="368">
        <v>43214</v>
      </c>
      <c r="Y131" s="346">
        <f t="shared" si="6"/>
        <v>1</v>
      </c>
      <c r="Z131" s="165"/>
      <c r="AA131" s="165"/>
      <c r="AB131" s="165"/>
      <c r="AC131" s="165"/>
      <c r="AD131" s="165"/>
      <c r="AE131" s="165"/>
      <c r="AF131" s="165"/>
      <c r="AG131" s="369"/>
      <c r="AH131" s="346">
        <f t="shared" si="7"/>
        <v>0</v>
      </c>
      <c r="AI131" s="165"/>
      <c r="AJ131" s="11" t="s">
        <v>2491</v>
      </c>
      <c r="AK131" s="277"/>
      <c r="AL131" s="11"/>
      <c r="AM131" s="11"/>
      <c r="AN131" s="277"/>
      <c r="AO131" s="277"/>
      <c r="AP131" s="277"/>
      <c r="AQ131" s="277"/>
      <c r="AR131" s="338"/>
      <c r="AS131" s="275"/>
      <c r="AT131" s="306"/>
    </row>
    <row r="132" spans="1:46" s="262" customFormat="1" x14ac:dyDescent="0.25">
      <c r="A132" s="277"/>
      <c r="B132" s="367" t="s">
        <v>1798</v>
      </c>
      <c r="C132" s="367" t="s">
        <v>2140</v>
      </c>
      <c r="D132" s="277"/>
      <c r="E132" s="367" t="s">
        <v>2482</v>
      </c>
      <c r="F132" s="11" t="s">
        <v>1474</v>
      </c>
      <c r="G132" s="277" t="s">
        <v>1476</v>
      </c>
      <c r="H132" s="276"/>
      <c r="I132" s="276"/>
      <c r="J132" s="276"/>
      <c r="K132" s="276"/>
      <c r="L132" s="276"/>
      <c r="M132" s="276"/>
      <c r="N132" s="276"/>
      <c r="O132" s="276"/>
      <c r="P132" s="345">
        <f t="shared" si="5"/>
        <v>0</v>
      </c>
      <c r="Q132" s="277"/>
      <c r="R132" s="277"/>
      <c r="S132" s="277"/>
      <c r="T132" s="277"/>
      <c r="U132" s="277"/>
      <c r="V132" s="277"/>
      <c r="W132" s="277">
        <v>1</v>
      </c>
      <c r="X132" s="368">
        <v>43214</v>
      </c>
      <c r="Y132" s="346">
        <f t="shared" si="6"/>
        <v>1</v>
      </c>
      <c r="Z132" s="165"/>
      <c r="AA132" s="165"/>
      <c r="AB132" s="165"/>
      <c r="AC132" s="165"/>
      <c r="AD132" s="165"/>
      <c r="AE132" s="165"/>
      <c r="AF132" s="165"/>
      <c r="AG132" s="369"/>
      <c r="AH132" s="346">
        <f t="shared" si="7"/>
        <v>0</v>
      </c>
      <c r="AI132" s="165"/>
      <c r="AJ132" s="11" t="s">
        <v>2491</v>
      </c>
      <c r="AK132" s="277"/>
      <c r="AL132" s="11"/>
      <c r="AM132" s="11"/>
      <c r="AN132" s="277"/>
      <c r="AO132" s="277"/>
      <c r="AP132" s="277"/>
      <c r="AQ132" s="277"/>
      <c r="AR132" s="338"/>
      <c r="AS132" s="275"/>
      <c r="AT132" s="306"/>
    </row>
    <row r="133" spans="1:46" s="262" customFormat="1" ht="26.4" x14ac:dyDescent="0.25">
      <c r="A133" s="277"/>
      <c r="B133" s="367" t="s">
        <v>1529</v>
      </c>
      <c r="C133" s="367" t="s">
        <v>1849</v>
      </c>
      <c r="D133" s="277"/>
      <c r="E133" s="367" t="s">
        <v>2191</v>
      </c>
      <c r="F133" s="11" t="s">
        <v>1474</v>
      </c>
      <c r="G133" s="277" t="s">
        <v>1476</v>
      </c>
      <c r="H133" s="276"/>
      <c r="I133" s="276"/>
      <c r="J133" s="276"/>
      <c r="K133" s="276"/>
      <c r="L133" s="276"/>
      <c r="M133" s="276"/>
      <c r="N133" s="276"/>
      <c r="O133" s="276"/>
      <c r="P133" s="345">
        <f t="shared" si="5"/>
        <v>0</v>
      </c>
      <c r="Q133" s="277"/>
      <c r="R133" s="277"/>
      <c r="S133" s="277"/>
      <c r="T133" s="277"/>
      <c r="U133" s="277"/>
      <c r="V133" s="277"/>
      <c r="W133" s="277">
        <v>1</v>
      </c>
      <c r="X133" s="368">
        <v>43229</v>
      </c>
      <c r="Y133" s="346">
        <f t="shared" si="6"/>
        <v>1</v>
      </c>
      <c r="Z133" s="165"/>
      <c r="AA133" s="165"/>
      <c r="AB133" s="165"/>
      <c r="AC133" s="165"/>
      <c r="AD133" s="165"/>
      <c r="AE133" s="165"/>
      <c r="AF133" s="165">
        <v>1</v>
      </c>
      <c r="AG133" s="368">
        <v>43476</v>
      </c>
      <c r="AH133" s="346">
        <f t="shared" si="7"/>
        <v>1</v>
      </c>
      <c r="AI133" s="165"/>
      <c r="AJ133" s="11" t="s">
        <v>2491</v>
      </c>
      <c r="AK133" s="277"/>
      <c r="AL133" s="11"/>
      <c r="AM133" s="11"/>
      <c r="AN133" s="277"/>
      <c r="AO133" s="277"/>
      <c r="AP133" s="277"/>
      <c r="AQ133" s="277"/>
      <c r="AR133" s="338"/>
      <c r="AS133" s="275"/>
      <c r="AT133" s="306"/>
    </row>
    <row r="134" spans="1:46" s="262" customFormat="1" ht="26.4" x14ac:dyDescent="0.25">
      <c r="A134" s="277"/>
      <c r="B134" s="367" t="s">
        <v>1530</v>
      </c>
      <c r="C134" s="367" t="s">
        <v>1850</v>
      </c>
      <c r="D134" s="277"/>
      <c r="E134" s="367" t="s">
        <v>2192</v>
      </c>
      <c r="F134" s="11" t="s">
        <v>1474</v>
      </c>
      <c r="G134" s="277" t="s">
        <v>1476</v>
      </c>
      <c r="H134" s="276"/>
      <c r="I134" s="276"/>
      <c r="J134" s="276"/>
      <c r="K134" s="276"/>
      <c r="L134" s="276"/>
      <c r="M134" s="276"/>
      <c r="N134" s="276"/>
      <c r="O134" s="276"/>
      <c r="P134" s="345">
        <f t="shared" si="5"/>
        <v>0</v>
      </c>
      <c r="Q134" s="277"/>
      <c r="R134" s="277"/>
      <c r="S134" s="277"/>
      <c r="T134" s="277"/>
      <c r="U134" s="277"/>
      <c r="V134" s="277"/>
      <c r="W134" s="277">
        <v>1</v>
      </c>
      <c r="X134" s="368">
        <v>43229</v>
      </c>
      <c r="Y134" s="346">
        <f t="shared" si="6"/>
        <v>1</v>
      </c>
      <c r="Z134" s="165"/>
      <c r="AA134" s="165"/>
      <c r="AB134" s="165"/>
      <c r="AC134" s="165"/>
      <c r="AD134" s="165"/>
      <c r="AE134" s="165"/>
      <c r="AF134" s="165">
        <v>1</v>
      </c>
      <c r="AG134" s="368">
        <v>43488</v>
      </c>
      <c r="AH134" s="346">
        <f t="shared" si="7"/>
        <v>1</v>
      </c>
      <c r="AI134" s="165"/>
      <c r="AJ134" s="11" t="s">
        <v>2491</v>
      </c>
      <c r="AK134" s="277"/>
      <c r="AL134" s="11"/>
      <c r="AM134" s="11"/>
      <c r="AN134" s="277"/>
      <c r="AO134" s="277"/>
      <c r="AP134" s="277"/>
      <c r="AQ134" s="277"/>
      <c r="AR134" s="338"/>
      <c r="AS134" s="275"/>
      <c r="AT134" s="306"/>
    </row>
    <row r="135" spans="1:46" s="262" customFormat="1" ht="26.4" x14ac:dyDescent="0.25">
      <c r="A135" s="277"/>
      <c r="B135" s="367" t="s">
        <v>1531</v>
      </c>
      <c r="C135" s="367" t="s">
        <v>1851</v>
      </c>
      <c r="D135" s="277"/>
      <c r="E135" s="367" t="s">
        <v>2193</v>
      </c>
      <c r="F135" s="11" t="s">
        <v>1474</v>
      </c>
      <c r="G135" s="277" t="s">
        <v>1476</v>
      </c>
      <c r="H135" s="276"/>
      <c r="I135" s="276"/>
      <c r="J135" s="276"/>
      <c r="K135" s="276"/>
      <c r="L135" s="276"/>
      <c r="M135" s="276"/>
      <c r="N135" s="276"/>
      <c r="O135" s="276"/>
      <c r="P135" s="345">
        <f t="shared" si="5"/>
        <v>0</v>
      </c>
      <c r="Q135" s="277"/>
      <c r="R135" s="277"/>
      <c r="S135" s="277"/>
      <c r="T135" s="277"/>
      <c r="U135" s="277"/>
      <c r="V135" s="277"/>
      <c r="W135" s="277">
        <v>1</v>
      </c>
      <c r="X135" s="368">
        <v>43229</v>
      </c>
      <c r="Y135" s="346">
        <f t="shared" si="6"/>
        <v>1</v>
      </c>
      <c r="Z135" s="165"/>
      <c r="AA135" s="165"/>
      <c r="AB135" s="165"/>
      <c r="AC135" s="165"/>
      <c r="AD135" s="165"/>
      <c r="AE135" s="165"/>
      <c r="AF135" s="165">
        <v>1</v>
      </c>
      <c r="AG135" s="368">
        <v>43479</v>
      </c>
      <c r="AH135" s="346">
        <f t="shared" si="7"/>
        <v>1</v>
      </c>
      <c r="AI135" s="165"/>
      <c r="AJ135" s="11" t="s">
        <v>2491</v>
      </c>
      <c r="AK135" s="277"/>
      <c r="AL135" s="11"/>
      <c r="AM135" s="11"/>
      <c r="AN135" s="277"/>
      <c r="AO135" s="277"/>
      <c r="AP135" s="277"/>
      <c r="AQ135" s="277"/>
      <c r="AR135" s="338"/>
      <c r="AS135" s="275"/>
      <c r="AT135" s="306"/>
    </row>
    <row r="136" spans="1:46" s="262" customFormat="1" ht="26.4" x14ac:dyDescent="0.25">
      <c r="A136" s="277"/>
      <c r="B136" s="367" t="s">
        <v>1743</v>
      </c>
      <c r="C136" s="367" t="s">
        <v>2077</v>
      </c>
      <c r="D136" s="277"/>
      <c r="E136" s="367" t="s">
        <v>2419</v>
      </c>
      <c r="F136" s="11" t="s">
        <v>1474</v>
      </c>
      <c r="G136" s="277" t="s">
        <v>1476</v>
      </c>
      <c r="H136" s="276"/>
      <c r="I136" s="276"/>
      <c r="J136" s="276"/>
      <c r="K136" s="276"/>
      <c r="L136" s="276"/>
      <c r="M136" s="276"/>
      <c r="N136" s="276"/>
      <c r="O136" s="276"/>
      <c r="P136" s="345">
        <f t="shared" si="5"/>
        <v>0</v>
      </c>
      <c r="Q136" s="277"/>
      <c r="R136" s="277"/>
      <c r="S136" s="277"/>
      <c r="T136" s="277"/>
      <c r="U136" s="277"/>
      <c r="V136" s="277"/>
      <c r="W136" s="277">
        <v>1</v>
      </c>
      <c r="X136" s="368">
        <v>43229</v>
      </c>
      <c r="Y136" s="346">
        <f t="shared" si="6"/>
        <v>1</v>
      </c>
      <c r="Z136" s="165"/>
      <c r="AA136" s="165"/>
      <c r="AB136" s="165"/>
      <c r="AC136" s="165"/>
      <c r="AD136" s="165"/>
      <c r="AE136" s="165"/>
      <c r="AF136" s="165"/>
      <c r="AG136" s="369"/>
      <c r="AH136" s="346">
        <f t="shared" si="7"/>
        <v>0</v>
      </c>
      <c r="AI136" s="165"/>
      <c r="AJ136" s="11" t="s">
        <v>2491</v>
      </c>
      <c r="AK136" s="277"/>
      <c r="AL136" s="11"/>
      <c r="AM136" s="11"/>
      <c r="AN136" s="277"/>
      <c r="AO136" s="277"/>
      <c r="AP136" s="277"/>
      <c r="AQ136" s="277"/>
      <c r="AR136" s="338"/>
      <c r="AS136" s="275"/>
      <c r="AT136" s="306"/>
    </row>
    <row r="137" spans="1:46" s="262" customFormat="1" ht="26.4" x14ac:dyDescent="0.25">
      <c r="A137" s="277"/>
      <c r="B137" s="367" t="s">
        <v>1744</v>
      </c>
      <c r="C137" s="367" t="s">
        <v>2078</v>
      </c>
      <c r="D137" s="277"/>
      <c r="E137" s="367" t="s">
        <v>2420</v>
      </c>
      <c r="F137" s="11" t="s">
        <v>1474</v>
      </c>
      <c r="G137" s="277" t="s">
        <v>1476</v>
      </c>
      <c r="H137" s="276"/>
      <c r="I137" s="276"/>
      <c r="J137" s="276"/>
      <c r="K137" s="276"/>
      <c r="L137" s="276"/>
      <c r="M137" s="276"/>
      <c r="N137" s="276"/>
      <c r="O137" s="276"/>
      <c r="P137" s="345">
        <f t="shared" si="5"/>
        <v>0</v>
      </c>
      <c r="Q137" s="277"/>
      <c r="R137" s="277"/>
      <c r="S137" s="277"/>
      <c r="T137" s="277"/>
      <c r="U137" s="277"/>
      <c r="V137" s="277"/>
      <c r="W137" s="277">
        <v>1</v>
      </c>
      <c r="X137" s="368">
        <v>43229</v>
      </c>
      <c r="Y137" s="346">
        <f t="shared" si="6"/>
        <v>1</v>
      </c>
      <c r="Z137" s="165"/>
      <c r="AA137" s="165"/>
      <c r="AB137" s="165"/>
      <c r="AC137" s="165"/>
      <c r="AD137" s="165"/>
      <c r="AE137" s="165"/>
      <c r="AF137" s="165"/>
      <c r="AG137" s="369"/>
      <c r="AH137" s="346">
        <f t="shared" si="7"/>
        <v>0</v>
      </c>
      <c r="AI137" s="165"/>
      <c r="AJ137" s="11" t="s">
        <v>2491</v>
      </c>
      <c r="AK137" s="277"/>
      <c r="AL137" s="11"/>
      <c r="AM137" s="11"/>
      <c r="AN137" s="277"/>
      <c r="AO137" s="277"/>
      <c r="AP137" s="277"/>
      <c r="AQ137" s="277"/>
      <c r="AR137" s="338"/>
      <c r="AS137" s="275"/>
      <c r="AT137" s="306"/>
    </row>
    <row r="138" spans="1:46" s="262" customFormat="1" ht="26.4" x14ac:dyDescent="0.25">
      <c r="A138" s="277"/>
      <c r="B138" s="367" t="s">
        <v>1745</v>
      </c>
      <c r="C138" s="367" t="s">
        <v>2079</v>
      </c>
      <c r="D138" s="277"/>
      <c r="E138" s="367" t="s">
        <v>2421</v>
      </c>
      <c r="F138" s="11" t="s">
        <v>1474</v>
      </c>
      <c r="G138" s="277" t="s">
        <v>1476</v>
      </c>
      <c r="H138" s="276"/>
      <c r="I138" s="276"/>
      <c r="J138" s="276"/>
      <c r="K138" s="276"/>
      <c r="L138" s="276"/>
      <c r="M138" s="276"/>
      <c r="N138" s="276"/>
      <c r="O138" s="276"/>
      <c r="P138" s="345">
        <f t="shared" si="5"/>
        <v>0</v>
      </c>
      <c r="Q138" s="277"/>
      <c r="R138" s="277"/>
      <c r="S138" s="277"/>
      <c r="T138" s="277"/>
      <c r="U138" s="277"/>
      <c r="V138" s="277"/>
      <c r="W138" s="277">
        <v>1</v>
      </c>
      <c r="X138" s="368">
        <v>43229</v>
      </c>
      <c r="Y138" s="346">
        <f t="shared" si="6"/>
        <v>1</v>
      </c>
      <c r="Z138" s="165"/>
      <c r="AA138" s="165"/>
      <c r="AB138" s="165"/>
      <c r="AC138" s="165"/>
      <c r="AD138" s="165"/>
      <c r="AE138" s="165"/>
      <c r="AF138" s="165"/>
      <c r="AG138" s="369"/>
      <c r="AH138" s="346">
        <f t="shared" si="7"/>
        <v>0</v>
      </c>
      <c r="AI138" s="165"/>
      <c r="AJ138" s="11" t="s">
        <v>2491</v>
      </c>
      <c r="AK138" s="277"/>
      <c r="AL138" s="11"/>
      <c r="AM138" s="11"/>
      <c r="AN138" s="277"/>
      <c r="AO138" s="277"/>
      <c r="AP138" s="277"/>
      <c r="AQ138" s="277"/>
      <c r="AR138" s="338"/>
      <c r="AS138" s="275"/>
      <c r="AT138" s="306"/>
    </row>
    <row r="139" spans="1:46" s="262" customFormat="1" ht="26.4" x14ac:dyDescent="0.25">
      <c r="A139" s="277"/>
      <c r="B139" s="367" t="s">
        <v>1746</v>
      </c>
      <c r="C139" s="367" t="s">
        <v>2080</v>
      </c>
      <c r="D139" s="277"/>
      <c r="E139" s="367" t="s">
        <v>2422</v>
      </c>
      <c r="F139" s="11" t="s">
        <v>1474</v>
      </c>
      <c r="G139" s="277" t="s">
        <v>1476</v>
      </c>
      <c r="H139" s="276"/>
      <c r="I139" s="276"/>
      <c r="J139" s="276"/>
      <c r="K139" s="276"/>
      <c r="L139" s="276"/>
      <c r="M139" s="276"/>
      <c r="N139" s="276"/>
      <c r="O139" s="276"/>
      <c r="P139" s="345">
        <f t="shared" si="5"/>
        <v>0</v>
      </c>
      <c r="Q139" s="277"/>
      <c r="R139" s="277"/>
      <c r="S139" s="277"/>
      <c r="T139" s="277"/>
      <c r="U139" s="277"/>
      <c r="V139" s="277"/>
      <c r="W139" s="277">
        <v>1</v>
      </c>
      <c r="X139" s="368">
        <v>43229</v>
      </c>
      <c r="Y139" s="346">
        <f t="shared" si="6"/>
        <v>1</v>
      </c>
      <c r="Z139" s="165"/>
      <c r="AA139" s="165"/>
      <c r="AB139" s="165"/>
      <c r="AC139" s="165"/>
      <c r="AD139" s="165"/>
      <c r="AE139" s="165"/>
      <c r="AF139" s="165"/>
      <c r="AG139" s="369"/>
      <c r="AH139" s="346">
        <f t="shared" si="7"/>
        <v>0</v>
      </c>
      <c r="AI139" s="165"/>
      <c r="AJ139" s="11" t="s">
        <v>2491</v>
      </c>
      <c r="AK139" s="277"/>
      <c r="AL139" s="11"/>
      <c r="AM139" s="11"/>
      <c r="AN139" s="277"/>
      <c r="AO139" s="277"/>
      <c r="AP139" s="277"/>
      <c r="AQ139" s="277"/>
      <c r="AR139" s="338"/>
      <c r="AS139" s="275"/>
      <c r="AT139" s="306"/>
    </row>
    <row r="140" spans="1:46" s="262" customFormat="1" ht="26.4" x14ac:dyDescent="0.25">
      <c r="A140" s="277"/>
      <c r="B140" s="367" t="s">
        <v>1747</v>
      </c>
      <c r="C140" s="367" t="s">
        <v>2081</v>
      </c>
      <c r="D140" s="277"/>
      <c r="E140" s="367" t="s">
        <v>2423</v>
      </c>
      <c r="F140" s="11" t="s">
        <v>1474</v>
      </c>
      <c r="G140" s="277" t="s">
        <v>1476</v>
      </c>
      <c r="H140" s="276"/>
      <c r="I140" s="276"/>
      <c r="J140" s="276"/>
      <c r="K140" s="276"/>
      <c r="L140" s="276"/>
      <c r="M140" s="276"/>
      <c r="N140" s="276"/>
      <c r="O140" s="276"/>
      <c r="P140" s="345">
        <f t="shared" si="5"/>
        <v>0</v>
      </c>
      <c r="Q140" s="277"/>
      <c r="R140" s="277"/>
      <c r="S140" s="277"/>
      <c r="T140" s="277"/>
      <c r="U140" s="277"/>
      <c r="V140" s="277"/>
      <c r="W140" s="277">
        <v>1</v>
      </c>
      <c r="X140" s="368">
        <v>43229</v>
      </c>
      <c r="Y140" s="346">
        <f t="shared" si="6"/>
        <v>1</v>
      </c>
      <c r="Z140" s="165"/>
      <c r="AA140" s="165"/>
      <c r="AB140" s="165"/>
      <c r="AC140" s="165"/>
      <c r="AD140" s="165"/>
      <c r="AE140" s="165"/>
      <c r="AF140" s="165"/>
      <c r="AG140" s="369"/>
      <c r="AH140" s="346">
        <f t="shared" si="7"/>
        <v>0</v>
      </c>
      <c r="AI140" s="165"/>
      <c r="AJ140" s="11" t="s">
        <v>2491</v>
      </c>
      <c r="AK140" s="277"/>
      <c r="AL140" s="11"/>
      <c r="AM140" s="11"/>
      <c r="AN140" s="277"/>
      <c r="AO140" s="277"/>
      <c r="AP140" s="277"/>
      <c r="AQ140" s="277"/>
      <c r="AR140" s="338"/>
      <c r="AS140" s="275"/>
      <c r="AT140" s="306"/>
    </row>
    <row r="141" spans="1:46" s="262" customFormat="1" x14ac:dyDescent="0.25">
      <c r="A141" s="277"/>
      <c r="B141" s="367" t="s">
        <v>1511</v>
      </c>
      <c r="C141" s="367" t="s">
        <v>1831</v>
      </c>
      <c r="D141" s="277"/>
      <c r="E141" s="367" t="s">
        <v>2173</v>
      </c>
      <c r="F141" s="11" t="s">
        <v>1474</v>
      </c>
      <c r="G141" s="277" t="s">
        <v>1476</v>
      </c>
      <c r="H141" s="276"/>
      <c r="I141" s="276"/>
      <c r="J141" s="276"/>
      <c r="K141" s="276"/>
      <c r="L141" s="276"/>
      <c r="M141" s="276"/>
      <c r="N141" s="276"/>
      <c r="O141" s="276"/>
      <c r="P141" s="345">
        <f t="shared" ref="P141:P204" si="8">SUM(H141:N141)</f>
        <v>0</v>
      </c>
      <c r="Q141" s="277"/>
      <c r="R141" s="277"/>
      <c r="S141" s="277"/>
      <c r="T141" s="277"/>
      <c r="U141" s="277"/>
      <c r="V141" s="277"/>
      <c r="W141" s="277">
        <v>1</v>
      </c>
      <c r="X141" s="368">
        <v>43242</v>
      </c>
      <c r="Y141" s="346">
        <f t="shared" ref="Y141:Y204" si="9">SUM(Q141:W141)</f>
        <v>1</v>
      </c>
      <c r="Z141" s="165"/>
      <c r="AA141" s="165"/>
      <c r="AB141" s="165"/>
      <c r="AC141" s="165"/>
      <c r="AD141" s="165"/>
      <c r="AE141" s="165"/>
      <c r="AF141" s="165">
        <v>1</v>
      </c>
      <c r="AG141" s="368">
        <v>43425</v>
      </c>
      <c r="AH141" s="346">
        <f t="shared" si="7"/>
        <v>1</v>
      </c>
      <c r="AI141" s="165"/>
      <c r="AJ141" s="11" t="s">
        <v>2491</v>
      </c>
      <c r="AK141" s="277"/>
      <c r="AL141" s="11"/>
      <c r="AM141" s="11"/>
      <c r="AN141" s="277"/>
      <c r="AO141" s="277"/>
      <c r="AP141" s="277"/>
      <c r="AQ141" s="277"/>
      <c r="AR141" s="338"/>
      <c r="AS141" s="275"/>
      <c r="AT141" s="306"/>
    </row>
    <row r="142" spans="1:46" s="262" customFormat="1" x14ac:dyDescent="0.25">
      <c r="A142" s="277"/>
      <c r="B142" s="367" t="s">
        <v>1512</v>
      </c>
      <c r="C142" s="367" t="s">
        <v>1832</v>
      </c>
      <c r="D142" s="277"/>
      <c r="E142" s="367" t="s">
        <v>2174</v>
      </c>
      <c r="F142" s="11" t="s">
        <v>1474</v>
      </c>
      <c r="G142" s="277" t="s">
        <v>1476</v>
      </c>
      <c r="H142" s="276"/>
      <c r="I142" s="276"/>
      <c r="J142" s="276"/>
      <c r="K142" s="276"/>
      <c r="L142" s="276"/>
      <c r="M142" s="276"/>
      <c r="N142" s="276"/>
      <c r="O142" s="276"/>
      <c r="P142" s="345">
        <f t="shared" si="8"/>
        <v>0</v>
      </c>
      <c r="Q142" s="277"/>
      <c r="R142" s="277"/>
      <c r="S142" s="277"/>
      <c r="T142" s="277"/>
      <c r="U142" s="277"/>
      <c r="V142" s="277"/>
      <c r="W142" s="277">
        <v>1</v>
      </c>
      <c r="X142" s="368">
        <v>43242</v>
      </c>
      <c r="Y142" s="346">
        <f t="shared" si="9"/>
        <v>1</v>
      </c>
      <c r="Z142" s="165"/>
      <c r="AA142" s="165"/>
      <c r="AB142" s="165"/>
      <c r="AC142" s="165"/>
      <c r="AD142" s="165"/>
      <c r="AE142" s="165"/>
      <c r="AF142" s="165">
        <v>1</v>
      </c>
      <c r="AG142" s="368">
        <v>43461</v>
      </c>
      <c r="AH142" s="346">
        <f t="shared" si="7"/>
        <v>1</v>
      </c>
      <c r="AI142" s="165"/>
      <c r="AJ142" s="11" t="s">
        <v>2491</v>
      </c>
      <c r="AK142" s="277"/>
      <c r="AL142" s="11"/>
      <c r="AM142" s="11"/>
      <c r="AN142" s="277"/>
      <c r="AO142" s="277"/>
      <c r="AP142" s="277"/>
      <c r="AQ142" s="277"/>
      <c r="AR142" s="338"/>
      <c r="AS142" s="275"/>
      <c r="AT142" s="306"/>
    </row>
    <row r="143" spans="1:46" s="262" customFormat="1" x14ac:dyDescent="0.25">
      <c r="A143" s="277"/>
      <c r="B143" s="367" t="s">
        <v>1513</v>
      </c>
      <c r="C143" s="367" t="s">
        <v>1833</v>
      </c>
      <c r="D143" s="277"/>
      <c r="E143" s="367" t="s">
        <v>2175</v>
      </c>
      <c r="F143" s="11" t="s">
        <v>1474</v>
      </c>
      <c r="G143" s="277" t="s">
        <v>1476</v>
      </c>
      <c r="H143" s="276"/>
      <c r="I143" s="276"/>
      <c r="J143" s="276"/>
      <c r="K143" s="276"/>
      <c r="L143" s="276"/>
      <c r="M143" s="276"/>
      <c r="N143" s="276"/>
      <c r="O143" s="276"/>
      <c r="P143" s="345">
        <f t="shared" si="8"/>
        <v>0</v>
      </c>
      <c r="Q143" s="277"/>
      <c r="R143" s="277"/>
      <c r="S143" s="277"/>
      <c r="T143" s="277"/>
      <c r="U143" s="277"/>
      <c r="V143" s="277"/>
      <c r="W143" s="277">
        <v>1</v>
      </c>
      <c r="X143" s="368">
        <v>43242</v>
      </c>
      <c r="Y143" s="346">
        <f t="shared" si="9"/>
        <v>1</v>
      </c>
      <c r="Z143" s="165"/>
      <c r="AA143" s="165"/>
      <c r="AB143" s="165"/>
      <c r="AC143" s="165"/>
      <c r="AD143" s="165"/>
      <c r="AE143" s="165"/>
      <c r="AF143" s="165">
        <v>1</v>
      </c>
      <c r="AG143" s="368">
        <v>43461</v>
      </c>
      <c r="AH143" s="346">
        <f t="shared" si="7"/>
        <v>1</v>
      </c>
      <c r="AI143" s="165"/>
      <c r="AJ143" s="11" t="s">
        <v>2491</v>
      </c>
      <c r="AK143" s="277"/>
      <c r="AL143" s="11"/>
      <c r="AM143" s="11"/>
      <c r="AN143" s="277"/>
      <c r="AO143" s="277"/>
      <c r="AP143" s="277"/>
      <c r="AQ143" s="277"/>
      <c r="AR143" s="338"/>
      <c r="AS143" s="275"/>
      <c r="AT143" s="306"/>
    </row>
    <row r="144" spans="1:46" s="262" customFormat="1" x14ac:dyDescent="0.25">
      <c r="A144" s="277"/>
      <c r="B144" s="367" t="s">
        <v>1724</v>
      </c>
      <c r="C144" s="367" t="s">
        <v>2058</v>
      </c>
      <c r="D144" s="277"/>
      <c r="E144" s="367" t="s">
        <v>2400</v>
      </c>
      <c r="F144" s="11" t="s">
        <v>1474</v>
      </c>
      <c r="G144" s="277" t="s">
        <v>1476</v>
      </c>
      <c r="H144" s="276"/>
      <c r="I144" s="276"/>
      <c r="J144" s="276"/>
      <c r="K144" s="276"/>
      <c r="L144" s="276"/>
      <c r="M144" s="276"/>
      <c r="N144" s="276"/>
      <c r="O144" s="276"/>
      <c r="P144" s="345">
        <f t="shared" si="8"/>
        <v>0</v>
      </c>
      <c r="Q144" s="277"/>
      <c r="R144" s="277"/>
      <c r="S144" s="277"/>
      <c r="T144" s="277"/>
      <c r="U144" s="277"/>
      <c r="V144" s="277"/>
      <c r="W144" s="277">
        <v>1</v>
      </c>
      <c r="X144" s="368">
        <v>43242</v>
      </c>
      <c r="Y144" s="346">
        <f t="shared" si="9"/>
        <v>1</v>
      </c>
      <c r="Z144" s="165"/>
      <c r="AA144" s="165"/>
      <c r="AB144" s="165"/>
      <c r="AC144" s="165"/>
      <c r="AD144" s="165"/>
      <c r="AE144" s="165"/>
      <c r="AF144" s="165"/>
      <c r="AG144" s="369"/>
      <c r="AH144" s="346">
        <f t="shared" si="7"/>
        <v>0</v>
      </c>
      <c r="AI144" s="165"/>
      <c r="AJ144" s="11" t="s">
        <v>2491</v>
      </c>
      <c r="AK144" s="277"/>
      <c r="AL144" s="11"/>
      <c r="AM144" s="11"/>
      <c r="AN144" s="277"/>
      <c r="AO144" s="277"/>
      <c r="AP144" s="277"/>
      <c r="AQ144" s="277"/>
      <c r="AR144" s="338"/>
      <c r="AS144" s="275"/>
      <c r="AT144" s="306"/>
    </row>
    <row r="145" spans="1:46" s="262" customFormat="1" x14ac:dyDescent="0.25">
      <c r="A145" s="277"/>
      <c r="B145" s="367" t="s">
        <v>1725</v>
      </c>
      <c r="C145" s="367" t="s">
        <v>2059</v>
      </c>
      <c r="D145" s="277"/>
      <c r="E145" s="367" t="s">
        <v>2401</v>
      </c>
      <c r="F145" s="11" t="s">
        <v>1474</v>
      </c>
      <c r="G145" s="277" t="s">
        <v>1476</v>
      </c>
      <c r="H145" s="276"/>
      <c r="I145" s="276"/>
      <c r="J145" s="276"/>
      <c r="K145" s="276"/>
      <c r="L145" s="276"/>
      <c r="M145" s="276"/>
      <c r="N145" s="276"/>
      <c r="O145" s="276"/>
      <c r="P145" s="345">
        <f t="shared" si="8"/>
        <v>0</v>
      </c>
      <c r="Q145" s="277"/>
      <c r="R145" s="277"/>
      <c r="S145" s="277"/>
      <c r="T145" s="277"/>
      <c r="U145" s="277"/>
      <c r="V145" s="277"/>
      <c r="W145" s="277">
        <v>1</v>
      </c>
      <c r="X145" s="368">
        <v>43242</v>
      </c>
      <c r="Y145" s="346">
        <f t="shared" si="9"/>
        <v>1</v>
      </c>
      <c r="Z145" s="165"/>
      <c r="AA145" s="165"/>
      <c r="AB145" s="165"/>
      <c r="AC145" s="165"/>
      <c r="AD145" s="165"/>
      <c r="AE145" s="165"/>
      <c r="AF145" s="165"/>
      <c r="AG145" s="369"/>
      <c r="AH145" s="346">
        <f t="shared" si="7"/>
        <v>0</v>
      </c>
      <c r="AI145" s="165"/>
      <c r="AJ145" s="11" t="s">
        <v>2491</v>
      </c>
      <c r="AK145" s="277"/>
      <c r="AL145" s="11"/>
      <c r="AM145" s="11"/>
      <c r="AN145" s="277"/>
      <c r="AO145" s="277"/>
      <c r="AP145" s="277"/>
      <c r="AQ145" s="277"/>
      <c r="AR145" s="338"/>
      <c r="AS145" s="275"/>
      <c r="AT145" s="306"/>
    </row>
    <row r="146" spans="1:46" s="262" customFormat="1" x14ac:dyDescent="0.25">
      <c r="A146" s="277"/>
      <c r="B146" s="367" t="s">
        <v>1726</v>
      </c>
      <c r="C146" s="367" t="s">
        <v>2060</v>
      </c>
      <c r="D146" s="277"/>
      <c r="E146" s="367" t="s">
        <v>2402</v>
      </c>
      <c r="F146" s="11" t="s">
        <v>1474</v>
      </c>
      <c r="G146" s="277" t="s">
        <v>1476</v>
      </c>
      <c r="H146" s="276"/>
      <c r="I146" s="276"/>
      <c r="J146" s="276"/>
      <c r="K146" s="276"/>
      <c r="L146" s="276"/>
      <c r="M146" s="276"/>
      <c r="N146" s="276"/>
      <c r="O146" s="276"/>
      <c r="P146" s="345">
        <f t="shared" si="8"/>
        <v>0</v>
      </c>
      <c r="Q146" s="277"/>
      <c r="R146" s="277"/>
      <c r="S146" s="277"/>
      <c r="T146" s="277"/>
      <c r="U146" s="277"/>
      <c r="V146" s="277"/>
      <c r="W146" s="277">
        <v>1</v>
      </c>
      <c r="X146" s="368">
        <v>43242</v>
      </c>
      <c r="Y146" s="346">
        <f t="shared" si="9"/>
        <v>1</v>
      </c>
      <c r="Z146" s="165"/>
      <c r="AA146" s="165"/>
      <c r="AB146" s="165"/>
      <c r="AC146" s="165"/>
      <c r="AD146" s="165"/>
      <c r="AE146" s="165"/>
      <c r="AF146" s="165"/>
      <c r="AG146" s="369"/>
      <c r="AH146" s="346">
        <f t="shared" si="7"/>
        <v>0</v>
      </c>
      <c r="AI146" s="165"/>
      <c r="AJ146" s="11" t="s">
        <v>2491</v>
      </c>
      <c r="AK146" s="277"/>
      <c r="AL146" s="11"/>
      <c r="AM146" s="11"/>
      <c r="AN146" s="277"/>
      <c r="AO146" s="277"/>
      <c r="AP146" s="277"/>
      <c r="AQ146" s="277"/>
      <c r="AR146" s="338"/>
      <c r="AS146" s="275"/>
      <c r="AT146" s="306"/>
    </row>
    <row r="147" spans="1:46" s="262" customFormat="1" x14ac:dyDescent="0.25">
      <c r="A147" s="277"/>
      <c r="B147" s="367" t="s">
        <v>1727</v>
      </c>
      <c r="C147" s="367" t="s">
        <v>2061</v>
      </c>
      <c r="D147" s="277"/>
      <c r="E147" s="367" t="s">
        <v>2403</v>
      </c>
      <c r="F147" s="11" t="s">
        <v>1474</v>
      </c>
      <c r="G147" s="277" t="s">
        <v>1476</v>
      </c>
      <c r="H147" s="276"/>
      <c r="I147" s="276"/>
      <c r="J147" s="276"/>
      <c r="K147" s="276"/>
      <c r="L147" s="276"/>
      <c r="M147" s="276"/>
      <c r="N147" s="276"/>
      <c r="O147" s="276"/>
      <c r="P147" s="345">
        <f t="shared" si="8"/>
        <v>0</v>
      </c>
      <c r="Q147" s="277"/>
      <c r="R147" s="277"/>
      <c r="S147" s="277"/>
      <c r="T147" s="277"/>
      <c r="U147" s="277"/>
      <c r="V147" s="277"/>
      <c r="W147" s="277">
        <v>1</v>
      </c>
      <c r="X147" s="368">
        <v>43242</v>
      </c>
      <c r="Y147" s="346">
        <f t="shared" si="9"/>
        <v>1</v>
      </c>
      <c r="Z147" s="165"/>
      <c r="AA147" s="165"/>
      <c r="AB147" s="165"/>
      <c r="AC147" s="165"/>
      <c r="AD147" s="165"/>
      <c r="AE147" s="165"/>
      <c r="AF147" s="165"/>
      <c r="AG147" s="369"/>
      <c r="AH147" s="346">
        <f t="shared" si="7"/>
        <v>0</v>
      </c>
      <c r="AI147" s="165"/>
      <c r="AJ147" s="11" t="s">
        <v>2491</v>
      </c>
      <c r="AK147" s="277"/>
      <c r="AL147" s="11"/>
      <c r="AM147" s="11"/>
      <c r="AN147" s="277"/>
      <c r="AO147" s="277"/>
      <c r="AP147" s="277"/>
      <c r="AQ147" s="277"/>
      <c r="AR147" s="338"/>
      <c r="AS147" s="275"/>
      <c r="AT147" s="306"/>
    </row>
    <row r="148" spans="1:46" s="262" customFormat="1" x14ac:dyDescent="0.25">
      <c r="A148" s="277"/>
      <c r="B148" s="367" t="s">
        <v>1728</v>
      </c>
      <c r="C148" s="367" t="s">
        <v>2062</v>
      </c>
      <c r="D148" s="277"/>
      <c r="E148" s="367" t="s">
        <v>2404</v>
      </c>
      <c r="F148" s="11" t="s">
        <v>1474</v>
      </c>
      <c r="G148" s="277" t="s">
        <v>1476</v>
      </c>
      <c r="H148" s="276"/>
      <c r="I148" s="276"/>
      <c r="J148" s="276"/>
      <c r="K148" s="276"/>
      <c r="L148" s="276"/>
      <c r="M148" s="276"/>
      <c r="N148" s="276"/>
      <c r="O148" s="276"/>
      <c r="P148" s="345">
        <f t="shared" si="8"/>
        <v>0</v>
      </c>
      <c r="Q148" s="277"/>
      <c r="R148" s="277"/>
      <c r="S148" s="277"/>
      <c r="T148" s="277"/>
      <c r="U148" s="277"/>
      <c r="V148" s="277"/>
      <c r="W148" s="277">
        <v>1</v>
      </c>
      <c r="X148" s="368">
        <v>43242</v>
      </c>
      <c r="Y148" s="346">
        <f t="shared" si="9"/>
        <v>1</v>
      </c>
      <c r="Z148" s="165"/>
      <c r="AA148" s="165"/>
      <c r="AB148" s="165"/>
      <c r="AC148" s="165"/>
      <c r="AD148" s="165"/>
      <c r="AE148" s="165"/>
      <c r="AF148" s="165"/>
      <c r="AG148" s="369"/>
      <c r="AH148" s="346">
        <f t="shared" si="7"/>
        <v>0</v>
      </c>
      <c r="AI148" s="165"/>
      <c r="AJ148" s="11" t="s">
        <v>2491</v>
      </c>
      <c r="AK148" s="277"/>
      <c r="AL148" s="11"/>
      <c r="AM148" s="11"/>
      <c r="AN148" s="277"/>
      <c r="AO148" s="277"/>
      <c r="AP148" s="277"/>
      <c r="AQ148" s="277"/>
      <c r="AR148" s="338"/>
      <c r="AS148" s="275"/>
      <c r="AT148" s="306"/>
    </row>
    <row r="149" spans="1:46" s="262" customFormat="1" ht="26.4" x14ac:dyDescent="0.25">
      <c r="A149" s="277"/>
      <c r="B149" s="367" t="s">
        <v>1755</v>
      </c>
      <c r="C149" s="367" t="s">
        <v>2089</v>
      </c>
      <c r="D149" s="277"/>
      <c r="E149" s="367" t="s">
        <v>2431</v>
      </c>
      <c r="F149" s="11" t="s">
        <v>1474</v>
      </c>
      <c r="G149" s="277" t="s">
        <v>1476</v>
      </c>
      <c r="H149" s="276"/>
      <c r="I149" s="276"/>
      <c r="J149" s="276"/>
      <c r="K149" s="276"/>
      <c r="L149" s="276"/>
      <c r="M149" s="276"/>
      <c r="N149" s="276"/>
      <c r="O149" s="276"/>
      <c r="P149" s="345">
        <f t="shared" si="8"/>
        <v>0</v>
      </c>
      <c r="Q149" s="277"/>
      <c r="R149" s="277"/>
      <c r="S149" s="277"/>
      <c r="T149" s="277"/>
      <c r="U149" s="277"/>
      <c r="V149" s="277"/>
      <c r="W149" s="277">
        <v>1</v>
      </c>
      <c r="X149" s="368">
        <v>43278</v>
      </c>
      <c r="Y149" s="346">
        <f t="shared" si="9"/>
        <v>1</v>
      </c>
      <c r="Z149" s="165"/>
      <c r="AA149" s="165"/>
      <c r="AB149" s="165"/>
      <c r="AC149" s="165"/>
      <c r="AD149" s="165"/>
      <c r="AE149" s="165"/>
      <c r="AF149" s="165"/>
      <c r="AG149" s="369"/>
      <c r="AH149" s="346">
        <f t="shared" si="7"/>
        <v>0</v>
      </c>
      <c r="AI149" s="165"/>
      <c r="AJ149" s="11" t="s">
        <v>2491</v>
      </c>
      <c r="AK149" s="277"/>
      <c r="AL149" s="11"/>
      <c r="AM149" s="11"/>
      <c r="AN149" s="277"/>
      <c r="AO149" s="277"/>
      <c r="AP149" s="277"/>
      <c r="AQ149" s="277"/>
      <c r="AR149" s="338"/>
      <c r="AS149" s="275"/>
      <c r="AT149" s="306"/>
    </row>
    <row r="150" spans="1:46" s="262" customFormat="1" x14ac:dyDescent="0.25">
      <c r="A150" s="277"/>
      <c r="B150" s="367" t="s">
        <v>1756</v>
      </c>
      <c r="C150" s="367" t="s">
        <v>2090</v>
      </c>
      <c r="D150" s="277"/>
      <c r="E150" s="367" t="s">
        <v>2432</v>
      </c>
      <c r="F150" s="11" t="s">
        <v>1474</v>
      </c>
      <c r="G150" s="277" t="s">
        <v>1476</v>
      </c>
      <c r="H150" s="276"/>
      <c r="I150" s="276"/>
      <c r="J150" s="276"/>
      <c r="K150" s="276"/>
      <c r="L150" s="276"/>
      <c r="M150" s="276"/>
      <c r="N150" s="276"/>
      <c r="O150" s="276"/>
      <c r="P150" s="345">
        <f t="shared" si="8"/>
        <v>0</v>
      </c>
      <c r="Q150" s="277"/>
      <c r="R150" s="277"/>
      <c r="S150" s="277"/>
      <c r="T150" s="277"/>
      <c r="U150" s="277"/>
      <c r="V150" s="277"/>
      <c r="W150" s="277">
        <v>1</v>
      </c>
      <c r="X150" s="368">
        <v>43278</v>
      </c>
      <c r="Y150" s="346">
        <f t="shared" si="9"/>
        <v>1</v>
      </c>
      <c r="Z150" s="165"/>
      <c r="AA150" s="165"/>
      <c r="AB150" s="165"/>
      <c r="AC150" s="165"/>
      <c r="AD150" s="165"/>
      <c r="AE150" s="165"/>
      <c r="AF150" s="165"/>
      <c r="AG150" s="369"/>
      <c r="AH150" s="346">
        <f t="shared" si="7"/>
        <v>0</v>
      </c>
      <c r="AI150" s="165"/>
      <c r="AJ150" s="11" t="s">
        <v>2491</v>
      </c>
      <c r="AK150" s="277"/>
      <c r="AL150" s="11"/>
      <c r="AM150" s="11"/>
      <c r="AN150" s="277"/>
      <c r="AO150" s="277"/>
      <c r="AP150" s="277"/>
      <c r="AQ150" s="277"/>
      <c r="AR150" s="338"/>
      <c r="AS150" s="275"/>
      <c r="AT150" s="306"/>
    </row>
    <row r="151" spans="1:46" s="262" customFormat="1" x14ac:dyDescent="0.25">
      <c r="A151" s="277"/>
      <c r="B151" s="367" t="s">
        <v>1757</v>
      </c>
      <c r="C151" s="367" t="s">
        <v>2091</v>
      </c>
      <c r="D151" s="277"/>
      <c r="E151" s="367" t="s">
        <v>2433</v>
      </c>
      <c r="F151" s="11" t="s">
        <v>1474</v>
      </c>
      <c r="G151" s="277" t="s">
        <v>1476</v>
      </c>
      <c r="H151" s="276"/>
      <c r="I151" s="276"/>
      <c r="J151" s="276"/>
      <c r="K151" s="276"/>
      <c r="L151" s="276"/>
      <c r="M151" s="276"/>
      <c r="N151" s="276"/>
      <c r="O151" s="276"/>
      <c r="P151" s="345">
        <f t="shared" si="8"/>
        <v>0</v>
      </c>
      <c r="Q151" s="277"/>
      <c r="R151" s="277"/>
      <c r="S151" s="277"/>
      <c r="T151" s="277"/>
      <c r="U151" s="277"/>
      <c r="V151" s="277"/>
      <c r="W151" s="277">
        <v>1</v>
      </c>
      <c r="X151" s="368">
        <v>43278</v>
      </c>
      <c r="Y151" s="346">
        <f t="shared" si="9"/>
        <v>1</v>
      </c>
      <c r="Z151" s="165"/>
      <c r="AA151" s="165"/>
      <c r="AB151" s="165"/>
      <c r="AC151" s="165"/>
      <c r="AD151" s="165"/>
      <c r="AE151" s="165"/>
      <c r="AF151" s="165"/>
      <c r="AG151" s="369"/>
      <c r="AH151" s="346">
        <f t="shared" si="7"/>
        <v>0</v>
      </c>
      <c r="AI151" s="165"/>
      <c r="AJ151" s="11" t="s">
        <v>2491</v>
      </c>
      <c r="AK151" s="277"/>
      <c r="AL151" s="11"/>
      <c r="AM151" s="11"/>
      <c r="AN151" s="277"/>
      <c r="AO151" s="277"/>
      <c r="AP151" s="277"/>
      <c r="AQ151" s="277"/>
      <c r="AR151" s="338"/>
      <c r="AS151" s="275"/>
      <c r="AT151" s="306"/>
    </row>
    <row r="152" spans="1:46" s="262" customFormat="1" ht="26.4" x14ac:dyDescent="0.25">
      <c r="A152" s="277"/>
      <c r="B152" s="367" t="s">
        <v>1758</v>
      </c>
      <c r="C152" s="367" t="s">
        <v>2092</v>
      </c>
      <c r="D152" s="277"/>
      <c r="E152" s="367" t="s">
        <v>2434</v>
      </c>
      <c r="F152" s="11" t="s">
        <v>1474</v>
      </c>
      <c r="G152" s="277" t="s">
        <v>1476</v>
      </c>
      <c r="H152" s="276"/>
      <c r="I152" s="276"/>
      <c r="J152" s="276"/>
      <c r="K152" s="276"/>
      <c r="L152" s="276"/>
      <c r="M152" s="276"/>
      <c r="N152" s="276"/>
      <c r="O152" s="276"/>
      <c r="P152" s="345">
        <f t="shared" si="8"/>
        <v>0</v>
      </c>
      <c r="Q152" s="277"/>
      <c r="R152" s="277"/>
      <c r="S152" s="277"/>
      <c r="T152" s="277"/>
      <c r="U152" s="277"/>
      <c r="V152" s="277"/>
      <c r="W152" s="277">
        <v>1</v>
      </c>
      <c r="X152" s="368">
        <v>43278</v>
      </c>
      <c r="Y152" s="346">
        <f t="shared" si="9"/>
        <v>1</v>
      </c>
      <c r="Z152" s="165"/>
      <c r="AA152" s="165"/>
      <c r="AB152" s="165"/>
      <c r="AC152" s="165"/>
      <c r="AD152" s="165"/>
      <c r="AE152" s="165"/>
      <c r="AF152" s="165"/>
      <c r="AG152" s="369"/>
      <c r="AH152" s="346">
        <f t="shared" si="7"/>
        <v>0</v>
      </c>
      <c r="AI152" s="165"/>
      <c r="AJ152" s="11" t="s">
        <v>2491</v>
      </c>
      <c r="AK152" s="277"/>
      <c r="AL152" s="11"/>
      <c r="AM152" s="11"/>
      <c r="AN152" s="277"/>
      <c r="AO152" s="277"/>
      <c r="AP152" s="277"/>
      <c r="AQ152" s="277"/>
      <c r="AR152" s="338"/>
      <c r="AS152" s="275"/>
      <c r="AT152" s="306"/>
    </row>
    <row r="153" spans="1:46" s="262" customFormat="1" ht="26.4" x14ac:dyDescent="0.25">
      <c r="A153" s="277"/>
      <c r="B153" s="367" t="s">
        <v>1759</v>
      </c>
      <c r="C153" s="367" t="s">
        <v>2093</v>
      </c>
      <c r="D153" s="277"/>
      <c r="E153" s="367" t="s">
        <v>2435</v>
      </c>
      <c r="F153" s="11" t="s">
        <v>1474</v>
      </c>
      <c r="G153" s="277" t="s">
        <v>1476</v>
      </c>
      <c r="H153" s="276"/>
      <c r="I153" s="276"/>
      <c r="J153" s="276"/>
      <c r="K153" s="276"/>
      <c r="L153" s="276"/>
      <c r="M153" s="276"/>
      <c r="N153" s="276"/>
      <c r="O153" s="276"/>
      <c r="P153" s="345">
        <f t="shared" si="8"/>
        <v>0</v>
      </c>
      <c r="Q153" s="277"/>
      <c r="R153" s="277"/>
      <c r="S153" s="277"/>
      <c r="T153" s="277"/>
      <c r="U153" s="277"/>
      <c r="V153" s="277"/>
      <c r="W153" s="277">
        <v>1</v>
      </c>
      <c r="X153" s="368">
        <v>43278</v>
      </c>
      <c r="Y153" s="346">
        <f t="shared" si="9"/>
        <v>1</v>
      </c>
      <c r="Z153" s="165"/>
      <c r="AA153" s="165"/>
      <c r="AB153" s="165"/>
      <c r="AC153" s="165"/>
      <c r="AD153" s="165"/>
      <c r="AE153" s="165"/>
      <c r="AF153" s="165"/>
      <c r="AG153" s="369"/>
      <c r="AH153" s="346">
        <f t="shared" si="7"/>
        <v>0</v>
      </c>
      <c r="AI153" s="165"/>
      <c r="AJ153" s="11" t="s">
        <v>2491</v>
      </c>
      <c r="AK153" s="277"/>
      <c r="AL153" s="11"/>
      <c r="AM153" s="11"/>
      <c r="AN153" s="277"/>
      <c r="AO153" s="277"/>
      <c r="AP153" s="277"/>
      <c r="AQ153" s="277"/>
      <c r="AR153" s="338"/>
      <c r="AS153" s="275"/>
      <c r="AT153" s="306"/>
    </row>
    <row r="154" spans="1:46" s="262" customFormat="1" ht="26.4" x14ac:dyDescent="0.25">
      <c r="A154" s="277"/>
      <c r="B154" s="367" t="s">
        <v>1760</v>
      </c>
      <c r="C154" s="367" t="s">
        <v>2094</v>
      </c>
      <c r="D154" s="277"/>
      <c r="E154" s="367" t="s">
        <v>2436</v>
      </c>
      <c r="F154" s="11" t="s">
        <v>1474</v>
      </c>
      <c r="G154" s="277" t="s">
        <v>1476</v>
      </c>
      <c r="H154" s="276"/>
      <c r="I154" s="276"/>
      <c r="J154" s="276"/>
      <c r="K154" s="276"/>
      <c r="L154" s="276"/>
      <c r="M154" s="276"/>
      <c r="N154" s="276"/>
      <c r="O154" s="276"/>
      <c r="P154" s="345">
        <f t="shared" si="8"/>
        <v>0</v>
      </c>
      <c r="Q154" s="277"/>
      <c r="R154" s="277"/>
      <c r="S154" s="277"/>
      <c r="T154" s="277"/>
      <c r="U154" s="277"/>
      <c r="V154" s="277"/>
      <c r="W154" s="277">
        <v>1</v>
      </c>
      <c r="X154" s="368">
        <v>43278</v>
      </c>
      <c r="Y154" s="346">
        <f t="shared" si="9"/>
        <v>1</v>
      </c>
      <c r="Z154" s="165"/>
      <c r="AA154" s="165"/>
      <c r="AB154" s="165"/>
      <c r="AC154" s="165"/>
      <c r="AD154" s="165"/>
      <c r="AE154" s="165"/>
      <c r="AF154" s="165"/>
      <c r="AG154" s="369"/>
      <c r="AH154" s="346">
        <f t="shared" si="7"/>
        <v>0</v>
      </c>
      <c r="AI154" s="165"/>
      <c r="AJ154" s="11" t="s">
        <v>2491</v>
      </c>
      <c r="AK154" s="277"/>
      <c r="AL154" s="11"/>
      <c r="AM154" s="11"/>
      <c r="AN154" s="277"/>
      <c r="AO154" s="277"/>
      <c r="AP154" s="277"/>
      <c r="AQ154" s="277"/>
      <c r="AR154" s="338"/>
      <c r="AS154" s="275"/>
      <c r="AT154" s="306"/>
    </row>
    <row r="155" spans="1:46" s="262" customFormat="1" ht="26.4" x14ac:dyDescent="0.25">
      <c r="A155" s="277"/>
      <c r="B155" s="367" t="s">
        <v>1761</v>
      </c>
      <c r="C155" s="367" t="s">
        <v>2095</v>
      </c>
      <c r="D155" s="277"/>
      <c r="E155" s="367" t="s">
        <v>2437</v>
      </c>
      <c r="F155" s="11" t="s">
        <v>1474</v>
      </c>
      <c r="G155" s="277" t="s">
        <v>1476</v>
      </c>
      <c r="H155" s="276"/>
      <c r="I155" s="276"/>
      <c r="J155" s="276"/>
      <c r="K155" s="276"/>
      <c r="L155" s="276"/>
      <c r="M155" s="276"/>
      <c r="N155" s="276"/>
      <c r="O155" s="276"/>
      <c r="P155" s="345">
        <f t="shared" si="8"/>
        <v>0</v>
      </c>
      <c r="Q155" s="277"/>
      <c r="R155" s="277"/>
      <c r="S155" s="277"/>
      <c r="T155" s="277"/>
      <c r="U155" s="277"/>
      <c r="V155" s="277"/>
      <c r="W155" s="277">
        <v>1</v>
      </c>
      <c r="X155" s="368">
        <v>43278</v>
      </c>
      <c r="Y155" s="346">
        <f t="shared" si="9"/>
        <v>1</v>
      </c>
      <c r="Z155" s="165"/>
      <c r="AA155" s="165"/>
      <c r="AB155" s="165"/>
      <c r="AC155" s="165"/>
      <c r="AD155" s="165"/>
      <c r="AE155" s="165"/>
      <c r="AF155" s="165"/>
      <c r="AG155" s="369"/>
      <c r="AH155" s="346">
        <f t="shared" si="7"/>
        <v>0</v>
      </c>
      <c r="AI155" s="165"/>
      <c r="AJ155" s="11" t="s">
        <v>2491</v>
      </c>
      <c r="AK155" s="277"/>
      <c r="AL155" s="11"/>
      <c r="AM155" s="11"/>
      <c r="AN155" s="277"/>
      <c r="AO155" s="277"/>
      <c r="AP155" s="277"/>
      <c r="AQ155" s="277"/>
      <c r="AR155" s="338"/>
      <c r="AS155" s="275"/>
      <c r="AT155" s="306"/>
    </row>
    <row r="156" spans="1:46" s="262" customFormat="1" ht="26.4" x14ac:dyDescent="0.25">
      <c r="A156" s="277"/>
      <c r="B156" s="367" t="s">
        <v>1762</v>
      </c>
      <c r="C156" s="367" t="s">
        <v>2096</v>
      </c>
      <c r="D156" s="277"/>
      <c r="E156" s="367" t="s">
        <v>2438</v>
      </c>
      <c r="F156" s="11" t="s">
        <v>1474</v>
      </c>
      <c r="G156" s="277" t="s">
        <v>1476</v>
      </c>
      <c r="H156" s="276"/>
      <c r="I156" s="276"/>
      <c r="J156" s="276"/>
      <c r="K156" s="276"/>
      <c r="L156" s="276"/>
      <c r="M156" s="276"/>
      <c r="N156" s="276"/>
      <c r="O156" s="276"/>
      <c r="P156" s="345">
        <f t="shared" si="8"/>
        <v>0</v>
      </c>
      <c r="Q156" s="277"/>
      <c r="R156" s="277"/>
      <c r="S156" s="277"/>
      <c r="T156" s="277"/>
      <c r="U156" s="277"/>
      <c r="V156" s="277"/>
      <c r="W156" s="277">
        <v>1</v>
      </c>
      <c r="X156" s="368">
        <v>43278</v>
      </c>
      <c r="Y156" s="346">
        <f t="shared" si="9"/>
        <v>1</v>
      </c>
      <c r="Z156" s="165"/>
      <c r="AA156" s="165"/>
      <c r="AB156" s="165"/>
      <c r="AC156" s="165"/>
      <c r="AD156" s="165"/>
      <c r="AE156" s="165"/>
      <c r="AF156" s="165"/>
      <c r="AG156" s="369"/>
      <c r="AH156" s="346">
        <f t="shared" si="7"/>
        <v>0</v>
      </c>
      <c r="AI156" s="165"/>
      <c r="AJ156" s="11" t="s">
        <v>2491</v>
      </c>
      <c r="AK156" s="277"/>
      <c r="AL156" s="11"/>
      <c r="AM156" s="11"/>
      <c r="AN156" s="277"/>
      <c r="AO156" s="277"/>
      <c r="AP156" s="277"/>
      <c r="AQ156" s="277"/>
      <c r="AR156" s="338"/>
      <c r="AS156" s="275"/>
      <c r="AT156" s="306"/>
    </row>
    <row r="157" spans="1:46" s="262" customFormat="1" ht="26.4" x14ac:dyDescent="0.25">
      <c r="A157" s="277"/>
      <c r="B157" s="367" t="s">
        <v>1765</v>
      </c>
      <c r="C157" s="367" t="s">
        <v>2099</v>
      </c>
      <c r="D157" s="277"/>
      <c r="E157" s="367" t="s">
        <v>2441</v>
      </c>
      <c r="F157" s="11" t="s">
        <v>1474</v>
      </c>
      <c r="G157" s="277" t="s">
        <v>1476</v>
      </c>
      <c r="H157" s="276"/>
      <c r="I157" s="276"/>
      <c r="J157" s="276"/>
      <c r="K157" s="276"/>
      <c r="L157" s="276"/>
      <c r="M157" s="276"/>
      <c r="N157" s="276"/>
      <c r="O157" s="276"/>
      <c r="P157" s="345">
        <f t="shared" si="8"/>
        <v>0</v>
      </c>
      <c r="Q157" s="277"/>
      <c r="R157" s="277"/>
      <c r="S157" s="277"/>
      <c r="T157" s="277"/>
      <c r="U157" s="277"/>
      <c r="V157" s="277"/>
      <c r="W157" s="277">
        <v>1</v>
      </c>
      <c r="X157" s="368">
        <v>43278</v>
      </c>
      <c r="Y157" s="346">
        <f t="shared" si="9"/>
        <v>1</v>
      </c>
      <c r="Z157" s="165"/>
      <c r="AA157" s="165"/>
      <c r="AB157" s="165"/>
      <c r="AC157" s="165"/>
      <c r="AD157" s="165"/>
      <c r="AE157" s="165"/>
      <c r="AF157" s="165"/>
      <c r="AG157" s="369"/>
      <c r="AH157" s="346">
        <f t="shared" si="7"/>
        <v>0</v>
      </c>
      <c r="AI157" s="165"/>
      <c r="AJ157" s="11" t="s">
        <v>2491</v>
      </c>
      <c r="AK157" s="277"/>
      <c r="AL157" s="11"/>
      <c r="AM157" s="11"/>
      <c r="AN157" s="277"/>
      <c r="AO157" s="277"/>
      <c r="AP157" s="277"/>
      <c r="AQ157" s="277"/>
      <c r="AR157" s="338"/>
      <c r="AS157" s="275"/>
      <c r="AT157" s="306"/>
    </row>
    <row r="158" spans="1:46" s="262" customFormat="1" ht="26.4" x14ac:dyDescent="0.25">
      <c r="A158" s="277"/>
      <c r="B158" s="367" t="s">
        <v>1766</v>
      </c>
      <c r="C158" s="367" t="s">
        <v>2100</v>
      </c>
      <c r="D158" s="277"/>
      <c r="E158" s="367" t="s">
        <v>2442</v>
      </c>
      <c r="F158" s="11" t="s">
        <v>1474</v>
      </c>
      <c r="G158" s="277" t="s">
        <v>1476</v>
      </c>
      <c r="H158" s="276"/>
      <c r="I158" s="276"/>
      <c r="J158" s="276"/>
      <c r="K158" s="276"/>
      <c r="L158" s="276"/>
      <c r="M158" s="276"/>
      <c r="N158" s="276"/>
      <c r="O158" s="276"/>
      <c r="P158" s="345">
        <f t="shared" si="8"/>
        <v>0</v>
      </c>
      <c r="Q158" s="277"/>
      <c r="R158" s="277"/>
      <c r="S158" s="277"/>
      <c r="T158" s="277"/>
      <c r="U158" s="277"/>
      <c r="V158" s="277"/>
      <c r="W158" s="277">
        <v>1</v>
      </c>
      <c r="X158" s="368">
        <v>43278</v>
      </c>
      <c r="Y158" s="346">
        <f t="shared" si="9"/>
        <v>1</v>
      </c>
      <c r="Z158" s="165"/>
      <c r="AA158" s="165"/>
      <c r="AB158" s="165"/>
      <c r="AC158" s="165"/>
      <c r="AD158" s="165"/>
      <c r="AE158" s="165"/>
      <c r="AF158" s="165"/>
      <c r="AG158" s="369"/>
      <c r="AH158" s="346">
        <f t="shared" si="7"/>
        <v>0</v>
      </c>
      <c r="AI158" s="165"/>
      <c r="AJ158" s="11" t="s">
        <v>2491</v>
      </c>
      <c r="AK158" s="277"/>
      <c r="AL158" s="11"/>
      <c r="AM158" s="11"/>
      <c r="AN158" s="277"/>
      <c r="AO158" s="277"/>
      <c r="AP158" s="277"/>
      <c r="AQ158" s="277"/>
      <c r="AR158" s="338"/>
      <c r="AS158" s="275"/>
      <c r="AT158" s="306"/>
    </row>
    <row r="159" spans="1:46" s="262" customFormat="1" ht="26.4" x14ac:dyDescent="0.25">
      <c r="A159" s="277"/>
      <c r="B159" s="367" t="s">
        <v>1767</v>
      </c>
      <c r="C159" s="367" t="s">
        <v>2101</v>
      </c>
      <c r="D159" s="277"/>
      <c r="E159" s="367" t="s">
        <v>2443</v>
      </c>
      <c r="F159" s="11" t="s">
        <v>1474</v>
      </c>
      <c r="G159" s="277" t="s">
        <v>1476</v>
      </c>
      <c r="H159" s="276"/>
      <c r="I159" s="276"/>
      <c r="J159" s="276"/>
      <c r="K159" s="276"/>
      <c r="L159" s="276"/>
      <c r="M159" s="276"/>
      <c r="N159" s="276"/>
      <c r="O159" s="276"/>
      <c r="P159" s="345">
        <f t="shared" si="8"/>
        <v>0</v>
      </c>
      <c r="Q159" s="277"/>
      <c r="R159" s="277"/>
      <c r="S159" s="277"/>
      <c r="T159" s="277"/>
      <c r="U159" s="277"/>
      <c r="V159" s="277"/>
      <c r="W159" s="277">
        <v>1</v>
      </c>
      <c r="X159" s="368">
        <v>43278</v>
      </c>
      <c r="Y159" s="346">
        <f t="shared" si="9"/>
        <v>1</v>
      </c>
      <c r="Z159" s="165"/>
      <c r="AA159" s="165"/>
      <c r="AB159" s="165"/>
      <c r="AC159" s="165"/>
      <c r="AD159" s="165"/>
      <c r="AE159" s="165"/>
      <c r="AF159" s="165"/>
      <c r="AG159" s="369"/>
      <c r="AH159" s="346">
        <f t="shared" si="7"/>
        <v>0</v>
      </c>
      <c r="AI159" s="165"/>
      <c r="AJ159" s="11" t="s">
        <v>2491</v>
      </c>
      <c r="AK159" s="277"/>
      <c r="AL159" s="11"/>
      <c r="AM159" s="11"/>
      <c r="AN159" s="277"/>
      <c r="AO159" s="277"/>
      <c r="AP159" s="277"/>
      <c r="AQ159" s="277"/>
      <c r="AR159" s="338"/>
      <c r="AS159" s="275"/>
      <c r="AT159" s="306"/>
    </row>
    <row r="160" spans="1:46" s="262" customFormat="1" ht="26.4" x14ac:dyDescent="0.25">
      <c r="A160" s="277"/>
      <c r="B160" s="367" t="s">
        <v>1768</v>
      </c>
      <c r="C160" s="367" t="s">
        <v>2102</v>
      </c>
      <c r="D160" s="277"/>
      <c r="E160" s="367" t="s">
        <v>2444</v>
      </c>
      <c r="F160" s="11" t="s">
        <v>1474</v>
      </c>
      <c r="G160" s="277" t="s">
        <v>1476</v>
      </c>
      <c r="H160" s="276"/>
      <c r="I160" s="276"/>
      <c r="J160" s="276"/>
      <c r="K160" s="276"/>
      <c r="L160" s="276"/>
      <c r="M160" s="276"/>
      <c r="N160" s="276"/>
      <c r="O160" s="276"/>
      <c r="P160" s="345">
        <f t="shared" si="8"/>
        <v>0</v>
      </c>
      <c r="Q160" s="277"/>
      <c r="R160" s="277"/>
      <c r="S160" s="277"/>
      <c r="T160" s="277"/>
      <c r="U160" s="277"/>
      <c r="V160" s="277"/>
      <c r="W160" s="277">
        <v>1</v>
      </c>
      <c r="X160" s="368">
        <v>43278</v>
      </c>
      <c r="Y160" s="346">
        <f t="shared" si="9"/>
        <v>1</v>
      </c>
      <c r="Z160" s="165"/>
      <c r="AA160" s="165"/>
      <c r="AB160" s="165"/>
      <c r="AC160" s="165"/>
      <c r="AD160" s="165"/>
      <c r="AE160" s="165"/>
      <c r="AF160" s="165"/>
      <c r="AG160" s="369"/>
      <c r="AH160" s="346">
        <f t="shared" si="7"/>
        <v>0</v>
      </c>
      <c r="AI160" s="165"/>
      <c r="AJ160" s="11" t="s">
        <v>2491</v>
      </c>
      <c r="AK160" s="277"/>
      <c r="AL160" s="11"/>
      <c r="AM160" s="11"/>
      <c r="AN160" s="277"/>
      <c r="AO160" s="277"/>
      <c r="AP160" s="277"/>
      <c r="AQ160" s="277"/>
      <c r="AR160" s="338"/>
      <c r="AS160" s="275"/>
      <c r="AT160" s="306"/>
    </row>
    <row r="161" spans="1:46" s="262" customFormat="1" x14ac:dyDescent="0.25">
      <c r="A161" s="277"/>
      <c r="B161" s="367" t="s">
        <v>1799</v>
      </c>
      <c r="C161" s="367" t="s">
        <v>2141</v>
      </c>
      <c r="D161" s="277"/>
      <c r="E161" s="367" t="s">
        <v>2483</v>
      </c>
      <c r="F161" s="11" t="s">
        <v>1474</v>
      </c>
      <c r="G161" s="277" t="s">
        <v>1476</v>
      </c>
      <c r="H161" s="276"/>
      <c r="I161" s="276"/>
      <c r="J161" s="276"/>
      <c r="K161" s="276"/>
      <c r="L161" s="276"/>
      <c r="M161" s="276"/>
      <c r="N161" s="276"/>
      <c r="O161" s="276"/>
      <c r="P161" s="345">
        <f t="shared" si="8"/>
        <v>0</v>
      </c>
      <c r="Q161" s="277"/>
      <c r="R161" s="277"/>
      <c r="S161" s="277"/>
      <c r="T161" s="277"/>
      <c r="U161" s="277"/>
      <c r="V161" s="277"/>
      <c r="W161" s="277">
        <v>1</v>
      </c>
      <c r="X161" s="368">
        <v>43278</v>
      </c>
      <c r="Y161" s="346">
        <f t="shared" si="9"/>
        <v>1</v>
      </c>
      <c r="Z161" s="165"/>
      <c r="AA161" s="165"/>
      <c r="AB161" s="165"/>
      <c r="AC161" s="165"/>
      <c r="AD161" s="165"/>
      <c r="AE161" s="165"/>
      <c r="AF161" s="165"/>
      <c r="AG161" s="369"/>
      <c r="AH161" s="346">
        <f t="shared" ref="AH161:AH224" si="10">SUM(Z161:AF161)</f>
        <v>0</v>
      </c>
      <c r="AI161" s="165"/>
      <c r="AJ161" s="11" t="s">
        <v>2491</v>
      </c>
      <c r="AK161" s="277"/>
      <c r="AL161" s="11"/>
      <c r="AM161" s="11"/>
      <c r="AN161" s="277"/>
      <c r="AO161" s="277"/>
      <c r="AP161" s="277"/>
      <c r="AQ161" s="277"/>
      <c r="AR161" s="338"/>
      <c r="AS161" s="275"/>
      <c r="AT161" s="306"/>
    </row>
    <row r="162" spans="1:46" s="262" customFormat="1" x14ac:dyDescent="0.25">
      <c r="A162" s="277"/>
      <c r="B162" s="367" t="s">
        <v>1800</v>
      </c>
      <c r="C162" s="367" t="s">
        <v>2142</v>
      </c>
      <c r="D162" s="277"/>
      <c r="E162" s="367" t="s">
        <v>2484</v>
      </c>
      <c r="F162" s="11" t="s">
        <v>1474</v>
      </c>
      <c r="G162" s="277" t="s">
        <v>1476</v>
      </c>
      <c r="H162" s="276"/>
      <c r="I162" s="276"/>
      <c r="J162" s="276"/>
      <c r="K162" s="276"/>
      <c r="L162" s="276"/>
      <c r="M162" s="276"/>
      <c r="N162" s="276"/>
      <c r="O162" s="276"/>
      <c r="P162" s="345">
        <f t="shared" si="8"/>
        <v>0</v>
      </c>
      <c r="Q162" s="277"/>
      <c r="R162" s="277"/>
      <c r="S162" s="277"/>
      <c r="T162" s="277"/>
      <c r="U162" s="277"/>
      <c r="V162" s="277"/>
      <c r="W162" s="277">
        <v>1</v>
      </c>
      <c r="X162" s="368">
        <v>43278</v>
      </c>
      <c r="Y162" s="346">
        <f t="shared" si="9"/>
        <v>1</v>
      </c>
      <c r="Z162" s="165"/>
      <c r="AA162" s="165"/>
      <c r="AB162" s="165"/>
      <c r="AC162" s="165"/>
      <c r="AD162" s="165"/>
      <c r="AE162" s="165"/>
      <c r="AF162" s="165"/>
      <c r="AG162" s="369"/>
      <c r="AH162" s="346">
        <f t="shared" si="10"/>
        <v>0</v>
      </c>
      <c r="AI162" s="165"/>
      <c r="AJ162" s="11" t="s">
        <v>2491</v>
      </c>
      <c r="AK162" s="277"/>
      <c r="AL162" s="11"/>
      <c r="AM162" s="11"/>
      <c r="AN162" s="277"/>
      <c r="AO162" s="277"/>
      <c r="AP162" s="277"/>
      <c r="AQ162" s="277"/>
      <c r="AR162" s="338"/>
      <c r="AS162" s="275"/>
      <c r="AT162" s="306"/>
    </row>
    <row r="163" spans="1:46" s="262" customFormat="1" x14ac:dyDescent="0.25">
      <c r="A163" s="277"/>
      <c r="B163" s="367" t="s">
        <v>1801</v>
      </c>
      <c r="C163" s="367" t="s">
        <v>2143</v>
      </c>
      <c r="D163" s="277"/>
      <c r="E163" s="367" t="s">
        <v>2485</v>
      </c>
      <c r="F163" s="11" t="s">
        <v>1474</v>
      </c>
      <c r="G163" s="277" t="s">
        <v>1476</v>
      </c>
      <c r="H163" s="276"/>
      <c r="I163" s="276"/>
      <c r="J163" s="276"/>
      <c r="K163" s="276"/>
      <c r="L163" s="276"/>
      <c r="M163" s="276"/>
      <c r="N163" s="276"/>
      <c r="O163" s="276"/>
      <c r="P163" s="345">
        <f t="shared" si="8"/>
        <v>0</v>
      </c>
      <c r="Q163" s="277"/>
      <c r="R163" s="277"/>
      <c r="S163" s="277"/>
      <c r="T163" s="277"/>
      <c r="U163" s="277"/>
      <c r="V163" s="277"/>
      <c r="W163" s="277">
        <v>1</v>
      </c>
      <c r="X163" s="368">
        <v>43278</v>
      </c>
      <c r="Y163" s="346">
        <f t="shared" si="9"/>
        <v>1</v>
      </c>
      <c r="Z163" s="165"/>
      <c r="AA163" s="165"/>
      <c r="AB163" s="165"/>
      <c r="AC163" s="165"/>
      <c r="AD163" s="165"/>
      <c r="AE163" s="165"/>
      <c r="AF163" s="165"/>
      <c r="AG163" s="369"/>
      <c r="AH163" s="346">
        <f t="shared" si="10"/>
        <v>0</v>
      </c>
      <c r="AI163" s="165"/>
      <c r="AJ163" s="11" t="s">
        <v>2491</v>
      </c>
      <c r="AK163" s="277"/>
      <c r="AL163" s="11"/>
      <c r="AM163" s="11"/>
      <c r="AN163" s="277"/>
      <c r="AO163" s="277"/>
      <c r="AP163" s="277"/>
      <c r="AQ163" s="277"/>
      <c r="AR163" s="338"/>
      <c r="AS163" s="275"/>
      <c r="AT163" s="306"/>
    </row>
    <row r="164" spans="1:46" s="262" customFormat="1" x14ac:dyDescent="0.25">
      <c r="A164" s="277"/>
      <c r="B164" s="367" t="s">
        <v>1802</v>
      </c>
      <c r="C164" s="367" t="s">
        <v>2144</v>
      </c>
      <c r="D164" s="277"/>
      <c r="E164" s="367" t="s">
        <v>2486</v>
      </c>
      <c r="F164" s="11" t="s">
        <v>1474</v>
      </c>
      <c r="G164" s="277" t="s">
        <v>1476</v>
      </c>
      <c r="H164" s="276"/>
      <c r="I164" s="276"/>
      <c r="J164" s="276"/>
      <c r="K164" s="276"/>
      <c r="L164" s="276"/>
      <c r="M164" s="276"/>
      <c r="N164" s="276"/>
      <c r="O164" s="276"/>
      <c r="P164" s="345">
        <f t="shared" si="8"/>
        <v>0</v>
      </c>
      <c r="Q164" s="277"/>
      <c r="R164" s="277"/>
      <c r="S164" s="277"/>
      <c r="T164" s="277"/>
      <c r="U164" s="277"/>
      <c r="V164" s="277"/>
      <c r="W164" s="277">
        <v>1</v>
      </c>
      <c r="X164" s="368">
        <v>43278</v>
      </c>
      <c r="Y164" s="346">
        <f t="shared" si="9"/>
        <v>1</v>
      </c>
      <c r="Z164" s="165"/>
      <c r="AA164" s="165"/>
      <c r="AB164" s="165"/>
      <c r="AC164" s="165"/>
      <c r="AD164" s="165"/>
      <c r="AE164" s="165"/>
      <c r="AF164" s="165"/>
      <c r="AG164" s="369"/>
      <c r="AH164" s="346">
        <f t="shared" si="10"/>
        <v>0</v>
      </c>
      <c r="AI164" s="165"/>
      <c r="AJ164" s="11" t="s">
        <v>2491</v>
      </c>
      <c r="AK164" s="277"/>
      <c r="AL164" s="11"/>
      <c r="AM164" s="11"/>
      <c r="AN164" s="277"/>
      <c r="AO164" s="277"/>
      <c r="AP164" s="277"/>
      <c r="AQ164" s="277"/>
      <c r="AR164" s="338"/>
      <c r="AS164" s="275"/>
      <c r="AT164" s="306"/>
    </row>
    <row r="165" spans="1:46" s="262" customFormat="1" x14ac:dyDescent="0.25">
      <c r="A165" s="277"/>
      <c r="B165" s="367" t="s">
        <v>1803</v>
      </c>
      <c r="C165" s="367" t="s">
        <v>2145</v>
      </c>
      <c r="D165" s="277"/>
      <c r="E165" s="367" t="s">
        <v>2487</v>
      </c>
      <c r="F165" s="11" t="s">
        <v>1474</v>
      </c>
      <c r="G165" s="277" t="s">
        <v>1476</v>
      </c>
      <c r="H165" s="276"/>
      <c r="I165" s="276"/>
      <c r="J165" s="276"/>
      <c r="K165" s="276"/>
      <c r="L165" s="276"/>
      <c r="M165" s="276"/>
      <c r="N165" s="276"/>
      <c r="O165" s="276"/>
      <c r="P165" s="345">
        <f t="shared" si="8"/>
        <v>0</v>
      </c>
      <c r="Q165" s="277"/>
      <c r="R165" s="277"/>
      <c r="S165" s="277"/>
      <c r="T165" s="277"/>
      <c r="U165" s="277"/>
      <c r="V165" s="277"/>
      <c r="W165" s="277">
        <v>1</v>
      </c>
      <c r="X165" s="368">
        <v>43278</v>
      </c>
      <c r="Y165" s="346">
        <f t="shared" si="9"/>
        <v>1</v>
      </c>
      <c r="Z165" s="165"/>
      <c r="AA165" s="165"/>
      <c r="AB165" s="165"/>
      <c r="AC165" s="165"/>
      <c r="AD165" s="165"/>
      <c r="AE165" s="165"/>
      <c r="AF165" s="165"/>
      <c r="AG165" s="369"/>
      <c r="AH165" s="346">
        <f t="shared" si="10"/>
        <v>0</v>
      </c>
      <c r="AI165" s="165"/>
      <c r="AJ165" s="11" t="s">
        <v>2491</v>
      </c>
      <c r="AK165" s="277"/>
      <c r="AL165" s="11"/>
      <c r="AM165" s="11"/>
      <c r="AN165" s="277"/>
      <c r="AO165" s="277"/>
      <c r="AP165" s="277"/>
      <c r="AQ165" s="277"/>
      <c r="AR165" s="338"/>
      <c r="AS165" s="275"/>
      <c r="AT165" s="306"/>
    </row>
    <row r="166" spans="1:46" s="262" customFormat="1" x14ac:dyDescent="0.25">
      <c r="A166" s="277"/>
      <c r="B166" s="367" t="s">
        <v>1804</v>
      </c>
      <c r="C166" s="367" t="s">
        <v>2146</v>
      </c>
      <c r="D166" s="277"/>
      <c r="E166" s="367" t="s">
        <v>2488</v>
      </c>
      <c r="F166" s="11" t="s">
        <v>1474</v>
      </c>
      <c r="G166" s="277" t="s">
        <v>1476</v>
      </c>
      <c r="H166" s="276"/>
      <c r="I166" s="276"/>
      <c r="J166" s="276"/>
      <c r="K166" s="276"/>
      <c r="L166" s="276"/>
      <c r="M166" s="276"/>
      <c r="N166" s="276"/>
      <c r="O166" s="276"/>
      <c r="P166" s="345">
        <f t="shared" si="8"/>
        <v>0</v>
      </c>
      <c r="Q166" s="277"/>
      <c r="R166" s="277"/>
      <c r="S166" s="277"/>
      <c r="T166" s="277"/>
      <c r="U166" s="277"/>
      <c r="V166" s="277"/>
      <c r="W166" s="277">
        <v>1</v>
      </c>
      <c r="X166" s="368">
        <v>43278</v>
      </c>
      <c r="Y166" s="346">
        <f t="shared" si="9"/>
        <v>1</v>
      </c>
      <c r="Z166" s="165"/>
      <c r="AA166" s="165"/>
      <c r="AB166" s="165"/>
      <c r="AC166" s="165"/>
      <c r="AD166" s="165"/>
      <c r="AE166" s="165"/>
      <c r="AF166" s="165"/>
      <c r="AG166" s="369"/>
      <c r="AH166" s="346">
        <f t="shared" si="10"/>
        <v>0</v>
      </c>
      <c r="AI166" s="165"/>
      <c r="AJ166" s="11" t="s">
        <v>2491</v>
      </c>
      <c r="AK166" s="277"/>
      <c r="AL166" s="11"/>
      <c r="AM166" s="11"/>
      <c r="AN166" s="277"/>
      <c r="AO166" s="277"/>
      <c r="AP166" s="277"/>
      <c r="AQ166" s="277"/>
      <c r="AR166" s="338"/>
      <c r="AS166" s="275"/>
      <c r="AT166" s="306"/>
    </row>
    <row r="167" spans="1:46" s="262" customFormat="1" ht="26.4" x14ac:dyDescent="0.25">
      <c r="A167" s="277"/>
      <c r="B167" s="367" t="s">
        <v>1805</v>
      </c>
      <c r="C167" s="367" t="s">
        <v>2147</v>
      </c>
      <c r="D167" s="277"/>
      <c r="E167" s="367" t="s">
        <v>2489</v>
      </c>
      <c r="F167" s="11" t="s">
        <v>1474</v>
      </c>
      <c r="G167" s="277" t="s">
        <v>1476</v>
      </c>
      <c r="H167" s="276"/>
      <c r="I167" s="276"/>
      <c r="J167" s="276"/>
      <c r="K167" s="276"/>
      <c r="L167" s="276"/>
      <c r="M167" s="276"/>
      <c r="N167" s="276"/>
      <c r="O167" s="276"/>
      <c r="P167" s="345">
        <f t="shared" si="8"/>
        <v>0</v>
      </c>
      <c r="Q167" s="277"/>
      <c r="R167" s="277"/>
      <c r="S167" s="277"/>
      <c r="T167" s="277"/>
      <c r="U167" s="277"/>
      <c r="V167" s="277"/>
      <c r="W167" s="277">
        <v>1</v>
      </c>
      <c r="X167" s="368">
        <v>43278</v>
      </c>
      <c r="Y167" s="346">
        <f t="shared" si="9"/>
        <v>1</v>
      </c>
      <c r="Z167" s="165"/>
      <c r="AA167" s="165"/>
      <c r="AB167" s="165"/>
      <c r="AC167" s="165"/>
      <c r="AD167" s="165"/>
      <c r="AE167" s="165"/>
      <c r="AF167" s="165"/>
      <c r="AG167" s="369"/>
      <c r="AH167" s="346">
        <f t="shared" si="10"/>
        <v>0</v>
      </c>
      <c r="AI167" s="165"/>
      <c r="AJ167" s="11" t="s">
        <v>2491</v>
      </c>
      <c r="AK167" s="277"/>
      <c r="AL167" s="11"/>
      <c r="AM167" s="11"/>
      <c r="AN167" s="277"/>
      <c r="AO167" s="277"/>
      <c r="AP167" s="277"/>
      <c r="AQ167" s="277"/>
      <c r="AR167" s="338"/>
      <c r="AS167" s="275"/>
      <c r="AT167" s="306"/>
    </row>
    <row r="168" spans="1:46" s="262" customFormat="1" x14ac:dyDescent="0.25">
      <c r="A168" s="277"/>
      <c r="B168" s="367" t="s">
        <v>1806</v>
      </c>
      <c r="C168" s="367" t="s">
        <v>2148</v>
      </c>
      <c r="D168" s="277"/>
      <c r="E168" s="367" t="s">
        <v>2490</v>
      </c>
      <c r="F168" s="11" t="s">
        <v>1474</v>
      </c>
      <c r="G168" s="277" t="s">
        <v>1476</v>
      </c>
      <c r="H168" s="276"/>
      <c r="I168" s="276"/>
      <c r="J168" s="276"/>
      <c r="K168" s="276"/>
      <c r="L168" s="276"/>
      <c r="M168" s="276"/>
      <c r="N168" s="276"/>
      <c r="O168" s="276"/>
      <c r="P168" s="345">
        <f t="shared" si="8"/>
        <v>0</v>
      </c>
      <c r="Q168" s="277"/>
      <c r="R168" s="277"/>
      <c r="S168" s="277"/>
      <c r="T168" s="277"/>
      <c r="U168" s="277"/>
      <c r="V168" s="277"/>
      <c r="W168" s="277">
        <v>1</v>
      </c>
      <c r="X168" s="368">
        <v>43278</v>
      </c>
      <c r="Y168" s="346">
        <f t="shared" si="9"/>
        <v>1</v>
      </c>
      <c r="Z168" s="165"/>
      <c r="AA168" s="165"/>
      <c r="AB168" s="165"/>
      <c r="AC168" s="165"/>
      <c r="AD168" s="165"/>
      <c r="AE168" s="165"/>
      <c r="AF168" s="165"/>
      <c r="AG168" s="369"/>
      <c r="AH168" s="346">
        <f t="shared" si="10"/>
        <v>0</v>
      </c>
      <c r="AI168" s="165"/>
      <c r="AJ168" s="11" t="s">
        <v>2491</v>
      </c>
      <c r="AK168" s="277"/>
      <c r="AL168" s="11"/>
      <c r="AM168" s="11"/>
      <c r="AN168" s="277"/>
      <c r="AO168" s="277"/>
      <c r="AP168" s="277"/>
      <c r="AQ168" s="277"/>
      <c r="AR168" s="338"/>
      <c r="AS168" s="275"/>
      <c r="AT168" s="306"/>
    </row>
    <row r="169" spans="1:46" s="262" customFormat="1" x14ac:dyDescent="0.25">
      <c r="A169" s="277"/>
      <c r="B169" s="367" t="s">
        <v>1773</v>
      </c>
      <c r="C169" s="367" t="s">
        <v>2107</v>
      </c>
      <c r="D169" s="277"/>
      <c r="E169" s="367" t="s">
        <v>2449</v>
      </c>
      <c r="F169" s="11" t="s">
        <v>1474</v>
      </c>
      <c r="G169" s="277" t="s">
        <v>1476</v>
      </c>
      <c r="H169" s="276"/>
      <c r="I169" s="276"/>
      <c r="J169" s="276"/>
      <c r="K169" s="276"/>
      <c r="L169" s="276"/>
      <c r="M169" s="276"/>
      <c r="N169" s="276"/>
      <c r="O169" s="276"/>
      <c r="P169" s="345">
        <f t="shared" si="8"/>
        <v>0</v>
      </c>
      <c r="Q169" s="277"/>
      <c r="R169" s="277"/>
      <c r="S169" s="277"/>
      <c r="T169" s="277"/>
      <c r="U169" s="277"/>
      <c r="V169" s="277"/>
      <c r="W169" s="277">
        <v>1</v>
      </c>
      <c r="X169" s="368">
        <v>43339</v>
      </c>
      <c r="Y169" s="346">
        <f t="shared" si="9"/>
        <v>1</v>
      </c>
      <c r="Z169" s="165"/>
      <c r="AA169" s="165"/>
      <c r="AB169" s="165"/>
      <c r="AC169" s="165"/>
      <c r="AD169" s="165"/>
      <c r="AE169" s="165"/>
      <c r="AF169" s="165"/>
      <c r="AG169" s="369"/>
      <c r="AH169" s="346">
        <f t="shared" si="10"/>
        <v>0</v>
      </c>
      <c r="AI169" s="165"/>
      <c r="AJ169" s="11" t="s">
        <v>2491</v>
      </c>
      <c r="AK169" s="277"/>
      <c r="AL169" s="11"/>
      <c r="AM169" s="11"/>
      <c r="AN169" s="277"/>
      <c r="AO169" s="277"/>
      <c r="AP169" s="277"/>
      <c r="AQ169" s="277"/>
      <c r="AR169" s="338"/>
      <c r="AS169" s="275"/>
      <c r="AT169" s="306"/>
    </row>
    <row r="170" spans="1:46" s="262" customFormat="1" x14ac:dyDescent="0.25">
      <c r="A170" s="277"/>
      <c r="B170" s="367" t="s">
        <v>1774</v>
      </c>
      <c r="C170" s="367" t="s">
        <v>2108</v>
      </c>
      <c r="D170" s="277"/>
      <c r="E170" s="367" t="s">
        <v>2450</v>
      </c>
      <c r="F170" s="11" t="s">
        <v>1474</v>
      </c>
      <c r="G170" s="277" t="s">
        <v>1476</v>
      </c>
      <c r="H170" s="276"/>
      <c r="I170" s="276"/>
      <c r="J170" s="276"/>
      <c r="K170" s="276"/>
      <c r="L170" s="276"/>
      <c r="M170" s="276"/>
      <c r="N170" s="276"/>
      <c r="O170" s="276"/>
      <c r="P170" s="345">
        <f t="shared" si="8"/>
        <v>0</v>
      </c>
      <c r="Q170" s="277"/>
      <c r="R170" s="277"/>
      <c r="S170" s="277"/>
      <c r="T170" s="277"/>
      <c r="U170" s="277"/>
      <c r="V170" s="277"/>
      <c r="W170" s="277">
        <v>1</v>
      </c>
      <c r="X170" s="368">
        <v>43339</v>
      </c>
      <c r="Y170" s="346">
        <f t="shared" si="9"/>
        <v>1</v>
      </c>
      <c r="Z170" s="165"/>
      <c r="AA170" s="165"/>
      <c r="AB170" s="165"/>
      <c r="AC170" s="165"/>
      <c r="AD170" s="165"/>
      <c r="AE170" s="165"/>
      <c r="AF170" s="165"/>
      <c r="AG170" s="369"/>
      <c r="AH170" s="346">
        <f t="shared" si="10"/>
        <v>0</v>
      </c>
      <c r="AI170" s="165"/>
      <c r="AJ170" s="11" t="s">
        <v>2491</v>
      </c>
      <c r="AK170" s="277"/>
      <c r="AL170" s="11"/>
      <c r="AM170" s="11"/>
      <c r="AN170" s="277"/>
      <c r="AO170" s="277"/>
      <c r="AP170" s="277"/>
      <c r="AQ170" s="277"/>
      <c r="AR170" s="338"/>
      <c r="AS170" s="275"/>
      <c r="AT170" s="306"/>
    </row>
    <row r="171" spans="1:46" s="262" customFormat="1" x14ac:dyDescent="0.25">
      <c r="A171" s="277"/>
      <c r="B171" s="367" t="s">
        <v>1775</v>
      </c>
      <c r="C171" s="367" t="s">
        <v>2109</v>
      </c>
      <c r="D171" s="277"/>
      <c r="E171" s="367" t="s">
        <v>2451</v>
      </c>
      <c r="F171" s="11" t="s">
        <v>1474</v>
      </c>
      <c r="G171" s="277" t="s">
        <v>1476</v>
      </c>
      <c r="H171" s="276"/>
      <c r="I171" s="276"/>
      <c r="J171" s="276"/>
      <c r="K171" s="276"/>
      <c r="L171" s="276"/>
      <c r="M171" s="276"/>
      <c r="N171" s="276"/>
      <c r="O171" s="276"/>
      <c r="P171" s="345">
        <f t="shared" si="8"/>
        <v>0</v>
      </c>
      <c r="Q171" s="277"/>
      <c r="R171" s="277"/>
      <c r="S171" s="277"/>
      <c r="T171" s="277"/>
      <c r="U171" s="277"/>
      <c r="V171" s="277"/>
      <c r="W171" s="277">
        <v>1</v>
      </c>
      <c r="X171" s="368">
        <v>43339</v>
      </c>
      <c r="Y171" s="346">
        <f t="shared" si="9"/>
        <v>1</v>
      </c>
      <c r="Z171" s="165"/>
      <c r="AA171" s="165"/>
      <c r="AB171" s="165"/>
      <c r="AC171" s="165"/>
      <c r="AD171" s="165"/>
      <c r="AE171" s="165"/>
      <c r="AF171" s="165"/>
      <c r="AG171" s="369"/>
      <c r="AH171" s="346">
        <f t="shared" si="10"/>
        <v>0</v>
      </c>
      <c r="AI171" s="165"/>
      <c r="AJ171" s="11" t="s">
        <v>2491</v>
      </c>
      <c r="AK171" s="277"/>
      <c r="AL171" s="11"/>
      <c r="AM171" s="11"/>
      <c r="AN171" s="277"/>
      <c r="AO171" s="277"/>
      <c r="AP171" s="277"/>
      <c r="AQ171" s="277"/>
      <c r="AR171" s="338"/>
      <c r="AS171" s="275"/>
      <c r="AT171" s="306"/>
    </row>
    <row r="172" spans="1:46" s="262" customFormat="1" ht="26.4" x14ac:dyDescent="0.25">
      <c r="A172" s="277"/>
      <c r="B172" s="367" t="s">
        <v>1776</v>
      </c>
      <c r="C172" s="367" t="s">
        <v>2110</v>
      </c>
      <c r="D172" s="277"/>
      <c r="E172" s="367" t="s">
        <v>2452</v>
      </c>
      <c r="F172" s="11" t="s">
        <v>1474</v>
      </c>
      <c r="G172" s="277" t="s">
        <v>1476</v>
      </c>
      <c r="H172" s="276"/>
      <c r="I172" s="276"/>
      <c r="J172" s="276"/>
      <c r="K172" s="276"/>
      <c r="L172" s="276"/>
      <c r="M172" s="276"/>
      <c r="N172" s="276"/>
      <c r="O172" s="276"/>
      <c r="P172" s="345">
        <f t="shared" si="8"/>
        <v>0</v>
      </c>
      <c r="Q172" s="277"/>
      <c r="R172" s="277"/>
      <c r="S172" s="277"/>
      <c r="T172" s="277"/>
      <c r="U172" s="277"/>
      <c r="V172" s="277"/>
      <c r="W172" s="277">
        <v>1</v>
      </c>
      <c r="X172" s="368">
        <v>43339</v>
      </c>
      <c r="Y172" s="346">
        <f t="shared" si="9"/>
        <v>1</v>
      </c>
      <c r="Z172" s="165"/>
      <c r="AA172" s="165"/>
      <c r="AB172" s="165"/>
      <c r="AC172" s="165"/>
      <c r="AD172" s="165"/>
      <c r="AE172" s="165"/>
      <c r="AF172" s="165"/>
      <c r="AG172" s="369"/>
      <c r="AH172" s="346">
        <f t="shared" si="10"/>
        <v>0</v>
      </c>
      <c r="AI172" s="165"/>
      <c r="AJ172" s="11" t="s">
        <v>2491</v>
      </c>
      <c r="AK172" s="277"/>
      <c r="AL172" s="11"/>
      <c r="AM172" s="11"/>
      <c r="AN172" s="277"/>
      <c r="AO172" s="277"/>
      <c r="AP172" s="277"/>
      <c r="AQ172" s="277"/>
      <c r="AR172" s="338"/>
      <c r="AS172" s="275"/>
      <c r="AT172" s="306"/>
    </row>
    <row r="173" spans="1:46" s="262" customFormat="1" ht="26.4" x14ac:dyDescent="0.25">
      <c r="A173" s="277"/>
      <c r="B173" s="367" t="s">
        <v>1777</v>
      </c>
      <c r="C173" s="367" t="s">
        <v>2111</v>
      </c>
      <c r="D173" s="277"/>
      <c r="E173" s="367" t="s">
        <v>2453</v>
      </c>
      <c r="F173" s="11" t="s">
        <v>1474</v>
      </c>
      <c r="G173" s="277" t="s">
        <v>1476</v>
      </c>
      <c r="H173" s="276"/>
      <c r="I173" s="276"/>
      <c r="J173" s="276"/>
      <c r="K173" s="276"/>
      <c r="L173" s="276"/>
      <c r="M173" s="276"/>
      <c r="N173" s="276"/>
      <c r="O173" s="276"/>
      <c r="P173" s="345">
        <f t="shared" si="8"/>
        <v>0</v>
      </c>
      <c r="Q173" s="277"/>
      <c r="R173" s="277"/>
      <c r="S173" s="277"/>
      <c r="T173" s="277"/>
      <c r="U173" s="277"/>
      <c r="V173" s="277"/>
      <c r="W173" s="277">
        <v>1</v>
      </c>
      <c r="X173" s="368">
        <v>43339</v>
      </c>
      <c r="Y173" s="346">
        <f t="shared" si="9"/>
        <v>1</v>
      </c>
      <c r="Z173" s="165"/>
      <c r="AA173" s="165"/>
      <c r="AB173" s="165"/>
      <c r="AC173" s="165"/>
      <c r="AD173" s="165"/>
      <c r="AE173" s="165"/>
      <c r="AF173" s="165"/>
      <c r="AG173" s="369"/>
      <c r="AH173" s="346">
        <f t="shared" si="10"/>
        <v>0</v>
      </c>
      <c r="AI173" s="165"/>
      <c r="AJ173" s="11" t="s">
        <v>2491</v>
      </c>
      <c r="AK173" s="277"/>
      <c r="AL173" s="11"/>
      <c r="AM173" s="11"/>
      <c r="AN173" s="277"/>
      <c r="AO173" s="277"/>
      <c r="AP173" s="277"/>
      <c r="AQ173" s="277"/>
      <c r="AR173" s="338"/>
      <c r="AS173" s="275"/>
      <c r="AT173" s="306"/>
    </row>
    <row r="174" spans="1:46" s="262" customFormat="1" ht="26.4" x14ac:dyDescent="0.25">
      <c r="A174" s="277"/>
      <c r="B174" s="367" t="s">
        <v>1778</v>
      </c>
      <c r="C174" s="367" t="s">
        <v>2112</v>
      </c>
      <c r="D174" s="277"/>
      <c r="E174" s="367" t="s">
        <v>2454</v>
      </c>
      <c r="F174" s="11" t="s">
        <v>1474</v>
      </c>
      <c r="G174" s="277" t="s">
        <v>1476</v>
      </c>
      <c r="H174" s="276"/>
      <c r="I174" s="276"/>
      <c r="J174" s="276"/>
      <c r="K174" s="276"/>
      <c r="L174" s="276"/>
      <c r="M174" s="276"/>
      <c r="N174" s="276"/>
      <c r="O174" s="276"/>
      <c r="P174" s="345">
        <f t="shared" si="8"/>
        <v>0</v>
      </c>
      <c r="Q174" s="277"/>
      <c r="R174" s="277"/>
      <c r="S174" s="277"/>
      <c r="T174" s="277"/>
      <c r="U174" s="277"/>
      <c r="V174" s="277"/>
      <c r="W174" s="277">
        <v>1</v>
      </c>
      <c r="X174" s="368">
        <v>43339</v>
      </c>
      <c r="Y174" s="346">
        <f t="shared" si="9"/>
        <v>1</v>
      </c>
      <c r="Z174" s="165"/>
      <c r="AA174" s="165"/>
      <c r="AB174" s="165"/>
      <c r="AC174" s="165"/>
      <c r="AD174" s="165"/>
      <c r="AE174" s="165"/>
      <c r="AF174" s="165"/>
      <c r="AG174" s="369"/>
      <c r="AH174" s="346">
        <f t="shared" si="10"/>
        <v>0</v>
      </c>
      <c r="AI174" s="165"/>
      <c r="AJ174" s="11" t="s">
        <v>2491</v>
      </c>
      <c r="AK174" s="277"/>
      <c r="AL174" s="11"/>
      <c r="AM174" s="11"/>
      <c r="AN174" s="277"/>
      <c r="AO174" s="277"/>
      <c r="AP174" s="277"/>
      <c r="AQ174" s="277"/>
      <c r="AR174" s="338"/>
      <c r="AS174" s="275"/>
      <c r="AT174" s="306"/>
    </row>
    <row r="175" spans="1:46" s="262" customFormat="1" ht="26.4" x14ac:dyDescent="0.25">
      <c r="A175" s="277"/>
      <c r="B175" s="367" t="s">
        <v>1779</v>
      </c>
      <c r="C175" s="367" t="s">
        <v>2113</v>
      </c>
      <c r="D175" s="277"/>
      <c r="E175" s="367" t="s">
        <v>2455</v>
      </c>
      <c r="F175" s="11" t="s">
        <v>1474</v>
      </c>
      <c r="G175" s="277" t="s">
        <v>1476</v>
      </c>
      <c r="H175" s="276"/>
      <c r="I175" s="276"/>
      <c r="J175" s="276"/>
      <c r="K175" s="276"/>
      <c r="L175" s="276"/>
      <c r="M175" s="276"/>
      <c r="N175" s="276"/>
      <c r="O175" s="276"/>
      <c r="P175" s="345">
        <f t="shared" si="8"/>
        <v>0</v>
      </c>
      <c r="Q175" s="277"/>
      <c r="R175" s="277"/>
      <c r="S175" s="277"/>
      <c r="T175" s="277"/>
      <c r="U175" s="277"/>
      <c r="V175" s="277"/>
      <c r="W175" s="277">
        <v>1</v>
      </c>
      <c r="X175" s="368">
        <v>43339</v>
      </c>
      <c r="Y175" s="346">
        <f t="shared" si="9"/>
        <v>1</v>
      </c>
      <c r="Z175" s="165"/>
      <c r="AA175" s="165"/>
      <c r="AB175" s="165"/>
      <c r="AC175" s="165"/>
      <c r="AD175" s="165"/>
      <c r="AE175" s="165"/>
      <c r="AF175" s="165"/>
      <c r="AG175" s="369"/>
      <c r="AH175" s="346">
        <f t="shared" si="10"/>
        <v>0</v>
      </c>
      <c r="AI175" s="165"/>
      <c r="AJ175" s="11" t="s">
        <v>2491</v>
      </c>
      <c r="AK175" s="277"/>
      <c r="AL175" s="11"/>
      <c r="AM175" s="11"/>
      <c r="AN175" s="277"/>
      <c r="AO175" s="277"/>
      <c r="AP175" s="277"/>
      <c r="AQ175" s="277"/>
      <c r="AR175" s="338"/>
      <c r="AS175" s="275"/>
      <c r="AT175" s="306"/>
    </row>
    <row r="176" spans="1:46" s="262" customFormat="1" ht="26.4" x14ac:dyDescent="0.25">
      <c r="A176" s="277"/>
      <c r="B176" s="367" t="s">
        <v>1780</v>
      </c>
      <c r="C176" s="367" t="s">
        <v>2114</v>
      </c>
      <c r="D176" s="277"/>
      <c r="E176" s="367" t="s">
        <v>2456</v>
      </c>
      <c r="F176" s="11" t="s">
        <v>1474</v>
      </c>
      <c r="G176" s="277" t="s">
        <v>1476</v>
      </c>
      <c r="H176" s="276"/>
      <c r="I176" s="276"/>
      <c r="J176" s="276"/>
      <c r="K176" s="276"/>
      <c r="L176" s="276"/>
      <c r="M176" s="276"/>
      <c r="N176" s="276"/>
      <c r="O176" s="276"/>
      <c r="P176" s="345">
        <f t="shared" si="8"/>
        <v>0</v>
      </c>
      <c r="Q176" s="277"/>
      <c r="R176" s="277"/>
      <c r="S176" s="277"/>
      <c r="T176" s="277"/>
      <c r="U176" s="277"/>
      <c r="V176" s="277"/>
      <c r="W176" s="277">
        <v>1</v>
      </c>
      <c r="X176" s="368">
        <v>43339</v>
      </c>
      <c r="Y176" s="346">
        <f t="shared" si="9"/>
        <v>1</v>
      </c>
      <c r="Z176" s="165"/>
      <c r="AA176" s="165"/>
      <c r="AB176" s="165"/>
      <c r="AC176" s="165"/>
      <c r="AD176" s="165"/>
      <c r="AE176" s="165"/>
      <c r="AF176" s="165"/>
      <c r="AG176" s="369"/>
      <c r="AH176" s="346">
        <f t="shared" si="10"/>
        <v>0</v>
      </c>
      <c r="AI176" s="165"/>
      <c r="AJ176" s="11" t="s">
        <v>2491</v>
      </c>
      <c r="AK176" s="277"/>
      <c r="AL176" s="11"/>
      <c r="AM176" s="11"/>
      <c r="AN176" s="277"/>
      <c r="AO176" s="277"/>
      <c r="AP176" s="277"/>
      <c r="AQ176" s="277"/>
      <c r="AR176" s="338"/>
      <c r="AS176" s="275"/>
      <c r="AT176" s="306"/>
    </row>
    <row r="177" spans="1:46" s="262" customFormat="1" ht="26.4" x14ac:dyDescent="0.25">
      <c r="A177" s="277"/>
      <c r="B177" s="367" t="s">
        <v>1781</v>
      </c>
      <c r="C177" s="367" t="s">
        <v>2115</v>
      </c>
      <c r="D177" s="277"/>
      <c r="E177" s="367" t="s">
        <v>2457</v>
      </c>
      <c r="F177" s="11" t="s">
        <v>1474</v>
      </c>
      <c r="G177" s="277" t="s">
        <v>1476</v>
      </c>
      <c r="H177" s="276"/>
      <c r="I177" s="276"/>
      <c r="J177" s="276"/>
      <c r="K177" s="276"/>
      <c r="L177" s="276"/>
      <c r="M177" s="276"/>
      <c r="N177" s="276"/>
      <c r="O177" s="276"/>
      <c r="P177" s="345">
        <f t="shared" si="8"/>
        <v>0</v>
      </c>
      <c r="Q177" s="277"/>
      <c r="R177" s="277"/>
      <c r="S177" s="277"/>
      <c r="T177" s="277"/>
      <c r="U177" s="277"/>
      <c r="V177" s="277"/>
      <c r="W177" s="277">
        <v>1</v>
      </c>
      <c r="X177" s="368">
        <v>43339</v>
      </c>
      <c r="Y177" s="346">
        <f t="shared" si="9"/>
        <v>1</v>
      </c>
      <c r="Z177" s="165"/>
      <c r="AA177" s="165"/>
      <c r="AB177" s="165"/>
      <c r="AC177" s="165"/>
      <c r="AD177" s="165"/>
      <c r="AE177" s="165"/>
      <c r="AF177" s="165"/>
      <c r="AG177" s="369"/>
      <c r="AH177" s="346">
        <f t="shared" si="10"/>
        <v>0</v>
      </c>
      <c r="AI177" s="165"/>
      <c r="AJ177" s="11" t="s">
        <v>2491</v>
      </c>
      <c r="AK177" s="277"/>
      <c r="AL177" s="11"/>
      <c r="AM177" s="11"/>
      <c r="AN177" s="277"/>
      <c r="AO177" s="277"/>
      <c r="AP177" s="277"/>
      <c r="AQ177" s="277"/>
      <c r="AR177" s="338"/>
      <c r="AS177" s="275"/>
      <c r="AT177" s="306"/>
    </row>
    <row r="178" spans="1:46" s="262" customFormat="1" ht="26.4" x14ac:dyDescent="0.25">
      <c r="A178" s="277"/>
      <c r="B178" s="367" t="s">
        <v>1782</v>
      </c>
      <c r="C178" s="367" t="s">
        <v>2116</v>
      </c>
      <c r="D178" s="277"/>
      <c r="E178" s="367" t="s">
        <v>2458</v>
      </c>
      <c r="F178" s="11" t="s">
        <v>1474</v>
      </c>
      <c r="G178" s="277" t="s">
        <v>1476</v>
      </c>
      <c r="H178" s="276"/>
      <c r="I178" s="276"/>
      <c r="J178" s="276"/>
      <c r="K178" s="276"/>
      <c r="L178" s="276"/>
      <c r="M178" s="276"/>
      <c r="N178" s="276"/>
      <c r="O178" s="276"/>
      <c r="P178" s="345">
        <f t="shared" si="8"/>
        <v>0</v>
      </c>
      <c r="Q178" s="277"/>
      <c r="R178" s="277"/>
      <c r="S178" s="277"/>
      <c r="T178" s="277"/>
      <c r="U178" s="277"/>
      <c r="V178" s="277"/>
      <c r="W178" s="277">
        <v>1</v>
      </c>
      <c r="X178" s="368">
        <v>43339</v>
      </c>
      <c r="Y178" s="346">
        <f t="shared" si="9"/>
        <v>1</v>
      </c>
      <c r="Z178" s="165"/>
      <c r="AA178" s="165"/>
      <c r="AB178" s="165"/>
      <c r="AC178" s="165"/>
      <c r="AD178" s="165"/>
      <c r="AE178" s="165"/>
      <c r="AF178" s="165"/>
      <c r="AG178" s="369"/>
      <c r="AH178" s="346">
        <f t="shared" si="10"/>
        <v>0</v>
      </c>
      <c r="AI178" s="165"/>
      <c r="AJ178" s="11" t="s">
        <v>2491</v>
      </c>
      <c r="AK178" s="277"/>
      <c r="AL178" s="11"/>
      <c r="AM178" s="11"/>
      <c r="AN178" s="277"/>
      <c r="AO178" s="277"/>
      <c r="AP178" s="277"/>
      <c r="AQ178" s="277"/>
      <c r="AR178" s="338"/>
      <c r="AS178" s="275"/>
      <c r="AT178" s="306"/>
    </row>
    <row r="179" spans="1:46" s="262" customFormat="1" x14ac:dyDescent="0.25">
      <c r="A179" s="277"/>
      <c r="B179" s="367" t="s">
        <v>1751</v>
      </c>
      <c r="C179" s="367" t="s">
        <v>2085</v>
      </c>
      <c r="D179" s="277"/>
      <c r="E179" s="367" t="s">
        <v>2427</v>
      </c>
      <c r="F179" s="11" t="s">
        <v>1474</v>
      </c>
      <c r="G179" s="277" t="s">
        <v>1476</v>
      </c>
      <c r="H179" s="276"/>
      <c r="I179" s="276"/>
      <c r="J179" s="276"/>
      <c r="K179" s="276"/>
      <c r="L179" s="276"/>
      <c r="M179" s="276"/>
      <c r="N179" s="276"/>
      <c r="O179" s="276"/>
      <c r="P179" s="345">
        <f t="shared" si="8"/>
        <v>0</v>
      </c>
      <c r="Q179" s="277"/>
      <c r="R179" s="277"/>
      <c r="S179" s="277"/>
      <c r="T179" s="277"/>
      <c r="U179" s="277"/>
      <c r="V179" s="277"/>
      <c r="W179" s="277">
        <v>1</v>
      </c>
      <c r="X179" s="368">
        <v>43349</v>
      </c>
      <c r="Y179" s="346">
        <f t="shared" si="9"/>
        <v>1</v>
      </c>
      <c r="Z179" s="165"/>
      <c r="AA179" s="165"/>
      <c r="AB179" s="165"/>
      <c r="AC179" s="165"/>
      <c r="AD179" s="165"/>
      <c r="AE179" s="165"/>
      <c r="AF179" s="165"/>
      <c r="AG179" s="369"/>
      <c r="AH179" s="346">
        <f t="shared" si="10"/>
        <v>0</v>
      </c>
      <c r="AI179" s="165"/>
      <c r="AJ179" s="11" t="s">
        <v>2491</v>
      </c>
      <c r="AK179" s="277"/>
      <c r="AL179" s="11"/>
      <c r="AM179" s="11"/>
      <c r="AN179" s="277"/>
      <c r="AO179" s="277"/>
      <c r="AP179" s="277"/>
      <c r="AQ179" s="277"/>
      <c r="AR179" s="338"/>
      <c r="AS179" s="275"/>
      <c r="AT179" s="306"/>
    </row>
    <row r="180" spans="1:46" s="262" customFormat="1" ht="26.4" x14ac:dyDescent="0.25">
      <c r="A180" s="277"/>
      <c r="B180" s="367" t="s">
        <v>1731</v>
      </c>
      <c r="C180" s="367" t="s">
        <v>2065</v>
      </c>
      <c r="D180" s="277"/>
      <c r="E180" s="367" t="s">
        <v>2407</v>
      </c>
      <c r="F180" s="11" t="s">
        <v>1474</v>
      </c>
      <c r="G180" s="277" t="s">
        <v>1476</v>
      </c>
      <c r="H180" s="276"/>
      <c r="I180" s="276"/>
      <c r="J180" s="276"/>
      <c r="K180" s="276"/>
      <c r="L180" s="276"/>
      <c r="M180" s="276"/>
      <c r="N180" s="276"/>
      <c r="O180" s="276"/>
      <c r="P180" s="345">
        <f t="shared" si="8"/>
        <v>0</v>
      </c>
      <c r="Q180" s="277"/>
      <c r="R180" s="277"/>
      <c r="S180" s="277"/>
      <c r="T180" s="277"/>
      <c r="U180" s="277"/>
      <c r="V180" s="277"/>
      <c r="W180" s="277">
        <v>1</v>
      </c>
      <c r="X180" s="368">
        <v>43377</v>
      </c>
      <c r="Y180" s="346">
        <f t="shared" si="9"/>
        <v>1</v>
      </c>
      <c r="Z180" s="165"/>
      <c r="AA180" s="165"/>
      <c r="AB180" s="165"/>
      <c r="AC180" s="165"/>
      <c r="AD180" s="165"/>
      <c r="AE180" s="165"/>
      <c r="AF180" s="165"/>
      <c r="AG180" s="369"/>
      <c r="AH180" s="346">
        <f t="shared" si="10"/>
        <v>0</v>
      </c>
      <c r="AI180" s="165"/>
      <c r="AJ180" s="11" t="s">
        <v>2491</v>
      </c>
      <c r="AK180" s="277"/>
      <c r="AL180" s="11"/>
      <c r="AM180" s="11"/>
      <c r="AN180" s="277"/>
      <c r="AO180" s="277"/>
      <c r="AP180" s="277"/>
      <c r="AQ180" s="277"/>
      <c r="AR180" s="338"/>
      <c r="AS180" s="275"/>
      <c r="AT180" s="306"/>
    </row>
    <row r="181" spans="1:46" s="262" customFormat="1" ht="26.4" x14ac:dyDescent="0.25">
      <c r="A181" s="277"/>
      <c r="B181" s="367" t="s">
        <v>1732</v>
      </c>
      <c r="C181" s="367" t="s">
        <v>2066</v>
      </c>
      <c r="D181" s="277"/>
      <c r="E181" s="367" t="s">
        <v>2408</v>
      </c>
      <c r="F181" s="11" t="s">
        <v>1474</v>
      </c>
      <c r="G181" s="277" t="s">
        <v>1476</v>
      </c>
      <c r="H181" s="276"/>
      <c r="I181" s="276"/>
      <c r="J181" s="276"/>
      <c r="K181" s="276"/>
      <c r="L181" s="276"/>
      <c r="M181" s="276"/>
      <c r="N181" s="276"/>
      <c r="O181" s="276"/>
      <c r="P181" s="345">
        <f t="shared" si="8"/>
        <v>0</v>
      </c>
      <c r="Q181" s="277"/>
      <c r="R181" s="277"/>
      <c r="S181" s="277"/>
      <c r="T181" s="277"/>
      <c r="U181" s="277"/>
      <c r="V181" s="277"/>
      <c r="W181" s="277">
        <v>1</v>
      </c>
      <c r="X181" s="368">
        <v>43377</v>
      </c>
      <c r="Y181" s="346">
        <f t="shared" si="9"/>
        <v>1</v>
      </c>
      <c r="Z181" s="165"/>
      <c r="AA181" s="165"/>
      <c r="AB181" s="165"/>
      <c r="AC181" s="165"/>
      <c r="AD181" s="165"/>
      <c r="AE181" s="165"/>
      <c r="AF181" s="165"/>
      <c r="AG181" s="369"/>
      <c r="AH181" s="346">
        <f t="shared" si="10"/>
        <v>0</v>
      </c>
      <c r="AI181" s="165"/>
      <c r="AJ181" s="11" t="s">
        <v>2491</v>
      </c>
      <c r="AK181" s="277"/>
      <c r="AL181" s="11"/>
      <c r="AM181" s="11"/>
      <c r="AN181" s="277"/>
      <c r="AO181" s="277"/>
      <c r="AP181" s="277"/>
      <c r="AQ181" s="277"/>
      <c r="AR181" s="338"/>
      <c r="AS181" s="275"/>
      <c r="AT181" s="306"/>
    </row>
    <row r="182" spans="1:46" s="262" customFormat="1" ht="26.4" x14ac:dyDescent="0.25">
      <c r="A182" s="277"/>
      <c r="B182" s="367" t="s">
        <v>1733</v>
      </c>
      <c r="C182" s="367" t="s">
        <v>2067</v>
      </c>
      <c r="D182" s="277"/>
      <c r="E182" s="367" t="s">
        <v>2409</v>
      </c>
      <c r="F182" s="11" t="s">
        <v>1474</v>
      </c>
      <c r="G182" s="277" t="s">
        <v>1476</v>
      </c>
      <c r="H182" s="276"/>
      <c r="I182" s="276"/>
      <c r="J182" s="276"/>
      <c r="K182" s="276"/>
      <c r="L182" s="276"/>
      <c r="M182" s="276"/>
      <c r="N182" s="276"/>
      <c r="O182" s="276"/>
      <c r="P182" s="345">
        <f t="shared" si="8"/>
        <v>0</v>
      </c>
      <c r="Q182" s="277"/>
      <c r="R182" s="277"/>
      <c r="S182" s="277"/>
      <c r="T182" s="277"/>
      <c r="U182" s="277"/>
      <c r="V182" s="277"/>
      <c r="W182" s="277">
        <v>1</v>
      </c>
      <c r="X182" s="368">
        <v>43377</v>
      </c>
      <c r="Y182" s="346">
        <f t="shared" si="9"/>
        <v>1</v>
      </c>
      <c r="Z182" s="165"/>
      <c r="AA182" s="165"/>
      <c r="AB182" s="165"/>
      <c r="AC182" s="165"/>
      <c r="AD182" s="165"/>
      <c r="AE182" s="165"/>
      <c r="AF182" s="165"/>
      <c r="AG182" s="369"/>
      <c r="AH182" s="346">
        <f t="shared" si="10"/>
        <v>0</v>
      </c>
      <c r="AI182" s="165"/>
      <c r="AJ182" s="11" t="s">
        <v>2491</v>
      </c>
      <c r="AK182" s="277"/>
      <c r="AL182" s="11"/>
      <c r="AM182" s="11"/>
      <c r="AN182" s="277"/>
      <c r="AO182" s="277"/>
      <c r="AP182" s="277"/>
      <c r="AQ182" s="277"/>
      <c r="AR182" s="338"/>
      <c r="AS182" s="275"/>
      <c r="AT182" s="306"/>
    </row>
    <row r="183" spans="1:46" s="262" customFormat="1" ht="26.4" x14ac:dyDescent="0.25">
      <c r="A183" s="277"/>
      <c r="B183" s="367" t="s">
        <v>1734</v>
      </c>
      <c r="C183" s="367" t="s">
        <v>2068</v>
      </c>
      <c r="D183" s="277"/>
      <c r="E183" s="367" t="s">
        <v>2410</v>
      </c>
      <c r="F183" s="11" t="s">
        <v>1474</v>
      </c>
      <c r="G183" s="277" t="s">
        <v>1476</v>
      </c>
      <c r="H183" s="276"/>
      <c r="I183" s="276"/>
      <c r="J183" s="276"/>
      <c r="K183" s="276"/>
      <c r="L183" s="276"/>
      <c r="M183" s="276"/>
      <c r="N183" s="276"/>
      <c r="O183" s="276"/>
      <c r="P183" s="345">
        <f t="shared" si="8"/>
        <v>0</v>
      </c>
      <c r="Q183" s="277"/>
      <c r="R183" s="277"/>
      <c r="S183" s="277"/>
      <c r="T183" s="277"/>
      <c r="U183" s="277"/>
      <c r="V183" s="277"/>
      <c r="W183" s="277">
        <v>1</v>
      </c>
      <c r="X183" s="368">
        <v>43377</v>
      </c>
      <c r="Y183" s="346">
        <f t="shared" si="9"/>
        <v>1</v>
      </c>
      <c r="Z183" s="165"/>
      <c r="AA183" s="165"/>
      <c r="AB183" s="165"/>
      <c r="AC183" s="165"/>
      <c r="AD183" s="165"/>
      <c r="AE183" s="165"/>
      <c r="AF183" s="165"/>
      <c r="AG183" s="369"/>
      <c r="AH183" s="346">
        <f t="shared" si="10"/>
        <v>0</v>
      </c>
      <c r="AI183" s="165"/>
      <c r="AJ183" s="11" t="s">
        <v>2491</v>
      </c>
      <c r="AK183" s="277"/>
      <c r="AL183" s="11"/>
      <c r="AM183" s="11"/>
      <c r="AN183" s="277"/>
      <c r="AO183" s="277"/>
      <c r="AP183" s="277"/>
      <c r="AQ183" s="277"/>
      <c r="AR183" s="338"/>
      <c r="AS183" s="275"/>
      <c r="AT183" s="306"/>
    </row>
    <row r="184" spans="1:46" s="262" customFormat="1" ht="26.4" x14ac:dyDescent="0.25">
      <c r="A184" s="277"/>
      <c r="B184" s="367" t="s">
        <v>1735</v>
      </c>
      <c r="C184" s="367" t="s">
        <v>2069</v>
      </c>
      <c r="D184" s="277"/>
      <c r="E184" s="367" t="s">
        <v>2411</v>
      </c>
      <c r="F184" s="11" t="s">
        <v>1474</v>
      </c>
      <c r="G184" s="277" t="s">
        <v>1476</v>
      </c>
      <c r="H184" s="276"/>
      <c r="I184" s="276"/>
      <c r="J184" s="276"/>
      <c r="K184" s="276"/>
      <c r="L184" s="276"/>
      <c r="M184" s="276"/>
      <c r="N184" s="276"/>
      <c r="O184" s="276"/>
      <c r="P184" s="345">
        <f t="shared" si="8"/>
        <v>0</v>
      </c>
      <c r="Q184" s="277"/>
      <c r="R184" s="277"/>
      <c r="S184" s="277"/>
      <c r="T184" s="277"/>
      <c r="U184" s="277"/>
      <c r="V184" s="277"/>
      <c r="W184" s="277">
        <v>1</v>
      </c>
      <c r="X184" s="368">
        <v>43377</v>
      </c>
      <c r="Y184" s="346">
        <f t="shared" si="9"/>
        <v>1</v>
      </c>
      <c r="Z184" s="165"/>
      <c r="AA184" s="165"/>
      <c r="AB184" s="165"/>
      <c r="AC184" s="165"/>
      <c r="AD184" s="165"/>
      <c r="AE184" s="165"/>
      <c r="AF184" s="165"/>
      <c r="AG184" s="369"/>
      <c r="AH184" s="346">
        <f t="shared" si="10"/>
        <v>0</v>
      </c>
      <c r="AI184" s="165"/>
      <c r="AJ184" s="11" t="s">
        <v>2491</v>
      </c>
      <c r="AK184" s="277"/>
      <c r="AL184" s="11"/>
      <c r="AM184" s="11"/>
      <c r="AN184" s="277"/>
      <c r="AO184" s="277"/>
      <c r="AP184" s="277"/>
      <c r="AQ184" s="277"/>
      <c r="AR184" s="338"/>
      <c r="AS184" s="275"/>
      <c r="AT184" s="306"/>
    </row>
    <row r="185" spans="1:46" s="262" customFormat="1" ht="26.4" x14ac:dyDescent="0.25">
      <c r="A185" s="277"/>
      <c r="B185" s="367" t="s">
        <v>1736</v>
      </c>
      <c r="C185" s="367" t="s">
        <v>2070</v>
      </c>
      <c r="D185" s="277"/>
      <c r="E185" s="367" t="s">
        <v>2412</v>
      </c>
      <c r="F185" s="11" t="s">
        <v>1474</v>
      </c>
      <c r="G185" s="277" t="s">
        <v>1476</v>
      </c>
      <c r="H185" s="276"/>
      <c r="I185" s="276"/>
      <c r="J185" s="276"/>
      <c r="K185" s="276"/>
      <c r="L185" s="276"/>
      <c r="M185" s="276"/>
      <c r="N185" s="276"/>
      <c r="O185" s="276"/>
      <c r="P185" s="345">
        <f t="shared" si="8"/>
        <v>0</v>
      </c>
      <c r="Q185" s="277"/>
      <c r="R185" s="277"/>
      <c r="S185" s="277"/>
      <c r="T185" s="277"/>
      <c r="U185" s="277"/>
      <c r="V185" s="277"/>
      <c r="W185" s="277">
        <v>1</v>
      </c>
      <c r="X185" s="368">
        <v>43377</v>
      </c>
      <c r="Y185" s="346">
        <f t="shared" si="9"/>
        <v>1</v>
      </c>
      <c r="Z185" s="165"/>
      <c r="AA185" s="165"/>
      <c r="AB185" s="165"/>
      <c r="AC185" s="165"/>
      <c r="AD185" s="165"/>
      <c r="AE185" s="165"/>
      <c r="AF185" s="165"/>
      <c r="AG185" s="369"/>
      <c r="AH185" s="346">
        <f t="shared" si="10"/>
        <v>0</v>
      </c>
      <c r="AI185" s="165"/>
      <c r="AJ185" s="11" t="s">
        <v>2491</v>
      </c>
      <c r="AK185" s="277"/>
      <c r="AL185" s="11"/>
      <c r="AM185" s="11"/>
      <c r="AN185" s="277"/>
      <c r="AO185" s="277"/>
      <c r="AP185" s="277"/>
      <c r="AQ185" s="277"/>
      <c r="AR185" s="338"/>
      <c r="AS185" s="275"/>
      <c r="AT185" s="306"/>
    </row>
    <row r="186" spans="1:46" s="262" customFormat="1" x14ac:dyDescent="0.25">
      <c r="A186" s="277"/>
      <c r="B186" s="367" t="s">
        <v>1713</v>
      </c>
      <c r="C186" s="367" t="s">
        <v>2047</v>
      </c>
      <c r="D186" s="277"/>
      <c r="E186" s="367" t="s">
        <v>2389</v>
      </c>
      <c r="F186" s="11" t="s">
        <v>1474</v>
      </c>
      <c r="G186" s="277" t="s">
        <v>1476</v>
      </c>
      <c r="H186" s="276"/>
      <c r="I186" s="276"/>
      <c r="J186" s="276"/>
      <c r="K186" s="276"/>
      <c r="L186" s="276"/>
      <c r="M186" s="276"/>
      <c r="N186" s="276"/>
      <c r="O186" s="276"/>
      <c r="P186" s="345">
        <f t="shared" si="8"/>
        <v>0</v>
      </c>
      <c r="Q186" s="277"/>
      <c r="R186" s="277"/>
      <c r="S186" s="277"/>
      <c r="T186" s="277"/>
      <c r="U186" s="277"/>
      <c r="V186" s="277"/>
      <c r="W186" s="277">
        <v>1</v>
      </c>
      <c r="X186" s="368">
        <v>43423</v>
      </c>
      <c r="Y186" s="346">
        <f t="shared" si="9"/>
        <v>1</v>
      </c>
      <c r="Z186" s="165"/>
      <c r="AA186" s="165"/>
      <c r="AB186" s="165"/>
      <c r="AC186" s="165"/>
      <c r="AD186" s="165"/>
      <c r="AE186" s="165"/>
      <c r="AF186" s="165"/>
      <c r="AG186" s="369"/>
      <c r="AH186" s="346">
        <f t="shared" si="10"/>
        <v>0</v>
      </c>
      <c r="AI186" s="165"/>
      <c r="AJ186" s="11" t="s">
        <v>2491</v>
      </c>
      <c r="AK186" s="277"/>
      <c r="AL186" s="11"/>
      <c r="AM186" s="11"/>
      <c r="AN186" s="277"/>
      <c r="AO186" s="277"/>
      <c r="AP186" s="277"/>
      <c r="AQ186" s="277"/>
      <c r="AR186" s="338"/>
      <c r="AS186" s="275"/>
      <c r="AT186" s="306"/>
    </row>
    <row r="187" spans="1:46" s="262" customFormat="1" x14ac:dyDescent="0.25">
      <c r="A187" s="277"/>
      <c r="B187" s="367" t="s">
        <v>1714</v>
      </c>
      <c r="C187" s="367" t="s">
        <v>2048</v>
      </c>
      <c r="D187" s="277"/>
      <c r="E187" s="367" t="s">
        <v>2390</v>
      </c>
      <c r="F187" s="11" t="s">
        <v>1474</v>
      </c>
      <c r="G187" s="277" t="s">
        <v>1476</v>
      </c>
      <c r="H187" s="276"/>
      <c r="I187" s="276"/>
      <c r="J187" s="276"/>
      <c r="K187" s="276"/>
      <c r="L187" s="276"/>
      <c r="M187" s="276"/>
      <c r="N187" s="276"/>
      <c r="O187" s="276"/>
      <c r="P187" s="345">
        <f t="shared" si="8"/>
        <v>0</v>
      </c>
      <c r="Q187" s="277"/>
      <c r="R187" s="277"/>
      <c r="S187" s="277"/>
      <c r="T187" s="277"/>
      <c r="U187" s="277"/>
      <c r="V187" s="277"/>
      <c r="W187" s="277">
        <v>1</v>
      </c>
      <c r="X187" s="368">
        <v>43423</v>
      </c>
      <c r="Y187" s="346">
        <f t="shared" si="9"/>
        <v>1</v>
      </c>
      <c r="Z187" s="165"/>
      <c r="AA187" s="165"/>
      <c r="AB187" s="165"/>
      <c r="AC187" s="165"/>
      <c r="AD187" s="165"/>
      <c r="AE187" s="165"/>
      <c r="AF187" s="165"/>
      <c r="AG187" s="369"/>
      <c r="AH187" s="346">
        <f t="shared" si="10"/>
        <v>0</v>
      </c>
      <c r="AI187" s="165"/>
      <c r="AJ187" s="11" t="s">
        <v>2491</v>
      </c>
      <c r="AK187" s="277"/>
      <c r="AL187" s="11"/>
      <c r="AM187" s="11"/>
      <c r="AN187" s="277"/>
      <c r="AO187" s="277"/>
      <c r="AP187" s="277"/>
      <c r="AQ187" s="277"/>
      <c r="AR187" s="338"/>
      <c r="AS187" s="275"/>
      <c r="AT187" s="306"/>
    </row>
    <row r="188" spans="1:46" s="262" customFormat="1" x14ac:dyDescent="0.25">
      <c r="A188" s="277"/>
      <c r="B188" s="367" t="s">
        <v>1715</v>
      </c>
      <c r="C188" s="367" t="s">
        <v>2049</v>
      </c>
      <c r="D188" s="277"/>
      <c r="E188" s="367" t="s">
        <v>2391</v>
      </c>
      <c r="F188" s="11" t="s">
        <v>1474</v>
      </c>
      <c r="G188" s="277" t="s">
        <v>1476</v>
      </c>
      <c r="H188" s="276"/>
      <c r="I188" s="276"/>
      <c r="J188" s="276"/>
      <c r="K188" s="276"/>
      <c r="L188" s="276"/>
      <c r="M188" s="276"/>
      <c r="N188" s="276"/>
      <c r="O188" s="276"/>
      <c r="P188" s="345">
        <f t="shared" si="8"/>
        <v>0</v>
      </c>
      <c r="Q188" s="277"/>
      <c r="R188" s="277"/>
      <c r="S188" s="277"/>
      <c r="T188" s="277"/>
      <c r="U188" s="277"/>
      <c r="V188" s="277"/>
      <c r="W188" s="277">
        <v>1</v>
      </c>
      <c r="X188" s="368">
        <v>43423</v>
      </c>
      <c r="Y188" s="346">
        <f t="shared" si="9"/>
        <v>1</v>
      </c>
      <c r="Z188" s="165"/>
      <c r="AA188" s="165"/>
      <c r="AB188" s="165"/>
      <c r="AC188" s="165"/>
      <c r="AD188" s="165"/>
      <c r="AE188" s="165"/>
      <c r="AF188" s="165"/>
      <c r="AG188" s="369"/>
      <c r="AH188" s="346">
        <f t="shared" si="10"/>
        <v>0</v>
      </c>
      <c r="AI188" s="165"/>
      <c r="AJ188" s="11" t="s">
        <v>2491</v>
      </c>
      <c r="AK188" s="277"/>
      <c r="AL188" s="11"/>
      <c r="AM188" s="11"/>
      <c r="AN188" s="277"/>
      <c r="AO188" s="277"/>
      <c r="AP188" s="277"/>
      <c r="AQ188" s="277"/>
      <c r="AR188" s="338"/>
      <c r="AS188" s="275"/>
      <c r="AT188" s="306"/>
    </row>
    <row r="189" spans="1:46" s="262" customFormat="1" x14ac:dyDescent="0.25">
      <c r="A189" s="277"/>
      <c r="B189" s="367" t="s">
        <v>1721</v>
      </c>
      <c r="C189" s="367" t="s">
        <v>2055</v>
      </c>
      <c r="D189" s="277"/>
      <c r="E189" s="367" t="s">
        <v>2397</v>
      </c>
      <c r="F189" s="11" t="s">
        <v>1474</v>
      </c>
      <c r="G189" s="277" t="s">
        <v>1476</v>
      </c>
      <c r="H189" s="276"/>
      <c r="I189" s="276"/>
      <c r="J189" s="276"/>
      <c r="K189" s="276"/>
      <c r="L189" s="276"/>
      <c r="M189" s="276"/>
      <c r="N189" s="276"/>
      <c r="O189" s="276"/>
      <c r="P189" s="345">
        <f t="shared" si="8"/>
        <v>0</v>
      </c>
      <c r="Q189" s="277"/>
      <c r="R189" s="277"/>
      <c r="S189" s="277"/>
      <c r="T189" s="277"/>
      <c r="U189" s="277"/>
      <c r="V189" s="277"/>
      <c r="W189" s="277">
        <v>1</v>
      </c>
      <c r="X189" s="368">
        <v>43423</v>
      </c>
      <c r="Y189" s="346">
        <f t="shared" si="9"/>
        <v>1</v>
      </c>
      <c r="Z189" s="165"/>
      <c r="AA189" s="165"/>
      <c r="AB189" s="165"/>
      <c r="AC189" s="165"/>
      <c r="AD189" s="165"/>
      <c r="AE189" s="165"/>
      <c r="AF189" s="165"/>
      <c r="AG189" s="369"/>
      <c r="AH189" s="346">
        <f t="shared" si="10"/>
        <v>0</v>
      </c>
      <c r="AI189" s="165"/>
      <c r="AJ189" s="11" t="s">
        <v>2491</v>
      </c>
      <c r="AK189" s="277"/>
      <c r="AL189" s="11"/>
      <c r="AM189" s="11"/>
      <c r="AN189" s="277"/>
      <c r="AO189" s="277"/>
      <c r="AP189" s="277"/>
      <c r="AQ189" s="277"/>
      <c r="AR189" s="338"/>
      <c r="AS189" s="275"/>
      <c r="AT189" s="306"/>
    </row>
    <row r="190" spans="1:46" s="262" customFormat="1" x14ac:dyDescent="0.25">
      <c r="A190" s="277"/>
      <c r="B190" s="367" t="s">
        <v>1722</v>
      </c>
      <c r="C190" s="367" t="s">
        <v>2056</v>
      </c>
      <c r="D190" s="277"/>
      <c r="E190" s="367" t="s">
        <v>2398</v>
      </c>
      <c r="F190" s="11" t="s">
        <v>1474</v>
      </c>
      <c r="G190" s="277" t="s">
        <v>1476</v>
      </c>
      <c r="H190" s="276"/>
      <c r="I190" s="276"/>
      <c r="J190" s="276"/>
      <c r="K190" s="276"/>
      <c r="L190" s="276"/>
      <c r="M190" s="276"/>
      <c r="N190" s="276"/>
      <c r="O190" s="276"/>
      <c r="P190" s="345">
        <f t="shared" si="8"/>
        <v>0</v>
      </c>
      <c r="Q190" s="277"/>
      <c r="R190" s="277"/>
      <c r="S190" s="277"/>
      <c r="T190" s="277"/>
      <c r="U190" s="277"/>
      <c r="V190" s="277"/>
      <c r="W190" s="277">
        <v>1</v>
      </c>
      <c r="X190" s="368">
        <v>43423</v>
      </c>
      <c r="Y190" s="346">
        <f t="shared" si="9"/>
        <v>1</v>
      </c>
      <c r="Z190" s="165"/>
      <c r="AA190" s="165"/>
      <c r="AB190" s="165"/>
      <c r="AC190" s="165"/>
      <c r="AD190" s="165"/>
      <c r="AE190" s="165"/>
      <c r="AF190" s="165"/>
      <c r="AG190" s="369"/>
      <c r="AH190" s="346">
        <f t="shared" si="10"/>
        <v>0</v>
      </c>
      <c r="AI190" s="165"/>
      <c r="AJ190" s="11" t="s">
        <v>2491</v>
      </c>
      <c r="AK190" s="277"/>
      <c r="AL190" s="11"/>
      <c r="AM190" s="11"/>
      <c r="AN190" s="277"/>
      <c r="AO190" s="277"/>
      <c r="AP190" s="277"/>
      <c r="AQ190" s="277"/>
      <c r="AR190" s="338"/>
      <c r="AS190" s="275"/>
      <c r="AT190" s="306"/>
    </row>
    <row r="191" spans="1:46" s="262" customFormat="1" x14ac:dyDescent="0.25">
      <c r="A191" s="277"/>
      <c r="B191" s="367" t="s">
        <v>1709</v>
      </c>
      <c r="C191" s="367" t="s">
        <v>2043</v>
      </c>
      <c r="D191" s="277"/>
      <c r="E191" s="367" t="s">
        <v>2385</v>
      </c>
      <c r="F191" s="11" t="s">
        <v>1474</v>
      </c>
      <c r="G191" s="277" t="s">
        <v>1476</v>
      </c>
      <c r="H191" s="276"/>
      <c r="I191" s="276"/>
      <c r="J191" s="276"/>
      <c r="K191" s="276"/>
      <c r="L191" s="276"/>
      <c r="M191" s="276"/>
      <c r="N191" s="276"/>
      <c r="O191" s="276"/>
      <c r="P191" s="345">
        <f t="shared" si="8"/>
        <v>0</v>
      </c>
      <c r="Q191" s="277"/>
      <c r="R191" s="277"/>
      <c r="S191" s="277"/>
      <c r="T191" s="277"/>
      <c r="U191" s="277"/>
      <c r="V191" s="277"/>
      <c r="W191" s="277">
        <v>1</v>
      </c>
      <c r="X191" s="368">
        <v>43448</v>
      </c>
      <c r="Y191" s="346">
        <f t="shared" si="9"/>
        <v>1</v>
      </c>
      <c r="Z191" s="165"/>
      <c r="AA191" s="165"/>
      <c r="AB191" s="165"/>
      <c r="AC191" s="165"/>
      <c r="AD191" s="165"/>
      <c r="AE191" s="165"/>
      <c r="AF191" s="165"/>
      <c r="AG191" s="369"/>
      <c r="AH191" s="346">
        <f t="shared" si="10"/>
        <v>0</v>
      </c>
      <c r="AI191" s="165"/>
      <c r="AJ191" s="11" t="s">
        <v>2491</v>
      </c>
      <c r="AK191" s="277"/>
      <c r="AL191" s="11"/>
      <c r="AM191" s="11"/>
      <c r="AN191" s="277"/>
      <c r="AO191" s="277"/>
      <c r="AP191" s="277"/>
      <c r="AQ191" s="277"/>
      <c r="AR191" s="338"/>
      <c r="AS191" s="275"/>
      <c r="AT191" s="306"/>
    </row>
    <row r="192" spans="1:46" s="262" customFormat="1" x14ac:dyDescent="0.25">
      <c r="A192" s="277"/>
      <c r="B192" s="367" t="s">
        <v>1710</v>
      </c>
      <c r="C192" s="367" t="s">
        <v>2044</v>
      </c>
      <c r="D192" s="277"/>
      <c r="E192" s="367" t="s">
        <v>2386</v>
      </c>
      <c r="F192" s="11" t="s">
        <v>1474</v>
      </c>
      <c r="G192" s="277" t="s">
        <v>1476</v>
      </c>
      <c r="H192" s="276"/>
      <c r="I192" s="276"/>
      <c r="J192" s="276"/>
      <c r="K192" s="276"/>
      <c r="L192" s="276"/>
      <c r="M192" s="276"/>
      <c r="N192" s="276"/>
      <c r="O192" s="276"/>
      <c r="P192" s="345">
        <f t="shared" si="8"/>
        <v>0</v>
      </c>
      <c r="Q192" s="277"/>
      <c r="R192" s="277"/>
      <c r="S192" s="277"/>
      <c r="T192" s="277"/>
      <c r="U192" s="277"/>
      <c r="V192" s="277"/>
      <c r="W192" s="277">
        <v>1</v>
      </c>
      <c r="X192" s="368">
        <v>43448</v>
      </c>
      <c r="Y192" s="346">
        <f t="shared" si="9"/>
        <v>1</v>
      </c>
      <c r="Z192" s="165"/>
      <c r="AA192" s="165"/>
      <c r="AB192" s="165"/>
      <c r="AC192" s="165"/>
      <c r="AD192" s="165"/>
      <c r="AE192" s="165"/>
      <c r="AF192" s="165"/>
      <c r="AG192" s="369"/>
      <c r="AH192" s="346">
        <f t="shared" si="10"/>
        <v>0</v>
      </c>
      <c r="AI192" s="165"/>
      <c r="AJ192" s="11" t="s">
        <v>2491</v>
      </c>
      <c r="AK192" s="277"/>
      <c r="AL192" s="11"/>
      <c r="AM192" s="11"/>
      <c r="AN192" s="277"/>
      <c r="AO192" s="277"/>
      <c r="AP192" s="277"/>
      <c r="AQ192" s="277"/>
      <c r="AR192" s="338"/>
      <c r="AS192" s="275"/>
      <c r="AT192" s="306"/>
    </row>
    <row r="193" spans="1:46" s="262" customFormat="1" x14ac:dyDescent="0.25">
      <c r="A193" s="277"/>
      <c r="B193" s="367" t="s">
        <v>1711</v>
      </c>
      <c r="C193" s="367" t="s">
        <v>2045</v>
      </c>
      <c r="D193" s="277"/>
      <c r="E193" s="367" t="s">
        <v>2387</v>
      </c>
      <c r="F193" s="11" t="s">
        <v>1474</v>
      </c>
      <c r="G193" s="277" t="s">
        <v>1476</v>
      </c>
      <c r="H193" s="276"/>
      <c r="I193" s="276"/>
      <c r="J193" s="276"/>
      <c r="K193" s="276"/>
      <c r="L193" s="276"/>
      <c r="M193" s="276"/>
      <c r="N193" s="276"/>
      <c r="O193" s="276"/>
      <c r="P193" s="345">
        <f t="shared" si="8"/>
        <v>0</v>
      </c>
      <c r="Q193" s="277"/>
      <c r="R193" s="277"/>
      <c r="S193" s="277"/>
      <c r="T193" s="277"/>
      <c r="U193" s="277"/>
      <c r="V193" s="277"/>
      <c r="W193" s="277">
        <v>1</v>
      </c>
      <c r="X193" s="368">
        <v>43448</v>
      </c>
      <c r="Y193" s="346">
        <f t="shared" si="9"/>
        <v>1</v>
      </c>
      <c r="Z193" s="165"/>
      <c r="AA193" s="165"/>
      <c r="AB193" s="165"/>
      <c r="AC193" s="165"/>
      <c r="AD193" s="165"/>
      <c r="AE193" s="165"/>
      <c r="AF193" s="165"/>
      <c r="AG193" s="369"/>
      <c r="AH193" s="346">
        <f t="shared" si="10"/>
        <v>0</v>
      </c>
      <c r="AI193" s="165"/>
      <c r="AJ193" s="11" t="s">
        <v>2491</v>
      </c>
      <c r="AK193" s="277"/>
      <c r="AL193" s="11"/>
      <c r="AM193" s="11"/>
      <c r="AN193" s="277"/>
      <c r="AO193" s="277"/>
      <c r="AP193" s="277"/>
      <c r="AQ193" s="277"/>
      <c r="AR193" s="338"/>
      <c r="AS193" s="275"/>
      <c r="AT193" s="306"/>
    </row>
    <row r="194" spans="1:46" s="262" customFormat="1" x14ac:dyDescent="0.25">
      <c r="A194" s="277"/>
      <c r="B194" s="367" t="s">
        <v>1712</v>
      </c>
      <c r="C194" s="367" t="s">
        <v>2046</v>
      </c>
      <c r="D194" s="277"/>
      <c r="E194" s="367" t="s">
        <v>2388</v>
      </c>
      <c r="F194" s="11" t="s">
        <v>1474</v>
      </c>
      <c r="G194" s="277" t="s">
        <v>1476</v>
      </c>
      <c r="H194" s="276"/>
      <c r="I194" s="276"/>
      <c r="J194" s="276"/>
      <c r="K194" s="276"/>
      <c r="L194" s="276"/>
      <c r="M194" s="276"/>
      <c r="N194" s="276"/>
      <c r="O194" s="276"/>
      <c r="P194" s="345">
        <f t="shared" si="8"/>
        <v>0</v>
      </c>
      <c r="Q194" s="277"/>
      <c r="R194" s="277"/>
      <c r="S194" s="277"/>
      <c r="T194" s="277"/>
      <c r="U194" s="277"/>
      <c r="V194" s="277"/>
      <c r="W194" s="277">
        <v>1</v>
      </c>
      <c r="X194" s="368">
        <v>43448</v>
      </c>
      <c r="Y194" s="346">
        <f t="shared" si="9"/>
        <v>1</v>
      </c>
      <c r="Z194" s="165"/>
      <c r="AA194" s="165"/>
      <c r="AB194" s="165"/>
      <c r="AC194" s="165"/>
      <c r="AD194" s="165"/>
      <c r="AE194" s="165"/>
      <c r="AF194" s="165"/>
      <c r="AG194" s="369"/>
      <c r="AH194" s="346">
        <f t="shared" si="10"/>
        <v>0</v>
      </c>
      <c r="AI194" s="165"/>
      <c r="AJ194" s="11" t="s">
        <v>2491</v>
      </c>
      <c r="AK194" s="277"/>
      <c r="AL194" s="11"/>
      <c r="AM194" s="11"/>
      <c r="AN194" s="277"/>
      <c r="AO194" s="277"/>
      <c r="AP194" s="277"/>
      <c r="AQ194" s="277"/>
      <c r="AR194" s="338"/>
      <c r="AS194" s="275"/>
      <c r="AT194" s="306"/>
    </row>
    <row r="195" spans="1:46" s="262" customFormat="1" x14ac:dyDescent="0.25">
      <c r="A195" s="277"/>
      <c r="B195" s="367" t="s">
        <v>1723</v>
      </c>
      <c r="C195" s="367" t="s">
        <v>2057</v>
      </c>
      <c r="D195" s="277"/>
      <c r="E195" s="367" t="s">
        <v>2399</v>
      </c>
      <c r="F195" s="11" t="s">
        <v>1474</v>
      </c>
      <c r="G195" s="277" t="s">
        <v>1476</v>
      </c>
      <c r="H195" s="276"/>
      <c r="I195" s="276"/>
      <c r="J195" s="276"/>
      <c r="K195" s="276"/>
      <c r="L195" s="276"/>
      <c r="M195" s="276"/>
      <c r="N195" s="276"/>
      <c r="O195" s="276"/>
      <c r="P195" s="345">
        <f t="shared" si="8"/>
        <v>0</v>
      </c>
      <c r="Q195" s="277"/>
      <c r="R195" s="277"/>
      <c r="S195" s="277"/>
      <c r="T195" s="277"/>
      <c r="U195" s="277"/>
      <c r="V195" s="277"/>
      <c r="W195" s="277">
        <v>1</v>
      </c>
      <c r="X195" s="368">
        <v>43448</v>
      </c>
      <c r="Y195" s="346">
        <f t="shared" si="9"/>
        <v>1</v>
      </c>
      <c r="Z195" s="165"/>
      <c r="AA195" s="165"/>
      <c r="AB195" s="165"/>
      <c r="AC195" s="165"/>
      <c r="AD195" s="165"/>
      <c r="AE195" s="165"/>
      <c r="AF195" s="165"/>
      <c r="AG195" s="369"/>
      <c r="AH195" s="346">
        <f t="shared" si="10"/>
        <v>0</v>
      </c>
      <c r="AI195" s="165"/>
      <c r="AJ195" s="11" t="s">
        <v>2491</v>
      </c>
      <c r="AK195" s="277"/>
      <c r="AL195" s="11"/>
      <c r="AM195" s="11"/>
      <c r="AN195" s="277"/>
      <c r="AO195" s="277"/>
      <c r="AP195" s="277"/>
      <c r="AQ195" s="277"/>
      <c r="AR195" s="338"/>
      <c r="AS195" s="275"/>
      <c r="AT195" s="306"/>
    </row>
    <row r="196" spans="1:46" s="262" customFormat="1" x14ac:dyDescent="0.25">
      <c r="A196" s="277"/>
      <c r="B196" s="367" t="s">
        <v>1706</v>
      </c>
      <c r="C196" s="367" t="s">
        <v>2040</v>
      </c>
      <c r="D196" s="277"/>
      <c r="E196" s="367" t="s">
        <v>2382</v>
      </c>
      <c r="F196" s="11" t="s">
        <v>1474</v>
      </c>
      <c r="G196" s="277" t="s">
        <v>1476</v>
      </c>
      <c r="H196" s="276"/>
      <c r="I196" s="276"/>
      <c r="J196" s="276"/>
      <c r="K196" s="276"/>
      <c r="L196" s="276"/>
      <c r="M196" s="276"/>
      <c r="N196" s="276"/>
      <c r="O196" s="276"/>
      <c r="P196" s="345">
        <f t="shared" si="8"/>
        <v>0</v>
      </c>
      <c r="Q196" s="277"/>
      <c r="R196" s="277"/>
      <c r="S196" s="277"/>
      <c r="T196" s="277"/>
      <c r="U196" s="277"/>
      <c r="V196" s="277"/>
      <c r="W196" s="277">
        <v>1</v>
      </c>
      <c r="X196" s="368">
        <v>43453</v>
      </c>
      <c r="Y196" s="346">
        <f t="shared" si="9"/>
        <v>1</v>
      </c>
      <c r="Z196" s="165"/>
      <c r="AA196" s="165"/>
      <c r="AB196" s="165"/>
      <c r="AC196" s="165"/>
      <c r="AD196" s="165"/>
      <c r="AE196" s="165"/>
      <c r="AF196" s="165"/>
      <c r="AG196" s="369"/>
      <c r="AH196" s="346">
        <f t="shared" si="10"/>
        <v>0</v>
      </c>
      <c r="AI196" s="165"/>
      <c r="AJ196" s="11" t="s">
        <v>2491</v>
      </c>
      <c r="AK196" s="277"/>
      <c r="AL196" s="11"/>
      <c r="AM196" s="11"/>
      <c r="AN196" s="277"/>
      <c r="AO196" s="277"/>
      <c r="AP196" s="277"/>
      <c r="AQ196" s="277"/>
      <c r="AR196" s="338"/>
      <c r="AS196" s="275"/>
      <c r="AT196" s="306"/>
    </row>
    <row r="197" spans="1:46" s="262" customFormat="1" x14ac:dyDescent="0.25">
      <c r="A197" s="277"/>
      <c r="B197" s="367" t="s">
        <v>1707</v>
      </c>
      <c r="C197" s="367" t="s">
        <v>2041</v>
      </c>
      <c r="D197" s="277"/>
      <c r="E197" s="367" t="s">
        <v>2383</v>
      </c>
      <c r="F197" s="11" t="s">
        <v>1474</v>
      </c>
      <c r="G197" s="277" t="s">
        <v>1476</v>
      </c>
      <c r="H197" s="276"/>
      <c r="I197" s="276"/>
      <c r="J197" s="276"/>
      <c r="K197" s="276"/>
      <c r="L197" s="276"/>
      <c r="M197" s="276"/>
      <c r="N197" s="276"/>
      <c r="O197" s="276"/>
      <c r="P197" s="345">
        <f t="shared" si="8"/>
        <v>0</v>
      </c>
      <c r="Q197" s="277"/>
      <c r="R197" s="277"/>
      <c r="S197" s="277"/>
      <c r="T197" s="277"/>
      <c r="U197" s="277"/>
      <c r="V197" s="277"/>
      <c r="W197" s="277">
        <v>1</v>
      </c>
      <c r="X197" s="368">
        <v>43453</v>
      </c>
      <c r="Y197" s="346">
        <f t="shared" si="9"/>
        <v>1</v>
      </c>
      <c r="Z197" s="165"/>
      <c r="AA197" s="165"/>
      <c r="AB197" s="165"/>
      <c r="AC197" s="165"/>
      <c r="AD197" s="165"/>
      <c r="AE197" s="165"/>
      <c r="AF197" s="165"/>
      <c r="AG197" s="369"/>
      <c r="AH197" s="346">
        <f t="shared" si="10"/>
        <v>0</v>
      </c>
      <c r="AI197" s="165"/>
      <c r="AJ197" s="11" t="s">
        <v>2491</v>
      </c>
      <c r="AK197" s="277"/>
      <c r="AL197" s="11"/>
      <c r="AM197" s="11"/>
      <c r="AN197" s="277"/>
      <c r="AO197" s="277"/>
      <c r="AP197" s="277"/>
      <c r="AQ197" s="277"/>
      <c r="AR197" s="338"/>
      <c r="AS197" s="275"/>
      <c r="AT197" s="306"/>
    </row>
    <row r="198" spans="1:46" s="262" customFormat="1" x14ac:dyDescent="0.25">
      <c r="A198" s="277"/>
      <c r="B198" s="367" t="s">
        <v>1708</v>
      </c>
      <c r="C198" s="367" t="s">
        <v>2042</v>
      </c>
      <c r="D198" s="277"/>
      <c r="E198" s="367" t="s">
        <v>2384</v>
      </c>
      <c r="F198" s="11" t="s">
        <v>1474</v>
      </c>
      <c r="G198" s="277" t="s">
        <v>1476</v>
      </c>
      <c r="H198" s="276"/>
      <c r="I198" s="276"/>
      <c r="J198" s="276"/>
      <c r="K198" s="276"/>
      <c r="L198" s="276"/>
      <c r="M198" s="276"/>
      <c r="N198" s="276"/>
      <c r="O198" s="276"/>
      <c r="P198" s="345">
        <f t="shared" si="8"/>
        <v>0</v>
      </c>
      <c r="Q198" s="277"/>
      <c r="R198" s="277"/>
      <c r="S198" s="277"/>
      <c r="T198" s="277"/>
      <c r="U198" s="277"/>
      <c r="V198" s="277"/>
      <c r="W198" s="277">
        <v>1</v>
      </c>
      <c r="X198" s="368">
        <v>43453</v>
      </c>
      <c r="Y198" s="346">
        <f t="shared" si="9"/>
        <v>1</v>
      </c>
      <c r="Z198" s="165"/>
      <c r="AA198" s="165"/>
      <c r="AB198" s="165"/>
      <c r="AC198" s="165"/>
      <c r="AD198" s="165"/>
      <c r="AE198" s="165"/>
      <c r="AF198" s="165"/>
      <c r="AG198" s="369"/>
      <c r="AH198" s="346">
        <f t="shared" si="10"/>
        <v>0</v>
      </c>
      <c r="AI198" s="165"/>
      <c r="AJ198" s="11" t="s">
        <v>2491</v>
      </c>
      <c r="AK198" s="277"/>
      <c r="AL198" s="11"/>
      <c r="AM198" s="11"/>
      <c r="AN198" s="277"/>
      <c r="AO198" s="277"/>
      <c r="AP198" s="277"/>
      <c r="AQ198" s="277"/>
      <c r="AR198" s="338"/>
      <c r="AS198" s="275"/>
      <c r="AT198" s="306"/>
    </row>
    <row r="199" spans="1:46" s="262" customFormat="1" ht="26.4" x14ac:dyDescent="0.25">
      <c r="A199" s="277"/>
      <c r="B199" s="367" t="s">
        <v>1737</v>
      </c>
      <c r="C199" s="367" t="s">
        <v>2071</v>
      </c>
      <c r="D199" s="277"/>
      <c r="E199" s="367" t="s">
        <v>2413</v>
      </c>
      <c r="F199" s="11" t="s">
        <v>1474</v>
      </c>
      <c r="G199" s="277" t="s">
        <v>1476</v>
      </c>
      <c r="H199" s="276"/>
      <c r="I199" s="276"/>
      <c r="J199" s="276"/>
      <c r="K199" s="276"/>
      <c r="L199" s="276"/>
      <c r="M199" s="276"/>
      <c r="N199" s="276"/>
      <c r="O199" s="276"/>
      <c r="P199" s="345">
        <f t="shared" si="8"/>
        <v>0</v>
      </c>
      <c r="Q199" s="277"/>
      <c r="R199" s="277"/>
      <c r="S199" s="277"/>
      <c r="T199" s="277"/>
      <c r="U199" s="277"/>
      <c r="V199" s="277"/>
      <c r="W199" s="277">
        <v>1</v>
      </c>
      <c r="X199" s="368">
        <v>43453</v>
      </c>
      <c r="Y199" s="346">
        <f t="shared" si="9"/>
        <v>1</v>
      </c>
      <c r="Z199" s="165"/>
      <c r="AA199" s="165"/>
      <c r="AB199" s="165"/>
      <c r="AC199" s="165"/>
      <c r="AD199" s="165"/>
      <c r="AE199" s="165"/>
      <c r="AF199" s="165"/>
      <c r="AG199" s="369"/>
      <c r="AH199" s="346">
        <f t="shared" si="10"/>
        <v>0</v>
      </c>
      <c r="AI199" s="165"/>
      <c r="AJ199" s="11" t="s">
        <v>2491</v>
      </c>
      <c r="AK199" s="277"/>
      <c r="AL199" s="11"/>
      <c r="AM199" s="11"/>
      <c r="AN199" s="277"/>
      <c r="AO199" s="277"/>
      <c r="AP199" s="277"/>
      <c r="AQ199" s="277"/>
      <c r="AR199" s="338"/>
      <c r="AS199" s="275"/>
      <c r="AT199" s="306"/>
    </row>
    <row r="200" spans="1:46" s="262" customFormat="1" ht="26.4" x14ac:dyDescent="0.25">
      <c r="A200" s="277"/>
      <c r="B200" s="367" t="s">
        <v>1738</v>
      </c>
      <c r="C200" s="367" t="s">
        <v>2072</v>
      </c>
      <c r="D200" s="277"/>
      <c r="E200" s="367" t="s">
        <v>2414</v>
      </c>
      <c r="F200" s="11" t="s">
        <v>1474</v>
      </c>
      <c r="G200" s="277" t="s">
        <v>1476</v>
      </c>
      <c r="H200" s="276"/>
      <c r="I200" s="276"/>
      <c r="J200" s="276"/>
      <c r="K200" s="276"/>
      <c r="L200" s="276"/>
      <c r="M200" s="276"/>
      <c r="N200" s="276"/>
      <c r="O200" s="276"/>
      <c r="P200" s="345">
        <f t="shared" si="8"/>
        <v>0</v>
      </c>
      <c r="Q200" s="277"/>
      <c r="R200" s="277"/>
      <c r="S200" s="277"/>
      <c r="T200" s="277"/>
      <c r="U200" s="277"/>
      <c r="V200" s="277"/>
      <c r="W200" s="277">
        <v>1</v>
      </c>
      <c r="X200" s="368">
        <v>43453</v>
      </c>
      <c r="Y200" s="346">
        <f t="shared" si="9"/>
        <v>1</v>
      </c>
      <c r="Z200" s="165"/>
      <c r="AA200" s="165"/>
      <c r="AB200" s="165"/>
      <c r="AC200" s="165"/>
      <c r="AD200" s="165"/>
      <c r="AE200" s="165"/>
      <c r="AF200" s="165"/>
      <c r="AG200" s="369"/>
      <c r="AH200" s="346">
        <f t="shared" si="10"/>
        <v>0</v>
      </c>
      <c r="AI200" s="165"/>
      <c r="AJ200" s="11" t="s">
        <v>2491</v>
      </c>
      <c r="AK200" s="277"/>
      <c r="AL200" s="11"/>
      <c r="AM200" s="11"/>
      <c r="AN200" s="277"/>
      <c r="AO200" s="277"/>
      <c r="AP200" s="277"/>
      <c r="AQ200" s="277"/>
      <c r="AR200" s="338"/>
      <c r="AS200" s="275"/>
      <c r="AT200" s="306"/>
    </row>
    <row r="201" spans="1:46" s="262" customFormat="1" ht="26.4" x14ac:dyDescent="0.25">
      <c r="A201" s="277"/>
      <c r="B201" s="367" t="s">
        <v>1739</v>
      </c>
      <c r="C201" s="367" t="s">
        <v>2073</v>
      </c>
      <c r="D201" s="277"/>
      <c r="E201" s="367" t="s">
        <v>2415</v>
      </c>
      <c r="F201" s="11" t="s">
        <v>1474</v>
      </c>
      <c r="G201" s="277" t="s">
        <v>1476</v>
      </c>
      <c r="H201" s="276"/>
      <c r="I201" s="276"/>
      <c r="J201" s="276"/>
      <c r="K201" s="276"/>
      <c r="L201" s="276"/>
      <c r="M201" s="276"/>
      <c r="N201" s="276"/>
      <c r="O201" s="276"/>
      <c r="P201" s="345">
        <f t="shared" si="8"/>
        <v>0</v>
      </c>
      <c r="Q201" s="277"/>
      <c r="R201" s="277"/>
      <c r="S201" s="277"/>
      <c r="T201" s="277"/>
      <c r="U201" s="277"/>
      <c r="V201" s="277"/>
      <c r="W201" s="277">
        <v>1</v>
      </c>
      <c r="X201" s="368">
        <v>43453</v>
      </c>
      <c r="Y201" s="346">
        <f t="shared" si="9"/>
        <v>1</v>
      </c>
      <c r="Z201" s="165"/>
      <c r="AA201" s="165"/>
      <c r="AB201" s="165"/>
      <c r="AC201" s="165"/>
      <c r="AD201" s="165"/>
      <c r="AE201" s="165"/>
      <c r="AF201" s="165"/>
      <c r="AG201" s="369"/>
      <c r="AH201" s="346">
        <f t="shared" si="10"/>
        <v>0</v>
      </c>
      <c r="AI201" s="165"/>
      <c r="AJ201" s="11" t="s">
        <v>2491</v>
      </c>
      <c r="AK201" s="277"/>
      <c r="AL201" s="11"/>
      <c r="AM201" s="11"/>
      <c r="AN201" s="277"/>
      <c r="AO201" s="277"/>
      <c r="AP201" s="277"/>
      <c r="AQ201" s="277"/>
      <c r="AR201" s="338"/>
      <c r="AS201" s="275"/>
      <c r="AT201" s="306"/>
    </row>
    <row r="202" spans="1:46" s="262" customFormat="1" ht="26.4" x14ac:dyDescent="0.25">
      <c r="A202" s="277"/>
      <c r="B202" s="367" t="s">
        <v>1740</v>
      </c>
      <c r="C202" s="367" t="s">
        <v>2074</v>
      </c>
      <c r="D202" s="277"/>
      <c r="E202" s="367" t="s">
        <v>2416</v>
      </c>
      <c r="F202" s="11" t="s">
        <v>1474</v>
      </c>
      <c r="G202" s="277" t="s">
        <v>1476</v>
      </c>
      <c r="H202" s="276"/>
      <c r="I202" s="276"/>
      <c r="J202" s="276"/>
      <c r="K202" s="276"/>
      <c r="L202" s="276"/>
      <c r="M202" s="276"/>
      <c r="N202" s="276"/>
      <c r="O202" s="276"/>
      <c r="P202" s="345">
        <f t="shared" si="8"/>
        <v>0</v>
      </c>
      <c r="Q202" s="277"/>
      <c r="R202" s="277"/>
      <c r="S202" s="277"/>
      <c r="T202" s="277"/>
      <c r="U202" s="277"/>
      <c r="V202" s="277"/>
      <c r="W202" s="277">
        <v>1</v>
      </c>
      <c r="X202" s="368">
        <v>43453</v>
      </c>
      <c r="Y202" s="346">
        <f t="shared" si="9"/>
        <v>1</v>
      </c>
      <c r="Z202" s="165"/>
      <c r="AA202" s="165"/>
      <c r="AB202" s="165"/>
      <c r="AC202" s="165"/>
      <c r="AD202" s="165"/>
      <c r="AE202" s="165"/>
      <c r="AF202" s="165"/>
      <c r="AG202" s="369"/>
      <c r="AH202" s="346">
        <f t="shared" si="10"/>
        <v>0</v>
      </c>
      <c r="AI202" s="165"/>
      <c r="AJ202" s="11" t="s">
        <v>2491</v>
      </c>
      <c r="AK202" s="277"/>
      <c r="AL202" s="11"/>
      <c r="AM202" s="11"/>
      <c r="AN202" s="277"/>
      <c r="AO202" s="277"/>
      <c r="AP202" s="277"/>
      <c r="AQ202" s="277"/>
      <c r="AR202" s="338"/>
      <c r="AS202" s="275"/>
      <c r="AT202" s="306"/>
    </row>
    <row r="203" spans="1:46" s="262" customFormat="1" ht="26.4" x14ac:dyDescent="0.25">
      <c r="A203" s="277"/>
      <c r="B203" s="367" t="s">
        <v>1741</v>
      </c>
      <c r="C203" s="367" t="s">
        <v>2075</v>
      </c>
      <c r="D203" s="277"/>
      <c r="E203" s="367" t="s">
        <v>2417</v>
      </c>
      <c r="F203" s="11" t="s">
        <v>1474</v>
      </c>
      <c r="G203" s="277" t="s">
        <v>1476</v>
      </c>
      <c r="H203" s="276"/>
      <c r="I203" s="276"/>
      <c r="J203" s="276"/>
      <c r="K203" s="276"/>
      <c r="L203" s="276"/>
      <c r="M203" s="276"/>
      <c r="N203" s="276"/>
      <c r="O203" s="276"/>
      <c r="P203" s="345">
        <f t="shared" si="8"/>
        <v>0</v>
      </c>
      <c r="Q203" s="277"/>
      <c r="R203" s="277"/>
      <c r="S203" s="277"/>
      <c r="T203" s="277"/>
      <c r="U203" s="277"/>
      <c r="V203" s="277"/>
      <c r="W203" s="277">
        <v>1</v>
      </c>
      <c r="X203" s="368">
        <v>43453</v>
      </c>
      <c r="Y203" s="346">
        <f t="shared" si="9"/>
        <v>1</v>
      </c>
      <c r="Z203" s="165"/>
      <c r="AA203" s="165"/>
      <c r="AB203" s="165"/>
      <c r="AC203" s="165"/>
      <c r="AD203" s="165"/>
      <c r="AE203" s="165"/>
      <c r="AF203" s="165"/>
      <c r="AG203" s="369"/>
      <c r="AH203" s="346">
        <f t="shared" si="10"/>
        <v>0</v>
      </c>
      <c r="AI203" s="165"/>
      <c r="AJ203" s="11" t="s">
        <v>2491</v>
      </c>
      <c r="AK203" s="277"/>
      <c r="AL203" s="11"/>
      <c r="AM203" s="11"/>
      <c r="AN203" s="277"/>
      <c r="AO203" s="277"/>
      <c r="AP203" s="277"/>
      <c r="AQ203" s="277"/>
      <c r="AR203" s="338"/>
      <c r="AS203" s="275"/>
      <c r="AT203" s="306"/>
    </row>
    <row r="204" spans="1:46" s="262" customFormat="1" ht="26.4" x14ac:dyDescent="0.25">
      <c r="A204" s="277"/>
      <c r="B204" s="367" t="s">
        <v>1742</v>
      </c>
      <c r="C204" s="367" t="s">
        <v>2076</v>
      </c>
      <c r="D204" s="277"/>
      <c r="E204" s="367" t="s">
        <v>2418</v>
      </c>
      <c r="F204" s="11" t="s">
        <v>1474</v>
      </c>
      <c r="G204" s="277" t="s">
        <v>1476</v>
      </c>
      <c r="H204" s="276"/>
      <c r="I204" s="276"/>
      <c r="J204" s="276"/>
      <c r="K204" s="276"/>
      <c r="L204" s="276"/>
      <c r="M204" s="276"/>
      <c r="N204" s="276"/>
      <c r="O204" s="276"/>
      <c r="P204" s="345">
        <f t="shared" si="8"/>
        <v>0</v>
      </c>
      <c r="Q204" s="277"/>
      <c r="R204" s="277"/>
      <c r="S204" s="277"/>
      <c r="T204" s="277"/>
      <c r="U204" s="277"/>
      <c r="V204" s="277"/>
      <c r="W204" s="277">
        <v>1</v>
      </c>
      <c r="X204" s="368">
        <v>43453</v>
      </c>
      <c r="Y204" s="346">
        <f t="shared" si="9"/>
        <v>1</v>
      </c>
      <c r="Z204" s="165"/>
      <c r="AA204" s="165"/>
      <c r="AB204" s="165"/>
      <c r="AC204" s="165"/>
      <c r="AD204" s="165"/>
      <c r="AE204" s="165"/>
      <c r="AF204" s="165"/>
      <c r="AG204" s="369"/>
      <c r="AH204" s="346">
        <f t="shared" si="10"/>
        <v>0</v>
      </c>
      <c r="AI204" s="165"/>
      <c r="AJ204" s="11" t="s">
        <v>2491</v>
      </c>
      <c r="AK204" s="277"/>
      <c r="AL204" s="11"/>
      <c r="AM204" s="11"/>
      <c r="AN204" s="277"/>
      <c r="AO204" s="277"/>
      <c r="AP204" s="277"/>
      <c r="AQ204" s="277"/>
      <c r="AR204" s="338"/>
      <c r="AS204" s="275"/>
      <c r="AT204" s="306"/>
    </row>
    <row r="205" spans="1:46" s="262" customFormat="1" ht="26.4" x14ac:dyDescent="0.25">
      <c r="A205" s="277"/>
      <c r="B205" s="367" t="s">
        <v>1488</v>
      </c>
      <c r="C205" s="367" t="s">
        <v>1808</v>
      </c>
      <c r="D205" s="277"/>
      <c r="E205" s="367" t="s">
        <v>2150</v>
      </c>
      <c r="F205" s="11" t="s">
        <v>1474</v>
      </c>
      <c r="G205" s="277" t="s">
        <v>1476</v>
      </c>
      <c r="H205" s="276"/>
      <c r="I205" s="276"/>
      <c r="J205" s="276"/>
      <c r="K205" s="276"/>
      <c r="L205" s="276"/>
      <c r="M205" s="276"/>
      <c r="N205" s="276"/>
      <c r="O205" s="276"/>
      <c r="P205" s="345">
        <f t="shared" ref="P205:P268" si="11">SUM(H205:N205)</f>
        <v>0</v>
      </c>
      <c r="Q205" s="277"/>
      <c r="R205" s="277"/>
      <c r="S205" s="277"/>
      <c r="T205" s="277"/>
      <c r="U205" s="277"/>
      <c r="V205" s="277"/>
      <c r="W205" s="277"/>
      <c r="X205" s="368"/>
      <c r="Y205" s="346">
        <f t="shared" ref="Y205:Y268" si="12">SUM(Q205:W205)</f>
        <v>0</v>
      </c>
      <c r="Z205" s="165"/>
      <c r="AA205" s="165"/>
      <c r="AB205" s="165"/>
      <c r="AC205" s="165"/>
      <c r="AD205" s="165"/>
      <c r="AE205" s="165"/>
      <c r="AF205" s="165">
        <v>1</v>
      </c>
      <c r="AG205" s="368">
        <v>43446</v>
      </c>
      <c r="AH205" s="346">
        <f t="shared" si="10"/>
        <v>1</v>
      </c>
      <c r="AI205" s="165"/>
      <c r="AJ205" s="11" t="s">
        <v>2491</v>
      </c>
      <c r="AK205" s="277"/>
      <c r="AL205" s="11"/>
      <c r="AM205" s="11"/>
      <c r="AN205" s="277"/>
      <c r="AO205" s="277"/>
      <c r="AP205" s="277"/>
      <c r="AQ205" s="277"/>
      <c r="AR205" s="338"/>
      <c r="AS205" s="275"/>
      <c r="AT205" s="306"/>
    </row>
    <row r="206" spans="1:46" s="262" customFormat="1" ht="26.4" x14ac:dyDescent="0.25">
      <c r="A206" s="277"/>
      <c r="B206" s="367" t="s">
        <v>1489</v>
      </c>
      <c r="C206" s="367" t="s">
        <v>1809</v>
      </c>
      <c r="D206" s="277"/>
      <c r="E206" s="367" t="s">
        <v>2151</v>
      </c>
      <c r="F206" s="11" t="s">
        <v>1474</v>
      </c>
      <c r="G206" s="277" t="s">
        <v>1476</v>
      </c>
      <c r="H206" s="276"/>
      <c r="I206" s="276"/>
      <c r="J206" s="276"/>
      <c r="K206" s="276"/>
      <c r="L206" s="276"/>
      <c r="M206" s="276"/>
      <c r="N206" s="276"/>
      <c r="O206" s="276"/>
      <c r="P206" s="345">
        <f t="shared" si="11"/>
        <v>0</v>
      </c>
      <c r="Q206" s="277"/>
      <c r="R206" s="277"/>
      <c r="S206" s="277"/>
      <c r="T206" s="277"/>
      <c r="U206" s="277"/>
      <c r="V206" s="277"/>
      <c r="W206" s="277"/>
      <c r="X206" s="368"/>
      <c r="Y206" s="346">
        <f t="shared" si="12"/>
        <v>0</v>
      </c>
      <c r="Z206" s="165"/>
      <c r="AA206" s="165"/>
      <c r="AB206" s="165"/>
      <c r="AC206" s="165"/>
      <c r="AD206" s="165"/>
      <c r="AE206" s="165"/>
      <c r="AF206" s="165">
        <v>1</v>
      </c>
      <c r="AG206" s="368">
        <v>43434</v>
      </c>
      <c r="AH206" s="346">
        <f t="shared" si="10"/>
        <v>1</v>
      </c>
      <c r="AI206" s="165"/>
      <c r="AJ206" s="11" t="s">
        <v>2491</v>
      </c>
      <c r="AK206" s="277"/>
      <c r="AL206" s="11"/>
      <c r="AM206" s="11"/>
      <c r="AN206" s="277"/>
      <c r="AO206" s="277"/>
      <c r="AP206" s="277"/>
      <c r="AQ206" s="277"/>
      <c r="AR206" s="338"/>
      <c r="AS206" s="275"/>
      <c r="AT206" s="306"/>
    </row>
    <row r="207" spans="1:46" s="262" customFormat="1" ht="26.4" x14ac:dyDescent="0.25">
      <c r="A207" s="277"/>
      <c r="B207" s="367" t="s">
        <v>1500</v>
      </c>
      <c r="C207" s="367" t="s">
        <v>1820</v>
      </c>
      <c r="D207" s="277"/>
      <c r="E207" s="367" t="s">
        <v>2162</v>
      </c>
      <c r="F207" s="11" t="s">
        <v>1474</v>
      </c>
      <c r="G207" s="277" t="s">
        <v>1476</v>
      </c>
      <c r="H207" s="276"/>
      <c r="I207" s="276"/>
      <c r="J207" s="276"/>
      <c r="K207" s="276"/>
      <c r="L207" s="276"/>
      <c r="M207" s="276"/>
      <c r="N207" s="276"/>
      <c r="O207" s="276"/>
      <c r="P207" s="345">
        <f t="shared" si="11"/>
        <v>0</v>
      </c>
      <c r="Q207" s="277"/>
      <c r="R207" s="277"/>
      <c r="S207" s="277"/>
      <c r="T207" s="277"/>
      <c r="U207" s="277"/>
      <c r="V207" s="277"/>
      <c r="W207" s="277"/>
      <c r="X207" s="368"/>
      <c r="Y207" s="346">
        <f t="shared" si="12"/>
        <v>0</v>
      </c>
      <c r="Z207" s="165"/>
      <c r="AA207" s="165"/>
      <c r="AB207" s="165"/>
      <c r="AC207" s="165"/>
      <c r="AD207" s="165"/>
      <c r="AE207" s="165"/>
      <c r="AF207" s="165">
        <v>1</v>
      </c>
      <c r="AG207" s="368">
        <v>43192</v>
      </c>
      <c r="AH207" s="346">
        <f t="shared" si="10"/>
        <v>1</v>
      </c>
      <c r="AI207" s="165"/>
      <c r="AJ207" s="11" t="s">
        <v>2491</v>
      </c>
      <c r="AK207" s="277"/>
      <c r="AL207" s="11"/>
      <c r="AM207" s="11"/>
      <c r="AN207" s="277"/>
      <c r="AO207" s="277"/>
      <c r="AP207" s="277"/>
      <c r="AQ207" s="277"/>
      <c r="AR207" s="338"/>
      <c r="AS207" s="275"/>
      <c r="AT207" s="306"/>
    </row>
    <row r="208" spans="1:46" s="262" customFormat="1" x14ac:dyDescent="0.25">
      <c r="A208" s="277"/>
      <c r="B208" s="367" t="s">
        <v>1539</v>
      </c>
      <c r="C208" s="367" t="s">
        <v>1859</v>
      </c>
      <c r="D208" s="277"/>
      <c r="E208" s="367" t="s">
        <v>2201</v>
      </c>
      <c r="F208" s="11" t="s">
        <v>1474</v>
      </c>
      <c r="G208" s="277" t="s">
        <v>1476</v>
      </c>
      <c r="H208" s="276"/>
      <c r="I208" s="276"/>
      <c r="J208" s="276"/>
      <c r="K208" s="276"/>
      <c r="L208" s="276"/>
      <c r="M208" s="276"/>
      <c r="N208" s="276"/>
      <c r="O208" s="276"/>
      <c r="P208" s="345">
        <f t="shared" si="11"/>
        <v>0</v>
      </c>
      <c r="Q208" s="277"/>
      <c r="R208" s="277"/>
      <c r="S208" s="277"/>
      <c r="T208" s="277"/>
      <c r="U208" s="277"/>
      <c r="V208" s="277"/>
      <c r="W208" s="277"/>
      <c r="X208" s="368"/>
      <c r="Y208" s="346">
        <f t="shared" si="12"/>
        <v>0</v>
      </c>
      <c r="Z208" s="165"/>
      <c r="AA208" s="165"/>
      <c r="AB208" s="165"/>
      <c r="AC208" s="165"/>
      <c r="AD208" s="165"/>
      <c r="AE208" s="165"/>
      <c r="AF208" s="165">
        <v>1</v>
      </c>
      <c r="AG208" s="368">
        <v>43164</v>
      </c>
      <c r="AH208" s="346">
        <f t="shared" si="10"/>
        <v>1</v>
      </c>
      <c r="AI208" s="165"/>
      <c r="AJ208" s="11" t="s">
        <v>2491</v>
      </c>
      <c r="AK208" s="277"/>
      <c r="AL208" s="11"/>
      <c r="AM208" s="11"/>
      <c r="AN208" s="277"/>
      <c r="AO208" s="277"/>
      <c r="AP208" s="277"/>
      <c r="AQ208" s="277"/>
      <c r="AR208" s="338"/>
      <c r="AS208" s="275"/>
      <c r="AT208" s="306"/>
    </row>
    <row r="209" spans="1:46" s="262" customFormat="1" x14ac:dyDescent="0.25">
      <c r="A209" s="277"/>
      <c r="B209" s="367" t="s">
        <v>1539</v>
      </c>
      <c r="C209" s="367" t="s">
        <v>1860</v>
      </c>
      <c r="D209" s="277"/>
      <c r="E209" s="367" t="s">
        <v>2202</v>
      </c>
      <c r="F209" s="11" t="s">
        <v>1474</v>
      </c>
      <c r="G209" s="277" t="s">
        <v>1476</v>
      </c>
      <c r="H209" s="276"/>
      <c r="I209" s="276"/>
      <c r="J209" s="276"/>
      <c r="K209" s="276"/>
      <c r="L209" s="276"/>
      <c r="M209" s="276"/>
      <c r="N209" s="276"/>
      <c r="O209" s="276"/>
      <c r="P209" s="345">
        <f t="shared" si="11"/>
        <v>0</v>
      </c>
      <c r="Q209" s="277"/>
      <c r="R209" s="277"/>
      <c r="S209" s="277"/>
      <c r="T209" s="277"/>
      <c r="U209" s="277"/>
      <c r="V209" s="277"/>
      <c r="W209" s="277"/>
      <c r="X209" s="368"/>
      <c r="Y209" s="346">
        <f t="shared" si="12"/>
        <v>0</v>
      </c>
      <c r="Z209" s="165"/>
      <c r="AA209" s="165"/>
      <c r="AB209" s="165"/>
      <c r="AC209" s="165"/>
      <c r="AD209" s="165"/>
      <c r="AE209" s="165"/>
      <c r="AF209" s="165">
        <v>1</v>
      </c>
      <c r="AG209" s="368">
        <v>43357</v>
      </c>
      <c r="AH209" s="346">
        <f t="shared" si="10"/>
        <v>1</v>
      </c>
      <c r="AI209" s="165"/>
      <c r="AJ209" s="11" t="s">
        <v>2491</v>
      </c>
      <c r="AK209" s="277"/>
      <c r="AL209" s="11"/>
      <c r="AM209" s="11"/>
      <c r="AN209" s="277"/>
      <c r="AO209" s="277"/>
      <c r="AP209" s="277"/>
      <c r="AQ209" s="277"/>
      <c r="AR209" s="338"/>
      <c r="AS209" s="275"/>
      <c r="AT209" s="306"/>
    </row>
    <row r="210" spans="1:46" s="262" customFormat="1" x14ac:dyDescent="0.25">
      <c r="A210" s="277"/>
      <c r="B210" s="367" t="s">
        <v>1539</v>
      </c>
      <c r="C210" s="367" t="s">
        <v>1861</v>
      </c>
      <c r="D210" s="277"/>
      <c r="E210" s="367" t="s">
        <v>2203</v>
      </c>
      <c r="F210" s="11" t="s">
        <v>1474</v>
      </c>
      <c r="G210" s="277" t="s">
        <v>1476</v>
      </c>
      <c r="H210" s="276"/>
      <c r="I210" s="276"/>
      <c r="J210" s="276"/>
      <c r="K210" s="276"/>
      <c r="L210" s="276"/>
      <c r="M210" s="276"/>
      <c r="N210" s="276"/>
      <c r="O210" s="276"/>
      <c r="P210" s="345">
        <f t="shared" si="11"/>
        <v>0</v>
      </c>
      <c r="Q210" s="277"/>
      <c r="R210" s="277"/>
      <c r="S210" s="277"/>
      <c r="T210" s="277"/>
      <c r="U210" s="277"/>
      <c r="V210" s="277"/>
      <c r="W210" s="277"/>
      <c r="X210" s="368"/>
      <c r="Y210" s="346">
        <f t="shared" si="12"/>
        <v>0</v>
      </c>
      <c r="Z210" s="165"/>
      <c r="AA210" s="165"/>
      <c r="AB210" s="165"/>
      <c r="AC210" s="165"/>
      <c r="AD210" s="165"/>
      <c r="AE210" s="165"/>
      <c r="AF210" s="165">
        <v>1</v>
      </c>
      <c r="AG210" s="368">
        <v>43185</v>
      </c>
      <c r="AH210" s="346">
        <f t="shared" si="10"/>
        <v>1</v>
      </c>
      <c r="AI210" s="165"/>
      <c r="AJ210" s="11" t="s">
        <v>2491</v>
      </c>
      <c r="AK210" s="277"/>
      <c r="AL210" s="11"/>
      <c r="AM210" s="11"/>
      <c r="AN210" s="277"/>
      <c r="AO210" s="277"/>
      <c r="AP210" s="277"/>
      <c r="AQ210" s="277"/>
      <c r="AR210" s="338"/>
      <c r="AS210" s="275"/>
      <c r="AT210" s="306"/>
    </row>
    <row r="211" spans="1:46" s="262" customFormat="1" x14ac:dyDescent="0.25">
      <c r="A211" s="277"/>
      <c r="B211" s="367" t="s">
        <v>1539</v>
      </c>
      <c r="C211" s="367" t="s">
        <v>1862</v>
      </c>
      <c r="D211" s="277"/>
      <c r="E211" s="367" t="s">
        <v>2204</v>
      </c>
      <c r="F211" s="11" t="s">
        <v>1474</v>
      </c>
      <c r="G211" s="277" t="s">
        <v>1476</v>
      </c>
      <c r="H211" s="276"/>
      <c r="I211" s="276"/>
      <c r="J211" s="276"/>
      <c r="K211" s="276"/>
      <c r="L211" s="276"/>
      <c r="M211" s="276"/>
      <c r="N211" s="276"/>
      <c r="O211" s="276"/>
      <c r="P211" s="345">
        <f t="shared" si="11"/>
        <v>0</v>
      </c>
      <c r="Q211" s="277"/>
      <c r="R211" s="277"/>
      <c r="S211" s="277"/>
      <c r="T211" s="277"/>
      <c r="U211" s="277"/>
      <c r="V211" s="277"/>
      <c r="W211" s="277"/>
      <c r="X211" s="368"/>
      <c r="Y211" s="346">
        <f t="shared" si="12"/>
        <v>0</v>
      </c>
      <c r="Z211" s="165"/>
      <c r="AA211" s="165"/>
      <c r="AB211" s="165"/>
      <c r="AC211" s="165"/>
      <c r="AD211" s="165"/>
      <c r="AE211" s="165"/>
      <c r="AF211" s="165">
        <v>1</v>
      </c>
      <c r="AG211" s="368">
        <v>43185</v>
      </c>
      <c r="AH211" s="346">
        <f t="shared" si="10"/>
        <v>1</v>
      </c>
      <c r="AI211" s="165"/>
      <c r="AJ211" s="11" t="s">
        <v>2491</v>
      </c>
      <c r="AK211" s="277"/>
      <c r="AL211" s="11"/>
      <c r="AM211" s="11"/>
      <c r="AN211" s="277"/>
      <c r="AO211" s="277"/>
      <c r="AP211" s="277"/>
      <c r="AQ211" s="277"/>
      <c r="AR211" s="338"/>
      <c r="AS211" s="275"/>
      <c r="AT211" s="306"/>
    </row>
    <row r="212" spans="1:46" s="262" customFormat="1" x14ac:dyDescent="0.25">
      <c r="A212" s="277"/>
      <c r="B212" s="367" t="s">
        <v>1501</v>
      </c>
      <c r="C212" s="367" t="s">
        <v>1821</v>
      </c>
      <c r="D212" s="277"/>
      <c r="E212" s="367" t="s">
        <v>2163</v>
      </c>
      <c r="F212" s="11" t="s">
        <v>1474</v>
      </c>
      <c r="G212" s="277" t="s">
        <v>1476</v>
      </c>
      <c r="H212" s="276"/>
      <c r="I212" s="276"/>
      <c r="J212" s="276"/>
      <c r="K212" s="276"/>
      <c r="L212" s="276"/>
      <c r="M212" s="276"/>
      <c r="N212" s="276"/>
      <c r="O212" s="276"/>
      <c r="P212" s="345">
        <f t="shared" si="11"/>
        <v>0</v>
      </c>
      <c r="Q212" s="277"/>
      <c r="R212" s="277"/>
      <c r="S212" s="277"/>
      <c r="T212" s="277"/>
      <c r="U212" s="277"/>
      <c r="V212" s="277"/>
      <c r="W212" s="277"/>
      <c r="X212" s="368"/>
      <c r="Y212" s="346">
        <f t="shared" si="12"/>
        <v>0</v>
      </c>
      <c r="Z212" s="165"/>
      <c r="AA212" s="165"/>
      <c r="AB212" s="165"/>
      <c r="AC212" s="165"/>
      <c r="AD212" s="165"/>
      <c r="AE212" s="165"/>
      <c r="AF212" s="165">
        <v>1</v>
      </c>
      <c r="AG212" s="368">
        <v>43159</v>
      </c>
      <c r="AH212" s="346">
        <f t="shared" si="10"/>
        <v>1</v>
      </c>
      <c r="AI212" s="165"/>
      <c r="AJ212" s="11" t="s">
        <v>2491</v>
      </c>
      <c r="AK212" s="277"/>
      <c r="AL212" s="11"/>
      <c r="AM212" s="11"/>
      <c r="AN212" s="277"/>
      <c r="AO212" s="277"/>
      <c r="AP212" s="277"/>
      <c r="AQ212" s="277"/>
      <c r="AR212" s="338"/>
      <c r="AS212" s="275"/>
      <c r="AT212" s="306"/>
    </row>
    <row r="213" spans="1:46" s="262" customFormat="1" x14ac:dyDescent="0.25">
      <c r="A213" s="277"/>
      <c r="B213" s="367" t="s">
        <v>1540</v>
      </c>
      <c r="C213" s="367" t="s">
        <v>1863</v>
      </c>
      <c r="D213" s="277"/>
      <c r="E213" s="367" t="s">
        <v>2205</v>
      </c>
      <c r="F213" s="11" t="s">
        <v>1474</v>
      </c>
      <c r="G213" s="277" t="s">
        <v>1476</v>
      </c>
      <c r="H213" s="276"/>
      <c r="I213" s="276"/>
      <c r="J213" s="276"/>
      <c r="K213" s="276"/>
      <c r="L213" s="276"/>
      <c r="M213" s="276"/>
      <c r="N213" s="276"/>
      <c r="O213" s="276"/>
      <c r="P213" s="345">
        <f t="shared" si="11"/>
        <v>0</v>
      </c>
      <c r="Q213" s="277"/>
      <c r="R213" s="277"/>
      <c r="S213" s="277"/>
      <c r="T213" s="277"/>
      <c r="U213" s="277"/>
      <c r="V213" s="277"/>
      <c r="W213" s="277"/>
      <c r="X213" s="368"/>
      <c r="Y213" s="346">
        <f t="shared" si="12"/>
        <v>0</v>
      </c>
      <c r="Z213" s="165"/>
      <c r="AA213" s="165"/>
      <c r="AB213" s="165"/>
      <c r="AC213" s="165"/>
      <c r="AD213" s="165"/>
      <c r="AE213" s="165"/>
      <c r="AF213" s="165">
        <v>1</v>
      </c>
      <c r="AG213" s="368">
        <v>43165</v>
      </c>
      <c r="AH213" s="346">
        <f t="shared" si="10"/>
        <v>1</v>
      </c>
      <c r="AI213" s="165"/>
      <c r="AJ213" s="11" t="s">
        <v>2491</v>
      </c>
      <c r="AK213" s="277"/>
      <c r="AL213" s="11"/>
      <c r="AM213" s="11"/>
      <c r="AN213" s="277"/>
      <c r="AO213" s="277"/>
      <c r="AP213" s="277"/>
      <c r="AQ213" s="277"/>
      <c r="AR213" s="338"/>
      <c r="AS213" s="275"/>
      <c r="AT213" s="306"/>
    </row>
    <row r="214" spans="1:46" s="262" customFormat="1" ht="26.4" x14ac:dyDescent="0.25">
      <c r="A214" s="277"/>
      <c r="B214" s="367" t="s">
        <v>1603</v>
      </c>
      <c r="C214" s="367" t="s">
        <v>1926</v>
      </c>
      <c r="D214" s="277"/>
      <c r="E214" s="367" t="s">
        <v>2268</v>
      </c>
      <c r="F214" s="11" t="s">
        <v>1474</v>
      </c>
      <c r="G214" s="277" t="s">
        <v>1476</v>
      </c>
      <c r="H214" s="276"/>
      <c r="I214" s="276"/>
      <c r="J214" s="276"/>
      <c r="K214" s="276"/>
      <c r="L214" s="276"/>
      <c r="M214" s="276"/>
      <c r="N214" s="276"/>
      <c r="O214" s="276"/>
      <c r="P214" s="345">
        <f t="shared" si="11"/>
        <v>0</v>
      </c>
      <c r="Q214" s="277"/>
      <c r="R214" s="277"/>
      <c r="S214" s="277"/>
      <c r="T214" s="277"/>
      <c r="U214" s="277"/>
      <c r="V214" s="277"/>
      <c r="W214" s="277"/>
      <c r="X214" s="368"/>
      <c r="Y214" s="346">
        <f t="shared" si="12"/>
        <v>0</v>
      </c>
      <c r="Z214" s="165"/>
      <c r="AA214" s="165"/>
      <c r="AB214" s="165"/>
      <c r="AC214" s="165"/>
      <c r="AD214" s="165"/>
      <c r="AE214" s="165"/>
      <c r="AF214" s="165">
        <v>1</v>
      </c>
      <c r="AG214" s="368">
        <v>43179</v>
      </c>
      <c r="AH214" s="346">
        <f t="shared" si="10"/>
        <v>1</v>
      </c>
      <c r="AI214" s="165"/>
      <c r="AJ214" s="11" t="s">
        <v>2491</v>
      </c>
      <c r="AK214" s="277"/>
      <c r="AL214" s="11"/>
      <c r="AM214" s="11"/>
      <c r="AN214" s="277"/>
      <c r="AO214" s="277"/>
      <c r="AP214" s="277"/>
      <c r="AQ214" s="277"/>
      <c r="AR214" s="338"/>
      <c r="AS214" s="275"/>
      <c r="AT214" s="306"/>
    </row>
    <row r="215" spans="1:46" s="262" customFormat="1" ht="26.4" x14ac:dyDescent="0.25">
      <c r="A215" s="277"/>
      <c r="B215" s="367" t="s">
        <v>1604</v>
      </c>
      <c r="C215" s="367" t="s">
        <v>1927</v>
      </c>
      <c r="D215" s="277"/>
      <c r="E215" s="367" t="s">
        <v>2269</v>
      </c>
      <c r="F215" s="11" t="s">
        <v>1474</v>
      </c>
      <c r="G215" s="277" t="s">
        <v>1476</v>
      </c>
      <c r="H215" s="276"/>
      <c r="I215" s="276"/>
      <c r="J215" s="276"/>
      <c r="K215" s="276"/>
      <c r="L215" s="276"/>
      <c r="M215" s="276"/>
      <c r="N215" s="276"/>
      <c r="O215" s="276"/>
      <c r="P215" s="345">
        <f t="shared" si="11"/>
        <v>0</v>
      </c>
      <c r="Q215" s="277"/>
      <c r="R215" s="277"/>
      <c r="S215" s="277"/>
      <c r="T215" s="277"/>
      <c r="U215" s="277"/>
      <c r="V215" s="277"/>
      <c r="W215" s="277"/>
      <c r="X215" s="368"/>
      <c r="Y215" s="346">
        <f t="shared" si="12"/>
        <v>0</v>
      </c>
      <c r="Z215" s="165"/>
      <c r="AA215" s="165"/>
      <c r="AB215" s="165"/>
      <c r="AC215" s="165"/>
      <c r="AD215" s="165"/>
      <c r="AE215" s="165"/>
      <c r="AF215" s="165">
        <v>1</v>
      </c>
      <c r="AG215" s="368">
        <v>43180</v>
      </c>
      <c r="AH215" s="346">
        <f t="shared" si="10"/>
        <v>1</v>
      </c>
      <c r="AI215" s="165"/>
      <c r="AJ215" s="11" t="s">
        <v>2491</v>
      </c>
      <c r="AK215" s="277"/>
      <c r="AL215" s="11"/>
      <c r="AM215" s="11"/>
      <c r="AN215" s="277"/>
      <c r="AO215" s="277"/>
      <c r="AP215" s="277"/>
      <c r="AQ215" s="277"/>
      <c r="AR215" s="338"/>
      <c r="AS215" s="275"/>
      <c r="AT215" s="306"/>
    </row>
    <row r="216" spans="1:46" s="262" customFormat="1" ht="26.4" x14ac:dyDescent="0.25">
      <c r="A216" s="277"/>
      <c r="B216" s="367" t="s">
        <v>1605</v>
      </c>
      <c r="C216" s="367" t="s">
        <v>1928</v>
      </c>
      <c r="D216" s="277"/>
      <c r="E216" s="367" t="s">
        <v>2270</v>
      </c>
      <c r="F216" s="11" t="s">
        <v>1474</v>
      </c>
      <c r="G216" s="277" t="s">
        <v>1476</v>
      </c>
      <c r="H216" s="276"/>
      <c r="I216" s="276"/>
      <c r="J216" s="276"/>
      <c r="K216" s="276"/>
      <c r="L216" s="276"/>
      <c r="M216" s="276"/>
      <c r="N216" s="276"/>
      <c r="O216" s="276"/>
      <c r="P216" s="345">
        <f t="shared" si="11"/>
        <v>0</v>
      </c>
      <c r="Q216" s="277"/>
      <c r="R216" s="277"/>
      <c r="S216" s="277"/>
      <c r="T216" s="277"/>
      <c r="U216" s="277"/>
      <c r="V216" s="277"/>
      <c r="W216" s="277"/>
      <c r="X216" s="368"/>
      <c r="Y216" s="346">
        <f t="shared" si="12"/>
        <v>0</v>
      </c>
      <c r="Z216" s="165"/>
      <c r="AA216" s="165"/>
      <c r="AB216" s="165"/>
      <c r="AC216" s="165"/>
      <c r="AD216" s="165"/>
      <c r="AE216" s="165"/>
      <c r="AF216" s="165">
        <v>1</v>
      </c>
      <c r="AG216" s="368">
        <v>43185</v>
      </c>
      <c r="AH216" s="346">
        <f t="shared" si="10"/>
        <v>1</v>
      </c>
      <c r="AI216" s="165"/>
      <c r="AJ216" s="11" t="s">
        <v>2491</v>
      </c>
      <c r="AK216" s="277"/>
      <c r="AL216" s="11"/>
      <c r="AM216" s="11"/>
      <c r="AN216" s="277"/>
      <c r="AO216" s="277"/>
      <c r="AP216" s="277"/>
      <c r="AQ216" s="277"/>
      <c r="AR216" s="338"/>
      <c r="AS216" s="275"/>
      <c r="AT216" s="306"/>
    </row>
    <row r="217" spans="1:46" s="262" customFormat="1" x14ac:dyDescent="0.25">
      <c r="A217" s="277"/>
      <c r="B217" s="367" t="s">
        <v>1541</v>
      </c>
      <c r="C217" s="367" t="s">
        <v>1864</v>
      </c>
      <c r="D217" s="277"/>
      <c r="E217" s="367" t="s">
        <v>2206</v>
      </c>
      <c r="F217" s="11" t="s">
        <v>1474</v>
      </c>
      <c r="G217" s="277" t="s">
        <v>1476</v>
      </c>
      <c r="H217" s="276"/>
      <c r="I217" s="276"/>
      <c r="J217" s="276"/>
      <c r="K217" s="276"/>
      <c r="L217" s="276"/>
      <c r="M217" s="276"/>
      <c r="N217" s="276"/>
      <c r="O217" s="276"/>
      <c r="P217" s="345">
        <f t="shared" si="11"/>
        <v>0</v>
      </c>
      <c r="Q217" s="277"/>
      <c r="R217" s="277"/>
      <c r="S217" s="277"/>
      <c r="T217" s="277"/>
      <c r="U217" s="277"/>
      <c r="V217" s="277"/>
      <c r="W217" s="277"/>
      <c r="X217" s="368"/>
      <c r="Y217" s="346">
        <f t="shared" si="12"/>
        <v>0</v>
      </c>
      <c r="Z217" s="165"/>
      <c r="AA217" s="165"/>
      <c r="AB217" s="165"/>
      <c r="AC217" s="165"/>
      <c r="AD217" s="165"/>
      <c r="AE217" s="165"/>
      <c r="AF217" s="165">
        <v>1</v>
      </c>
      <c r="AG217" s="368">
        <v>43158</v>
      </c>
      <c r="AH217" s="346">
        <f t="shared" si="10"/>
        <v>1</v>
      </c>
      <c r="AI217" s="165"/>
      <c r="AJ217" s="11" t="s">
        <v>2491</v>
      </c>
      <c r="AK217" s="277"/>
      <c r="AL217" s="11"/>
      <c r="AM217" s="11"/>
      <c r="AN217" s="277"/>
      <c r="AO217" s="277"/>
      <c r="AP217" s="277"/>
      <c r="AQ217" s="277"/>
      <c r="AR217" s="338"/>
      <c r="AS217" s="275"/>
      <c r="AT217" s="306"/>
    </row>
    <row r="218" spans="1:46" s="262" customFormat="1" x14ac:dyDescent="0.25">
      <c r="A218" s="277"/>
      <c r="B218" s="367" t="s">
        <v>1610</v>
      </c>
      <c r="C218" s="367" t="s">
        <v>1933</v>
      </c>
      <c r="D218" s="277"/>
      <c r="E218" s="367" t="s">
        <v>2275</v>
      </c>
      <c r="F218" s="11" t="s">
        <v>1474</v>
      </c>
      <c r="G218" s="277" t="s">
        <v>1476</v>
      </c>
      <c r="H218" s="276"/>
      <c r="I218" s="276"/>
      <c r="J218" s="276"/>
      <c r="K218" s="276"/>
      <c r="L218" s="276"/>
      <c r="M218" s="276"/>
      <c r="N218" s="276"/>
      <c r="O218" s="276"/>
      <c r="P218" s="345">
        <f t="shared" si="11"/>
        <v>0</v>
      </c>
      <c r="Q218" s="277"/>
      <c r="R218" s="277"/>
      <c r="S218" s="277"/>
      <c r="T218" s="277"/>
      <c r="U218" s="277"/>
      <c r="V218" s="277"/>
      <c r="W218" s="277"/>
      <c r="X218" s="368"/>
      <c r="Y218" s="346">
        <f t="shared" si="12"/>
        <v>0</v>
      </c>
      <c r="Z218" s="165"/>
      <c r="AA218" s="165"/>
      <c r="AB218" s="165"/>
      <c r="AC218" s="165"/>
      <c r="AD218" s="165"/>
      <c r="AE218" s="165"/>
      <c r="AF218" s="165">
        <v>1</v>
      </c>
      <c r="AG218" s="368">
        <v>43293</v>
      </c>
      <c r="AH218" s="346">
        <f t="shared" si="10"/>
        <v>1</v>
      </c>
      <c r="AI218" s="165"/>
      <c r="AJ218" s="11" t="s">
        <v>2491</v>
      </c>
      <c r="AK218" s="277"/>
      <c r="AL218" s="11"/>
      <c r="AM218" s="11"/>
      <c r="AN218" s="277"/>
      <c r="AO218" s="277"/>
      <c r="AP218" s="277"/>
      <c r="AQ218" s="277"/>
      <c r="AR218" s="338"/>
      <c r="AS218" s="275"/>
      <c r="AT218" s="306"/>
    </row>
    <row r="219" spans="1:46" s="262" customFormat="1" x14ac:dyDescent="0.25">
      <c r="A219" s="277"/>
      <c r="B219" s="367" t="s">
        <v>1612</v>
      </c>
      <c r="C219" s="367" t="s">
        <v>1935</v>
      </c>
      <c r="D219" s="277"/>
      <c r="E219" s="367" t="s">
        <v>2277</v>
      </c>
      <c r="F219" s="11" t="s">
        <v>1474</v>
      </c>
      <c r="G219" s="277" t="s">
        <v>1476</v>
      </c>
      <c r="H219" s="276"/>
      <c r="I219" s="276"/>
      <c r="J219" s="276"/>
      <c r="K219" s="276"/>
      <c r="L219" s="276"/>
      <c r="M219" s="276"/>
      <c r="N219" s="276"/>
      <c r="O219" s="276"/>
      <c r="P219" s="345">
        <f t="shared" si="11"/>
        <v>0</v>
      </c>
      <c r="Q219" s="277"/>
      <c r="R219" s="277"/>
      <c r="S219" s="277"/>
      <c r="T219" s="277"/>
      <c r="U219" s="277"/>
      <c r="V219" s="277"/>
      <c r="W219" s="277"/>
      <c r="X219" s="368"/>
      <c r="Y219" s="346">
        <f t="shared" si="12"/>
        <v>0</v>
      </c>
      <c r="Z219" s="165"/>
      <c r="AA219" s="165"/>
      <c r="AB219" s="165"/>
      <c r="AC219" s="165"/>
      <c r="AD219" s="165"/>
      <c r="AE219" s="165"/>
      <c r="AF219" s="165">
        <v>1</v>
      </c>
      <c r="AG219" s="368">
        <v>43348</v>
      </c>
      <c r="AH219" s="346">
        <f t="shared" si="10"/>
        <v>1</v>
      </c>
      <c r="AI219" s="165"/>
      <c r="AJ219" s="11" t="s">
        <v>2491</v>
      </c>
      <c r="AK219" s="277"/>
      <c r="AL219" s="11"/>
      <c r="AM219" s="11"/>
      <c r="AN219" s="277"/>
      <c r="AO219" s="277"/>
      <c r="AP219" s="277"/>
      <c r="AQ219" s="277"/>
      <c r="AR219" s="338"/>
      <c r="AS219" s="275"/>
      <c r="AT219" s="306"/>
    </row>
    <row r="220" spans="1:46" s="262" customFormat="1" x14ac:dyDescent="0.25">
      <c r="A220" s="277"/>
      <c r="B220" s="367" t="s">
        <v>1611</v>
      </c>
      <c r="C220" s="367" t="s">
        <v>1934</v>
      </c>
      <c r="D220" s="277"/>
      <c r="E220" s="367" t="s">
        <v>2276</v>
      </c>
      <c r="F220" s="11" t="s">
        <v>1474</v>
      </c>
      <c r="G220" s="277" t="s">
        <v>1476</v>
      </c>
      <c r="H220" s="276"/>
      <c r="I220" s="276"/>
      <c r="J220" s="276"/>
      <c r="K220" s="276"/>
      <c r="L220" s="276"/>
      <c r="M220" s="276"/>
      <c r="N220" s="276"/>
      <c r="O220" s="276"/>
      <c r="P220" s="345">
        <f t="shared" si="11"/>
        <v>0</v>
      </c>
      <c r="Q220" s="277"/>
      <c r="R220" s="277"/>
      <c r="S220" s="277"/>
      <c r="T220" s="277"/>
      <c r="U220" s="277"/>
      <c r="V220" s="277"/>
      <c r="W220" s="277"/>
      <c r="X220" s="368"/>
      <c r="Y220" s="346">
        <f t="shared" si="12"/>
        <v>0</v>
      </c>
      <c r="Z220" s="165"/>
      <c r="AA220" s="165"/>
      <c r="AB220" s="165"/>
      <c r="AC220" s="165"/>
      <c r="AD220" s="165"/>
      <c r="AE220" s="165"/>
      <c r="AF220" s="165">
        <v>1</v>
      </c>
      <c r="AG220" s="368">
        <v>43277</v>
      </c>
      <c r="AH220" s="346">
        <f t="shared" si="10"/>
        <v>1</v>
      </c>
      <c r="AI220" s="165"/>
      <c r="AJ220" s="11" t="s">
        <v>2491</v>
      </c>
      <c r="AK220" s="277"/>
      <c r="AL220" s="11"/>
      <c r="AM220" s="11"/>
      <c r="AN220" s="277"/>
      <c r="AO220" s="277"/>
      <c r="AP220" s="277"/>
      <c r="AQ220" s="277"/>
      <c r="AR220" s="338"/>
      <c r="AS220" s="275"/>
      <c r="AT220" s="306"/>
    </row>
    <row r="221" spans="1:46" s="262" customFormat="1" ht="26.4" x14ac:dyDescent="0.25">
      <c r="A221" s="277"/>
      <c r="B221" s="367" t="s">
        <v>1602</v>
      </c>
      <c r="C221" s="367" t="s">
        <v>1925</v>
      </c>
      <c r="D221" s="277"/>
      <c r="E221" s="367" t="s">
        <v>2267</v>
      </c>
      <c r="F221" s="11" t="s">
        <v>1474</v>
      </c>
      <c r="G221" s="277" t="s">
        <v>1476</v>
      </c>
      <c r="H221" s="276"/>
      <c r="I221" s="276"/>
      <c r="J221" s="276"/>
      <c r="K221" s="276"/>
      <c r="L221" s="276"/>
      <c r="M221" s="276"/>
      <c r="N221" s="276"/>
      <c r="O221" s="276"/>
      <c r="P221" s="345">
        <f t="shared" si="11"/>
        <v>0</v>
      </c>
      <c r="Q221" s="277"/>
      <c r="R221" s="277"/>
      <c r="S221" s="277"/>
      <c r="T221" s="277"/>
      <c r="U221" s="277"/>
      <c r="V221" s="277"/>
      <c r="W221" s="277"/>
      <c r="X221" s="368"/>
      <c r="Y221" s="346">
        <f t="shared" si="12"/>
        <v>0</v>
      </c>
      <c r="Z221" s="165"/>
      <c r="AA221" s="165"/>
      <c r="AB221" s="165"/>
      <c r="AC221" s="165"/>
      <c r="AD221" s="165"/>
      <c r="AE221" s="165"/>
      <c r="AF221" s="165">
        <v>1</v>
      </c>
      <c r="AG221" s="368">
        <v>43158</v>
      </c>
      <c r="AH221" s="346">
        <f t="shared" si="10"/>
        <v>1</v>
      </c>
      <c r="AI221" s="165"/>
      <c r="AJ221" s="11" t="s">
        <v>2491</v>
      </c>
      <c r="AK221" s="277"/>
      <c r="AL221" s="11"/>
      <c r="AM221" s="11"/>
      <c r="AN221" s="277"/>
      <c r="AO221" s="277"/>
      <c r="AP221" s="277"/>
      <c r="AQ221" s="277"/>
      <c r="AR221" s="338"/>
      <c r="AS221" s="275"/>
      <c r="AT221" s="306"/>
    </row>
    <row r="222" spans="1:46" s="262" customFormat="1" ht="26.4" x14ac:dyDescent="0.25">
      <c r="A222" s="277"/>
      <c r="B222" s="367" t="s">
        <v>1601</v>
      </c>
      <c r="C222" s="367" t="s">
        <v>1924</v>
      </c>
      <c r="D222" s="277"/>
      <c r="E222" s="367" t="s">
        <v>2266</v>
      </c>
      <c r="F222" s="11" t="s">
        <v>1474</v>
      </c>
      <c r="G222" s="277" t="s">
        <v>1476</v>
      </c>
      <c r="H222" s="276"/>
      <c r="I222" s="276"/>
      <c r="J222" s="276"/>
      <c r="K222" s="276"/>
      <c r="L222" s="276"/>
      <c r="M222" s="276"/>
      <c r="N222" s="276"/>
      <c r="O222" s="276"/>
      <c r="P222" s="345">
        <f t="shared" si="11"/>
        <v>0</v>
      </c>
      <c r="Q222" s="277"/>
      <c r="R222" s="277"/>
      <c r="S222" s="277"/>
      <c r="T222" s="277"/>
      <c r="U222" s="277"/>
      <c r="V222" s="277"/>
      <c r="W222" s="277"/>
      <c r="X222" s="368"/>
      <c r="Y222" s="346">
        <f t="shared" si="12"/>
        <v>0</v>
      </c>
      <c r="Z222" s="165"/>
      <c r="AA222" s="165"/>
      <c r="AB222" s="165"/>
      <c r="AC222" s="165"/>
      <c r="AD222" s="165"/>
      <c r="AE222" s="165"/>
      <c r="AF222" s="165">
        <v>1</v>
      </c>
      <c r="AG222" s="368">
        <v>43244</v>
      </c>
      <c r="AH222" s="346">
        <f t="shared" si="10"/>
        <v>1</v>
      </c>
      <c r="AI222" s="165"/>
      <c r="AJ222" s="11" t="s">
        <v>2491</v>
      </c>
      <c r="AK222" s="277"/>
      <c r="AL222" s="11"/>
      <c r="AM222" s="11"/>
      <c r="AN222" s="277"/>
      <c r="AO222" s="277"/>
      <c r="AP222" s="277"/>
      <c r="AQ222" s="277"/>
      <c r="AR222" s="338"/>
      <c r="AS222" s="275"/>
      <c r="AT222" s="306"/>
    </row>
    <row r="223" spans="1:46" s="262" customFormat="1" x14ac:dyDescent="0.25">
      <c r="A223" s="277"/>
      <c r="B223" s="367" t="s">
        <v>1633</v>
      </c>
      <c r="C223" s="367" t="s">
        <v>1956</v>
      </c>
      <c r="D223" s="277"/>
      <c r="E223" s="367" t="s">
        <v>2298</v>
      </c>
      <c r="F223" s="11" t="s">
        <v>1474</v>
      </c>
      <c r="G223" s="277" t="s">
        <v>1476</v>
      </c>
      <c r="H223" s="276"/>
      <c r="I223" s="276"/>
      <c r="J223" s="276"/>
      <c r="K223" s="276"/>
      <c r="L223" s="276"/>
      <c r="M223" s="276"/>
      <c r="N223" s="276"/>
      <c r="O223" s="276"/>
      <c r="P223" s="345">
        <f t="shared" si="11"/>
        <v>0</v>
      </c>
      <c r="Q223" s="277"/>
      <c r="R223" s="277"/>
      <c r="S223" s="277"/>
      <c r="T223" s="277"/>
      <c r="U223" s="277"/>
      <c r="V223" s="277"/>
      <c r="W223" s="277"/>
      <c r="X223" s="368"/>
      <c r="Y223" s="346">
        <f t="shared" si="12"/>
        <v>0</v>
      </c>
      <c r="Z223" s="165"/>
      <c r="AA223" s="165"/>
      <c r="AB223" s="165"/>
      <c r="AC223" s="165"/>
      <c r="AD223" s="165"/>
      <c r="AE223" s="165"/>
      <c r="AF223" s="165">
        <v>1</v>
      </c>
      <c r="AG223" s="368">
        <v>43307</v>
      </c>
      <c r="AH223" s="346">
        <f t="shared" si="10"/>
        <v>1</v>
      </c>
      <c r="AI223" s="165"/>
      <c r="AJ223" s="11" t="s">
        <v>2491</v>
      </c>
      <c r="AK223" s="277"/>
      <c r="AL223" s="11"/>
      <c r="AM223" s="11"/>
      <c r="AN223" s="277"/>
      <c r="AO223" s="277"/>
      <c r="AP223" s="277"/>
      <c r="AQ223" s="277"/>
      <c r="AR223" s="338"/>
      <c r="AS223" s="275"/>
      <c r="AT223" s="306"/>
    </row>
    <row r="224" spans="1:46" s="262" customFormat="1" x14ac:dyDescent="0.25">
      <c r="A224" s="277"/>
      <c r="B224" s="367" t="s">
        <v>1635</v>
      </c>
      <c r="C224" s="367" t="s">
        <v>1958</v>
      </c>
      <c r="D224" s="277"/>
      <c r="E224" s="367" t="s">
        <v>2300</v>
      </c>
      <c r="F224" s="11" t="s">
        <v>1474</v>
      </c>
      <c r="G224" s="277" t="s">
        <v>1476</v>
      </c>
      <c r="H224" s="276"/>
      <c r="I224" s="276"/>
      <c r="J224" s="276"/>
      <c r="K224" s="276"/>
      <c r="L224" s="276"/>
      <c r="M224" s="276"/>
      <c r="N224" s="276"/>
      <c r="O224" s="276"/>
      <c r="P224" s="345">
        <f t="shared" si="11"/>
        <v>0</v>
      </c>
      <c r="Q224" s="277"/>
      <c r="R224" s="277"/>
      <c r="S224" s="277"/>
      <c r="T224" s="277"/>
      <c r="U224" s="277"/>
      <c r="V224" s="277"/>
      <c r="W224" s="277"/>
      <c r="X224" s="368"/>
      <c r="Y224" s="346">
        <f t="shared" si="12"/>
        <v>0</v>
      </c>
      <c r="Z224" s="165"/>
      <c r="AA224" s="165"/>
      <c r="AB224" s="165"/>
      <c r="AC224" s="165"/>
      <c r="AD224" s="165"/>
      <c r="AE224" s="165"/>
      <c r="AF224" s="165">
        <v>1</v>
      </c>
      <c r="AG224" s="368">
        <v>43348</v>
      </c>
      <c r="AH224" s="346">
        <f t="shared" si="10"/>
        <v>1</v>
      </c>
      <c r="AI224" s="165"/>
      <c r="AJ224" s="11" t="s">
        <v>2491</v>
      </c>
      <c r="AK224" s="277"/>
      <c r="AL224" s="11"/>
      <c r="AM224" s="11"/>
      <c r="AN224" s="277"/>
      <c r="AO224" s="277"/>
      <c r="AP224" s="277"/>
      <c r="AQ224" s="277"/>
      <c r="AR224" s="338"/>
      <c r="AS224" s="275"/>
      <c r="AT224" s="306"/>
    </row>
    <row r="225" spans="1:46" s="262" customFormat="1" x14ac:dyDescent="0.25">
      <c r="A225" s="277"/>
      <c r="B225" s="367" t="s">
        <v>1634</v>
      </c>
      <c r="C225" s="367" t="s">
        <v>1957</v>
      </c>
      <c r="D225" s="277"/>
      <c r="E225" s="367" t="s">
        <v>2299</v>
      </c>
      <c r="F225" s="11" t="s">
        <v>1474</v>
      </c>
      <c r="G225" s="277" t="s">
        <v>1476</v>
      </c>
      <c r="H225" s="276"/>
      <c r="I225" s="276"/>
      <c r="J225" s="276"/>
      <c r="K225" s="276"/>
      <c r="L225" s="276"/>
      <c r="M225" s="276"/>
      <c r="N225" s="276"/>
      <c r="O225" s="276"/>
      <c r="P225" s="345">
        <f t="shared" si="11"/>
        <v>0</v>
      </c>
      <c r="Q225" s="277"/>
      <c r="R225" s="277"/>
      <c r="S225" s="277"/>
      <c r="T225" s="277"/>
      <c r="U225" s="277"/>
      <c r="V225" s="277"/>
      <c r="W225" s="277"/>
      <c r="X225" s="368"/>
      <c r="Y225" s="346">
        <f t="shared" si="12"/>
        <v>0</v>
      </c>
      <c r="Z225" s="165"/>
      <c r="AA225" s="165"/>
      <c r="AB225" s="165"/>
      <c r="AC225" s="165"/>
      <c r="AD225" s="165"/>
      <c r="AE225" s="165"/>
      <c r="AF225" s="165">
        <v>1</v>
      </c>
      <c r="AG225" s="368">
        <v>43277</v>
      </c>
      <c r="AH225" s="346">
        <f t="shared" ref="AH225:AH288" si="13">SUM(Z225:AF225)</f>
        <v>1</v>
      </c>
      <c r="AI225" s="165"/>
      <c r="AJ225" s="11" t="s">
        <v>2491</v>
      </c>
      <c r="AK225" s="277"/>
      <c r="AL225" s="11"/>
      <c r="AM225" s="11"/>
      <c r="AN225" s="277"/>
      <c r="AO225" s="277"/>
      <c r="AP225" s="277"/>
      <c r="AQ225" s="277"/>
      <c r="AR225" s="338"/>
      <c r="AS225" s="275"/>
      <c r="AT225" s="306"/>
    </row>
    <row r="226" spans="1:46" s="262" customFormat="1" ht="26.4" x14ac:dyDescent="0.25">
      <c r="A226" s="277"/>
      <c r="B226" s="367" t="s">
        <v>1498</v>
      </c>
      <c r="C226" s="367" t="s">
        <v>1818</v>
      </c>
      <c r="D226" s="277"/>
      <c r="E226" s="367" t="s">
        <v>2160</v>
      </c>
      <c r="F226" s="11" t="s">
        <v>1474</v>
      </c>
      <c r="G226" s="277" t="s">
        <v>1476</v>
      </c>
      <c r="H226" s="276"/>
      <c r="I226" s="276"/>
      <c r="J226" s="276"/>
      <c r="K226" s="276"/>
      <c r="L226" s="276"/>
      <c r="M226" s="276"/>
      <c r="N226" s="276"/>
      <c r="O226" s="276"/>
      <c r="P226" s="345">
        <f t="shared" si="11"/>
        <v>0</v>
      </c>
      <c r="Q226" s="277"/>
      <c r="R226" s="277"/>
      <c r="S226" s="277"/>
      <c r="T226" s="277"/>
      <c r="U226" s="277"/>
      <c r="V226" s="277"/>
      <c r="W226" s="277"/>
      <c r="X226" s="368"/>
      <c r="Y226" s="346">
        <f t="shared" si="12"/>
        <v>0</v>
      </c>
      <c r="Z226" s="165"/>
      <c r="AA226" s="165"/>
      <c r="AB226" s="165"/>
      <c r="AC226" s="165"/>
      <c r="AD226" s="165"/>
      <c r="AE226" s="165"/>
      <c r="AF226" s="165">
        <v>1</v>
      </c>
      <c r="AG226" s="368">
        <v>43157</v>
      </c>
      <c r="AH226" s="346">
        <f t="shared" si="13"/>
        <v>1</v>
      </c>
      <c r="AI226" s="165"/>
      <c r="AJ226" s="11" t="s">
        <v>2491</v>
      </c>
      <c r="AK226" s="277"/>
      <c r="AL226" s="11"/>
      <c r="AM226" s="11"/>
      <c r="AN226" s="277"/>
      <c r="AO226" s="277"/>
      <c r="AP226" s="277"/>
      <c r="AQ226" s="277"/>
      <c r="AR226" s="338"/>
      <c r="AS226" s="275"/>
      <c r="AT226" s="306"/>
    </row>
    <row r="227" spans="1:46" s="262" customFormat="1" ht="26.4" x14ac:dyDescent="0.25">
      <c r="A227" s="277"/>
      <c r="B227" s="367" t="s">
        <v>1499</v>
      </c>
      <c r="C227" s="367" t="s">
        <v>1819</v>
      </c>
      <c r="D227" s="277"/>
      <c r="E227" s="367" t="s">
        <v>2161</v>
      </c>
      <c r="F227" s="11" t="s">
        <v>1474</v>
      </c>
      <c r="G227" s="277" t="s">
        <v>1476</v>
      </c>
      <c r="H227" s="276"/>
      <c r="I227" s="276"/>
      <c r="J227" s="276"/>
      <c r="K227" s="276"/>
      <c r="L227" s="276"/>
      <c r="M227" s="276"/>
      <c r="N227" s="276"/>
      <c r="O227" s="276"/>
      <c r="P227" s="345">
        <f t="shared" si="11"/>
        <v>0</v>
      </c>
      <c r="Q227" s="277"/>
      <c r="R227" s="277"/>
      <c r="S227" s="277"/>
      <c r="T227" s="277"/>
      <c r="U227" s="277"/>
      <c r="V227" s="277"/>
      <c r="W227" s="277"/>
      <c r="X227" s="368"/>
      <c r="Y227" s="346">
        <f t="shared" si="12"/>
        <v>0</v>
      </c>
      <c r="Z227" s="165"/>
      <c r="AA227" s="165"/>
      <c r="AB227" s="165"/>
      <c r="AC227" s="165"/>
      <c r="AD227" s="165"/>
      <c r="AE227" s="165"/>
      <c r="AF227" s="165">
        <v>1</v>
      </c>
      <c r="AG227" s="368">
        <v>43157</v>
      </c>
      <c r="AH227" s="346">
        <f t="shared" si="13"/>
        <v>1</v>
      </c>
      <c r="AI227" s="165"/>
      <c r="AJ227" s="11" t="s">
        <v>2491</v>
      </c>
      <c r="AK227" s="277"/>
      <c r="AL227" s="11"/>
      <c r="AM227" s="11"/>
      <c r="AN227" s="277"/>
      <c r="AO227" s="277"/>
      <c r="AP227" s="277"/>
      <c r="AQ227" s="277"/>
      <c r="AR227" s="338"/>
      <c r="AS227" s="275"/>
      <c r="AT227" s="306"/>
    </row>
    <row r="228" spans="1:46" s="262" customFormat="1" x14ac:dyDescent="0.25">
      <c r="A228" s="277"/>
      <c r="B228" s="367" t="s">
        <v>1632</v>
      </c>
      <c r="C228" s="367" t="s">
        <v>1955</v>
      </c>
      <c r="D228" s="277"/>
      <c r="E228" s="367" t="s">
        <v>2297</v>
      </c>
      <c r="F228" s="11" t="s">
        <v>1474</v>
      </c>
      <c r="G228" s="277" t="s">
        <v>1476</v>
      </c>
      <c r="H228" s="276"/>
      <c r="I228" s="276"/>
      <c r="J228" s="276"/>
      <c r="K228" s="276"/>
      <c r="L228" s="276"/>
      <c r="M228" s="276"/>
      <c r="N228" s="276"/>
      <c r="O228" s="276"/>
      <c r="P228" s="345">
        <f t="shared" si="11"/>
        <v>0</v>
      </c>
      <c r="Q228" s="277"/>
      <c r="R228" s="277"/>
      <c r="S228" s="277"/>
      <c r="T228" s="277"/>
      <c r="U228" s="277"/>
      <c r="V228" s="277"/>
      <c r="W228" s="277"/>
      <c r="X228" s="368"/>
      <c r="Y228" s="346">
        <f t="shared" si="12"/>
        <v>0</v>
      </c>
      <c r="Z228" s="165"/>
      <c r="AA228" s="165"/>
      <c r="AB228" s="165"/>
      <c r="AC228" s="165"/>
      <c r="AD228" s="165"/>
      <c r="AE228" s="165"/>
      <c r="AF228" s="165">
        <v>1</v>
      </c>
      <c r="AG228" s="368">
        <v>43164</v>
      </c>
      <c r="AH228" s="346">
        <f t="shared" si="13"/>
        <v>1</v>
      </c>
      <c r="AI228" s="165"/>
      <c r="AJ228" s="11" t="s">
        <v>2491</v>
      </c>
      <c r="AK228" s="277"/>
      <c r="AL228" s="11"/>
      <c r="AM228" s="11"/>
      <c r="AN228" s="277"/>
      <c r="AO228" s="277"/>
      <c r="AP228" s="277"/>
      <c r="AQ228" s="277"/>
      <c r="AR228" s="338"/>
      <c r="AS228" s="275"/>
      <c r="AT228" s="306"/>
    </row>
    <row r="229" spans="1:46" s="262" customFormat="1" x14ac:dyDescent="0.25">
      <c r="A229" s="277"/>
      <c r="B229" s="367" t="s">
        <v>1497</v>
      </c>
      <c r="C229" s="367" t="s">
        <v>1817</v>
      </c>
      <c r="D229" s="277"/>
      <c r="E229" s="367" t="s">
        <v>2159</v>
      </c>
      <c r="F229" s="11" t="s">
        <v>1474</v>
      </c>
      <c r="G229" s="277" t="s">
        <v>1476</v>
      </c>
      <c r="H229" s="276"/>
      <c r="I229" s="276"/>
      <c r="J229" s="276"/>
      <c r="K229" s="276"/>
      <c r="L229" s="276"/>
      <c r="M229" s="276"/>
      <c r="N229" s="276"/>
      <c r="O229" s="276"/>
      <c r="P229" s="345">
        <f t="shared" si="11"/>
        <v>0</v>
      </c>
      <c r="Q229" s="277"/>
      <c r="R229" s="277"/>
      <c r="S229" s="277"/>
      <c r="T229" s="277"/>
      <c r="U229" s="277"/>
      <c r="V229" s="277"/>
      <c r="W229" s="277"/>
      <c r="X229" s="368"/>
      <c r="Y229" s="346">
        <f t="shared" si="12"/>
        <v>0</v>
      </c>
      <c r="Z229" s="165"/>
      <c r="AA229" s="165"/>
      <c r="AB229" s="165"/>
      <c r="AC229" s="165"/>
      <c r="AD229" s="165"/>
      <c r="AE229" s="165"/>
      <c r="AF229" s="165">
        <v>1</v>
      </c>
      <c r="AG229" s="368">
        <v>43108</v>
      </c>
      <c r="AH229" s="346">
        <f t="shared" si="13"/>
        <v>1</v>
      </c>
      <c r="AI229" s="165"/>
      <c r="AJ229" s="11" t="s">
        <v>2491</v>
      </c>
      <c r="AK229" s="277"/>
      <c r="AL229" s="11"/>
      <c r="AM229" s="11"/>
      <c r="AN229" s="277"/>
      <c r="AO229" s="277"/>
      <c r="AP229" s="277"/>
      <c r="AQ229" s="277"/>
      <c r="AR229" s="338"/>
      <c r="AS229" s="275"/>
      <c r="AT229" s="306"/>
    </row>
    <row r="230" spans="1:46" s="262" customFormat="1" ht="26.4" x14ac:dyDescent="0.25">
      <c r="A230" s="277"/>
      <c r="B230" s="367" t="s">
        <v>1532</v>
      </c>
      <c r="C230" s="367" t="s">
        <v>1852</v>
      </c>
      <c r="D230" s="277"/>
      <c r="E230" s="367" t="s">
        <v>2194</v>
      </c>
      <c r="F230" s="11" t="s">
        <v>1474</v>
      </c>
      <c r="G230" s="277" t="s">
        <v>1476</v>
      </c>
      <c r="H230" s="276"/>
      <c r="I230" s="276"/>
      <c r="J230" s="276"/>
      <c r="K230" s="276"/>
      <c r="L230" s="276"/>
      <c r="M230" s="276"/>
      <c r="N230" s="276"/>
      <c r="O230" s="276"/>
      <c r="P230" s="345">
        <f t="shared" si="11"/>
        <v>0</v>
      </c>
      <c r="Q230" s="277"/>
      <c r="R230" s="277"/>
      <c r="S230" s="277"/>
      <c r="T230" s="277"/>
      <c r="U230" s="277"/>
      <c r="V230" s="277"/>
      <c r="W230" s="277"/>
      <c r="X230" s="368"/>
      <c r="Y230" s="346">
        <f t="shared" si="12"/>
        <v>0</v>
      </c>
      <c r="Z230" s="165"/>
      <c r="AA230" s="165"/>
      <c r="AB230" s="165"/>
      <c r="AC230" s="165"/>
      <c r="AD230" s="165"/>
      <c r="AE230" s="165"/>
      <c r="AF230" s="165">
        <v>1</v>
      </c>
      <c r="AG230" s="368">
        <v>43230</v>
      </c>
      <c r="AH230" s="346">
        <f t="shared" si="13"/>
        <v>1</v>
      </c>
      <c r="AI230" s="165"/>
      <c r="AJ230" s="11" t="s">
        <v>2491</v>
      </c>
      <c r="AK230" s="277"/>
      <c r="AL230" s="11"/>
      <c r="AM230" s="11"/>
      <c r="AN230" s="277"/>
      <c r="AO230" s="277"/>
      <c r="AP230" s="277"/>
      <c r="AQ230" s="277"/>
      <c r="AR230" s="338"/>
      <c r="AS230" s="275"/>
      <c r="AT230" s="306"/>
    </row>
    <row r="231" spans="1:46" s="262" customFormat="1" ht="26.4" x14ac:dyDescent="0.25">
      <c r="A231" s="277"/>
      <c r="B231" s="367" t="s">
        <v>1533</v>
      </c>
      <c r="C231" s="367" t="s">
        <v>1853</v>
      </c>
      <c r="D231" s="277"/>
      <c r="E231" s="367" t="s">
        <v>2195</v>
      </c>
      <c r="F231" s="11" t="s">
        <v>1474</v>
      </c>
      <c r="G231" s="277" t="s">
        <v>1476</v>
      </c>
      <c r="H231" s="276"/>
      <c r="I231" s="276"/>
      <c r="J231" s="276"/>
      <c r="K231" s="276"/>
      <c r="L231" s="276"/>
      <c r="M231" s="276"/>
      <c r="N231" s="276"/>
      <c r="O231" s="276"/>
      <c r="P231" s="345">
        <f t="shared" si="11"/>
        <v>0</v>
      </c>
      <c r="Q231" s="277"/>
      <c r="R231" s="277"/>
      <c r="S231" s="277"/>
      <c r="T231" s="277"/>
      <c r="U231" s="277"/>
      <c r="V231" s="277"/>
      <c r="W231" s="277"/>
      <c r="X231" s="368"/>
      <c r="Y231" s="346">
        <f t="shared" si="12"/>
        <v>0</v>
      </c>
      <c r="Z231" s="165"/>
      <c r="AA231" s="165"/>
      <c r="AB231" s="165"/>
      <c r="AC231" s="165"/>
      <c r="AD231" s="165"/>
      <c r="AE231" s="165"/>
      <c r="AF231" s="165">
        <v>1</v>
      </c>
      <c r="AG231" s="368">
        <v>43230</v>
      </c>
      <c r="AH231" s="346">
        <f t="shared" si="13"/>
        <v>1</v>
      </c>
      <c r="AI231" s="165"/>
      <c r="AJ231" s="11" t="s">
        <v>2491</v>
      </c>
      <c r="AK231" s="277"/>
      <c r="AL231" s="11"/>
      <c r="AM231" s="11"/>
      <c r="AN231" s="277"/>
      <c r="AO231" s="277"/>
      <c r="AP231" s="277"/>
      <c r="AQ231" s="277"/>
      <c r="AR231" s="338"/>
      <c r="AS231" s="275"/>
      <c r="AT231" s="306"/>
    </row>
    <row r="232" spans="1:46" s="262" customFormat="1" x14ac:dyDescent="0.25">
      <c r="A232" s="277"/>
      <c r="B232" s="367" t="s">
        <v>1534</v>
      </c>
      <c r="C232" s="367" t="s">
        <v>1854</v>
      </c>
      <c r="D232" s="277"/>
      <c r="E232" s="367" t="s">
        <v>2196</v>
      </c>
      <c r="F232" s="11" t="s">
        <v>1474</v>
      </c>
      <c r="G232" s="277" t="s">
        <v>1476</v>
      </c>
      <c r="H232" s="276"/>
      <c r="I232" s="276"/>
      <c r="J232" s="276"/>
      <c r="K232" s="276"/>
      <c r="L232" s="276"/>
      <c r="M232" s="276"/>
      <c r="N232" s="276"/>
      <c r="O232" s="276"/>
      <c r="P232" s="345">
        <f t="shared" si="11"/>
        <v>0</v>
      </c>
      <c r="Q232" s="277"/>
      <c r="R232" s="277"/>
      <c r="S232" s="277"/>
      <c r="T232" s="277"/>
      <c r="U232" s="277"/>
      <c r="V232" s="277"/>
      <c r="W232" s="277"/>
      <c r="X232" s="368"/>
      <c r="Y232" s="346">
        <f t="shared" si="12"/>
        <v>0</v>
      </c>
      <c r="Z232" s="165"/>
      <c r="AA232" s="165"/>
      <c r="AB232" s="165"/>
      <c r="AC232" s="165"/>
      <c r="AD232" s="165"/>
      <c r="AE232" s="165"/>
      <c r="AF232" s="165">
        <v>1</v>
      </c>
      <c r="AG232" s="368">
        <v>43230</v>
      </c>
      <c r="AH232" s="346">
        <f t="shared" si="13"/>
        <v>1</v>
      </c>
      <c r="AI232" s="165"/>
      <c r="AJ232" s="11" t="s">
        <v>2491</v>
      </c>
      <c r="AK232" s="277"/>
      <c r="AL232" s="11"/>
      <c r="AM232" s="11"/>
      <c r="AN232" s="277"/>
      <c r="AO232" s="277"/>
      <c r="AP232" s="277"/>
      <c r="AQ232" s="277"/>
      <c r="AR232" s="338"/>
      <c r="AS232" s="275"/>
      <c r="AT232" s="306"/>
    </row>
    <row r="233" spans="1:46" s="262" customFormat="1" x14ac:dyDescent="0.25">
      <c r="A233" s="277"/>
      <c r="B233" s="367" t="s">
        <v>1535</v>
      </c>
      <c r="C233" s="367" t="s">
        <v>1855</v>
      </c>
      <c r="D233" s="277"/>
      <c r="E233" s="367" t="s">
        <v>2197</v>
      </c>
      <c r="F233" s="11" t="s">
        <v>1474</v>
      </c>
      <c r="G233" s="277" t="s">
        <v>1476</v>
      </c>
      <c r="H233" s="276"/>
      <c r="I233" s="276"/>
      <c r="J233" s="276"/>
      <c r="K233" s="276"/>
      <c r="L233" s="276"/>
      <c r="M233" s="276"/>
      <c r="N233" s="276"/>
      <c r="O233" s="276"/>
      <c r="P233" s="345">
        <f t="shared" si="11"/>
        <v>0</v>
      </c>
      <c r="Q233" s="277"/>
      <c r="R233" s="277"/>
      <c r="S233" s="277"/>
      <c r="T233" s="277"/>
      <c r="U233" s="277"/>
      <c r="V233" s="277"/>
      <c r="W233" s="277"/>
      <c r="X233" s="368"/>
      <c r="Y233" s="346">
        <f t="shared" si="12"/>
        <v>0</v>
      </c>
      <c r="Z233" s="165"/>
      <c r="AA233" s="165"/>
      <c r="AB233" s="165"/>
      <c r="AC233" s="165"/>
      <c r="AD233" s="165"/>
      <c r="AE233" s="165"/>
      <c r="AF233" s="165">
        <v>1</v>
      </c>
      <c r="AG233" s="368">
        <v>43221</v>
      </c>
      <c r="AH233" s="346">
        <f t="shared" si="13"/>
        <v>1</v>
      </c>
      <c r="AI233" s="165"/>
      <c r="AJ233" s="11" t="s">
        <v>2491</v>
      </c>
      <c r="AK233" s="277"/>
      <c r="AL233" s="11"/>
      <c r="AM233" s="11"/>
      <c r="AN233" s="277"/>
      <c r="AO233" s="277"/>
      <c r="AP233" s="277"/>
      <c r="AQ233" s="277"/>
      <c r="AR233" s="338"/>
      <c r="AS233" s="275"/>
      <c r="AT233" s="306"/>
    </row>
    <row r="234" spans="1:46" s="262" customFormat="1" x14ac:dyDescent="0.25">
      <c r="A234" s="277"/>
      <c r="B234" s="367" t="s">
        <v>1536</v>
      </c>
      <c r="C234" s="367" t="s">
        <v>1856</v>
      </c>
      <c r="D234" s="277"/>
      <c r="E234" s="367" t="s">
        <v>2198</v>
      </c>
      <c r="F234" s="11" t="s">
        <v>1474</v>
      </c>
      <c r="G234" s="277" t="s">
        <v>1476</v>
      </c>
      <c r="H234" s="276"/>
      <c r="I234" s="276"/>
      <c r="J234" s="276"/>
      <c r="K234" s="276"/>
      <c r="L234" s="276"/>
      <c r="M234" s="276"/>
      <c r="N234" s="276"/>
      <c r="O234" s="276"/>
      <c r="P234" s="345">
        <f t="shared" si="11"/>
        <v>0</v>
      </c>
      <c r="Q234" s="277"/>
      <c r="R234" s="277"/>
      <c r="S234" s="277"/>
      <c r="T234" s="277"/>
      <c r="U234" s="277"/>
      <c r="V234" s="277"/>
      <c r="W234" s="277"/>
      <c r="X234" s="368"/>
      <c r="Y234" s="346">
        <f t="shared" si="12"/>
        <v>0</v>
      </c>
      <c r="Z234" s="165"/>
      <c r="AA234" s="165"/>
      <c r="AB234" s="165"/>
      <c r="AC234" s="165"/>
      <c r="AD234" s="165"/>
      <c r="AE234" s="165"/>
      <c r="AF234" s="165">
        <v>1</v>
      </c>
      <c r="AG234" s="368">
        <v>43220</v>
      </c>
      <c r="AH234" s="346">
        <f t="shared" si="13"/>
        <v>1</v>
      </c>
      <c r="AI234" s="165"/>
      <c r="AJ234" s="11" t="s">
        <v>2491</v>
      </c>
      <c r="AK234" s="277"/>
      <c r="AL234" s="11"/>
      <c r="AM234" s="11"/>
      <c r="AN234" s="277"/>
      <c r="AO234" s="277"/>
      <c r="AP234" s="277"/>
      <c r="AQ234" s="277"/>
      <c r="AR234" s="338"/>
      <c r="AS234" s="275"/>
      <c r="AT234" s="306"/>
    </row>
    <row r="235" spans="1:46" s="262" customFormat="1" x14ac:dyDescent="0.25">
      <c r="A235" s="277"/>
      <c r="B235" s="367" t="s">
        <v>1537</v>
      </c>
      <c r="C235" s="367" t="s">
        <v>1857</v>
      </c>
      <c r="D235" s="277"/>
      <c r="E235" s="367" t="s">
        <v>2199</v>
      </c>
      <c r="F235" s="11" t="s">
        <v>1474</v>
      </c>
      <c r="G235" s="277" t="s">
        <v>1476</v>
      </c>
      <c r="H235" s="276"/>
      <c r="I235" s="276"/>
      <c r="J235" s="276"/>
      <c r="K235" s="276"/>
      <c r="L235" s="276"/>
      <c r="M235" s="276"/>
      <c r="N235" s="276"/>
      <c r="O235" s="276"/>
      <c r="P235" s="345">
        <f t="shared" si="11"/>
        <v>0</v>
      </c>
      <c r="Q235" s="277"/>
      <c r="R235" s="277"/>
      <c r="S235" s="277"/>
      <c r="T235" s="277"/>
      <c r="U235" s="277"/>
      <c r="V235" s="277"/>
      <c r="W235" s="277"/>
      <c r="X235" s="368"/>
      <c r="Y235" s="346">
        <f t="shared" si="12"/>
        <v>0</v>
      </c>
      <c r="Z235" s="165"/>
      <c r="AA235" s="165"/>
      <c r="AB235" s="165"/>
      <c r="AC235" s="165"/>
      <c r="AD235" s="165"/>
      <c r="AE235" s="165"/>
      <c r="AF235" s="165">
        <v>1</v>
      </c>
      <c r="AG235" s="368">
        <v>43228</v>
      </c>
      <c r="AH235" s="346">
        <f t="shared" si="13"/>
        <v>1</v>
      </c>
      <c r="AI235" s="165"/>
      <c r="AJ235" s="11" t="s">
        <v>2491</v>
      </c>
      <c r="AK235" s="277"/>
      <c r="AL235" s="11"/>
      <c r="AM235" s="11"/>
      <c r="AN235" s="277"/>
      <c r="AO235" s="277"/>
      <c r="AP235" s="277"/>
      <c r="AQ235" s="277"/>
      <c r="AR235" s="338"/>
      <c r="AS235" s="275"/>
      <c r="AT235" s="306"/>
    </row>
    <row r="236" spans="1:46" s="262" customFormat="1" x14ac:dyDescent="0.25">
      <c r="A236" s="277"/>
      <c r="B236" s="367" t="s">
        <v>1538</v>
      </c>
      <c r="C236" s="367" t="s">
        <v>1858</v>
      </c>
      <c r="D236" s="277"/>
      <c r="E236" s="367" t="s">
        <v>2200</v>
      </c>
      <c r="F236" s="11" t="s">
        <v>1474</v>
      </c>
      <c r="G236" s="277" t="s">
        <v>1476</v>
      </c>
      <c r="H236" s="276"/>
      <c r="I236" s="276"/>
      <c r="J236" s="276"/>
      <c r="K236" s="276"/>
      <c r="L236" s="276"/>
      <c r="M236" s="276"/>
      <c r="N236" s="276"/>
      <c r="O236" s="276"/>
      <c r="P236" s="345">
        <f t="shared" si="11"/>
        <v>0</v>
      </c>
      <c r="Q236" s="277"/>
      <c r="R236" s="277"/>
      <c r="S236" s="277"/>
      <c r="T236" s="277"/>
      <c r="U236" s="277"/>
      <c r="V236" s="277"/>
      <c r="W236" s="277"/>
      <c r="X236" s="368"/>
      <c r="Y236" s="346">
        <f t="shared" si="12"/>
        <v>0</v>
      </c>
      <c r="Z236" s="165"/>
      <c r="AA236" s="165"/>
      <c r="AB236" s="165"/>
      <c r="AC236" s="165"/>
      <c r="AD236" s="165"/>
      <c r="AE236" s="165"/>
      <c r="AF236" s="165">
        <v>1</v>
      </c>
      <c r="AG236" s="368">
        <v>43227</v>
      </c>
      <c r="AH236" s="346">
        <f t="shared" si="13"/>
        <v>1</v>
      </c>
      <c r="AI236" s="165"/>
      <c r="AJ236" s="11" t="s">
        <v>2491</v>
      </c>
      <c r="AK236" s="277"/>
      <c r="AL236" s="11"/>
      <c r="AM236" s="11"/>
      <c r="AN236" s="277"/>
      <c r="AO236" s="277"/>
      <c r="AP236" s="277"/>
      <c r="AQ236" s="277"/>
      <c r="AR236" s="338"/>
      <c r="AS236" s="275"/>
      <c r="AT236" s="306"/>
    </row>
    <row r="237" spans="1:46" s="262" customFormat="1" ht="26.4" x14ac:dyDescent="0.25">
      <c r="A237" s="277"/>
      <c r="B237" s="367" t="s">
        <v>1698</v>
      </c>
      <c r="C237" s="367" t="s">
        <v>2032</v>
      </c>
      <c r="D237" s="277"/>
      <c r="E237" s="367" t="s">
        <v>2374</v>
      </c>
      <c r="F237" s="11" t="s">
        <v>1474</v>
      </c>
      <c r="G237" s="277" t="s">
        <v>1476</v>
      </c>
      <c r="H237" s="276"/>
      <c r="I237" s="276"/>
      <c r="J237" s="276"/>
      <c r="K237" s="276"/>
      <c r="L237" s="276"/>
      <c r="M237" s="276"/>
      <c r="N237" s="276"/>
      <c r="O237" s="276"/>
      <c r="P237" s="345">
        <f t="shared" si="11"/>
        <v>0</v>
      </c>
      <c r="Q237" s="277"/>
      <c r="R237" s="277"/>
      <c r="S237" s="277"/>
      <c r="T237" s="277"/>
      <c r="U237" s="277"/>
      <c r="V237" s="277"/>
      <c r="W237" s="277"/>
      <c r="X237" s="368"/>
      <c r="Y237" s="346">
        <f t="shared" si="12"/>
        <v>0</v>
      </c>
      <c r="Z237" s="165"/>
      <c r="AA237" s="165"/>
      <c r="AB237" s="165"/>
      <c r="AC237" s="165"/>
      <c r="AD237" s="165"/>
      <c r="AE237" s="165"/>
      <c r="AF237" s="165">
        <v>1</v>
      </c>
      <c r="AG237" s="368">
        <v>43230</v>
      </c>
      <c r="AH237" s="346">
        <f t="shared" si="13"/>
        <v>1</v>
      </c>
      <c r="AI237" s="165"/>
      <c r="AJ237" s="11" t="s">
        <v>2491</v>
      </c>
      <c r="AK237" s="277"/>
      <c r="AL237" s="11"/>
      <c r="AM237" s="11"/>
      <c r="AN237" s="277"/>
      <c r="AO237" s="277"/>
      <c r="AP237" s="277"/>
      <c r="AQ237" s="277"/>
      <c r="AR237" s="338"/>
      <c r="AS237" s="275"/>
      <c r="AT237" s="306"/>
    </row>
    <row r="238" spans="1:46" s="262" customFormat="1" ht="26.4" x14ac:dyDescent="0.25">
      <c r="A238" s="277"/>
      <c r="B238" s="367" t="s">
        <v>1699</v>
      </c>
      <c r="C238" s="367" t="s">
        <v>2033</v>
      </c>
      <c r="D238" s="277"/>
      <c r="E238" s="367" t="s">
        <v>2375</v>
      </c>
      <c r="F238" s="11" t="s">
        <v>1474</v>
      </c>
      <c r="G238" s="277" t="s">
        <v>1476</v>
      </c>
      <c r="H238" s="276"/>
      <c r="I238" s="276"/>
      <c r="J238" s="276"/>
      <c r="K238" s="276"/>
      <c r="L238" s="276"/>
      <c r="M238" s="276"/>
      <c r="N238" s="276"/>
      <c r="O238" s="276"/>
      <c r="P238" s="345">
        <f t="shared" si="11"/>
        <v>0</v>
      </c>
      <c r="Q238" s="277"/>
      <c r="R238" s="277"/>
      <c r="S238" s="277"/>
      <c r="T238" s="277"/>
      <c r="U238" s="277"/>
      <c r="V238" s="277"/>
      <c r="W238" s="277"/>
      <c r="X238" s="368"/>
      <c r="Y238" s="346">
        <f t="shared" si="12"/>
        <v>0</v>
      </c>
      <c r="Z238" s="165"/>
      <c r="AA238" s="165"/>
      <c r="AB238" s="165"/>
      <c r="AC238" s="165"/>
      <c r="AD238" s="165"/>
      <c r="AE238" s="165"/>
      <c r="AF238" s="165">
        <v>1</v>
      </c>
      <c r="AG238" s="368">
        <v>43193</v>
      </c>
      <c r="AH238" s="346">
        <f t="shared" si="13"/>
        <v>1</v>
      </c>
      <c r="AI238" s="165"/>
      <c r="AJ238" s="11" t="s">
        <v>2491</v>
      </c>
      <c r="AK238" s="277"/>
      <c r="AL238" s="11"/>
      <c r="AM238" s="11"/>
      <c r="AN238" s="277"/>
      <c r="AO238" s="277"/>
      <c r="AP238" s="277"/>
      <c r="AQ238" s="277"/>
      <c r="AR238" s="338"/>
      <c r="AS238" s="275"/>
      <c r="AT238" s="306"/>
    </row>
    <row r="239" spans="1:46" s="262" customFormat="1" ht="26.4" x14ac:dyDescent="0.25">
      <c r="A239" s="277"/>
      <c r="B239" s="367" t="s">
        <v>1700</v>
      </c>
      <c r="C239" s="367" t="s">
        <v>2034</v>
      </c>
      <c r="D239" s="277"/>
      <c r="E239" s="367" t="s">
        <v>2376</v>
      </c>
      <c r="F239" s="11" t="s">
        <v>1474</v>
      </c>
      <c r="G239" s="277" t="s">
        <v>1476</v>
      </c>
      <c r="H239" s="276"/>
      <c r="I239" s="276"/>
      <c r="J239" s="276"/>
      <c r="K239" s="276"/>
      <c r="L239" s="276"/>
      <c r="M239" s="276"/>
      <c r="N239" s="276"/>
      <c r="O239" s="276"/>
      <c r="P239" s="345">
        <f t="shared" si="11"/>
        <v>0</v>
      </c>
      <c r="Q239" s="277"/>
      <c r="R239" s="277"/>
      <c r="S239" s="277"/>
      <c r="T239" s="277"/>
      <c r="U239" s="277"/>
      <c r="V239" s="277"/>
      <c r="W239" s="277"/>
      <c r="X239" s="368"/>
      <c r="Y239" s="346">
        <f t="shared" si="12"/>
        <v>0</v>
      </c>
      <c r="Z239" s="165"/>
      <c r="AA239" s="165"/>
      <c r="AB239" s="165"/>
      <c r="AC239" s="165"/>
      <c r="AD239" s="165"/>
      <c r="AE239" s="165"/>
      <c r="AF239" s="165">
        <v>1</v>
      </c>
      <c r="AG239" s="368">
        <v>43195</v>
      </c>
      <c r="AH239" s="346">
        <f t="shared" si="13"/>
        <v>1</v>
      </c>
      <c r="AI239" s="165"/>
      <c r="AJ239" s="11" t="s">
        <v>2491</v>
      </c>
      <c r="AK239" s="277"/>
      <c r="AL239" s="11"/>
      <c r="AM239" s="11"/>
      <c r="AN239" s="277"/>
      <c r="AO239" s="277"/>
      <c r="AP239" s="277"/>
      <c r="AQ239" s="277"/>
      <c r="AR239" s="338"/>
      <c r="AS239" s="275"/>
      <c r="AT239" s="306"/>
    </row>
    <row r="240" spans="1:46" s="262" customFormat="1" ht="26.4" x14ac:dyDescent="0.25">
      <c r="A240" s="277"/>
      <c r="B240" s="367" t="s">
        <v>1701</v>
      </c>
      <c r="C240" s="367" t="s">
        <v>2035</v>
      </c>
      <c r="D240" s="277"/>
      <c r="E240" s="367" t="s">
        <v>2377</v>
      </c>
      <c r="F240" s="11" t="s">
        <v>1474</v>
      </c>
      <c r="G240" s="277" t="s">
        <v>1476</v>
      </c>
      <c r="H240" s="276"/>
      <c r="I240" s="276"/>
      <c r="J240" s="276"/>
      <c r="K240" s="276"/>
      <c r="L240" s="276"/>
      <c r="M240" s="276"/>
      <c r="N240" s="276"/>
      <c r="O240" s="276"/>
      <c r="P240" s="345">
        <f t="shared" si="11"/>
        <v>0</v>
      </c>
      <c r="Q240" s="277"/>
      <c r="R240" s="277"/>
      <c r="S240" s="277"/>
      <c r="T240" s="277"/>
      <c r="U240" s="277"/>
      <c r="V240" s="277"/>
      <c r="W240" s="277"/>
      <c r="X240" s="368"/>
      <c r="Y240" s="346">
        <f t="shared" si="12"/>
        <v>0</v>
      </c>
      <c r="Z240" s="165"/>
      <c r="AA240" s="165"/>
      <c r="AB240" s="165"/>
      <c r="AC240" s="165"/>
      <c r="AD240" s="165"/>
      <c r="AE240" s="165"/>
      <c r="AF240" s="165">
        <v>1</v>
      </c>
      <c r="AG240" s="368">
        <v>43203</v>
      </c>
      <c r="AH240" s="346">
        <f t="shared" si="13"/>
        <v>1</v>
      </c>
      <c r="AI240" s="165"/>
      <c r="AJ240" s="11" t="s">
        <v>2491</v>
      </c>
      <c r="AK240" s="277"/>
      <c r="AL240" s="11"/>
      <c r="AM240" s="11"/>
      <c r="AN240" s="277"/>
      <c r="AO240" s="277"/>
      <c r="AP240" s="277"/>
      <c r="AQ240" s="277"/>
      <c r="AR240" s="338"/>
      <c r="AS240" s="275"/>
      <c r="AT240" s="306"/>
    </row>
    <row r="241" spans="1:46" s="262" customFormat="1" x14ac:dyDescent="0.25">
      <c r="A241" s="277"/>
      <c r="B241" s="367" t="s">
        <v>1702</v>
      </c>
      <c r="C241" s="367" t="s">
        <v>2036</v>
      </c>
      <c r="D241" s="277"/>
      <c r="E241" s="367" t="s">
        <v>2378</v>
      </c>
      <c r="F241" s="11" t="s">
        <v>1474</v>
      </c>
      <c r="G241" s="277" t="s">
        <v>1476</v>
      </c>
      <c r="H241" s="276"/>
      <c r="I241" s="276"/>
      <c r="J241" s="276"/>
      <c r="K241" s="276"/>
      <c r="L241" s="276"/>
      <c r="M241" s="276"/>
      <c r="N241" s="276"/>
      <c r="O241" s="276"/>
      <c r="P241" s="345">
        <f t="shared" si="11"/>
        <v>0</v>
      </c>
      <c r="Q241" s="277"/>
      <c r="R241" s="277"/>
      <c r="S241" s="277"/>
      <c r="T241" s="277"/>
      <c r="U241" s="277"/>
      <c r="V241" s="277"/>
      <c r="W241" s="277"/>
      <c r="X241" s="368"/>
      <c r="Y241" s="346">
        <f t="shared" si="12"/>
        <v>0</v>
      </c>
      <c r="Z241" s="165"/>
      <c r="AA241" s="165"/>
      <c r="AB241" s="165"/>
      <c r="AC241" s="165"/>
      <c r="AD241" s="165"/>
      <c r="AE241" s="165"/>
      <c r="AF241" s="165">
        <v>1</v>
      </c>
      <c r="AG241" s="368">
        <v>43251</v>
      </c>
      <c r="AH241" s="346">
        <f t="shared" si="13"/>
        <v>1</v>
      </c>
      <c r="AI241" s="165"/>
      <c r="AJ241" s="11" t="s">
        <v>2491</v>
      </c>
      <c r="AK241" s="277"/>
      <c r="AL241" s="11"/>
      <c r="AM241" s="11"/>
      <c r="AN241" s="277"/>
      <c r="AO241" s="277"/>
      <c r="AP241" s="277"/>
      <c r="AQ241" s="277"/>
      <c r="AR241" s="338"/>
      <c r="AS241" s="275"/>
      <c r="AT241" s="306"/>
    </row>
    <row r="242" spans="1:46" s="262" customFormat="1" x14ac:dyDescent="0.25">
      <c r="A242" s="277"/>
      <c r="B242" s="367" t="s">
        <v>1496</v>
      </c>
      <c r="C242" s="367" t="s">
        <v>1816</v>
      </c>
      <c r="D242" s="277"/>
      <c r="E242" s="367" t="s">
        <v>2158</v>
      </c>
      <c r="F242" s="11" t="s">
        <v>1474</v>
      </c>
      <c r="G242" s="277" t="s">
        <v>1476</v>
      </c>
      <c r="H242" s="276"/>
      <c r="I242" s="276"/>
      <c r="J242" s="276"/>
      <c r="K242" s="276"/>
      <c r="L242" s="276"/>
      <c r="M242" s="276"/>
      <c r="N242" s="276"/>
      <c r="O242" s="276"/>
      <c r="P242" s="345">
        <f t="shared" si="11"/>
        <v>0</v>
      </c>
      <c r="Q242" s="277"/>
      <c r="R242" s="277"/>
      <c r="S242" s="277"/>
      <c r="T242" s="277"/>
      <c r="U242" s="277"/>
      <c r="V242" s="277"/>
      <c r="W242" s="277"/>
      <c r="X242" s="368"/>
      <c r="Y242" s="346">
        <f t="shared" si="12"/>
        <v>0</v>
      </c>
      <c r="Z242" s="165"/>
      <c r="AA242" s="165"/>
      <c r="AB242" s="165"/>
      <c r="AC242" s="165"/>
      <c r="AD242" s="165"/>
      <c r="AE242" s="165"/>
      <c r="AF242" s="165">
        <v>1</v>
      </c>
      <c r="AG242" s="368">
        <v>43117</v>
      </c>
      <c r="AH242" s="346">
        <f t="shared" si="13"/>
        <v>1</v>
      </c>
      <c r="AI242" s="165"/>
      <c r="AJ242" s="11" t="s">
        <v>2491</v>
      </c>
      <c r="AK242" s="277"/>
      <c r="AL242" s="11"/>
      <c r="AM242" s="11"/>
      <c r="AN242" s="277"/>
      <c r="AO242" s="277"/>
      <c r="AP242" s="277"/>
      <c r="AQ242" s="277"/>
      <c r="AR242" s="338"/>
      <c r="AS242" s="275"/>
      <c r="AT242" s="306"/>
    </row>
    <row r="243" spans="1:46" s="262" customFormat="1" ht="26.4" x14ac:dyDescent="0.25">
      <c r="A243" s="277"/>
      <c r="B243" s="367" t="s">
        <v>1613</v>
      </c>
      <c r="C243" s="367" t="s">
        <v>1936</v>
      </c>
      <c r="D243" s="277"/>
      <c r="E243" s="367" t="s">
        <v>2278</v>
      </c>
      <c r="F243" s="11" t="s">
        <v>1474</v>
      </c>
      <c r="G243" s="277" t="s">
        <v>1476</v>
      </c>
      <c r="H243" s="276"/>
      <c r="I243" s="276"/>
      <c r="J243" s="276"/>
      <c r="K243" s="276"/>
      <c r="L243" s="276"/>
      <c r="M243" s="276"/>
      <c r="N243" s="276"/>
      <c r="O243" s="276"/>
      <c r="P243" s="345">
        <f t="shared" si="11"/>
        <v>0</v>
      </c>
      <c r="Q243" s="277"/>
      <c r="R243" s="277"/>
      <c r="S243" s="277"/>
      <c r="T243" s="277"/>
      <c r="U243" s="277"/>
      <c r="V243" s="277"/>
      <c r="W243" s="277"/>
      <c r="X243" s="368"/>
      <c r="Y243" s="346">
        <f t="shared" si="12"/>
        <v>0</v>
      </c>
      <c r="Z243" s="165"/>
      <c r="AA243" s="165"/>
      <c r="AB243" s="165"/>
      <c r="AC243" s="165"/>
      <c r="AD243" s="165"/>
      <c r="AE243" s="165"/>
      <c r="AF243" s="165">
        <v>1</v>
      </c>
      <c r="AG243" s="368">
        <v>43194</v>
      </c>
      <c r="AH243" s="346">
        <f t="shared" si="13"/>
        <v>1</v>
      </c>
      <c r="AI243" s="165"/>
      <c r="AJ243" s="11" t="s">
        <v>2491</v>
      </c>
      <c r="AK243" s="277"/>
      <c r="AL243" s="11"/>
      <c r="AM243" s="11"/>
      <c r="AN243" s="277"/>
      <c r="AO243" s="277"/>
      <c r="AP243" s="277"/>
      <c r="AQ243" s="277"/>
      <c r="AR243" s="338"/>
      <c r="AS243" s="275"/>
      <c r="AT243" s="306"/>
    </row>
    <row r="244" spans="1:46" s="262" customFormat="1" ht="26.4" x14ac:dyDescent="0.25">
      <c r="A244" s="277"/>
      <c r="B244" s="367" t="s">
        <v>1614</v>
      </c>
      <c r="C244" s="367" t="s">
        <v>1937</v>
      </c>
      <c r="D244" s="277"/>
      <c r="E244" s="367" t="s">
        <v>2279</v>
      </c>
      <c r="F244" s="11" t="s">
        <v>1474</v>
      </c>
      <c r="G244" s="277" t="s">
        <v>1476</v>
      </c>
      <c r="H244" s="276"/>
      <c r="I244" s="276"/>
      <c r="J244" s="276"/>
      <c r="K244" s="276"/>
      <c r="L244" s="276"/>
      <c r="M244" s="276"/>
      <c r="N244" s="276"/>
      <c r="O244" s="276"/>
      <c r="P244" s="345">
        <f t="shared" si="11"/>
        <v>0</v>
      </c>
      <c r="Q244" s="277"/>
      <c r="R244" s="277"/>
      <c r="S244" s="277"/>
      <c r="T244" s="277"/>
      <c r="U244" s="277"/>
      <c r="V244" s="277"/>
      <c r="W244" s="277"/>
      <c r="X244" s="368"/>
      <c r="Y244" s="346">
        <f t="shared" si="12"/>
        <v>0</v>
      </c>
      <c r="Z244" s="165"/>
      <c r="AA244" s="165"/>
      <c r="AB244" s="165"/>
      <c r="AC244" s="165"/>
      <c r="AD244" s="165"/>
      <c r="AE244" s="165"/>
      <c r="AF244" s="165">
        <v>1</v>
      </c>
      <c r="AG244" s="368">
        <v>43193</v>
      </c>
      <c r="AH244" s="346">
        <f t="shared" si="13"/>
        <v>1</v>
      </c>
      <c r="AI244" s="165"/>
      <c r="AJ244" s="11" t="s">
        <v>2491</v>
      </c>
      <c r="AK244" s="277"/>
      <c r="AL244" s="11"/>
      <c r="AM244" s="11"/>
      <c r="AN244" s="277"/>
      <c r="AO244" s="277"/>
      <c r="AP244" s="277"/>
      <c r="AQ244" s="277"/>
      <c r="AR244" s="338"/>
      <c r="AS244" s="275"/>
      <c r="AT244" s="306"/>
    </row>
    <row r="245" spans="1:46" s="262" customFormat="1" ht="26.4" x14ac:dyDescent="0.25">
      <c r="A245" s="277"/>
      <c r="B245" s="367" t="s">
        <v>1615</v>
      </c>
      <c r="C245" s="367" t="s">
        <v>1938</v>
      </c>
      <c r="D245" s="277"/>
      <c r="E245" s="367" t="s">
        <v>2280</v>
      </c>
      <c r="F245" s="11" t="s">
        <v>1474</v>
      </c>
      <c r="G245" s="277" t="s">
        <v>1476</v>
      </c>
      <c r="H245" s="276"/>
      <c r="I245" s="276"/>
      <c r="J245" s="276"/>
      <c r="K245" s="276"/>
      <c r="L245" s="276"/>
      <c r="M245" s="276"/>
      <c r="N245" s="276"/>
      <c r="O245" s="276"/>
      <c r="P245" s="345">
        <f t="shared" si="11"/>
        <v>0</v>
      </c>
      <c r="Q245" s="277"/>
      <c r="R245" s="277"/>
      <c r="S245" s="277"/>
      <c r="T245" s="277"/>
      <c r="U245" s="277"/>
      <c r="V245" s="277"/>
      <c r="W245" s="277"/>
      <c r="X245" s="368"/>
      <c r="Y245" s="346">
        <f t="shared" si="12"/>
        <v>0</v>
      </c>
      <c r="Z245" s="165"/>
      <c r="AA245" s="165"/>
      <c r="AB245" s="165"/>
      <c r="AC245" s="165"/>
      <c r="AD245" s="165"/>
      <c r="AE245" s="165"/>
      <c r="AF245" s="165">
        <v>1</v>
      </c>
      <c r="AG245" s="368">
        <v>43244</v>
      </c>
      <c r="AH245" s="346">
        <f t="shared" si="13"/>
        <v>1</v>
      </c>
      <c r="AI245" s="165"/>
      <c r="AJ245" s="11" t="s">
        <v>2491</v>
      </c>
      <c r="AK245" s="277"/>
      <c r="AL245" s="11"/>
      <c r="AM245" s="11"/>
      <c r="AN245" s="277"/>
      <c r="AO245" s="277"/>
      <c r="AP245" s="277"/>
      <c r="AQ245" s="277"/>
      <c r="AR245" s="338"/>
      <c r="AS245" s="275"/>
      <c r="AT245" s="306"/>
    </row>
    <row r="246" spans="1:46" s="262" customFormat="1" ht="26.4" x14ac:dyDescent="0.25">
      <c r="A246" s="277"/>
      <c r="B246" s="367" t="s">
        <v>1630</v>
      </c>
      <c r="C246" s="367" t="s">
        <v>1953</v>
      </c>
      <c r="D246" s="277"/>
      <c r="E246" s="367" t="s">
        <v>2295</v>
      </c>
      <c r="F246" s="11" t="s">
        <v>1474</v>
      </c>
      <c r="G246" s="277" t="s">
        <v>1476</v>
      </c>
      <c r="H246" s="276"/>
      <c r="I246" s="276"/>
      <c r="J246" s="276"/>
      <c r="K246" s="276"/>
      <c r="L246" s="276"/>
      <c r="M246" s="276"/>
      <c r="N246" s="276"/>
      <c r="O246" s="276"/>
      <c r="P246" s="345">
        <f t="shared" si="11"/>
        <v>0</v>
      </c>
      <c r="Q246" s="277"/>
      <c r="R246" s="277"/>
      <c r="S246" s="277"/>
      <c r="T246" s="277"/>
      <c r="U246" s="277"/>
      <c r="V246" s="277"/>
      <c r="W246" s="277"/>
      <c r="X246" s="368"/>
      <c r="Y246" s="346">
        <f t="shared" si="12"/>
        <v>0</v>
      </c>
      <c r="Z246" s="165"/>
      <c r="AA246" s="165"/>
      <c r="AB246" s="165"/>
      <c r="AC246" s="165"/>
      <c r="AD246" s="165"/>
      <c r="AE246" s="165"/>
      <c r="AF246" s="165">
        <v>1</v>
      </c>
      <c r="AG246" s="368">
        <v>43143</v>
      </c>
      <c r="AH246" s="346">
        <f t="shared" si="13"/>
        <v>1</v>
      </c>
      <c r="AI246" s="165"/>
      <c r="AJ246" s="11" t="s">
        <v>2491</v>
      </c>
      <c r="AK246" s="277"/>
      <c r="AL246" s="11"/>
      <c r="AM246" s="11"/>
      <c r="AN246" s="277"/>
      <c r="AO246" s="277"/>
      <c r="AP246" s="277"/>
      <c r="AQ246" s="277"/>
      <c r="AR246" s="338"/>
      <c r="AS246" s="275"/>
      <c r="AT246" s="306"/>
    </row>
    <row r="247" spans="1:46" s="262" customFormat="1" ht="26.4" x14ac:dyDescent="0.25">
      <c r="A247" s="277"/>
      <c r="B247" s="367" t="s">
        <v>1631</v>
      </c>
      <c r="C247" s="367" t="s">
        <v>1954</v>
      </c>
      <c r="D247" s="277"/>
      <c r="E247" s="367" t="s">
        <v>2296</v>
      </c>
      <c r="F247" s="11" t="s">
        <v>1474</v>
      </c>
      <c r="G247" s="277" t="s">
        <v>1476</v>
      </c>
      <c r="H247" s="276"/>
      <c r="I247" s="276"/>
      <c r="J247" s="276"/>
      <c r="K247" s="276"/>
      <c r="L247" s="276"/>
      <c r="M247" s="276"/>
      <c r="N247" s="276"/>
      <c r="O247" s="276"/>
      <c r="P247" s="345">
        <f t="shared" si="11"/>
        <v>0</v>
      </c>
      <c r="Q247" s="277"/>
      <c r="R247" s="277"/>
      <c r="S247" s="277"/>
      <c r="T247" s="277"/>
      <c r="U247" s="277"/>
      <c r="V247" s="277"/>
      <c r="W247" s="277"/>
      <c r="X247" s="368"/>
      <c r="Y247" s="346">
        <f t="shared" si="12"/>
        <v>0</v>
      </c>
      <c r="Z247" s="165"/>
      <c r="AA247" s="165"/>
      <c r="AB247" s="165"/>
      <c r="AC247" s="165"/>
      <c r="AD247" s="165"/>
      <c r="AE247" s="165"/>
      <c r="AF247" s="165">
        <v>1</v>
      </c>
      <c r="AG247" s="368">
        <v>43207</v>
      </c>
      <c r="AH247" s="346">
        <f t="shared" si="13"/>
        <v>1</v>
      </c>
      <c r="AI247" s="165"/>
      <c r="AJ247" s="11" t="s">
        <v>2491</v>
      </c>
      <c r="AK247" s="277"/>
      <c r="AL247" s="11"/>
      <c r="AM247" s="11"/>
      <c r="AN247" s="277"/>
      <c r="AO247" s="277"/>
      <c r="AP247" s="277"/>
      <c r="AQ247" s="277"/>
      <c r="AR247" s="338"/>
      <c r="AS247" s="275"/>
      <c r="AT247" s="306"/>
    </row>
    <row r="248" spans="1:46" s="262" customFormat="1" x14ac:dyDescent="0.25">
      <c r="A248" s="277"/>
      <c r="B248" s="367" t="s">
        <v>1560</v>
      </c>
      <c r="C248" s="367" t="s">
        <v>1883</v>
      </c>
      <c r="D248" s="277"/>
      <c r="E248" s="367" t="s">
        <v>2225</v>
      </c>
      <c r="F248" s="11" t="s">
        <v>1474</v>
      </c>
      <c r="G248" s="277" t="s">
        <v>1476</v>
      </c>
      <c r="H248" s="276"/>
      <c r="I248" s="276"/>
      <c r="J248" s="276"/>
      <c r="K248" s="276"/>
      <c r="L248" s="276"/>
      <c r="M248" s="276"/>
      <c r="N248" s="276"/>
      <c r="O248" s="276"/>
      <c r="P248" s="345">
        <f t="shared" si="11"/>
        <v>0</v>
      </c>
      <c r="Q248" s="277"/>
      <c r="R248" s="277"/>
      <c r="S248" s="277"/>
      <c r="T248" s="277"/>
      <c r="U248" s="277"/>
      <c r="V248" s="277"/>
      <c r="W248" s="277"/>
      <c r="X248" s="368"/>
      <c r="Y248" s="346">
        <f t="shared" si="12"/>
        <v>0</v>
      </c>
      <c r="Z248" s="165"/>
      <c r="AA248" s="165"/>
      <c r="AB248" s="165"/>
      <c r="AC248" s="165"/>
      <c r="AD248" s="165"/>
      <c r="AE248" s="165"/>
      <c r="AF248" s="165">
        <v>1</v>
      </c>
      <c r="AG248" s="368">
        <v>43117</v>
      </c>
      <c r="AH248" s="346">
        <f t="shared" si="13"/>
        <v>1</v>
      </c>
      <c r="AI248" s="165"/>
      <c r="AJ248" s="11" t="s">
        <v>2491</v>
      </c>
      <c r="AK248" s="277"/>
      <c r="AL248" s="11"/>
      <c r="AM248" s="11"/>
      <c r="AN248" s="277"/>
      <c r="AO248" s="277"/>
      <c r="AP248" s="277"/>
      <c r="AQ248" s="277"/>
      <c r="AR248" s="338"/>
      <c r="AS248" s="275"/>
      <c r="AT248" s="306"/>
    </row>
    <row r="249" spans="1:46" s="262" customFormat="1" x14ac:dyDescent="0.25">
      <c r="A249" s="277"/>
      <c r="B249" s="367" t="s">
        <v>1561</v>
      </c>
      <c r="C249" s="367" t="s">
        <v>1884</v>
      </c>
      <c r="D249" s="277"/>
      <c r="E249" s="367" t="s">
        <v>2226</v>
      </c>
      <c r="F249" s="11" t="s">
        <v>1474</v>
      </c>
      <c r="G249" s="277" t="s">
        <v>1476</v>
      </c>
      <c r="H249" s="276"/>
      <c r="I249" s="276"/>
      <c r="J249" s="276"/>
      <c r="K249" s="276"/>
      <c r="L249" s="276"/>
      <c r="M249" s="276"/>
      <c r="N249" s="276"/>
      <c r="O249" s="276"/>
      <c r="P249" s="345">
        <f t="shared" si="11"/>
        <v>0</v>
      </c>
      <c r="Q249" s="277"/>
      <c r="R249" s="277"/>
      <c r="S249" s="277"/>
      <c r="T249" s="277"/>
      <c r="U249" s="277"/>
      <c r="V249" s="277"/>
      <c r="W249" s="277"/>
      <c r="X249" s="368"/>
      <c r="Y249" s="346">
        <f t="shared" si="12"/>
        <v>0</v>
      </c>
      <c r="Z249" s="165"/>
      <c r="AA249" s="165"/>
      <c r="AB249" s="165"/>
      <c r="AC249" s="165"/>
      <c r="AD249" s="165"/>
      <c r="AE249" s="165"/>
      <c r="AF249" s="165">
        <v>1</v>
      </c>
      <c r="AG249" s="368">
        <v>43117</v>
      </c>
      <c r="AH249" s="346">
        <f t="shared" si="13"/>
        <v>1</v>
      </c>
      <c r="AI249" s="165"/>
      <c r="AJ249" s="11" t="s">
        <v>2491</v>
      </c>
      <c r="AK249" s="277"/>
      <c r="AL249" s="11"/>
      <c r="AM249" s="11"/>
      <c r="AN249" s="277"/>
      <c r="AO249" s="277"/>
      <c r="AP249" s="277"/>
      <c r="AQ249" s="277"/>
      <c r="AR249" s="338"/>
      <c r="AS249" s="275"/>
      <c r="AT249" s="306"/>
    </row>
    <row r="250" spans="1:46" s="262" customFormat="1" x14ac:dyDescent="0.25">
      <c r="A250" s="277"/>
      <c r="B250" s="367" t="s">
        <v>1562</v>
      </c>
      <c r="C250" s="367" t="s">
        <v>1885</v>
      </c>
      <c r="D250" s="277"/>
      <c r="E250" s="367" t="s">
        <v>2227</v>
      </c>
      <c r="F250" s="11" t="s">
        <v>1474</v>
      </c>
      <c r="G250" s="277" t="s">
        <v>1476</v>
      </c>
      <c r="H250" s="276"/>
      <c r="I250" s="276"/>
      <c r="J250" s="276"/>
      <c r="K250" s="276"/>
      <c r="L250" s="276"/>
      <c r="M250" s="276"/>
      <c r="N250" s="276"/>
      <c r="O250" s="276"/>
      <c r="P250" s="345">
        <f t="shared" si="11"/>
        <v>0</v>
      </c>
      <c r="Q250" s="277"/>
      <c r="R250" s="277"/>
      <c r="S250" s="277"/>
      <c r="T250" s="277"/>
      <c r="U250" s="277"/>
      <c r="V250" s="277"/>
      <c r="W250" s="277"/>
      <c r="X250" s="368"/>
      <c r="Y250" s="346">
        <f t="shared" si="12"/>
        <v>0</v>
      </c>
      <c r="Z250" s="165"/>
      <c r="AA250" s="165"/>
      <c r="AB250" s="165"/>
      <c r="AC250" s="165"/>
      <c r="AD250" s="165"/>
      <c r="AE250" s="165"/>
      <c r="AF250" s="165">
        <v>1</v>
      </c>
      <c r="AG250" s="368">
        <v>43117</v>
      </c>
      <c r="AH250" s="346">
        <f t="shared" si="13"/>
        <v>1</v>
      </c>
      <c r="AI250" s="165"/>
      <c r="AJ250" s="11" t="s">
        <v>2491</v>
      </c>
      <c r="AK250" s="277"/>
      <c r="AL250" s="11"/>
      <c r="AM250" s="11"/>
      <c r="AN250" s="277"/>
      <c r="AO250" s="277"/>
      <c r="AP250" s="277"/>
      <c r="AQ250" s="277"/>
      <c r="AR250" s="338"/>
      <c r="AS250" s="275"/>
      <c r="AT250" s="306"/>
    </row>
    <row r="251" spans="1:46" s="262" customFormat="1" x14ac:dyDescent="0.25">
      <c r="A251" s="277"/>
      <c r="B251" s="367" t="s">
        <v>1563</v>
      </c>
      <c r="C251" s="367" t="s">
        <v>1886</v>
      </c>
      <c r="D251" s="277"/>
      <c r="E251" s="367" t="s">
        <v>2228</v>
      </c>
      <c r="F251" s="11" t="s">
        <v>1474</v>
      </c>
      <c r="G251" s="277" t="s">
        <v>1476</v>
      </c>
      <c r="H251" s="276"/>
      <c r="I251" s="276"/>
      <c r="J251" s="276"/>
      <c r="K251" s="276"/>
      <c r="L251" s="276"/>
      <c r="M251" s="276"/>
      <c r="N251" s="276"/>
      <c r="O251" s="276"/>
      <c r="P251" s="345">
        <f t="shared" si="11"/>
        <v>0</v>
      </c>
      <c r="Q251" s="277"/>
      <c r="R251" s="277"/>
      <c r="S251" s="277"/>
      <c r="T251" s="277"/>
      <c r="U251" s="277"/>
      <c r="V251" s="277"/>
      <c r="W251" s="277"/>
      <c r="X251" s="368"/>
      <c r="Y251" s="346">
        <f t="shared" si="12"/>
        <v>0</v>
      </c>
      <c r="Z251" s="165"/>
      <c r="AA251" s="165"/>
      <c r="AB251" s="165"/>
      <c r="AC251" s="165"/>
      <c r="AD251" s="165"/>
      <c r="AE251" s="165"/>
      <c r="AF251" s="165">
        <v>1</v>
      </c>
      <c r="AG251" s="368">
        <v>43237</v>
      </c>
      <c r="AH251" s="346">
        <f t="shared" si="13"/>
        <v>1</v>
      </c>
      <c r="AI251" s="165"/>
      <c r="AJ251" s="11" t="s">
        <v>2491</v>
      </c>
      <c r="AK251" s="277"/>
      <c r="AL251" s="11"/>
      <c r="AM251" s="11"/>
      <c r="AN251" s="277"/>
      <c r="AO251" s="277"/>
      <c r="AP251" s="277"/>
      <c r="AQ251" s="277"/>
      <c r="AR251" s="338"/>
      <c r="AS251" s="275"/>
      <c r="AT251" s="306"/>
    </row>
    <row r="252" spans="1:46" s="262" customFormat="1" ht="26.4" x14ac:dyDescent="0.25">
      <c r="A252" s="277"/>
      <c r="B252" s="367" t="s">
        <v>1571</v>
      </c>
      <c r="C252" s="367" t="s">
        <v>1894</v>
      </c>
      <c r="D252" s="277"/>
      <c r="E252" s="367" t="s">
        <v>2236</v>
      </c>
      <c r="F252" s="11" t="s">
        <v>1474</v>
      </c>
      <c r="G252" s="277" t="s">
        <v>1476</v>
      </c>
      <c r="H252" s="276"/>
      <c r="I252" s="276"/>
      <c r="J252" s="276"/>
      <c r="K252" s="276"/>
      <c r="L252" s="276"/>
      <c r="M252" s="276"/>
      <c r="N252" s="276"/>
      <c r="O252" s="276"/>
      <c r="P252" s="345">
        <f t="shared" si="11"/>
        <v>0</v>
      </c>
      <c r="Q252" s="277"/>
      <c r="R252" s="277"/>
      <c r="S252" s="277"/>
      <c r="T252" s="277"/>
      <c r="U252" s="277"/>
      <c r="V252" s="277"/>
      <c r="W252" s="277"/>
      <c r="X252" s="368"/>
      <c r="Y252" s="346">
        <f t="shared" si="12"/>
        <v>0</v>
      </c>
      <c r="Z252" s="165"/>
      <c r="AA252" s="165"/>
      <c r="AB252" s="165"/>
      <c r="AC252" s="165"/>
      <c r="AD252" s="165"/>
      <c r="AE252" s="165"/>
      <c r="AF252" s="165">
        <v>1</v>
      </c>
      <c r="AG252" s="368">
        <v>43143</v>
      </c>
      <c r="AH252" s="346">
        <f t="shared" si="13"/>
        <v>1</v>
      </c>
      <c r="AI252" s="165"/>
      <c r="AJ252" s="11" t="s">
        <v>2491</v>
      </c>
      <c r="AK252" s="277"/>
      <c r="AL252" s="11"/>
      <c r="AM252" s="11"/>
      <c r="AN252" s="277"/>
      <c r="AO252" s="277"/>
      <c r="AP252" s="277"/>
      <c r="AQ252" s="277"/>
      <c r="AR252" s="338"/>
      <c r="AS252" s="275"/>
      <c r="AT252" s="306"/>
    </row>
    <row r="253" spans="1:46" s="262" customFormat="1" ht="26.4" x14ac:dyDescent="0.25">
      <c r="A253" s="277"/>
      <c r="B253" s="367" t="s">
        <v>1572</v>
      </c>
      <c r="C253" s="367" t="s">
        <v>1895</v>
      </c>
      <c r="D253" s="277"/>
      <c r="E253" s="367" t="s">
        <v>2237</v>
      </c>
      <c r="F253" s="11" t="s">
        <v>1474</v>
      </c>
      <c r="G253" s="277" t="s">
        <v>1476</v>
      </c>
      <c r="H253" s="276"/>
      <c r="I253" s="276"/>
      <c r="J253" s="276"/>
      <c r="K253" s="276"/>
      <c r="L253" s="276"/>
      <c r="M253" s="276"/>
      <c r="N253" s="276"/>
      <c r="O253" s="276"/>
      <c r="P253" s="345">
        <f t="shared" si="11"/>
        <v>0</v>
      </c>
      <c r="Q253" s="277"/>
      <c r="R253" s="277"/>
      <c r="S253" s="277"/>
      <c r="T253" s="277"/>
      <c r="U253" s="277"/>
      <c r="V253" s="277"/>
      <c r="W253" s="277"/>
      <c r="X253" s="368"/>
      <c r="Y253" s="346">
        <f t="shared" si="12"/>
        <v>0</v>
      </c>
      <c r="Z253" s="165"/>
      <c r="AA253" s="165"/>
      <c r="AB253" s="165"/>
      <c r="AC253" s="165"/>
      <c r="AD253" s="165"/>
      <c r="AE253" s="165"/>
      <c r="AF253" s="165">
        <v>1</v>
      </c>
      <c r="AG253" s="368">
        <v>43143</v>
      </c>
      <c r="AH253" s="346">
        <f t="shared" si="13"/>
        <v>1</v>
      </c>
      <c r="AI253" s="165"/>
      <c r="AJ253" s="11" t="s">
        <v>2491</v>
      </c>
      <c r="AK253" s="277"/>
      <c r="AL253" s="11"/>
      <c r="AM253" s="11"/>
      <c r="AN253" s="277"/>
      <c r="AO253" s="277"/>
      <c r="AP253" s="277"/>
      <c r="AQ253" s="277"/>
      <c r="AR253" s="338"/>
      <c r="AS253" s="275"/>
      <c r="AT253" s="306"/>
    </row>
    <row r="254" spans="1:46" s="262" customFormat="1" ht="26.4" x14ac:dyDescent="0.25">
      <c r="A254" s="277"/>
      <c r="B254" s="367" t="s">
        <v>1573</v>
      </c>
      <c r="C254" s="367" t="s">
        <v>1896</v>
      </c>
      <c r="D254" s="277"/>
      <c r="E254" s="367" t="s">
        <v>2238</v>
      </c>
      <c r="F254" s="11" t="s">
        <v>1474</v>
      </c>
      <c r="G254" s="277" t="s">
        <v>1476</v>
      </c>
      <c r="H254" s="276"/>
      <c r="I254" s="276"/>
      <c r="J254" s="276"/>
      <c r="K254" s="276"/>
      <c r="L254" s="276"/>
      <c r="M254" s="276"/>
      <c r="N254" s="276"/>
      <c r="O254" s="276"/>
      <c r="P254" s="345">
        <f t="shared" si="11"/>
        <v>0</v>
      </c>
      <c r="Q254" s="277"/>
      <c r="R254" s="277"/>
      <c r="S254" s="277"/>
      <c r="T254" s="277"/>
      <c r="U254" s="277"/>
      <c r="V254" s="277"/>
      <c r="W254" s="277"/>
      <c r="X254" s="368"/>
      <c r="Y254" s="346">
        <f t="shared" si="12"/>
        <v>0</v>
      </c>
      <c r="Z254" s="165"/>
      <c r="AA254" s="165"/>
      <c r="AB254" s="165"/>
      <c r="AC254" s="165"/>
      <c r="AD254" s="165"/>
      <c r="AE254" s="165"/>
      <c r="AF254" s="165">
        <v>1</v>
      </c>
      <c r="AG254" s="368">
        <v>43157</v>
      </c>
      <c r="AH254" s="346">
        <f t="shared" si="13"/>
        <v>1</v>
      </c>
      <c r="AI254" s="165"/>
      <c r="AJ254" s="11" t="s">
        <v>2491</v>
      </c>
      <c r="AK254" s="277"/>
      <c r="AL254" s="11"/>
      <c r="AM254" s="11"/>
      <c r="AN254" s="277"/>
      <c r="AO254" s="277"/>
      <c r="AP254" s="277"/>
      <c r="AQ254" s="277"/>
      <c r="AR254" s="338"/>
      <c r="AS254" s="275"/>
      <c r="AT254" s="306"/>
    </row>
    <row r="255" spans="1:46" s="262" customFormat="1" ht="26.4" x14ac:dyDescent="0.25">
      <c r="A255" s="277"/>
      <c r="B255" s="367" t="s">
        <v>1574</v>
      </c>
      <c r="C255" s="367" t="s">
        <v>1897</v>
      </c>
      <c r="D255" s="277"/>
      <c r="E255" s="367" t="s">
        <v>2239</v>
      </c>
      <c r="F255" s="11" t="s">
        <v>1474</v>
      </c>
      <c r="G255" s="277" t="s">
        <v>1476</v>
      </c>
      <c r="H255" s="276"/>
      <c r="I255" s="276"/>
      <c r="J255" s="276"/>
      <c r="K255" s="276"/>
      <c r="L255" s="276"/>
      <c r="M255" s="276"/>
      <c r="N255" s="276"/>
      <c r="O255" s="276"/>
      <c r="P255" s="345">
        <f t="shared" si="11"/>
        <v>0</v>
      </c>
      <c r="Q255" s="277"/>
      <c r="R255" s="277"/>
      <c r="S255" s="277"/>
      <c r="T255" s="277"/>
      <c r="U255" s="277"/>
      <c r="V255" s="277"/>
      <c r="W255" s="277"/>
      <c r="X255" s="368"/>
      <c r="Y255" s="346">
        <f t="shared" si="12"/>
        <v>0</v>
      </c>
      <c r="Z255" s="165"/>
      <c r="AA255" s="165"/>
      <c r="AB255" s="165"/>
      <c r="AC255" s="165"/>
      <c r="AD255" s="165"/>
      <c r="AE255" s="165"/>
      <c r="AF255" s="165">
        <v>1</v>
      </c>
      <c r="AG255" s="368">
        <v>43139</v>
      </c>
      <c r="AH255" s="346">
        <f t="shared" si="13"/>
        <v>1</v>
      </c>
      <c r="AI255" s="165"/>
      <c r="AJ255" s="11" t="s">
        <v>2491</v>
      </c>
      <c r="AK255" s="277"/>
      <c r="AL255" s="11"/>
      <c r="AM255" s="11"/>
      <c r="AN255" s="277"/>
      <c r="AO255" s="277"/>
      <c r="AP255" s="277"/>
      <c r="AQ255" s="277"/>
      <c r="AR255" s="338"/>
      <c r="AS255" s="275"/>
      <c r="AT255" s="306"/>
    </row>
    <row r="256" spans="1:46" s="262" customFormat="1" ht="26.4" x14ac:dyDescent="0.25">
      <c r="A256" s="277"/>
      <c r="B256" s="367" t="s">
        <v>1575</v>
      </c>
      <c r="C256" s="367" t="s">
        <v>1898</v>
      </c>
      <c r="D256" s="277"/>
      <c r="E256" s="367" t="s">
        <v>2240</v>
      </c>
      <c r="F256" s="11" t="s">
        <v>1474</v>
      </c>
      <c r="G256" s="277" t="s">
        <v>1476</v>
      </c>
      <c r="H256" s="276"/>
      <c r="I256" s="276"/>
      <c r="J256" s="276"/>
      <c r="K256" s="276"/>
      <c r="L256" s="276"/>
      <c r="M256" s="276"/>
      <c r="N256" s="276"/>
      <c r="O256" s="276"/>
      <c r="P256" s="345">
        <f t="shared" si="11"/>
        <v>0</v>
      </c>
      <c r="Q256" s="277"/>
      <c r="R256" s="277"/>
      <c r="S256" s="277"/>
      <c r="T256" s="277"/>
      <c r="U256" s="277"/>
      <c r="V256" s="277"/>
      <c r="W256" s="277"/>
      <c r="X256" s="368"/>
      <c r="Y256" s="346">
        <f t="shared" si="12"/>
        <v>0</v>
      </c>
      <c r="Z256" s="165"/>
      <c r="AA256" s="165"/>
      <c r="AB256" s="165"/>
      <c r="AC256" s="165"/>
      <c r="AD256" s="165"/>
      <c r="AE256" s="165"/>
      <c r="AF256" s="165">
        <v>1</v>
      </c>
      <c r="AG256" s="368">
        <v>43118</v>
      </c>
      <c r="AH256" s="346">
        <f t="shared" si="13"/>
        <v>1</v>
      </c>
      <c r="AI256" s="165"/>
      <c r="AJ256" s="11" t="s">
        <v>2491</v>
      </c>
      <c r="AK256" s="277"/>
      <c r="AL256" s="11"/>
      <c r="AM256" s="11"/>
      <c r="AN256" s="277"/>
      <c r="AO256" s="277"/>
      <c r="AP256" s="277"/>
      <c r="AQ256" s="277"/>
      <c r="AR256" s="338"/>
      <c r="AS256" s="275"/>
      <c r="AT256" s="306"/>
    </row>
    <row r="257" spans="1:46" s="262" customFormat="1" ht="26.4" x14ac:dyDescent="0.25">
      <c r="A257" s="277"/>
      <c r="B257" s="367" t="s">
        <v>1576</v>
      </c>
      <c r="C257" s="367" t="s">
        <v>1899</v>
      </c>
      <c r="D257" s="277"/>
      <c r="E257" s="367" t="s">
        <v>2241</v>
      </c>
      <c r="F257" s="11" t="s">
        <v>1474</v>
      </c>
      <c r="G257" s="277" t="s">
        <v>1476</v>
      </c>
      <c r="H257" s="276"/>
      <c r="I257" s="276"/>
      <c r="J257" s="276"/>
      <c r="K257" s="276"/>
      <c r="L257" s="276"/>
      <c r="M257" s="276"/>
      <c r="N257" s="276"/>
      <c r="O257" s="276"/>
      <c r="P257" s="345">
        <f t="shared" si="11"/>
        <v>0</v>
      </c>
      <c r="Q257" s="277"/>
      <c r="R257" s="277"/>
      <c r="S257" s="277"/>
      <c r="T257" s="277"/>
      <c r="U257" s="277"/>
      <c r="V257" s="277"/>
      <c r="W257" s="277"/>
      <c r="X257" s="368"/>
      <c r="Y257" s="346">
        <f t="shared" si="12"/>
        <v>0</v>
      </c>
      <c r="Z257" s="165"/>
      <c r="AA257" s="165"/>
      <c r="AB257" s="165"/>
      <c r="AC257" s="165"/>
      <c r="AD257" s="165"/>
      <c r="AE257" s="165"/>
      <c r="AF257" s="165">
        <v>1</v>
      </c>
      <c r="AG257" s="368">
        <v>43126</v>
      </c>
      <c r="AH257" s="346">
        <f t="shared" si="13"/>
        <v>1</v>
      </c>
      <c r="AI257" s="165"/>
      <c r="AJ257" s="11" t="s">
        <v>2491</v>
      </c>
      <c r="AK257" s="277"/>
      <c r="AL257" s="11"/>
      <c r="AM257" s="11"/>
      <c r="AN257" s="277"/>
      <c r="AO257" s="277"/>
      <c r="AP257" s="277"/>
      <c r="AQ257" s="277"/>
      <c r="AR257" s="338"/>
      <c r="AS257" s="275"/>
      <c r="AT257" s="306"/>
    </row>
    <row r="258" spans="1:46" s="262" customFormat="1" ht="26.4" x14ac:dyDescent="0.25">
      <c r="A258" s="277"/>
      <c r="B258" s="367" t="s">
        <v>1577</v>
      </c>
      <c r="C258" s="367" t="s">
        <v>1900</v>
      </c>
      <c r="D258" s="277"/>
      <c r="E258" s="367" t="s">
        <v>2242</v>
      </c>
      <c r="F258" s="11" t="s">
        <v>1474</v>
      </c>
      <c r="G258" s="277" t="s">
        <v>1476</v>
      </c>
      <c r="H258" s="276"/>
      <c r="I258" s="276"/>
      <c r="J258" s="276"/>
      <c r="K258" s="276"/>
      <c r="L258" s="276"/>
      <c r="M258" s="276"/>
      <c r="N258" s="276"/>
      <c r="O258" s="276"/>
      <c r="P258" s="345">
        <f t="shared" si="11"/>
        <v>0</v>
      </c>
      <c r="Q258" s="277"/>
      <c r="R258" s="277"/>
      <c r="S258" s="277"/>
      <c r="T258" s="277"/>
      <c r="U258" s="277"/>
      <c r="V258" s="277"/>
      <c r="W258" s="277"/>
      <c r="X258" s="368"/>
      <c r="Y258" s="346">
        <f t="shared" si="12"/>
        <v>0</v>
      </c>
      <c r="Z258" s="165"/>
      <c r="AA258" s="165"/>
      <c r="AB258" s="165"/>
      <c r="AC258" s="165"/>
      <c r="AD258" s="165"/>
      <c r="AE258" s="165"/>
      <c r="AF258" s="165">
        <v>1</v>
      </c>
      <c r="AG258" s="368">
        <v>43117</v>
      </c>
      <c r="AH258" s="346">
        <f t="shared" si="13"/>
        <v>1</v>
      </c>
      <c r="AI258" s="165"/>
      <c r="AJ258" s="11" t="s">
        <v>2491</v>
      </c>
      <c r="AK258" s="277"/>
      <c r="AL258" s="11"/>
      <c r="AM258" s="11"/>
      <c r="AN258" s="277"/>
      <c r="AO258" s="277"/>
      <c r="AP258" s="277"/>
      <c r="AQ258" s="277"/>
      <c r="AR258" s="338"/>
      <c r="AS258" s="275"/>
      <c r="AT258" s="306"/>
    </row>
    <row r="259" spans="1:46" s="262" customFormat="1" ht="26.4" x14ac:dyDescent="0.25">
      <c r="A259" s="277"/>
      <c r="B259" s="367" t="s">
        <v>1578</v>
      </c>
      <c r="C259" s="367" t="s">
        <v>1901</v>
      </c>
      <c r="D259" s="277"/>
      <c r="E259" s="367" t="s">
        <v>2243</v>
      </c>
      <c r="F259" s="11" t="s">
        <v>1474</v>
      </c>
      <c r="G259" s="277" t="s">
        <v>1476</v>
      </c>
      <c r="H259" s="276"/>
      <c r="I259" s="276"/>
      <c r="J259" s="276"/>
      <c r="K259" s="276"/>
      <c r="L259" s="276"/>
      <c r="M259" s="276"/>
      <c r="N259" s="276"/>
      <c r="O259" s="276"/>
      <c r="P259" s="345">
        <f t="shared" si="11"/>
        <v>0</v>
      </c>
      <c r="Q259" s="277"/>
      <c r="R259" s="277"/>
      <c r="S259" s="277"/>
      <c r="T259" s="277"/>
      <c r="U259" s="277"/>
      <c r="V259" s="277"/>
      <c r="W259" s="277"/>
      <c r="X259" s="368"/>
      <c r="Y259" s="346">
        <f t="shared" si="12"/>
        <v>0</v>
      </c>
      <c r="Z259" s="165"/>
      <c r="AA259" s="165"/>
      <c r="AB259" s="165"/>
      <c r="AC259" s="165"/>
      <c r="AD259" s="165"/>
      <c r="AE259" s="165"/>
      <c r="AF259" s="165">
        <v>1</v>
      </c>
      <c r="AG259" s="368">
        <v>43143</v>
      </c>
      <c r="AH259" s="346">
        <f t="shared" si="13"/>
        <v>1</v>
      </c>
      <c r="AI259" s="165"/>
      <c r="AJ259" s="11" t="s">
        <v>2491</v>
      </c>
      <c r="AK259" s="277"/>
      <c r="AL259" s="11"/>
      <c r="AM259" s="11"/>
      <c r="AN259" s="277"/>
      <c r="AO259" s="277"/>
      <c r="AP259" s="277"/>
      <c r="AQ259" s="277"/>
      <c r="AR259" s="338"/>
      <c r="AS259" s="275"/>
      <c r="AT259" s="306"/>
    </row>
    <row r="260" spans="1:46" s="262" customFormat="1" ht="26.4" x14ac:dyDescent="0.25">
      <c r="A260" s="277"/>
      <c r="B260" s="367" t="s">
        <v>1579</v>
      </c>
      <c r="C260" s="367" t="s">
        <v>1902</v>
      </c>
      <c r="D260" s="277"/>
      <c r="E260" s="367" t="s">
        <v>2244</v>
      </c>
      <c r="F260" s="11" t="s">
        <v>1474</v>
      </c>
      <c r="G260" s="277" t="s">
        <v>1476</v>
      </c>
      <c r="H260" s="276"/>
      <c r="I260" s="276"/>
      <c r="J260" s="276"/>
      <c r="K260" s="276"/>
      <c r="L260" s="276"/>
      <c r="M260" s="276"/>
      <c r="N260" s="276"/>
      <c r="O260" s="276"/>
      <c r="P260" s="345">
        <f t="shared" si="11"/>
        <v>0</v>
      </c>
      <c r="Q260" s="277"/>
      <c r="R260" s="277"/>
      <c r="S260" s="277"/>
      <c r="T260" s="277"/>
      <c r="U260" s="277"/>
      <c r="V260" s="277"/>
      <c r="W260" s="277"/>
      <c r="X260" s="368"/>
      <c r="Y260" s="346">
        <f t="shared" si="12"/>
        <v>0</v>
      </c>
      <c r="Z260" s="165"/>
      <c r="AA260" s="165"/>
      <c r="AB260" s="165"/>
      <c r="AC260" s="165"/>
      <c r="AD260" s="165"/>
      <c r="AE260" s="165"/>
      <c r="AF260" s="165">
        <v>1</v>
      </c>
      <c r="AG260" s="368">
        <v>43117</v>
      </c>
      <c r="AH260" s="346">
        <f t="shared" si="13"/>
        <v>1</v>
      </c>
      <c r="AI260" s="165"/>
      <c r="AJ260" s="11" t="s">
        <v>2491</v>
      </c>
      <c r="AK260" s="277"/>
      <c r="AL260" s="11"/>
      <c r="AM260" s="11"/>
      <c r="AN260" s="277"/>
      <c r="AO260" s="277"/>
      <c r="AP260" s="277"/>
      <c r="AQ260" s="277"/>
      <c r="AR260" s="338"/>
      <c r="AS260" s="275"/>
      <c r="AT260" s="306"/>
    </row>
    <row r="261" spans="1:46" s="262" customFormat="1" ht="26.4" x14ac:dyDescent="0.25">
      <c r="A261" s="277"/>
      <c r="B261" s="367" t="s">
        <v>1580</v>
      </c>
      <c r="C261" s="367" t="s">
        <v>1903</v>
      </c>
      <c r="D261" s="277"/>
      <c r="E261" s="367" t="s">
        <v>2245</v>
      </c>
      <c r="F261" s="11" t="s">
        <v>1474</v>
      </c>
      <c r="G261" s="277" t="s">
        <v>1476</v>
      </c>
      <c r="H261" s="276"/>
      <c r="I261" s="276"/>
      <c r="J261" s="276"/>
      <c r="K261" s="276"/>
      <c r="L261" s="276"/>
      <c r="M261" s="276"/>
      <c r="N261" s="276"/>
      <c r="O261" s="276"/>
      <c r="P261" s="345">
        <f t="shared" si="11"/>
        <v>0</v>
      </c>
      <c r="Q261" s="277"/>
      <c r="R261" s="277"/>
      <c r="S261" s="277"/>
      <c r="T261" s="277"/>
      <c r="U261" s="277"/>
      <c r="V261" s="277"/>
      <c r="W261" s="277"/>
      <c r="X261" s="368"/>
      <c r="Y261" s="346">
        <f t="shared" si="12"/>
        <v>0</v>
      </c>
      <c r="Z261" s="165"/>
      <c r="AA261" s="165"/>
      <c r="AB261" s="165"/>
      <c r="AC261" s="165"/>
      <c r="AD261" s="165"/>
      <c r="AE261" s="165"/>
      <c r="AF261" s="165">
        <v>1</v>
      </c>
      <c r="AG261" s="368">
        <v>43143</v>
      </c>
      <c r="AH261" s="346">
        <f t="shared" si="13"/>
        <v>1</v>
      </c>
      <c r="AI261" s="165"/>
      <c r="AJ261" s="11" t="s">
        <v>2491</v>
      </c>
      <c r="AK261" s="277"/>
      <c r="AL261" s="11"/>
      <c r="AM261" s="11"/>
      <c r="AN261" s="277"/>
      <c r="AO261" s="277"/>
      <c r="AP261" s="277"/>
      <c r="AQ261" s="277"/>
      <c r="AR261" s="338"/>
      <c r="AS261" s="275"/>
      <c r="AT261" s="306"/>
    </row>
    <row r="262" spans="1:46" s="262" customFormat="1" ht="26.4" x14ac:dyDescent="0.25">
      <c r="A262" s="277"/>
      <c r="B262" s="367" t="s">
        <v>1581</v>
      </c>
      <c r="C262" s="367" t="s">
        <v>1904</v>
      </c>
      <c r="D262" s="277"/>
      <c r="E262" s="367" t="s">
        <v>2246</v>
      </c>
      <c r="F262" s="11" t="s">
        <v>1474</v>
      </c>
      <c r="G262" s="277" t="s">
        <v>1476</v>
      </c>
      <c r="H262" s="276"/>
      <c r="I262" s="276"/>
      <c r="J262" s="276"/>
      <c r="K262" s="276"/>
      <c r="L262" s="276"/>
      <c r="M262" s="276"/>
      <c r="N262" s="276"/>
      <c r="O262" s="276"/>
      <c r="P262" s="345">
        <f t="shared" si="11"/>
        <v>0</v>
      </c>
      <c r="Q262" s="277"/>
      <c r="R262" s="277"/>
      <c r="S262" s="277"/>
      <c r="T262" s="277"/>
      <c r="U262" s="277"/>
      <c r="V262" s="277"/>
      <c r="W262" s="277"/>
      <c r="X262" s="368"/>
      <c r="Y262" s="346">
        <f t="shared" si="12"/>
        <v>0</v>
      </c>
      <c r="Z262" s="165"/>
      <c r="AA262" s="165"/>
      <c r="AB262" s="165"/>
      <c r="AC262" s="165"/>
      <c r="AD262" s="165"/>
      <c r="AE262" s="165"/>
      <c r="AF262" s="165">
        <v>1</v>
      </c>
      <c r="AG262" s="368">
        <v>43143</v>
      </c>
      <c r="AH262" s="346">
        <f t="shared" si="13"/>
        <v>1</v>
      </c>
      <c r="AI262" s="165"/>
      <c r="AJ262" s="11" t="s">
        <v>2491</v>
      </c>
      <c r="AK262" s="277"/>
      <c r="AL262" s="11"/>
      <c r="AM262" s="11"/>
      <c r="AN262" s="277"/>
      <c r="AO262" s="277"/>
      <c r="AP262" s="277"/>
      <c r="AQ262" s="277"/>
      <c r="AR262" s="338"/>
      <c r="AS262" s="275"/>
      <c r="AT262" s="306"/>
    </row>
    <row r="263" spans="1:46" s="262" customFormat="1" ht="26.4" x14ac:dyDescent="0.25">
      <c r="A263" s="277"/>
      <c r="B263" s="367" t="s">
        <v>1582</v>
      </c>
      <c r="C263" s="367" t="s">
        <v>1905</v>
      </c>
      <c r="D263" s="277"/>
      <c r="E263" s="367" t="s">
        <v>2247</v>
      </c>
      <c r="F263" s="11" t="s">
        <v>1474</v>
      </c>
      <c r="G263" s="277" t="s">
        <v>1476</v>
      </c>
      <c r="H263" s="276"/>
      <c r="I263" s="276"/>
      <c r="J263" s="276"/>
      <c r="K263" s="276"/>
      <c r="L263" s="276"/>
      <c r="M263" s="276"/>
      <c r="N263" s="276"/>
      <c r="O263" s="276"/>
      <c r="P263" s="345">
        <f t="shared" si="11"/>
        <v>0</v>
      </c>
      <c r="Q263" s="277"/>
      <c r="R263" s="277"/>
      <c r="S263" s="277"/>
      <c r="T263" s="277"/>
      <c r="U263" s="277"/>
      <c r="V263" s="277"/>
      <c r="W263" s="277"/>
      <c r="X263" s="368"/>
      <c r="Y263" s="346">
        <f t="shared" si="12"/>
        <v>0</v>
      </c>
      <c r="Z263" s="165"/>
      <c r="AA263" s="165"/>
      <c r="AB263" s="165"/>
      <c r="AC263" s="165"/>
      <c r="AD263" s="165"/>
      <c r="AE263" s="165"/>
      <c r="AF263" s="165">
        <v>1</v>
      </c>
      <c r="AG263" s="368">
        <v>43152</v>
      </c>
      <c r="AH263" s="346">
        <f t="shared" si="13"/>
        <v>1</v>
      </c>
      <c r="AI263" s="165"/>
      <c r="AJ263" s="11" t="s">
        <v>2491</v>
      </c>
      <c r="AK263" s="277"/>
      <c r="AL263" s="11"/>
      <c r="AM263" s="11"/>
      <c r="AN263" s="277"/>
      <c r="AO263" s="277"/>
      <c r="AP263" s="277"/>
      <c r="AQ263" s="277"/>
      <c r="AR263" s="338"/>
      <c r="AS263" s="275"/>
      <c r="AT263" s="306"/>
    </row>
    <row r="264" spans="1:46" s="262" customFormat="1" ht="26.4" x14ac:dyDescent="0.25">
      <c r="A264" s="277"/>
      <c r="B264" s="367" t="s">
        <v>1583</v>
      </c>
      <c r="C264" s="367" t="s">
        <v>1906</v>
      </c>
      <c r="D264" s="277"/>
      <c r="E264" s="367" t="s">
        <v>2248</v>
      </c>
      <c r="F264" s="11" t="s">
        <v>1474</v>
      </c>
      <c r="G264" s="277" t="s">
        <v>1476</v>
      </c>
      <c r="H264" s="276"/>
      <c r="I264" s="276"/>
      <c r="J264" s="276"/>
      <c r="K264" s="276"/>
      <c r="L264" s="276"/>
      <c r="M264" s="276"/>
      <c r="N264" s="276"/>
      <c r="O264" s="276"/>
      <c r="P264" s="345">
        <f t="shared" si="11"/>
        <v>0</v>
      </c>
      <c r="Q264" s="277"/>
      <c r="R264" s="277"/>
      <c r="S264" s="277"/>
      <c r="T264" s="277"/>
      <c r="U264" s="277"/>
      <c r="V264" s="277"/>
      <c r="W264" s="277"/>
      <c r="X264" s="368"/>
      <c r="Y264" s="346">
        <f t="shared" si="12"/>
        <v>0</v>
      </c>
      <c r="Z264" s="165"/>
      <c r="AA264" s="165"/>
      <c r="AB264" s="165"/>
      <c r="AC264" s="165"/>
      <c r="AD264" s="165"/>
      <c r="AE264" s="165"/>
      <c r="AF264" s="165">
        <v>1</v>
      </c>
      <c r="AG264" s="368">
        <v>43153</v>
      </c>
      <c r="AH264" s="346">
        <f t="shared" si="13"/>
        <v>1</v>
      </c>
      <c r="AI264" s="165"/>
      <c r="AJ264" s="11" t="s">
        <v>2491</v>
      </c>
      <c r="AK264" s="277"/>
      <c r="AL264" s="11"/>
      <c r="AM264" s="11"/>
      <c r="AN264" s="277"/>
      <c r="AO264" s="277"/>
      <c r="AP264" s="277"/>
      <c r="AQ264" s="277"/>
      <c r="AR264" s="338"/>
      <c r="AS264" s="275"/>
      <c r="AT264" s="306"/>
    </row>
    <row r="265" spans="1:46" s="262" customFormat="1" ht="26.4" x14ac:dyDescent="0.25">
      <c r="A265" s="277"/>
      <c r="B265" s="367" t="s">
        <v>1584</v>
      </c>
      <c r="C265" s="367" t="s">
        <v>1907</v>
      </c>
      <c r="D265" s="277"/>
      <c r="E265" s="367" t="s">
        <v>2249</v>
      </c>
      <c r="F265" s="11" t="s">
        <v>1474</v>
      </c>
      <c r="G265" s="277" t="s">
        <v>1476</v>
      </c>
      <c r="H265" s="276"/>
      <c r="I265" s="276"/>
      <c r="J265" s="276"/>
      <c r="K265" s="276"/>
      <c r="L265" s="276"/>
      <c r="M265" s="276"/>
      <c r="N265" s="276"/>
      <c r="O265" s="276"/>
      <c r="P265" s="345">
        <f t="shared" si="11"/>
        <v>0</v>
      </c>
      <c r="Q265" s="277"/>
      <c r="R265" s="277"/>
      <c r="S265" s="277"/>
      <c r="T265" s="277"/>
      <c r="U265" s="277"/>
      <c r="V265" s="277"/>
      <c r="W265" s="277"/>
      <c r="X265" s="368"/>
      <c r="Y265" s="346">
        <f t="shared" si="12"/>
        <v>0</v>
      </c>
      <c r="Z265" s="165"/>
      <c r="AA265" s="165"/>
      <c r="AB265" s="165"/>
      <c r="AC265" s="165"/>
      <c r="AD265" s="165"/>
      <c r="AE265" s="165"/>
      <c r="AF265" s="165">
        <v>1</v>
      </c>
      <c r="AG265" s="368">
        <v>43166</v>
      </c>
      <c r="AH265" s="346">
        <f t="shared" si="13"/>
        <v>1</v>
      </c>
      <c r="AI265" s="165"/>
      <c r="AJ265" s="11" t="s">
        <v>2491</v>
      </c>
      <c r="AK265" s="277"/>
      <c r="AL265" s="11"/>
      <c r="AM265" s="11"/>
      <c r="AN265" s="277"/>
      <c r="AO265" s="277"/>
      <c r="AP265" s="277"/>
      <c r="AQ265" s="277"/>
      <c r="AR265" s="338"/>
      <c r="AS265" s="275"/>
      <c r="AT265" s="306"/>
    </row>
    <row r="266" spans="1:46" s="262" customFormat="1" ht="26.4" x14ac:dyDescent="0.25">
      <c r="A266" s="277"/>
      <c r="B266" s="367" t="s">
        <v>1585</v>
      </c>
      <c r="C266" s="367" t="s">
        <v>1908</v>
      </c>
      <c r="D266" s="277"/>
      <c r="E266" s="367" t="s">
        <v>2250</v>
      </c>
      <c r="F266" s="11" t="s">
        <v>1474</v>
      </c>
      <c r="G266" s="277" t="s">
        <v>1476</v>
      </c>
      <c r="H266" s="276"/>
      <c r="I266" s="276"/>
      <c r="J266" s="276"/>
      <c r="K266" s="276"/>
      <c r="L266" s="276"/>
      <c r="M266" s="276"/>
      <c r="N266" s="276"/>
      <c r="O266" s="276"/>
      <c r="P266" s="345">
        <f t="shared" si="11"/>
        <v>0</v>
      </c>
      <c r="Q266" s="277"/>
      <c r="R266" s="277"/>
      <c r="S266" s="277"/>
      <c r="T266" s="277"/>
      <c r="U266" s="277"/>
      <c r="V266" s="277"/>
      <c r="W266" s="277"/>
      <c r="X266" s="368"/>
      <c r="Y266" s="346">
        <f t="shared" si="12"/>
        <v>0</v>
      </c>
      <c r="Z266" s="165"/>
      <c r="AA266" s="165"/>
      <c r="AB266" s="165"/>
      <c r="AC266" s="165"/>
      <c r="AD266" s="165"/>
      <c r="AE266" s="165"/>
      <c r="AF266" s="165">
        <v>1</v>
      </c>
      <c r="AG266" s="368">
        <v>43164</v>
      </c>
      <c r="AH266" s="346">
        <f t="shared" si="13"/>
        <v>1</v>
      </c>
      <c r="AI266" s="165"/>
      <c r="AJ266" s="11" t="s">
        <v>2491</v>
      </c>
      <c r="AK266" s="277"/>
      <c r="AL266" s="11"/>
      <c r="AM266" s="11"/>
      <c r="AN266" s="277"/>
      <c r="AO266" s="277"/>
      <c r="AP266" s="277"/>
      <c r="AQ266" s="277"/>
      <c r="AR266" s="338"/>
      <c r="AS266" s="275"/>
      <c r="AT266" s="306"/>
    </row>
    <row r="267" spans="1:46" s="262" customFormat="1" x14ac:dyDescent="0.25">
      <c r="A267" s="277"/>
      <c r="B267" s="367" t="s">
        <v>1552</v>
      </c>
      <c r="C267" s="367" t="s">
        <v>1875</v>
      </c>
      <c r="D267" s="277"/>
      <c r="E267" s="367" t="s">
        <v>2217</v>
      </c>
      <c r="F267" s="11" t="s">
        <v>1474</v>
      </c>
      <c r="G267" s="277" t="s">
        <v>1476</v>
      </c>
      <c r="H267" s="276"/>
      <c r="I267" s="276"/>
      <c r="J267" s="276"/>
      <c r="K267" s="276"/>
      <c r="L267" s="276"/>
      <c r="M267" s="276"/>
      <c r="N267" s="276"/>
      <c r="O267" s="276"/>
      <c r="P267" s="345">
        <f t="shared" si="11"/>
        <v>0</v>
      </c>
      <c r="Q267" s="277"/>
      <c r="R267" s="277"/>
      <c r="S267" s="277"/>
      <c r="T267" s="277"/>
      <c r="U267" s="277"/>
      <c r="V267" s="277"/>
      <c r="W267" s="277"/>
      <c r="X267" s="368"/>
      <c r="Y267" s="346">
        <f t="shared" si="12"/>
        <v>0</v>
      </c>
      <c r="Z267" s="165"/>
      <c r="AA267" s="165"/>
      <c r="AB267" s="165"/>
      <c r="AC267" s="165"/>
      <c r="AD267" s="165"/>
      <c r="AE267" s="165"/>
      <c r="AF267" s="165">
        <v>1</v>
      </c>
      <c r="AG267" s="368">
        <v>43118</v>
      </c>
      <c r="AH267" s="346">
        <f t="shared" si="13"/>
        <v>1</v>
      </c>
      <c r="AI267" s="165"/>
      <c r="AJ267" s="11" t="s">
        <v>2491</v>
      </c>
      <c r="AK267" s="277"/>
      <c r="AL267" s="11"/>
      <c r="AM267" s="11"/>
      <c r="AN267" s="277"/>
      <c r="AO267" s="277"/>
      <c r="AP267" s="277"/>
      <c r="AQ267" s="277"/>
      <c r="AR267" s="338"/>
      <c r="AS267" s="275"/>
      <c r="AT267" s="306"/>
    </row>
    <row r="268" spans="1:46" s="262" customFormat="1" x14ac:dyDescent="0.25">
      <c r="A268" s="277"/>
      <c r="B268" s="367" t="s">
        <v>1553</v>
      </c>
      <c r="C268" s="367" t="s">
        <v>1876</v>
      </c>
      <c r="D268" s="277"/>
      <c r="E268" s="367" t="s">
        <v>2218</v>
      </c>
      <c r="F268" s="11" t="s">
        <v>1474</v>
      </c>
      <c r="G268" s="277" t="s">
        <v>1476</v>
      </c>
      <c r="H268" s="276"/>
      <c r="I268" s="276"/>
      <c r="J268" s="276"/>
      <c r="K268" s="276"/>
      <c r="L268" s="276"/>
      <c r="M268" s="276"/>
      <c r="N268" s="276"/>
      <c r="O268" s="276"/>
      <c r="P268" s="345">
        <f t="shared" si="11"/>
        <v>0</v>
      </c>
      <c r="Q268" s="277"/>
      <c r="R268" s="277"/>
      <c r="S268" s="277"/>
      <c r="T268" s="277"/>
      <c r="U268" s="277"/>
      <c r="V268" s="277"/>
      <c r="W268" s="277"/>
      <c r="X268" s="368"/>
      <c r="Y268" s="346">
        <f t="shared" si="12"/>
        <v>0</v>
      </c>
      <c r="Z268" s="165"/>
      <c r="AA268" s="165"/>
      <c r="AB268" s="165"/>
      <c r="AC268" s="165"/>
      <c r="AD268" s="165"/>
      <c r="AE268" s="165"/>
      <c r="AF268" s="165">
        <v>1</v>
      </c>
      <c r="AG268" s="368">
        <v>43117</v>
      </c>
      <c r="AH268" s="346">
        <f t="shared" si="13"/>
        <v>1</v>
      </c>
      <c r="AI268" s="165"/>
      <c r="AJ268" s="11" t="s">
        <v>2491</v>
      </c>
      <c r="AK268" s="277"/>
      <c r="AL268" s="11"/>
      <c r="AM268" s="11"/>
      <c r="AN268" s="277"/>
      <c r="AO268" s="277"/>
      <c r="AP268" s="277"/>
      <c r="AQ268" s="277"/>
      <c r="AR268" s="338"/>
      <c r="AS268" s="275"/>
      <c r="AT268" s="306"/>
    </row>
    <row r="269" spans="1:46" s="262" customFormat="1" x14ac:dyDescent="0.25">
      <c r="A269" s="277"/>
      <c r="B269" s="367" t="s">
        <v>1554</v>
      </c>
      <c r="C269" s="367" t="s">
        <v>1877</v>
      </c>
      <c r="D269" s="277"/>
      <c r="E269" s="367" t="s">
        <v>2219</v>
      </c>
      <c r="F269" s="11" t="s">
        <v>1474</v>
      </c>
      <c r="G269" s="277" t="s">
        <v>1476</v>
      </c>
      <c r="H269" s="276"/>
      <c r="I269" s="276"/>
      <c r="J269" s="276"/>
      <c r="K269" s="276"/>
      <c r="L269" s="276"/>
      <c r="M269" s="276"/>
      <c r="N269" s="276"/>
      <c r="O269" s="276"/>
      <c r="P269" s="345">
        <f t="shared" ref="P269:P332" si="14">SUM(H269:N269)</f>
        <v>0</v>
      </c>
      <c r="Q269" s="277"/>
      <c r="R269" s="277"/>
      <c r="S269" s="277"/>
      <c r="T269" s="277"/>
      <c r="U269" s="277"/>
      <c r="V269" s="277"/>
      <c r="W269" s="277"/>
      <c r="X269" s="368"/>
      <c r="Y269" s="346">
        <f t="shared" ref="Y269:Y332" si="15">SUM(Q269:W269)</f>
        <v>0</v>
      </c>
      <c r="Z269" s="165"/>
      <c r="AA269" s="165"/>
      <c r="AB269" s="165"/>
      <c r="AC269" s="165"/>
      <c r="AD269" s="165"/>
      <c r="AE269" s="165"/>
      <c r="AF269" s="165">
        <v>1</v>
      </c>
      <c r="AG269" s="368">
        <v>43109</v>
      </c>
      <c r="AH269" s="346">
        <f t="shared" si="13"/>
        <v>1</v>
      </c>
      <c r="AI269" s="165"/>
      <c r="AJ269" s="11" t="s">
        <v>2491</v>
      </c>
      <c r="AK269" s="277"/>
      <c r="AL269" s="11"/>
      <c r="AM269" s="11"/>
      <c r="AN269" s="277"/>
      <c r="AO269" s="277"/>
      <c r="AP269" s="277"/>
      <c r="AQ269" s="277"/>
      <c r="AR269" s="338"/>
      <c r="AS269" s="275"/>
      <c r="AT269" s="306"/>
    </row>
    <row r="270" spans="1:46" s="262" customFormat="1" x14ac:dyDescent="0.25">
      <c r="A270" s="277"/>
      <c r="B270" s="367" t="s">
        <v>1555</v>
      </c>
      <c r="C270" s="367" t="s">
        <v>1878</v>
      </c>
      <c r="D270" s="277"/>
      <c r="E270" s="367" t="s">
        <v>2220</v>
      </c>
      <c r="F270" s="11" t="s">
        <v>1474</v>
      </c>
      <c r="G270" s="277" t="s">
        <v>1476</v>
      </c>
      <c r="H270" s="276"/>
      <c r="I270" s="276"/>
      <c r="J270" s="276"/>
      <c r="K270" s="276"/>
      <c r="L270" s="276"/>
      <c r="M270" s="276"/>
      <c r="N270" s="276"/>
      <c r="O270" s="276"/>
      <c r="P270" s="345">
        <f t="shared" si="14"/>
        <v>0</v>
      </c>
      <c r="Q270" s="277"/>
      <c r="R270" s="277"/>
      <c r="S270" s="277"/>
      <c r="T270" s="277"/>
      <c r="U270" s="277"/>
      <c r="V270" s="277"/>
      <c r="W270" s="277"/>
      <c r="X270" s="368"/>
      <c r="Y270" s="346">
        <f t="shared" si="15"/>
        <v>0</v>
      </c>
      <c r="Z270" s="165"/>
      <c r="AA270" s="165"/>
      <c r="AB270" s="165"/>
      <c r="AC270" s="165"/>
      <c r="AD270" s="165"/>
      <c r="AE270" s="165"/>
      <c r="AF270" s="165">
        <v>1</v>
      </c>
      <c r="AG270" s="368">
        <v>43158</v>
      </c>
      <c r="AH270" s="346">
        <f t="shared" si="13"/>
        <v>1</v>
      </c>
      <c r="AI270" s="165"/>
      <c r="AJ270" s="11" t="s">
        <v>2491</v>
      </c>
      <c r="AK270" s="277"/>
      <c r="AL270" s="11"/>
      <c r="AM270" s="11"/>
      <c r="AN270" s="277"/>
      <c r="AO270" s="277"/>
      <c r="AP270" s="277"/>
      <c r="AQ270" s="277"/>
      <c r="AR270" s="338"/>
      <c r="AS270" s="275"/>
      <c r="AT270" s="306"/>
    </row>
    <row r="271" spans="1:46" s="262" customFormat="1" x14ac:dyDescent="0.25">
      <c r="A271" s="277"/>
      <c r="B271" s="367" t="s">
        <v>1556</v>
      </c>
      <c r="C271" s="367" t="s">
        <v>1879</v>
      </c>
      <c r="D271" s="277"/>
      <c r="E271" s="367" t="s">
        <v>2221</v>
      </c>
      <c r="F271" s="11" t="s">
        <v>1474</v>
      </c>
      <c r="G271" s="277" t="s">
        <v>1476</v>
      </c>
      <c r="H271" s="276"/>
      <c r="I271" s="276"/>
      <c r="J271" s="276"/>
      <c r="K271" s="276"/>
      <c r="L271" s="276"/>
      <c r="M271" s="276"/>
      <c r="N271" s="276"/>
      <c r="O271" s="276"/>
      <c r="P271" s="345">
        <f t="shared" si="14"/>
        <v>0</v>
      </c>
      <c r="Q271" s="277"/>
      <c r="R271" s="277"/>
      <c r="S271" s="277"/>
      <c r="T271" s="277"/>
      <c r="U271" s="277"/>
      <c r="V271" s="277"/>
      <c r="W271" s="277"/>
      <c r="X271" s="368"/>
      <c r="Y271" s="346">
        <f t="shared" si="15"/>
        <v>0</v>
      </c>
      <c r="Z271" s="165"/>
      <c r="AA271" s="165"/>
      <c r="AB271" s="165"/>
      <c r="AC271" s="165"/>
      <c r="AD271" s="165"/>
      <c r="AE271" s="165"/>
      <c r="AF271" s="165">
        <v>1</v>
      </c>
      <c r="AG271" s="368">
        <v>43126</v>
      </c>
      <c r="AH271" s="346">
        <f t="shared" si="13"/>
        <v>1</v>
      </c>
      <c r="AI271" s="165"/>
      <c r="AJ271" s="11" t="s">
        <v>2491</v>
      </c>
      <c r="AK271" s="277"/>
      <c r="AL271" s="11"/>
      <c r="AM271" s="11"/>
      <c r="AN271" s="277"/>
      <c r="AO271" s="277"/>
      <c r="AP271" s="277"/>
      <c r="AQ271" s="277"/>
      <c r="AR271" s="338"/>
      <c r="AS271" s="275"/>
      <c r="AT271" s="306"/>
    </row>
    <row r="272" spans="1:46" s="262" customFormat="1" ht="26.4" x14ac:dyDescent="0.25">
      <c r="A272" s="277"/>
      <c r="B272" s="367" t="s">
        <v>1557</v>
      </c>
      <c r="C272" s="367" t="s">
        <v>1880</v>
      </c>
      <c r="D272" s="277"/>
      <c r="E272" s="367" t="s">
        <v>2222</v>
      </c>
      <c r="F272" s="11" t="s">
        <v>1474</v>
      </c>
      <c r="G272" s="277" t="s">
        <v>1476</v>
      </c>
      <c r="H272" s="276"/>
      <c r="I272" s="276"/>
      <c r="J272" s="276"/>
      <c r="K272" s="276"/>
      <c r="L272" s="276"/>
      <c r="M272" s="276"/>
      <c r="N272" s="276"/>
      <c r="O272" s="276"/>
      <c r="P272" s="345">
        <f t="shared" si="14"/>
        <v>0</v>
      </c>
      <c r="Q272" s="277"/>
      <c r="R272" s="277"/>
      <c r="S272" s="277"/>
      <c r="T272" s="277"/>
      <c r="U272" s="277"/>
      <c r="V272" s="277"/>
      <c r="W272" s="277"/>
      <c r="X272" s="368"/>
      <c r="Y272" s="346">
        <f t="shared" si="15"/>
        <v>0</v>
      </c>
      <c r="Z272" s="165"/>
      <c r="AA272" s="165"/>
      <c r="AB272" s="165"/>
      <c r="AC272" s="165"/>
      <c r="AD272" s="165"/>
      <c r="AE272" s="165"/>
      <c r="AF272" s="165">
        <v>1</v>
      </c>
      <c r="AG272" s="368">
        <v>43167</v>
      </c>
      <c r="AH272" s="346">
        <f t="shared" si="13"/>
        <v>1</v>
      </c>
      <c r="AI272" s="165"/>
      <c r="AJ272" s="11" t="s">
        <v>2491</v>
      </c>
      <c r="AK272" s="277"/>
      <c r="AL272" s="11"/>
      <c r="AM272" s="11"/>
      <c r="AN272" s="277"/>
      <c r="AO272" s="277"/>
      <c r="AP272" s="277"/>
      <c r="AQ272" s="277"/>
      <c r="AR272" s="338"/>
      <c r="AS272" s="275"/>
      <c r="AT272" s="306"/>
    </row>
    <row r="273" spans="1:46" s="262" customFormat="1" ht="26.4" x14ac:dyDescent="0.25">
      <c r="A273" s="277"/>
      <c r="B273" s="367" t="s">
        <v>1558</v>
      </c>
      <c r="C273" s="367" t="s">
        <v>1881</v>
      </c>
      <c r="D273" s="277"/>
      <c r="E273" s="367" t="s">
        <v>2223</v>
      </c>
      <c r="F273" s="11" t="s">
        <v>1474</v>
      </c>
      <c r="G273" s="277" t="s">
        <v>1476</v>
      </c>
      <c r="H273" s="276"/>
      <c r="I273" s="276"/>
      <c r="J273" s="276"/>
      <c r="K273" s="276"/>
      <c r="L273" s="276"/>
      <c r="M273" s="276"/>
      <c r="N273" s="276"/>
      <c r="O273" s="276"/>
      <c r="P273" s="345">
        <f t="shared" si="14"/>
        <v>0</v>
      </c>
      <c r="Q273" s="277"/>
      <c r="R273" s="277"/>
      <c r="S273" s="277"/>
      <c r="T273" s="277"/>
      <c r="U273" s="277"/>
      <c r="V273" s="277"/>
      <c r="W273" s="277"/>
      <c r="X273" s="368"/>
      <c r="Y273" s="346">
        <f t="shared" si="15"/>
        <v>0</v>
      </c>
      <c r="Z273" s="165"/>
      <c r="AA273" s="165"/>
      <c r="AB273" s="165"/>
      <c r="AC273" s="165"/>
      <c r="AD273" s="165"/>
      <c r="AE273" s="165"/>
      <c r="AF273" s="165">
        <v>1</v>
      </c>
      <c r="AG273" s="368">
        <v>43171</v>
      </c>
      <c r="AH273" s="346">
        <f t="shared" si="13"/>
        <v>1</v>
      </c>
      <c r="AI273" s="165"/>
      <c r="AJ273" s="11" t="s">
        <v>2491</v>
      </c>
      <c r="AK273" s="277"/>
      <c r="AL273" s="11"/>
      <c r="AM273" s="11"/>
      <c r="AN273" s="277"/>
      <c r="AO273" s="277"/>
      <c r="AP273" s="277"/>
      <c r="AQ273" s="277"/>
      <c r="AR273" s="338"/>
      <c r="AS273" s="275"/>
      <c r="AT273" s="306"/>
    </row>
    <row r="274" spans="1:46" s="262" customFormat="1" ht="26.4" x14ac:dyDescent="0.25">
      <c r="A274" s="277"/>
      <c r="B274" s="367" t="s">
        <v>1559</v>
      </c>
      <c r="C274" s="367" t="s">
        <v>1882</v>
      </c>
      <c r="D274" s="277"/>
      <c r="E274" s="367" t="s">
        <v>2224</v>
      </c>
      <c r="F274" s="11" t="s">
        <v>1474</v>
      </c>
      <c r="G274" s="277" t="s">
        <v>1476</v>
      </c>
      <c r="H274" s="276"/>
      <c r="I274" s="276"/>
      <c r="J274" s="276"/>
      <c r="K274" s="276"/>
      <c r="L274" s="276"/>
      <c r="M274" s="276"/>
      <c r="N274" s="276"/>
      <c r="O274" s="276"/>
      <c r="P274" s="345">
        <f t="shared" si="14"/>
        <v>0</v>
      </c>
      <c r="Q274" s="277"/>
      <c r="R274" s="277"/>
      <c r="S274" s="277"/>
      <c r="T274" s="277"/>
      <c r="U274" s="277"/>
      <c r="V274" s="277"/>
      <c r="W274" s="277"/>
      <c r="X274" s="368"/>
      <c r="Y274" s="346">
        <f t="shared" si="15"/>
        <v>0</v>
      </c>
      <c r="Z274" s="165"/>
      <c r="AA274" s="165"/>
      <c r="AB274" s="165"/>
      <c r="AC274" s="165"/>
      <c r="AD274" s="165"/>
      <c r="AE274" s="165"/>
      <c r="AF274" s="165">
        <v>1</v>
      </c>
      <c r="AG274" s="368">
        <v>43164</v>
      </c>
      <c r="AH274" s="346">
        <f t="shared" si="13"/>
        <v>1</v>
      </c>
      <c r="AI274" s="165"/>
      <c r="AJ274" s="11" t="s">
        <v>2491</v>
      </c>
      <c r="AK274" s="277"/>
      <c r="AL274" s="11"/>
      <c r="AM274" s="11"/>
      <c r="AN274" s="277"/>
      <c r="AO274" s="277"/>
      <c r="AP274" s="277"/>
      <c r="AQ274" s="277"/>
      <c r="AR274" s="338"/>
      <c r="AS274" s="275"/>
      <c r="AT274" s="306"/>
    </row>
    <row r="275" spans="1:46" s="262" customFormat="1" x14ac:dyDescent="0.25">
      <c r="A275" s="277"/>
      <c r="B275" s="367" t="s">
        <v>1564</v>
      </c>
      <c r="C275" s="367" t="s">
        <v>1887</v>
      </c>
      <c r="D275" s="277"/>
      <c r="E275" s="367" t="s">
        <v>2229</v>
      </c>
      <c r="F275" s="11" t="s">
        <v>1474</v>
      </c>
      <c r="G275" s="277" t="s">
        <v>1476</v>
      </c>
      <c r="H275" s="276"/>
      <c r="I275" s="276"/>
      <c r="J275" s="276"/>
      <c r="K275" s="276"/>
      <c r="L275" s="276"/>
      <c r="M275" s="276"/>
      <c r="N275" s="276"/>
      <c r="O275" s="276"/>
      <c r="P275" s="345">
        <f t="shared" si="14"/>
        <v>0</v>
      </c>
      <c r="Q275" s="277"/>
      <c r="R275" s="277"/>
      <c r="S275" s="277"/>
      <c r="T275" s="277"/>
      <c r="U275" s="277"/>
      <c r="V275" s="277"/>
      <c r="W275" s="277"/>
      <c r="X275" s="368"/>
      <c r="Y275" s="346">
        <f t="shared" si="15"/>
        <v>0</v>
      </c>
      <c r="Z275" s="165"/>
      <c r="AA275" s="165"/>
      <c r="AB275" s="165"/>
      <c r="AC275" s="165"/>
      <c r="AD275" s="165"/>
      <c r="AE275" s="165"/>
      <c r="AF275" s="165">
        <v>1</v>
      </c>
      <c r="AG275" s="368">
        <v>43137</v>
      </c>
      <c r="AH275" s="346">
        <f t="shared" si="13"/>
        <v>1</v>
      </c>
      <c r="AI275" s="165"/>
      <c r="AJ275" s="11" t="s">
        <v>2491</v>
      </c>
      <c r="AK275" s="277"/>
      <c r="AL275" s="11"/>
      <c r="AM275" s="11"/>
      <c r="AN275" s="277"/>
      <c r="AO275" s="277"/>
      <c r="AP275" s="277"/>
      <c r="AQ275" s="277"/>
      <c r="AR275" s="338"/>
      <c r="AS275" s="275"/>
      <c r="AT275" s="306"/>
    </row>
    <row r="276" spans="1:46" s="262" customFormat="1" x14ac:dyDescent="0.25">
      <c r="A276" s="277"/>
      <c r="B276" s="367" t="s">
        <v>1565</v>
      </c>
      <c r="C276" s="367" t="s">
        <v>1888</v>
      </c>
      <c r="D276" s="277"/>
      <c r="E276" s="367" t="s">
        <v>2230</v>
      </c>
      <c r="F276" s="11" t="s">
        <v>1474</v>
      </c>
      <c r="G276" s="277" t="s">
        <v>1476</v>
      </c>
      <c r="H276" s="276"/>
      <c r="I276" s="276"/>
      <c r="J276" s="276"/>
      <c r="K276" s="276"/>
      <c r="L276" s="276"/>
      <c r="M276" s="276"/>
      <c r="N276" s="276"/>
      <c r="O276" s="276"/>
      <c r="P276" s="345">
        <f t="shared" si="14"/>
        <v>0</v>
      </c>
      <c r="Q276" s="277"/>
      <c r="R276" s="277"/>
      <c r="S276" s="277"/>
      <c r="T276" s="277"/>
      <c r="U276" s="277"/>
      <c r="V276" s="277"/>
      <c r="W276" s="277"/>
      <c r="X276" s="368"/>
      <c r="Y276" s="346">
        <f t="shared" si="15"/>
        <v>0</v>
      </c>
      <c r="Z276" s="165"/>
      <c r="AA276" s="165"/>
      <c r="AB276" s="165"/>
      <c r="AC276" s="165"/>
      <c r="AD276" s="165"/>
      <c r="AE276" s="165"/>
      <c r="AF276" s="165">
        <v>1</v>
      </c>
      <c r="AG276" s="368">
        <v>43143</v>
      </c>
      <c r="AH276" s="346">
        <f t="shared" si="13"/>
        <v>1</v>
      </c>
      <c r="AI276" s="165"/>
      <c r="AJ276" s="11" t="s">
        <v>2491</v>
      </c>
      <c r="AK276" s="277"/>
      <c r="AL276" s="11"/>
      <c r="AM276" s="11"/>
      <c r="AN276" s="277"/>
      <c r="AO276" s="277"/>
      <c r="AP276" s="277"/>
      <c r="AQ276" s="277"/>
      <c r="AR276" s="338"/>
      <c r="AS276" s="275"/>
      <c r="AT276" s="306"/>
    </row>
    <row r="277" spans="1:46" s="262" customFormat="1" x14ac:dyDescent="0.25">
      <c r="A277" s="277"/>
      <c r="B277" s="367" t="s">
        <v>1566</v>
      </c>
      <c r="C277" s="367" t="s">
        <v>1889</v>
      </c>
      <c r="D277" s="277"/>
      <c r="E277" s="367" t="s">
        <v>2231</v>
      </c>
      <c r="F277" s="11" t="s">
        <v>1474</v>
      </c>
      <c r="G277" s="277" t="s">
        <v>1476</v>
      </c>
      <c r="H277" s="276"/>
      <c r="I277" s="276"/>
      <c r="J277" s="276"/>
      <c r="K277" s="276"/>
      <c r="L277" s="276"/>
      <c r="M277" s="276"/>
      <c r="N277" s="276"/>
      <c r="O277" s="276"/>
      <c r="P277" s="345">
        <f t="shared" si="14"/>
        <v>0</v>
      </c>
      <c r="Q277" s="277"/>
      <c r="R277" s="277"/>
      <c r="S277" s="277"/>
      <c r="T277" s="277"/>
      <c r="U277" s="277"/>
      <c r="V277" s="277"/>
      <c r="W277" s="277"/>
      <c r="X277" s="368"/>
      <c r="Y277" s="346">
        <f t="shared" si="15"/>
        <v>0</v>
      </c>
      <c r="Z277" s="165"/>
      <c r="AA277" s="165"/>
      <c r="AB277" s="165"/>
      <c r="AC277" s="165"/>
      <c r="AD277" s="165"/>
      <c r="AE277" s="165"/>
      <c r="AF277" s="165">
        <v>1</v>
      </c>
      <c r="AG277" s="368">
        <v>43144</v>
      </c>
      <c r="AH277" s="346">
        <f t="shared" si="13"/>
        <v>1</v>
      </c>
      <c r="AI277" s="165"/>
      <c r="AJ277" s="11" t="s">
        <v>2491</v>
      </c>
      <c r="AK277" s="277"/>
      <c r="AL277" s="11"/>
      <c r="AM277" s="11"/>
      <c r="AN277" s="277"/>
      <c r="AO277" s="277"/>
      <c r="AP277" s="277"/>
      <c r="AQ277" s="277"/>
      <c r="AR277" s="338"/>
      <c r="AS277" s="275"/>
      <c r="AT277" s="306"/>
    </row>
    <row r="278" spans="1:46" s="262" customFormat="1" ht="26.4" x14ac:dyDescent="0.25">
      <c r="A278" s="277"/>
      <c r="B278" s="367" t="s">
        <v>1616</v>
      </c>
      <c r="C278" s="367" t="s">
        <v>1939</v>
      </c>
      <c r="D278" s="277"/>
      <c r="E278" s="367" t="s">
        <v>2281</v>
      </c>
      <c r="F278" s="11" t="s">
        <v>1474</v>
      </c>
      <c r="G278" s="277" t="s">
        <v>1476</v>
      </c>
      <c r="H278" s="276"/>
      <c r="I278" s="276"/>
      <c r="J278" s="276"/>
      <c r="K278" s="276"/>
      <c r="L278" s="276"/>
      <c r="M278" s="276"/>
      <c r="N278" s="276"/>
      <c r="O278" s="276"/>
      <c r="P278" s="345">
        <f t="shared" si="14"/>
        <v>0</v>
      </c>
      <c r="Q278" s="277"/>
      <c r="R278" s="277"/>
      <c r="S278" s="277"/>
      <c r="T278" s="277"/>
      <c r="U278" s="277"/>
      <c r="V278" s="277"/>
      <c r="W278" s="277"/>
      <c r="X278" s="368"/>
      <c r="Y278" s="346">
        <f t="shared" si="15"/>
        <v>0</v>
      </c>
      <c r="Z278" s="165"/>
      <c r="AA278" s="165"/>
      <c r="AB278" s="165"/>
      <c r="AC278" s="165"/>
      <c r="AD278" s="165"/>
      <c r="AE278" s="165"/>
      <c r="AF278" s="165">
        <v>1</v>
      </c>
      <c r="AG278" s="368">
        <v>43125</v>
      </c>
      <c r="AH278" s="346">
        <f t="shared" si="13"/>
        <v>1</v>
      </c>
      <c r="AI278" s="165"/>
      <c r="AJ278" s="11" t="s">
        <v>2491</v>
      </c>
      <c r="AK278" s="277"/>
      <c r="AL278" s="11"/>
      <c r="AM278" s="11"/>
      <c r="AN278" s="277"/>
      <c r="AO278" s="277"/>
      <c r="AP278" s="277"/>
      <c r="AQ278" s="277"/>
      <c r="AR278" s="338"/>
      <c r="AS278" s="275"/>
      <c r="AT278" s="306"/>
    </row>
    <row r="279" spans="1:46" s="262" customFormat="1" ht="26.4" x14ac:dyDescent="0.25">
      <c r="A279" s="277"/>
      <c r="B279" s="367" t="s">
        <v>1617</v>
      </c>
      <c r="C279" s="367" t="s">
        <v>1940</v>
      </c>
      <c r="D279" s="277"/>
      <c r="E279" s="367" t="s">
        <v>2282</v>
      </c>
      <c r="F279" s="11" t="s">
        <v>1474</v>
      </c>
      <c r="G279" s="277" t="s">
        <v>1476</v>
      </c>
      <c r="H279" s="276"/>
      <c r="I279" s="276"/>
      <c r="J279" s="276"/>
      <c r="K279" s="276"/>
      <c r="L279" s="276"/>
      <c r="M279" s="276"/>
      <c r="N279" s="276"/>
      <c r="O279" s="276"/>
      <c r="P279" s="345">
        <f t="shared" si="14"/>
        <v>0</v>
      </c>
      <c r="Q279" s="277"/>
      <c r="R279" s="277"/>
      <c r="S279" s="277"/>
      <c r="T279" s="277"/>
      <c r="U279" s="277"/>
      <c r="V279" s="277"/>
      <c r="W279" s="277"/>
      <c r="X279" s="368"/>
      <c r="Y279" s="346">
        <f t="shared" si="15"/>
        <v>0</v>
      </c>
      <c r="Z279" s="165"/>
      <c r="AA279" s="165"/>
      <c r="AB279" s="165"/>
      <c r="AC279" s="165"/>
      <c r="AD279" s="165"/>
      <c r="AE279" s="165"/>
      <c r="AF279" s="165">
        <v>1</v>
      </c>
      <c r="AG279" s="368">
        <v>43143</v>
      </c>
      <c r="AH279" s="346">
        <f t="shared" si="13"/>
        <v>1</v>
      </c>
      <c r="AI279" s="165"/>
      <c r="AJ279" s="11" t="s">
        <v>2491</v>
      </c>
      <c r="AK279" s="277"/>
      <c r="AL279" s="11"/>
      <c r="AM279" s="11"/>
      <c r="AN279" s="277"/>
      <c r="AO279" s="277"/>
      <c r="AP279" s="277"/>
      <c r="AQ279" s="277"/>
      <c r="AR279" s="338"/>
      <c r="AS279" s="275"/>
      <c r="AT279" s="306"/>
    </row>
    <row r="280" spans="1:46" s="262" customFormat="1" ht="26.4" x14ac:dyDescent="0.25">
      <c r="A280" s="277"/>
      <c r="B280" s="367" t="s">
        <v>1618</v>
      </c>
      <c r="C280" s="367" t="s">
        <v>1941</v>
      </c>
      <c r="D280" s="277"/>
      <c r="E280" s="367" t="s">
        <v>2283</v>
      </c>
      <c r="F280" s="11" t="s">
        <v>1474</v>
      </c>
      <c r="G280" s="277" t="s">
        <v>1476</v>
      </c>
      <c r="H280" s="276"/>
      <c r="I280" s="276"/>
      <c r="J280" s="276"/>
      <c r="K280" s="276"/>
      <c r="L280" s="276"/>
      <c r="M280" s="276"/>
      <c r="N280" s="276"/>
      <c r="O280" s="276"/>
      <c r="P280" s="345">
        <f t="shared" si="14"/>
        <v>0</v>
      </c>
      <c r="Q280" s="277"/>
      <c r="R280" s="277"/>
      <c r="S280" s="277"/>
      <c r="T280" s="277"/>
      <c r="U280" s="277"/>
      <c r="V280" s="277"/>
      <c r="W280" s="277"/>
      <c r="X280" s="368"/>
      <c r="Y280" s="346">
        <f t="shared" si="15"/>
        <v>0</v>
      </c>
      <c r="Z280" s="165"/>
      <c r="AA280" s="165"/>
      <c r="AB280" s="165"/>
      <c r="AC280" s="165"/>
      <c r="AD280" s="165"/>
      <c r="AE280" s="165"/>
      <c r="AF280" s="165">
        <v>1</v>
      </c>
      <c r="AG280" s="368">
        <v>43164</v>
      </c>
      <c r="AH280" s="346">
        <f t="shared" si="13"/>
        <v>1</v>
      </c>
      <c r="AI280" s="165"/>
      <c r="AJ280" s="11" t="s">
        <v>2491</v>
      </c>
      <c r="AK280" s="277"/>
      <c r="AL280" s="11"/>
      <c r="AM280" s="11"/>
      <c r="AN280" s="277"/>
      <c r="AO280" s="277"/>
      <c r="AP280" s="277"/>
      <c r="AQ280" s="277"/>
      <c r="AR280" s="338"/>
      <c r="AS280" s="275"/>
      <c r="AT280" s="306"/>
    </row>
    <row r="281" spans="1:46" s="262" customFormat="1" ht="26.4" x14ac:dyDescent="0.25">
      <c r="A281" s="277"/>
      <c r="B281" s="367" t="s">
        <v>1619</v>
      </c>
      <c r="C281" s="367" t="s">
        <v>1942</v>
      </c>
      <c r="D281" s="277"/>
      <c r="E281" s="367" t="s">
        <v>2284</v>
      </c>
      <c r="F281" s="11" t="s">
        <v>1474</v>
      </c>
      <c r="G281" s="277" t="s">
        <v>1476</v>
      </c>
      <c r="H281" s="276"/>
      <c r="I281" s="276"/>
      <c r="J281" s="276"/>
      <c r="K281" s="276"/>
      <c r="L281" s="276"/>
      <c r="M281" s="276"/>
      <c r="N281" s="276"/>
      <c r="O281" s="276"/>
      <c r="P281" s="345">
        <f t="shared" si="14"/>
        <v>0</v>
      </c>
      <c r="Q281" s="277"/>
      <c r="R281" s="277"/>
      <c r="S281" s="277"/>
      <c r="T281" s="277"/>
      <c r="U281" s="277"/>
      <c r="V281" s="277"/>
      <c r="W281" s="277"/>
      <c r="X281" s="368"/>
      <c r="Y281" s="346">
        <f t="shared" si="15"/>
        <v>0</v>
      </c>
      <c r="Z281" s="165"/>
      <c r="AA281" s="165"/>
      <c r="AB281" s="165"/>
      <c r="AC281" s="165"/>
      <c r="AD281" s="165"/>
      <c r="AE281" s="165"/>
      <c r="AF281" s="165">
        <v>1</v>
      </c>
      <c r="AG281" s="368">
        <v>43194</v>
      </c>
      <c r="AH281" s="346">
        <f t="shared" si="13"/>
        <v>1</v>
      </c>
      <c r="AI281" s="165"/>
      <c r="AJ281" s="11" t="s">
        <v>2491</v>
      </c>
      <c r="AK281" s="277"/>
      <c r="AL281" s="11"/>
      <c r="AM281" s="11"/>
      <c r="AN281" s="277"/>
      <c r="AO281" s="277"/>
      <c r="AP281" s="277"/>
      <c r="AQ281" s="277"/>
      <c r="AR281" s="338"/>
      <c r="AS281" s="275"/>
      <c r="AT281" s="306"/>
    </row>
    <row r="282" spans="1:46" s="262" customFormat="1" ht="26.4" x14ac:dyDescent="0.25">
      <c r="A282" s="277"/>
      <c r="B282" s="367" t="s">
        <v>1625</v>
      </c>
      <c r="C282" s="367" t="s">
        <v>1948</v>
      </c>
      <c r="D282" s="277"/>
      <c r="E282" s="367" t="s">
        <v>2290</v>
      </c>
      <c r="F282" s="11" t="s">
        <v>1474</v>
      </c>
      <c r="G282" s="277" t="s">
        <v>1476</v>
      </c>
      <c r="H282" s="276"/>
      <c r="I282" s="276"/>
      <c r="J282" s="276"/>
      <c r="K282" s="276"/>
      <c r="L282" s="276"/>
      <c r="M282" s="276"/>
      <c r="N282" s="276"/>
      <c r="O282" s="276"/>
      <c r="P282" s="345">
        <f t="shared" si="14"/>
        <v>0</v>
      </c>
      <c r="Q282" s="277"/>
      <c r="R282" s="277"/>
      <c r="S282" s="277"/>
      <c r="T282" s="277"/>
      <c r="U282" s="277"/>
      <c r="V282" s="277"/>
      <c r="W282" s="277"/>
      <c r="X282" s="368"/>
      <c r="Y282" s="346">
        <f t="shared" si="15"/>
        <v>0</v>
      </c>
      <c r="Z282" s="165"/>
      <c r="AA282" s="165"/>
      <c r="AB282" s="165"/>
      <c r="AC282" s="165"/>
      <c r="AD282" s="165"/>
      <c r="AE282" s="165"/>
      <c r="AF282" s="165">
        <v>1</v>
      </c>
      <c r="AG282" s="368">
        <v>43108</v>
      </c>
      <c r="AH282" s="346">
        <f t="shared" si="13"/>
        <v>1</v>
      </c>
      <c r="AI282" s="165"/>
      <c r="AJ282" s="11" t="s">
        <v>2491</v>
      </c>
      <c r="AK282" s="277"/>
      <c r="AL282" s="11"/>
      <c r="AM282" s="11"/>
      <c r="AN282" s="277"/>
      <c r="AO282" s="277"/>
      <c r="AP282" s="277"/>
      <c r="AQ282" s="277"/>
      <c r="AR282" s="338"/>
      <c r="AS282" s="275"/>
      <c r="AT282" s="306"/>
    </row>
    <row r="283" spans="1:46" s="262" customFormat="1" ht="26.4" x14ac:dyDescent="0.25">
      <c r="A283" s="277"/>
      <c r="B283" s="367" t="s">
        <v>1626</v>
      </c>
      <c r="C283" s="367" t="s">
        <v>1949</v>
      </c>
      <c r="D283" s="277"/>
      <c r="E283" s="367" t="s">
        <v>2291</v>
      </c>
      <c r="F283" s="11" t="s">
        <v>1474</v>
      </c>
      <c r="G283" s="277" t="s">
        <v>1476</v>
      </c>
      <c r="H283" s="276"/>
      <c r="I283" s="276"/>
      <c r="J283" s="276"/>
      <c r="K283" s="276"/>
      <c r="L283" s="276"/>
      <c r="M283" s="276"/>
      <c r="N283" s="276"/>
      <c r="O283" s="276"/>
      <c r="P283" s="345">
        <f t="shared" si="14"/>
        <v>0</v>
      </c>
      <c r="Q283" s="277"/>
      <c r="R283" s="277"/>
      <c r="S283" s="277"/>
      <c r="T283" s="277"/>
      <c r="U283" s="277"/>
      <c r="V283" s="277"/>
      <c r="W283" s="277"/>
      <c r="X283" s="368"/>
      <c r="Y283" s="346">
        <f t="shared" si="15"/>
        <v>0</v>
      </c>
      <c r="Z283" s="165"/>
      <c r="AA283" s="165"/>
      <c r="AB283" s="165"/>
      <c r="AC283" s="165"/>
      <c r="AD283" s="165"/>
      <c r="AE283" s="165"/>
      <c r="AF283" s="165">
        <v>1</v>
      </c>
      <c r="AG283" s="368">
        <v>43109</v>
      </c>
      <c r="AH283" s="346">
        <f t="shared" si="13"/>
        <v>1</v>
      </c>
      <c r="AI283" s="165"/>
      <c r="AJ283" s="11" t="s">
        <v>2491</v>
      </c>
      <c r="AK283" s="277"/>
      <c r="AL283" s="11"/>
      <c r="AM283" s="11"/>
      <c r="AN283" s="277"/>
      <c r="AO283" s="277"/>
      <c r="AP283" s="277"/>
      <c r="AQ283" s="277"/>
      <c r="AR283" s="338"/>
      <c r="AS283" s="275"/>
      <c r="AT283" s="306"/>
    </row>
    <row r="284" spans="1:46" s="262" customFormat="1" ht="26.4" x14ac:dyDescent="0.25">
      <c r="A284" s="277"/>
      <c r="B284" s="367" t="s">
        <v>1627</v>
      </c>
      <c r="C284" s="367" t="s">
        <v>1950</v>
      </c>
      <c r="D284" s="277"/>
      <c r="E284" s="367" t="s">
        <v>2292</v>
      </c>
      <c r="F284" s="11" t="s">
        <v>1474</v>
      </c>
      <c r="G284" s="277" t="s">
        <v>1476</v>
      </c>
      <c r="H284" s="276"/>
      <c r="I284" s="276"/>
      <c r="J284" s="276"/>
      <c r="K284" s="276"/>
      <c r="L284" s="276"/>
      <c r="M284" s="276"/>
      <c r="N284" s="276"/>
      <c r="O284" s="276"/>
      <c r="P284" s="345">
        <f t="shared" si="14"/>
        <v>0</v>
      </c>
      <c r="Q284" s="277"/>
      <c r="R284" s="277"/>
      <c r="S284" s="277"/>
      <c r="T284" s="277"/>
      <c r="U284" s="277"/>
      <c r="V284" s="277"/>
      <c r="W284" s="277"/>
      <c r="X284" s="368"/>
      <c r="Y284" s="346">
        <f t="shared" si="15"/>
        <v>0</v>
      </c>
      <c r="Z284" s="165"/>
      <c r="AA284" s="165"/>
      <c r="AB284" s="165"/>
      <c r="AC284" s="165"/>
      <c r="AD284" s="165"/>
      <c r="AE284" s="165"/>
      <c r="AF284" s="165">
        <v>1</v>
      </c>
      <c r="AG284" s="368">
        <v>43131</v>
      </c>
      <c r="AH284" s="346">
        <f t="shared" si="13"/>
        <v>1</v>
      </c>
      <c r="AI284" s="165"/>
      <c r="AJ284" s="11" t="s">
        <v>2491</v>
      </c>
      <c r="AK284" s="277"/>
      <c r="AL284" s="11"/>
      <c r="AM284" s="11"/>
      <c r="AN284" s="277"/>
      <c r="AO284" s="277"/>
      <c r="AP284" s="277"/>
      <c r="AQ284" s="277"/>
      <c r="AR284" s="338"/>
      <c r="AS284" s="275"/>
      <c r="AT284" s="306"/>
    </row>
    <row r="285" spans="1:46" s="262" customFormat="1" ht="26.4" x14ac:dyDescent="0.25">
      <c r="A285" s="277"/>
      <c r="B285" s="367" t="s">
        <v>1628</v>
      </c>
      <c r="C285" s="367" t="s">
        <v>1951</v>
      </c>
      <c r="D285" s="277"/>
      <c r="E285" s="367" t="s">
        <v>2293</v>
      </c>
      <c r="F285" s="11" t="s">
        <v>1474</v>
      </c>
      <c r="G285" s="277" t="s">
        <v>1476</v>
      </c>
      <c r="H285" s="276"/>
      <c r="I285" s="276"/>
      <c r="J285" s="276"/>
      <c r="K285" s="276"/>
      <c r="L285" s="276"/>
      <c r="M285" s="276"/>
      <c r="N285" s="276"/>
      <c r="O285" s="276"/>
      <c r="P285" s="345">
        <f t="shared" si="14"/>
        <v>0</v>
      </c>
      <c r="Q285" s="277"/>
      <c r="R285" s="277"/>
      <c r="S285" s="277"/>
      <c r="T285" s="277"/>
      <c r="U285" s="277"/>
      <c r="V285" s="277"/>
      <c r="W285" s="277"/>
      <c r="X285" s="368"/>
      <c r="Y285" s="346">
        <f t="shared" si="15"/>
        <v>0</v>
      </c>
      <c r="Z285" s="165"/>
      <c r="AA285" s="165"/>
      <c r="AB285" s="165"/>
      <c r="AC285" s="165"/>
      <c r="AD285" s="165"/>
      <c r="AE285" s="165"/>
      <c r="AF285" s="165">
        <v>1</v>
      </c>
      <c r="AG285" s="368">
        <v>43117</v>
      </c>
      <c r="AH285" s="346">
        <f t="shared" si="13"/>
        <v>1</v>
      </c>
      <c r="AI285" s="165"/>
      <c r="AJ285" s="11" t="s">
        <v>2491</v>
      </c>
      <c r="AK285" s="277"/>
      <c r="AL285" s="11"/>
      <c r="AM285" s="11"/>
      <c r="AN285" s="277"/>
      <c r="AO285" s="277"/>
      <c r="AP285" s="277"/>
      <c r="AQ285" s="277"/>
      <c r="AR285" s="338"/>
      <c r="AS285" s="275"/>
      <c r="AT285" s="306"/>
    </row>
    <row r="286" spans="1:46" s="262" customFormat="1" ht="26.4" x14ac:dyDescent="0.25">
      <c r="A286" s="277"/>
      <c r="B286" s="367" t="s">
        <v>1629</v>
      </c>
      <c r="C286" s="367" t="s">
        <v>1952</v>
      </c>
      <c r="D286" s="277"/>
      <c r="E286" s="367" t="s">
        <v>2294</v>
      </c>
      <c r="F286" s="11" t="s">
        <v>1474</v>
      </c>
      <c r="G286" s="277" t="s">
        <v>1476</v>
      </c>
      <c r="H286" s="276"/>
      <c r="I286" s="276"/>
      <c r="J286" s="276"/>
      <c r="K286" s="276"/>
      <c r="L286" s="276"/>
      <c r="M286" s="276"/>
      <c r="N286" s="276"/>
      <c r="O286" s="276"/>
      <c r="P286" s="345">
        <f t="shared" si="14"/>
        <v>0</v>
      </c>
      <c r="Q286" s="277"/>
      <c r="R286" s="277"/>
      <c r="S286" s="277"/>
      <c r="T286" s="277"/>
      <c r="U286" s="277"/>
      <c r="V286" s="277"/>
      <c r="W286" s="277"/>
      <c r="X286" s="368"/>
      <c r="Y286" s="346">
        <f t="shared" si="15"/>
        <v>0</v>
      </c>
      <c r="Z286" s="165"/>
      <c r="AA286" s="165"/>
      <c r="AB286" s="165"/>
      <c r="AC286" s="165"/>
      <c r="AD286" s="165"/>
      <c r="AE286" s="165"/>
      <c r="AF286" s="165">
        <v>1</v>
      </c>
      <c r="AG286" s="368">
        <v>43137</v>
      </c>
      <c r="AH286" s="346">
        <f t="shared" si="13"/>
        <v>1</v>
      </c>
      <c r="AI286" s="165"/>
      <c r="AJ286" s="11" t="s">
        <v>2491</v>
      </c>
      <c r="AK286" s="277"/>
      <c r="AL286" s="11"/>
      <c r="AM286" s="11"/>
      <c r="AN286" s="277"/>
      <c r="AO286" s="277"/>
      <c r="AP286" s="277"/>
      <c r="AQ286" s="277"/>
      <c r="AR286" s="338"/>
      <c r="AS286" s="275"/>
      <c r="AT286" s="306"/>
    </row>
    <row r="287" spans="1:46" s="262" customFormat="1" ht="26.4" x14ac:dyDescent="0.25">
      <c r="A287" s="277"/>
      <c r="B287" s="367" t="s">
        <v>1515</v>
      </c>
      <c r="C287" s="367" t="s">
        <v>1835</v>
      </c>
      <c r="D287" s="277"/>
      <c r="E287" s="367" t="s">
        <v>2177</v>
      </c>
      <c r="F287" s="11" t="s">
        <v>1474</v>
      </c>
      <c r="G287" s="277" t="s">
        <v>1476</v>
      </c>
      <c r="H287" s="276"/>
      <c r="I287" s="276"/>
      <c r="J287" s="276"/>
      <c r="K287" s="276"/>
      <c r="L287" s="276"/>
      <c r="M287" s="276"/>
      <c r="N287" s="276"/>
      <c r="O287" s="276"/>
      <c r="P287" s="345">
        <f t="shared" si="14"/>
        <v>0</v>
      </c>
      <c r="Q287" s="277"/>
      <c r="R287" s="277"/>
      <c r="S287" s="277"/>
      <c r="T287" s="277"/>
      <c r="U287" s="277"/>
      <c r="V287" s="277"/>
      <c r="W287" s="277"/>
      <c r="X287" s="368"/>
      <c r="Y287" s="346">
        <f t="shared" si="15"/>
        <v>0</v>
      </c>
      <c r="Z287" s="165"/>
      <c r="AA287" s="165"/>
      <c r="AB287" s="165"/>
      <c r="AC287" s="165"/>
      <c r="AD287" s="165"/>
      <c r="AE287" s="165"/>
      <c r="AF287" s="165">
        <v>1</v>
      </c>
      <c r="AG287" s="368">
        <v>43117</v>
      </c>
      <c r="AH287" s="346">
        <f t="shared" si="13"/>
        <v>1</v>
      </c>
      <c r="AI287" s="165"/>
      <c r="AJ287" s="11" t="s">
        <v>2491</v>
      </c>
      <c r="AK287" s="277"/>
      <c r="AL287" s="11"/>
      <c r="AM287" s="11"/>
      <c r="AN287" s="277"/>
      <c r="AO287" s="277"/>
      <c r="AP287" s="277"/>
      <c r="AQ287" s="277"/>
      <c r="AR287" s="338"/>
      <c r="AS287" s="275"/>
      <c r="AT287" s="306"/>
    </row>
    <row r="288" spans="1:46" s="262" customFormat="1" ht="26.4" x14ac:dyDescent="0.25">
      <c r="A288" s="277"/>
      <c r="B288" s="367" t="s">
        <v>1516</v>
      </c>
      <c r="C288" s="367" t="s">
        <v>1836</v>
      </c>
      <c r="D288" s="277"/>
      <c r="E288" s="367" t="s">
        <v>2178</v>
      </c>
      <c r="F288" s="11" t="s">
        <v>1474</v>
      </c>
      <c r="G288" s="277" t="s">
        <v>1476</v>
      </c>
      <c r="H288" s="276"/>
      <c r="I288" s="276"/>
      <c r="J288" s="276"/>
      <c r="K288" s="276"/>
      <c r="L288" s="276"/>
      <c r="M288" s="276"/>
      <c r="N288" s="276"/>
      <c r="O288" s="276"/>
      <c r="P288" s="345">
        <f t="shared" si="14"/>
        <v>0</v>
      </c>
      <c r="Q288" s="277"/>
      <c r="R288" s="277"/>
      <c r="S288" s="277"/>
      <c r="T288" s="277"/>
      <c r="U288" s="277"/>
      <c r="V288" s="277"/>
      <c r="W288" s="277"/>
      <c r="X288" s="368"/>
      <c r="Y288" s="346">
        <f t="shared" si="15"/>
        <v>0</v>
      </c>
      <c r="Z288" s="165"/>
      <c r="AA288" s="165"/>
      <c r="AB288" s="165"/>
      <c r="AC288" s="165"/>
      <c r="AD288" s="165"/>
      <c r="AE288" s="165"/>
      <c r="AF288" s="165">
        <v>1</v>
      </c>
      <c r="AG288" s="368">
        <v>43117</v>
      </c>
      <c r="AH288" s="346">
        <f t="shared" si="13"/>
        <v>1</v>
      </c>
      <c r="AI288" s="165"/>
      <c r="AJ288" s="11" t="s">
        <v>2491</v>
      </c>
      <c r="AK288" s="277"/>
      <c r="AL288" s="11"/>
      <c r="AM288" s="11"/>
      <c r="AN288" s="277"/>
      <c r="AO288" s="277"/>
      <c r="AP288" s="277"/>
      <c r="AQ288" s="277"/>
      <c r="AR288" s="338"/>
      <c r="AS288" s="275"/>
      <c r="AT288" s="306"/>
    </row>
    <row r="289" spans="1:46" s="262" customFormat="1" ht="26.4" x14ac:dyDescent="0.25">
      <c r="A289" s="277"/>
      <c r="B289" s="367" t="s">
        <v>1517</v>
      </c>
      <c r="C289" s="367" t="s">
        <v>1837</v>
      </c>
      <c r="D289" s="277"/>
      <c r="E289" s="367" t="s">
        <v>2179</v>
      </c>
      <c r="F289" s="11" t="s">
        <v>1474</v>
      </c>
      <c r="G289" s="277" t="s">
        <v>1476</v>
      </c>
      <c r="H289" s="276"/>
      <c r="I289" s="276"/>
      <c r="J289" s="276"/>
      <c r="K289" s="276"/>
      <c r="L289" s="276"/>
      <c r="M289" s="276"/>
      <c r="N289" s="276"/>
      <c r="O289" s="276"/>
      <c r="P289" s="345">
        <f t="shared" si="14"/>
        <v>0</v>
      </c>
      <c r="Q289" s="277"/>
      <c r="R289" s="277"/>
      <c r="S289" s="277"/>
      <c r="T289" s="277"/>
      <c r="U289" s="277"/>
      <c r="V289" s="277"/>
      <c r="W289" s="277"/>
      <c r="X289" s="368"/>
      <c r="Y289" s="346">
        <f t="shared" si="15"/>
        <v>0</v>
      </c>
      <c r="Z289" s="165"/>
      <c r="AA289" s="165"/>
      <c r="AB289" s="165"/>
      <c r="AC289" s="165"/>
      <c r="AD289" s="165"/>
      <c r="AE289" s="165"/>
      <c r="AF289" s="165">
        <v>1</v>
      </c>
      <c r="AG289" s="368">
        <v>43181</v>
      </c>
      <c r="AH289" s="346">
        <f t="shared" ref="AH289:AH352" si="16">SUM(Z289:AF289)</f>
        <v>1</v>
      </c>
      <c r="AI289" s="165"/>
      <c r="AJ289" s="11" t="s">
        <v>2491</v>
      </c>
      <c r="AK289" s="277"/>
      <c r="AL289" s="11"/>
      <c r="AM289" s="11"/>
      <c r="AN289" s="277"/>
      <c r="AO289" s="277"/>
      <c r="AP289" s="277"/>
      <c r="AQ289" s="277"/>
      <c r="AR289" s="338"/>
      <c r="AS289" s="275"/>
      <c r="AT289" s="306"/>
    </row>
    <row r="290" spans="1:46" s="262" customFormat="1" ht="26.4" x14ac:dyDescent="0.25">
      <c r="A290" s="277"/>
      <c r="B290" s="367" t="s">
        <v>1518</v>
      </c>
      <c r="C290" s="367" t="s">
        <v>1838</v>
      </c>
      <c r="D290" s="277"/>
      <c r="E290" s="367" t="s">
        <v>2180</v>
      </c>
      <c r="F290" s="11" t="s">
        <v>1474</v>
      </c>
      <c r="G290" s="277" t="s">
        <v>1476</v>
      </c>
      <c r="H290" s="276"/>
      <c r="I290" s="276"/>
      <c r="J290" s="276"/>
      <c r="K290" s="276"/>
      <c r="L290" s="276"/>
      <c r="M290" s="276"/>
      <c r="N290" s="276"/>
      <c r="O290" s="276"/>
      <c r="P290" s="345">
        <f t="shared" si="14"/>
        <v>0</v>
      </c>
      <c r="Q290" s="277"/>
      <c r="R290" s="277"/>
      <c r="S290" s="277"/>
      <c r="T290" s="277"/>
      <c r="U290" s="277"/>
      <c r="V290" s="277"/>
      <c r="W290" s="277"/>
      <c r="X290" s="368"/>
      <c r="Y290" s="346">
        <f t="shared" si="15"/>
        <v>0</v>
      </c>
      <c r="Z290" s="165"/>
      <c r="AA290" s="165"/>
      <c r="AB290" s="165"/>
      <c r="AC290" s="165"/>
      <c r="AD290" s="165"/>
      <c r="AE290" s="165"/>
      <c r="AF290" s="165">
        <v>1</v>
      </c>
      <c r="AG290" s="368">
        <v>43126</v>
      </c>
      <c r="AH290" s="346">
        <f t="shared" si="16"/>
        <v>1</v>
      </c>
      <c r="AI290" s="165"/>
      <c r="AJ290" s="11" t="s">
        <v>2491</v>
      </c>
      <c r="AK290" s="277"/>
      <c r="AL290" s="11"/>
      <c r="AM290" s="11"/>
      <c r="AN290" s="277"/>
      <c r="AO290" s="277"/>
      <c r="AP290" s="277"/>
      <c r="AQ290" s="277"/>
      <c r="AR290" s="338"/>
      <c r="AS290" s="275"/>
      <c r="AT290" s="306"/>
    </row>
    <row r="291" spans="1:46" s="262" customFormat="1" ht="26.4" x14ac:dyDescent="0.25">
      <c r="A291" s="277"/>
      <c r="B291" s="367" t="s">
        <v>1519</v>
      </c>
      <c r="C291" s="367" t="s">
        <v>1839</v>
      </c>
      <c r="D291" s="277"/>
      <c r="E291" s="367" t="s">
        <v>2181</v>
      </c>
      <c r="F291" s="11" t="s">
        <v>1474</v>
      </c>
      <c r="G291" s="277" t="s">
        <v>1476</v>
      </c>
      <c r="H291" s="276"/>
      <c r="I291" s="276"/>
      <c r="J291" s="276"/>
      <c r="K291" s="276"/>
      <c r="L291" s="276"/>
      <c r="M291" s="276"/>
      <c r="N291" s="276"/>
      <c r="O291" s="276"/>
      <c r="P291" s="345">
        <f t="shared" si="14"/>
        <v>0</v>
      </c>
      <c r="Q291" s="277"/>
      <c r="R291" s="277"/>
      <c r="S291" s="277"/>
      <c r="T291" s="277"/>
      <c r="U291" s="277"/>
      <c r="V291" s="277"/>
      <c r="W291" s="277"/>
      <c r="X291" s="368"/>
      <c r="Y291" s="346">
        <f t="shared" si="15"/>
        <v>0</v>
      </c>
      <c r="Z291" s="165"/>
      <c r="AA291" s="165"/>
      <c r="AB291" s="165"/>
      <c r="AC291" s="165"/>
      <c r="AD291" s="165"/>
      <c r="AE291" s="165"/>
      <c r="AF291" s="165">
        <v>1</v>
      </c>
      <c r="AG291" s="368">
        <v>43192</v>
      </c>
      <c r="AH291" s="346">
        <f t="shared" si="16"/>
        <v>1</v>
      </c>
      <c r="AI291" s="165"/>
      <c r="AJ291" s="11" t="s">
        <v>2491</v>
      </c>
      <c r="AK291" s="277"/>
      <c r="AL291" s="11"/>
      <c r="AM291" s="11"/>
      <c r="AN291" s="277"/>
      <c r="AO291" s="277"/>
      <c r="AP291" s="277"/>
      <c r="AQ291" s="277"/>
      <c r="AR291" s="338"/>
      <c r="AS291" s="275"/>
      <c r="AT291" s="306"/>
    </row>
    <row r="292" spans="1:46" s="262" customFormat="1" ht="26.4" x14ac:dyDescent="0.25">
      <c r="A292" s="277"/>
      <c r="B292" s="367" t="s">
        <v>1520</v>
      </c>
      <c r="C292" s="367" t="s">
        <v>1840</v>
      </c>
      <c r="D292" s="277"/>
      <c r="E292" s="367" t="s">
        <v>2182</v>
      </c>
      <c r="F292" s="11" t="s">
        <v>1474</v>
      </c>
      <c r="G292" s="277" t="s">
        <v>1476</v>
      </c>
      <c r="H292" s="276"/>
      <c r="I292" s="276"/>
      <c r="J292" s="276"/>
      <c r="K292" s="276"/>
      <c r="L292" s="276"/>
      <c r="M292" s="276"/>
      <c r="N292" s="276"/>
      <c r="O292" s="276"/>
      <c r="P292" s="345">
        <f t="shared" si="14"/>
        <v>0</v>
      </c>
      <c r="Q292" s="277"/>
      <c r="R292" s="277"/>
      <c r="S292" s="277"/>
      <c r="T292" s="277"/>
      <c r="U292" s="277"/>
      <c r="V292" s="277"/>
      <c r="W292" s="277"/>
      <c r="X292" s="368"/>
      <c r="Y292" s="346">
        <f t="shared" si="15"/>
        <v>0</v>
      </c>
      <c r="Z292" s="165"/>
      <c r="AA292" s="165"/>
      <c r="AB292" s="165"/>
      <c r="AC292" s="165"/>
      <c r="AD292" s="165"/>
      <c r="AE292" s="165"/>
      <c r="AF292" s="165">
        <v>1</v>
      </c>
      <c r="AG292" s="368">
        <v>43117</v>
      </c>
      <c r="AH292" s="346">
        <f t="shared" si="16"/>
        <v>1</v>
      </c>
      <c r="AI292" s="165"/>
      <c r="AJ292" s="11" t="s">
        <v>2491</v>
      </c>
      <c r="AK292" s="277"/>
      <c r="AL292" s="11"/>
      <c r="AM292" s="11"/>
      <c r="AN292" s="277"/>
      <c r="AO292" s="277"/>
      <c r="AP292" s="277"/>
      <c r="AQ292" s="277"/>
      <c r="AR292" s="338"/>
      <c r="AS292" s="275"/>
      <c r="AT292" s="306"/>
    </row>
    <row r="293" spans="1:46" s="262" customFormat="1" ht="26.4" x14ac:dyDescent="0.25">
      <c r="A293" s="277"/>
      <c r="B293" s="367" t="s">
        <v>1521</v>
      </c>
      <c r="C293" s="367" t="s">
        <v>1841</v>
      </c>
      <c r="D293" s="277"/>
      <c r="E293" s="367" t="s">
        <v>2183</v>
      </c>
      <c r="F293" s="11" t="s">
        <v>1474</v>
      </c>
      <c r="G293" s="277" t="s">
        <v>1476</v>
      </c>
      <c r="H293" s="276"/>
      <c r="I293" s="276"/>
      <c r="J293" s="276"/>
      <c r="K293" s="276"/>
      <c r="L293" s="276"/>
      <c r="M293" s="276"/>
      <c r="N293" s="276"/>
      <c r="O293" s="276"/>
      <c r="P293" s="345">
        <f t="shared" si="14"/>
        <v>0</v>
      </c>
      <c r="Q293" s="277"/>
      <c r="R293" s="277"/>
      <c r="S293" s="277"/>
      <c r="T293" s="277"/>
      <c r="U293" s="277"/>
      <c r="V293" s="277"/>
      <c r="W293" s="277"/>
      <c r="X293" s="368"/>
      <c r="Y293" s="346">
        <f t="shared" si="15"/>
        <v>0</v>
      </c>
      <c r="Z293" s="165"/>
      <c r="AA293" s="165"/>
      <c r="AB293" s="165"/>
      <c r="AC293" s="165"/>
      <c r="AD293" s="165"/>
      <c r="AE293" s="165"/>
      <c r="AF293" s="165">
        <v>1</v>
      </c>
      <c r="AG293" s="368">
        <v>43117</v>
      </c>
      <c r="AH293" s="346">
        <f t="shared" si="16"/>
        <v>1</v>
      </c>
      <c r="AI293" s="165"/>
      <c r="AJ293" s="11" t="s">
        <v>2491</v>
      </c>
      <c r="AK293" s="277"/>
      <c r="AL293" s="11"/>
      <c r="AM293" s="11"/>
      <c r="AN293" s="277"/>
      <c r="AO293" s="277"/>
      <c r="AP293" s="277"/>
      <c r="AQ293" s="277"/>
      <c r="AR293" s="338"/>
      <c r="AS293" s="275"/>
      <c r="AT293" s="306"/>
    </row>
    <row r="294" spans="1:46" s="262" customFormat="1" ht="26.4" x14ac:dyDescent="0.25">
      <c r="A294" s="277"/>
      <c r="B294" s="367" t="s">
        <v>1522</v>
      </c>
      <c r="C294" s="367" t="s">
        <v>1842</v>
      </c>
      <c r="D294" s="277"/>
      <c r="E294" s="367" t="s">
        <v>2184</v>
      </c>
      <c r="F294" s="11" t="s">
        <v>1474</v>
      </c>
      <c r="G294" s="277" t="s">
        <v>1476</v>
      </c>
      <c r="H294" s="276"/>
      <c r="I294" s="276"/>
      <c r="J294" s="276"/>
      <c r="K294" s="276"/>
      <c r="L294" s="276"/>
      <c r="M294" s="276"/>
      <c r="N294" s="276"/>
      <c r="O294" s="276"/>
      <c r="P294" s="345">
        <f t="shared" si="14"/>
        <v>0</v>
      </c>
      <c r="Q294" s="277"/>
      <c r="R294" s="277"/>
      <c r="S294" s="277"/>
      <c r="T294" s="277"/>
      <c r="U294" s="277"/>
      <c r="V294" s="277"/>
      <c r="W294" s="277"/>
      <c r="X294" s="368"/>
      <c r="Y294" s="346">
        <f t="shared" si="15"/>
        <v>0</v>
      </c>
      <c r="Z294" s="165"/>
      <c r="AA294" s="165"/>
      <c r="AB294" s="165"/>
      <c r="AC294" s="165"/>
      <c r="AD294" s="165"/>
      <c r="AE294" s="165"/>
      <c r="AF294" s="165">
        <v>1</v>
      </c>
      <c r="AG294" s="368">
        <v>43118</v>
      </c>
      <c r="AH294" s="346">
        <f t="shared" si="16"/>
        <v>1</v>
      </c>
      <c r="AI294" s="165"/>
      <c r="AJ294" s="11" t="s">
        <v>2491</v>
      </c>
      <c r="AK294" s="277"/>
      <c r="AL294" s="11"/>
      <c r="AM294" s="11"/>
      <c r="AN294" s="277"/>
      <c r="AO294" s="277"/>
      <c r="AP294" s="277"/>
      <c r="AQ294" s="277"/>
      <c r="AR294" s="338"/>
      <c r="AS294" s="275"/>
      <c r="AT294" s="306"/>
    </row>
    <row r="295" spans="1:46" s="262" customFormat="1" ht="26.4" x14ac:dyDescent="0.25">
      <c r="A295" s="277"/>
      <c r="B295" s="367" t="s">
        <v>1523</v>
      </c>
      <c r="C295" s="367" t="s">
        <v>1843</v>
      </c>
      <c r="D295" s="277"/>
      <c r="E295" s="367" t="s">
        <v>2185</v>
      </c>
      <c r="F295" s="11" t="s">
        <v>1474</v>
      </c>
      <c r="G295" s="277" t="s">
        <v>1476</v>
      </c>
      <c r="H295" s="276"/>
      <c r="I295" s="276"/>
      <c r="J295" s="276"/>
      <c r="K295" s="276"/>
      <c r="L295" s="276"/>
      <c r="M295" s="276"/>
      <c r="N295" s="276"/>
      <c r="O295" s="276"/>
      <c r="P295" s="345">
        <f t="shared" si="14"/>
        <v>0</v>
      </c>
      <c r="Q295" s="277"/>
      <c r="R295" s="277"/>
      <c r="S295" s="277"/>
      <c r="T295" s="277"/>
      <c r="U295" s="277"/>
      <c r="V295" s="277"/>
      <c r="W295" s="277"/>
      <c r="X295" s="368"/>
      <c r="Y295" s="346">
        <f t="shared" si="15"/>
        <v>0</v>
      </c>
      <c r="Z295" s="165"/>
      <c r="AA295" s="165"/>
      <c r="AB295" s="165"/>
      <c r="AC295" s="165"/>
      <c r="AD295" s="165"/>
      <c r="AE295" s="165"/>
      <c r="AF295" s="165">
        <v>1</v>
      </c>
      <c r="AG295" s="368">
        <v>43271</v>
      </c>
      <c r="AH295" s="346">
        <f t="shared" si="16"/>
        <v>1</v>
      </c>
      <c r="AI295" s="165"/>
      <c r="AJ295" s="11" t="s">
        <v>2491</v>
      </c>
      <c r="AK295" s="277"/>
      <c r="AL295" s="11"/>
      <c r="AM295" s="11"/>
      <c r="AN295" s="277"/>
      <c r="AO295" s="277"/>
      <c r="AP295" s="277"/>
      <c r="AQ295" s="277"/>
      <c r="AR295" s="338"/>
      <c r="AS295" s="275"/>
      <c r="AT295" s="306"/>
    </row>
    <row r="296" spans="1:46" s="262" customFormat="1" ht="26.4" x14ac:dyDescent="0.25">
      <c r="A296" s="277"/>
      <c r="B296" s="367" t="s">
        <v>1524</v>
      </c>
      <c r="C296" s="367" t="s">
        <v>1844</v>
      </c>
      <c r="D296" s="277"/>
      <c r="E296" s="367" t="s">
        <v>2186</v>
      </c>
      <c r="F296" s="11" t="s">
        <v>1474</v>
      </c>
      <c r="G296" s="277" t="s">
        <v>1476</v>
      </c>
      <c r="H296" s="276"/>
      <c r="I296" s="276"/>
      <c r="J296" s="276"/>
      <c r="K296" s="276"/>
      <c r="L296" s="276"/>
      <c r="M296" s="276"/>
      <c r="N296" s="276"/>
      <c r="O296" s="276"/>
      <c r="P296" s="345">
        <f t="shared" si="14"/>
        <v>0</v>
      </c>
      <c r="Q296" s="277"/>
      <c r="R296" s="277"/>
      <c r="S296" s="277"/>
      <c r="T296" s="277"/>
      <c r="U296" s="277"/>
      <c r="V296" s="277"/>
      <c r="W296" s="277"/>
      <c r="X296" s="368"/>
      <c r="Y296" s="346">
        <f t="shared" si="15"/>
        <v>0</v>
      </c>
      <c r="Z296" s="165"/>
      <c r="AA296" s="165"/>
      <c r="AB296" s="165"/>
      <c r="AC296" s="165"/>
      <c r="AD296" s="165"/>
      <c r="AE296" s="165"/>
      <c r="AF296" s="165">
        <v>1</v>
      </c>
      <c r="AG296" s="368">
        <v>43277</v>
      </c>
      <c r="AH296" s="346">
        <f t="shared" si="16"/>
        <v>1</v>
      </c>
      <c r="AI296" s="165"/>
      <c r="AJ296" s="11" t="s">
        <v>2491</v>
      </c>
      <c r="AK296" s="277"/>
      <c r="AL296" s="11"/>
      <c r="AM296" s="11"/>
      <c r="AN296" s="277"/>
      <c r="AO296" s="277"/>
      <c r="AP296" s="277"/>
      <c r="AQ296" s="277"/>
      <c r="AR296" s="338"/>
      <c r="AS296" s="275"/>
      <c r="AT296" s="306"/>
    </row>
    <row r="297" spans="1:46" s="262" customFormat="1" ht="26.4" x14ac:dyDescent="0.25">
      <c r="A297" s="277"/>
      <c r="B297" s="367" t="s">
        <v>1567</v>
      </c>
      <c r="C297" s="367" t="s">
        <v>1890</v>
      </c>
      <c r="D297" s="277"/>
      <c r="E297" s="367" t="s">
        <v>2232</v>
      </c>
      <c r="F297" s="11" t="s">
        <v>1474</v>
      </c>
      <c r="G297" s="277" t="s">
        <v>1476</v>
      </c>
      <c r="H297" s="276"/>
      <c r="I297" s="276"/>
      <c r="J297" s="276"/>
      <c r="K297" s="276"/>
      <c r="L297" s="276"/>
      <c r="M297" s="276"/>
      <c r="N297" s="276"/>
      <c r="O297" s="276"/>
      <c r="P297" s="345">
        <f t="shared" si="14"/>
        <v>0</v>
      </c>
      <c r="Q297" s="277"/>
      <c r="R297" s="277"/>
      <c r="S297" s="277"/>
      <c r="T297" s="277"/>
      <c r="U297" s="277"/>
      <c r="V297" s="277"/>
      <c r="W297" s="277"/>
      <c r="X297" s="368"/>
      <c r="Y297" s="346">
        <f t="shared" si="15"/>
        <v>0</v>
      </c>
      <c r="Z297" s="165"/>
      <c r="AA297" s="165"/>
      <c r="AB297" s="165"/>
      <c r="AC297" s="165"/>
      <c r="AD297" s="165"/>
      <c r="AE297" s="165"/>
      <c r="AF297" s="165">
        <v>1</v>
      </c>
      <c r="AG297" s="368">
        <v>43180</v>
      </c>
      <c r="AH297" s="346">
        <f t="shared" si="16"/>
        <v>1</v>
      </c>
      <c r="AI297" s="165"/>
      <c r="AJ297" s="11" t="s">
        <v>2491</v>
      </c>
      <c r="AK297" s="277"/>
      <c r="AL297" s="11"/>
      <c r="AM297" s="11"/>
      <c r="AN297" s="277"/>
      <c r="AO297" s="277"/>
      <c r="AP297" s="277"/>
      <c r="AQ297" s="277"/>
      <c r="AR297" s="338"/>
      <c r="AS297" s="275"/>
      <c r="AT297" s="306"/>
    </row>
    <row r="298" spans="1:46" s="262" customFormat="1" ht="26.4" x14ac:dyDescent="0.25">
      <c r="A298" s="277"/>
      <c r="B298" s="367" t="s">
        <v>1568</v>
      </c>
      <c r="C298" s="367" t="s">
        <v>1891</v>
      </c>
      <c r="D298" s="277"/>
      <c r="E298" s="367" t="s">
        <v>2233</v>
      </c>
      <c r="F298" s="11" t="s">
        <v>1474</v>
      </c>
      <c r="G298" s="277" t="s">
        <v>1476</v>
      </c>
      <c r="H298" s="276"/>
      <c r="I298" s="276"/>
      <c r="J298" s="276"/>
      <c r="K298" s="276"/>
      <c r="L298" s="276"/>
      <c r="M298" s="276"/>
      <c r="N298" s="276"/>
      <c r="O298" s="276"/>
      <c r="P298" s="345">
        <f t="shared" si="14"/>
        <v>0</v>
      </c>
      <c r="Q298" s="277"/>
      <c r="R298" s="277"/>
      <c r="S298" s="277"/>
      <c r="T298" s="277"/>
      <c r="U298" s="277"/>
      <c r="V298" s="277"/>
      <c r="W298" s="277"/>
      <c r="X298" s="368"/>
      <c r="Y298" s="346">
        <f t="shared" si="15"/>
        <v>0</v>
      </c>
      <c r="Z298" s="165"/>
      <c r="AA298" s="165"/>
      <c r="AB298" s="165"/>
      <c r="AC298" s="165"/>
      <c r="AD298" s="165"/>
      <c r="AE298" s="165"/>
      <c r="AF298" s="165">
        <v>1</v>
      </c>
      <c r="AG298" s="368">
        <v>43168</v>
      </c>
      <c r="AH298" s="346">
        <f t="shared" si="16"/>
        <v>1</v>
      </c>
      <c r="AI298" s="165"/>
      <c r="AJ298" s="11" t="s">
        <v>2491</v>
      </c>
      <c r="AK298" s="277"/>
      <c r="AL298" s="11"/>
      <c r="AM298" s="11"/>
      <c r="AN298" s="277"/>
      <c r="AO298" s="277"/>
      <c r="AP298" s="277"/>
      <c r="AQ298" s="277"/>
      <c r="AR298" s="338"/>
      <c r="AS298" s="275"/>
      <c r="AT298" s="306"/>
    </row>
    <row r="299" spans="1:46" s="262" customFormat="1" ht="26.4" x14ac:dyDescent="0.25">
      <c r="A299" s="277"/>
      <c r="B299" s="367" t="s">
        <v>1569</v>
      </c>
      <c r="C299" s="367" t="s">
        <v>1892</v>
      </c>
      <c r="D299" s="277"/>
      <c r="E299" s="367" t="s">
        <v>2234</v>
      </c>
      <c r="F299" s="11" t="s">
        <v>1474</v>
      </c>
      <c r="G299" s="277" t="s">
        <v>1476</v>
      </c>
      <c r="H299" s="276"/>
      <c r="I299" s="276"/>
      <c r="J299" s="276"/>
      <c r="K299" s="276"/>
      <c r="L299" s="276"/>
      <c r="M299" s="276"/>
      <c r="N299" s="276"/>
      <c r="O299" s="276"/>
      <c r="P299" s="345">
        <f t="shared" si="14"/>
        <v>0</v>
      </c>
      <c r="Q299" s="277"/>
      <c r="R299" s="277"/>
      <c r="S299" s="277"/>
      <c r="T299" s="277"/>
      <c r="U299" s="277"/>
      <c r="V299" s="277"/>
      <c r="W299" s="277"/>
      <c r="X299" s="368"/>
      <c r="Y299" s="346">
        <f t="shared" si="15"/>
        <v>0</v>
      </c>
      <c r="Z299" s="165"/>
      <c r="AA299" s="165"/>
      <c r="AB299" s="165"/>
      <c r="AC299" s="165"/>
      <c r="AD299" s="165"/>
      <c r="AE299" s="165"/>
      <c r="AF299" s="165">
        <v>1</v>
      </c>
      <c r="AG299" s="368">
        <v>43167</v>
      </c>
      <c r="AH299" s="346">
        <f t="shared" si="16"/>
        <v>1</v>
      </c>
      <c r="AI299" s="165"/>
      <c r="AJ299" s="11" t="s">
        <v>2491</v>
      </c>
      <c r="AK299" s="277"/>
      <c r="AL299" s="11"/>
      <c r="AM299" s="11"/>
      <c r="AN299" s="277"/>
      <c r="AO299" s="277"/>
      <c r="AP299" s="277"/>
      <c r="AQ299" s="277"/>
      <c r="AR299" s="338"/>
      <c r="AS299" s="275"/>
      <c r="AT299" s="306"/>
    </row>
    <row r="300" spans="1:46" s="262" customFormat="1" ht="26.4" x14ac:dyDescent="0.25">
      <c r="A300" s="277"/>
      <c r="B300" s="367" t="s">
        <v>1570</v>
      </c>
      <c r="C300" s="367" t="s">
        <v>1893</v>
      </c>
      <c r="D300" s="277"/>
      <c r="E300" s="367" t="s">
        <v>2235</v>
      </c>
      <c r="F300" s="11" t="s">
        <v>1474</v>
      </c>
      <c r="G300" s="277" t="s">
        <v>1476</v>
      </c>
      <c r="H300" s="276"/>
      <c r="I300" s="276"/>
      <c r="J300" s="276"/>
      <c r="K300" s="276"/>
      <c r="L300" s="276"/>
      <c r="M300" s="276"/>
      <c r="N300" s="276"/>
      <c r="O300" s="276"/>
      <c r="P300" s="345">
        <f t="shared" si="14"/>
        <v>0</v>
      </c>
      <c r="Q300" s="277"/>
      <c r="R300" s="277"/>
      <c r="S300" s="277"/>
      <c r="T300" s="277"/>
      <c r="U300" s="277"/>
      <c r="V300" s="277"/>
      <c r="W300" s="277"/>
      <c r="X300" s="368"/>
      <c r="Y300" s="346">
        <f t="shared" si="15"/>
        <v>0</v>
      </c>
      <c r="Z300" s="165"/>
      <c r="AA300" s="165"/>
      <c r="AB300" s="165"/>
      <c r="AC300" s="165"/>
      <c r="AD300" s="165"/>
      <c r="AE300" s="165"/>
      <c r="AF300" s="165">
        <v>1</v>
      </c>
      <c r="AG300" s="368">
        <v>43185</v>
      </c>
      <c r="AH300" s="346">
        <f t="shared" si="16"/>
        <v>1</v>
      </c>
      <c r="AI300" s="165"/>
      <c r="AJ300" s="11" t="s">
        <v>2491</v>
      </c>
      <c r="AK300" s="277"/>
      <c r="AL300" s="11"/>
      <c r="AM300" s="11"/>
      <c r="AN300" s="277"/>
      <c r="AO300" s="277"/>
      <c r="AP300" s="277"/>
      <c r="AQ300" s="277"/>
      <c r="AR300" s="338"/>
      <c r="AS300" s="275"/>
      <c r="AT300" s="306"/>
    </row>
    <row r="301" spans="1:46" s="262" customFormat="1" ht="26.4" x14ac:dyDescent="0.25">
      <c r="A301" s="277"/>
      <c r="B301" s="367" t="s">
        <v>1586</v>
      </c>
      <c r="C301" s="367" t="s">
        <v>1909</v>
      </c>
      <c r="D301" s="277"/>
      <c r="E301" s="367" t="s">
        <v>2251</v>
      </c>
      <c r="F301" s="11" t="s">
        <v>1474</v>
      </c>
      <c r="G301" s="277" t="s">
        <v>1476</v>
      </c>
      <c r="H301" s="276"/>
      <c r="I301" s="276"/>
      <c r="J301" s="276"/>
      <c r="K301" s="276"/>
      <c r="L301" s="276"/>
      <c r="M301" s="276"/>
      <c r="N301" s="276"/>
      <c r="O301" s="276"/>
      <c r="P301" s="345">
        <f t="shared" si="14"/>
        <v>0</v>
      </c>
      <c r="Q301" s="277"/>
      <c r="R301" s="277"/>
      <c r="S301" s="277"/>
      <c r="T301" s="277"/>
      <c r="U301" s="277"/>
      <c r="V301" s="277"/>
      <c r="W301" s="277"/>
      <c r="X301" s="368"/>
      <c r="Y301" s="346">
        <f t="shared" si="15"/>
        <v>0</v>
      </c>
      <c r="Z301" s="165"/>
      <c r="AA301" s="165"/>
      <c r="AB301" s="165"/>
      <c r="AC301" s="165"/>
      <c r="AD301" s="165"/>
      <c r="AE301" s="165"/>
      <c r="AF301" s="165">
        <v>1</v>
      </c>
      <c r="AG301" s="368">
        <v>43207</v>
      </c>
      <c r="AH301" s="346">
        <f t="shared" si="16"/>
        <v>1</v>
      </c>
      <c r="AI301" s="165"/>
      <c r="AJ301" s="11" t="s">
        <v>2491</v>
      </c>
      <c r="AK301" s="277"/>
      <c r="AL301" s="11"/>
      <c r="AM301" s="11"/>
      <c r="AN301" s="277"/>
      <c r="AO301" s="277"/>
      <c r="AP301" s="277"/>
      <c r="AQ301" s="277"/>
      <c r="AR301" s="338"/>
      <c r="AS301" s="275"/>
      <c r="AT301" s="306"/>
    </row>
    <row r="302" spans="1:46" s="262" customFormat="1" ht="26.4" x14ac:dyDescent="0.25">
      <c r="A302" s="277"/>
      <c r="B302" s="367" t="s">
        <v>1587</v>
      </c>
      <c r="C302" s="367" t="s">
        <v>1910</v>
      </c>
      <c r="D302" s="277"/>
      <c r="E302" s="367" t="s">
        <v>2252</v>
      </c>
      <c r="F302" s="11" t="s">
        <v>1474</v>
      </c>
      <c r="G302" s="277" t="s">
        <v>1476</v>
      </c>
      <c r="H302" s="276"/>
      <c r="I302" s="276"/>
      <c r="J302" s="276"/>
      <c r="K302" s="276"/>
      <c r="L302" s="276"/>
      <c r="M302" s="276"/>
      <c r="N302" s="276"/>
      <c r="O302" s="276"/>
      <c r="P302" s="345">
        <f t="shared" si="14"/>
        <v>0</v>
      </c>
      <c r="Q302" s="277"/>
      <c r="R302" s="277"/>
      <c r="S302" s="277"/>
      <c r="T302" s="277"/>
      <c r="U302" s="277"/>
      <c r="V302" s="277"/>
      <c r="W302" s="277"/>
      <c r="X302" s="368"/>
      <c r="Y302" s="346">
        <f t="shared" si="15"/>
        <v>0</v>
      </c>
      <c r="Z302" s="165"/>
      <c r="AA302" s="165"/>
      <c r="AB302" s="165"/>
      <c r="AC302" s="165"/>
      <c r="AD302" s="165"/>
      <c r="AE302" s="165"/>
      <c r="AF302" s="165">
        <v>1</v>
      </c>
      <c r="AG302" s="368">
        <v>43187</v>
      </c>
      <c r="AH302" s="346">
        <f t="shared" si="16"/>
        <v>1</v>
      </c>
      <c r="AI302" s="165"/>
      <c r="AJ302" s="11" t="s">
        <v>2491</v>
      </c>
      <c r="AK302" s="277"/>
      <c r="AL302" s="11"/>
      <c r="AM302" s="11"/>
      <c r="AN302" s="277"/>
      <c r="AO302" s="277"/>
      <c r="AP302" s="277"/>
      <c r="AQ302" s="277"/>
      <c r="AR302" s="338"/>
      <c r="AS302" s="275"/>
      <c r="AT302" s="306"/>
    </row>
    <row r="303" spans="1:46" s="262" customFormat="1" ht="26.4" x14ac:dyDescent="0.25">
      <c r="A303" s="277"/>
      <c r="B303" s="367" t="s">
        <v>1588</v>
      </c>
      <c r="C303" s="367" t="s">
        <v>1911</v>
      </c>
      <c r="D303" s="277"/>
      <c r="E303" s="367" t="s">
        <v>2253</v>
      </c>
      <c r="F303" s="11" t="s">
        <v>1474</v>
      </c>
      <c r="G303" s="277" t="s">
        <v>1476</v>
      </c>
      <c r="H303" s="276"/>
      <c r="I303" s="276"/>
      <c r="J303" s="276"/>
      <c r="K303" s="276"/>
      <c r="L303" s="276"/>
      <c r="M303" s="276"/>
      <c r="N303" s="276"/>
      <c r="O303" s="276"/>
      <c r="P303" s="345">
        <f t="shared" si="14"/>
        <v>0</v>
      </c>
      <c r="Q303" s="277"/>
      <c r="R303" s="277"/>
      <c r="S303" s="277"/>
      <c r="T303" s="277"/>
      <c r="U303" s="277"/>
      <c r="V303" s="277"/>
      <c r="W303" s="277"/>
      <c r="X303" s="368"/>
      <c r="Y303" s="346">
        <f t="shared" si="15"/>
        <v>0</v>
      </c>
      <c r="Z303" s="165"/>
      <c r="AA303" s="165"/>
      <c r="AB303" s="165"/>
      <c r="AC303" s="165"/>
      <c r="AD303" s="165"/>
      <c r="AE303" s="165"/>
      <c r="AF303" s="165">
        <v>1</v>
      </c>
      <c r="AG303" s="368">
        <v>43192</v>
      </c>
      <c r="AH303" s="346">
        <f t="shared" si="16"/>
        <v>1</v>
      </c>
      <c r="AI303" s="165"/>
      <c r="AJ303" s="11" t="s">
        <v>2491</v>
      </c>
      <c r="AK303" s="277"/>
      <c r="AL303" s="11"/>
      <c r="AM303" s="11"/>
      <c r="AN303" s="277"/>
      <c r="AO303" s="277"/>
      <c r="AP303" s="277"/>
      <c r="AQ303" s="277"/>
      <c r="AR303" s="338"/>
      <c r="AS303" s="275"/>
      <c r="AT303" s="306"/>
    </row>
    <row r="304" spans="1:46" s="262" customFormat="1" ht="26.4" x14ac:dyDescent="0.25">
      <c r="A304" s="277"/>
      <c r="B304" s="367" t="s">
        <v>1589</v>
      </c>
      <c r="C304" s="367" t="s">
        <v>1912</v>
      </c>
      <c r="D304" s="277"/>
      <c r="E304" s="367" t="s">
        <v>2254</v>
      </c>
      <c r="F304" s="11" t="s">
        <v>1474</v>
      </c>
      <c r="G304" s="277" t="s">
        <v>1476</v>
      </c>
      <c r="H304" s="276"/>
      <c r="I304" s="276"/>
      <c r="J304" s="276"/>
      <c r="K304" s="276"/>
      <c r="L304" s="276"/>
      <c r="M304" s="276"/>
      <c r="N304" s="276"/>
      <c r="O304" s="276"/>
      <c r="P304" s="345">
        <f t="shared" si="14"/>
        <v>0</v>
      </c>
      <c r="Q304" s="277"/>
      <c r="R304" s="277"/>
      <c r="S304" s="277"/>
      <c r="T304" s="277"/>
      <c r="U304" s="277"/>
      <c r="V304" s="277"/>
      <c r="W304" s="277"/>
      <c r="X304" s="368"/>
      <c r="Y304" s="346">
        <f t="shared" si="15"/>
        <v>0</v>
      </c>
      <c r="Z304" s="165"/>
      <c r="AA304" s="165"/>
      <c r="AB304" s="165"/>
      <c r="AC304" s="165"/>
      <c r="AD304" s="165"/>
      <c r="AE304" s="165"/>
      <c r="AF304" s="165">
        <v>1</v>
      </c>
      <c r="AG304" s="368">
        <v>43200</v>
      </c>
      <c r="AH304" s="346">
        <f t="shared" si="16"/>
        <v>1</v>
      </c>
      <c r="AI304" s="165"/>
      <c r="AJ304" s="11" t="s">
        <v>2491</v>
      </c>
      <c r="AK304" s="277"/>
      <c r="AL304" s="11"/>
      <c r="AM304" s="11"/>
      <c r="AN304" s="277"/>
      <c r="AO304" s="277"/>
      <c r="AP304" s="277"/>
      <c r="AQ304" s="277"/>
      <c r="AR304" s="338"/>
      <c r="AS304" s="275"/>
      <c r="AT304" s="306"/>
    </row>
    <row r="305" spans="1:46" s="262" customFormat="1" ht="26.4" x14ac:dyDescent="0.25">
      <c r="A305" s="277"/>
      <c r="B305" s="367" t="s">
        <v>1592</v>
      </c>
      <c r="C305" s="367" t="s">
        <v>1915</v>
      </c>
      <c r="D305" s="277"/>
      <c r="E305" s="367" t="s">
        <v>2257</v>
      </c>
      <c r="F305" s="11" t="s">
        <v>1474</v>
      </c>
      <c r="G305" s="277" t="s">
        <v>1476</v>
      </c>
      <c r="H305" s="276"/>
      <c r="I305" s="276"/>
      <c r="J305" s="276"/>
      <c r="K305" s="276"/>
      <c r="L305" s="276"/>
      <c r="M305" s="276"/>
      <c r="N305" s="276"/>
      <c r="O305" s="276"/>
      <c r="P305" s="345">
        <f t="shared" si="14"/>
        <v>0</v>
      </c>
      <c r="Q305" s="277"/>
      <c r="R305" s="277"/>
      <c r="S305" s="277"/>
      <c r="T305" s="277"/>
      <c r="U305" s="277"/>
      <c r="V305" s="277"/>
      <c r="W305" s="277"/>
      <c r="X305" s="368"/>
      <c r="Y305" s="346">
        <f t="shared" si="15"/>
        <v>0</v>
      </c>
      <c r="Z305" s="165"/>
      <c r="AA305" s="165"/>
      <c r="AB305" s="165"/>
      <c r="AC305" s="165"/>
      <c r="AD305" s="165"/>
      <c r="AE305" s="165"/>
      <c r="AF305" s="165">
        <v>1</v>
      </c>
      <c r="AG305" s="368">
        <v>43139</v>
      </c>
      <c r="AH305" s="346">
        <f t="shared" si="16"/>
        <v>1</v>
      </c>
      <c r="AI305" s="165"/>
      <c r="AJ305" s="11" t="s">
        <v>2491</v>
      </c>
      <c r="AK305" s="277"/>
      <c r="AL305" s="11"/>
      <c r="AM305" s="11"/>
      <c r="AN305" s="277"/>
      <c r="AO305" s="277"/>
      <c r="AP305" s="277"/>
      <c r="AQ305" s="277"/>
      <c r="AR305" s="338"/>
      <c r="AS305" s="275"/>
      <c r="AT305" s="306"/>
    </row>
    <row r="306" spans="1:46" s="262" customFormat="1" ht="26.4" x14ac:dyDescent="0.25">
      <c r="A306" s="277"/>
      <c r="B306" s="367" t="s">
        <v>1593</v>
      </c>
      <c r="C306" s="367" t="s">
        <v>1916</v>
      </c>
      <c r="D306" s="277"/>
      <c r="E306" s="367" t="s">
        <v>2258</v>
      </c>
      <c r="F306" s="11" t="s">
        <v>1474</v>
      </c>
      <c r="G306" s="277" t="s">
        <v>1476</v>
      </c>
      <c r="H306" s="276"/>
      <c r="I306" s="276"/>
      <c r="J306" s="276"/>
      <c r="K306" s="276"/>
      <c r="L306" s="276"/>
      <c r="M306" s="276"/>
      <c r="N306" s="276"/>
      <c r="O306" s="276"/>
      <c r="P306" s="345">
        <f t="shared" si="14"/>
        <v>0</v>
      </c>
      <c r="Q306" s="277"/>
      <c r="R306" s="277"/>
      <c r="S306" s="277"/>
      <c r="T306" s="277"/>
      <c r="U306" s="277"/>
      <c r="V306" s="277"/>
      <c r="W306" s="277"/>
      <c r="X306" s="368"/>
      <c r="Y306" s="346">
        <f t="shared" si="15"/>
        <v>0</v>
      </c>
      <c r="Z306" s="165"/>
      <c r="AA306" s="165"/>
      <c r="AB306" s="165"/>
      <c r="AC306" s="165"/>
      <c r="AD306" s="165"/>
      <c r="AE306" s="165"/>
      <c r="AF306" s="165">
        <v>1</v>
      </c>
      <c r="AG306" s="368">
        <v>43132</v>
      </c>
      <c r="AH306" s="346">
        <f t="shared" si="16"/>
        <v>1</v>
      </c>
      <c r="AI306" s="165"/>
      <c r="AJ306" s="11" t="s">
        <v>2491</v>
      </c>
      <c r="AK306" s="277"/>
      <c r="AL306" s="11"/>
      <c r="AM306" s="11"/>
      <c r="AN306" s="277"/>
      <c r="AO306" s="277"/>
      <c r="AP306" s="277"/>
      <c r="AQ306" s="277"/>
      <c r="AR306" s="338"/>
      <c r="AS306" s="275"/>
      <c r="AT306" s="306"/>
    </row>
    <row r="307" spans="1:46" s="262" customFormat="1" ht="26.4" x14ac:dyDescent="0.25">
      <c r="A307" s="277"/>
      <c r="B307" s="367" t="s">
        <v>1594</v>
      </c>
      <c r="C307" s="367" t="s">
        <v>1917</v>
      </c>
      <c r="D307" s="277"/>
      <c r="E307" s="367" t="s">
        <v>2259</v>
      </c>
      <c r="F307" s="11" t="s">
        <v>1474</v>
      </c>
      <c r="G307" s="277" t="s">
        <v>1476</v>
      </c>
      <c r="H307" s="276"/>
      <c r="I307" s="276"/>
      <c r="J307" s="276"/>
      <c r="K307" s="276"/>
      <c r="L307" s="276"/>
      <c r="M307" s="276"/>
      <c r="N307" s="276"/>
      <c r="O307" s="276"/>
      <c r="P307" s="345">
        <f t="shared" si="14"/>
        <v>0</v>
      </c>
      <c r="Q307" s="277"/>
      <c r="R307" s="277"/>
      <c r="S307" s="277"/>
      <c r="T307" s="277"/>
      <c r="U307" s="277"/>
      <c r="V307" s="277"/>
      <c r="W307" s="277"/>
      <c r="X307" s="368"/>
      <c r="Y307" s="346">
        <f t="shared" si="15"/>
        <v>0</v>
      </c>
      <c r="Z307" s="165"/>
      <c r="AA307" s="165"/>
      <c r="AB307" s="165"/>
      <c r="AC307" s="165"/>
      <c r="AD307" s="165"/>
      <c r="AE307" s="165"/>
      <c r="AF307" s="165">
        <v>1</v>
      </c>
      <c r="AG307" s="368">
        <v>43130</v>
      </c>
      <c r="AH307" s="346">
        <f t="shared" si="16"/>
        <v>1</v>
      </c>
      <c r="AI307" s="165"/>
      <c r="AJ307" s="11" t="s">
        <v>2491</v>
      </c>
      <c r="AK307" s="277"/>
      <c r="AL307" s="11"/>
      <c r="AM307" s="11"/>
      <c r="AN307" s="277"/>
      <c r="AO307" s="277"/>
      <c r="AP307" s="277"/>
      <c r="AQ307" s="277"/>
      <c r="AR307" s="338"/>
      <c r="AS307" s="275"/>
      <c r="AT307" s="306"/>
    </row>
    <row r="308" spans="1:46" s="262" customFormat="1" ht="26.4" x14ac:dyDescent="0.25">
      <c r="A308" s="277"/>
      <c r="B308" s="367" t="s">
        <v>1595</v>
      </c>
      <c r="C308" s="367" t="s">
        <v>1918</v>
      </c>
      <c r="D308" s="277"/>
      <c r="E308" s="367" t="s">
        <v>2260</v>
      </c>
      <c r="F308" s="11" t="s">
        <v>1474</v>
      </c>
      <c r="G308" s="277" t="s">
        <v>1476</v>
      </c>
      <c r="H308" s="276"/>
      <c r="I308" s="276"/>
      <c r="J308" s="276"/>
      <c r="K308" s="276"/>
      <c r="L308" s="276"/>
      <c r="M308" s="276"/>
      <c r="N308" s="276"/>
      <c r="O308" s="276"/>
      <c r="P308" s="345">
        <f t="shared" si="14"/>
        <v>0</v>
      </c>
      <c r="Q308" s="277"/>
      <c r="R308" s="277"/>
      <c r="S308" s="277"/>
      <c r="T308" s="277"/>
      <c r="U308" s="277"/>
      <c r="V308" s="277"/>
      <c r="W308" s="277"/>
      <c r="X308" s="368"/>
      <c r="Y308" s="346">
        <f t="shared" si="15"/>
        <v>0</v>
      </c>
      <c r="Z308" s="165"/>
      <c r="AA308" s="165"/>
      <c r="AB308" s="165"/>
      <c r="AC308" s="165"/>
      <c r="AD308" s="165"/>
      <c r="AE308" s="165"/>
      <c r="AF308" s="165">
        <v>1</v>
      </c>
      <c r="AG308" s="368">
        <v>43132</v>
      </c>
      <c r="AH308" s="346">
        <f t="shared" si="16"/>
        <v>1</v>
      </c>
      <c r="AI308" s="165"/>
      <c r="AJ308" s="11" t="s">
        <v>2491</v>
      </c>
      <c r="AK308" s="277"/>
      <c r="AL308" s="11"/>
      <c r="AM308" s="11"/>
      <c r="AN308" s="277"/>
      <c r="AO308" s="277"/>
      <c r="AP308" s="277"/>
      <c r="AQ308" s="277"/>
      <c r="AR308" s="338"/>
      <c r="AS308" s="275"/>
      <c r="AT308" s="306"/>
    </row>
    <row r="309" spans="1:46" s="262" customFormat="1" ht="26.4" x14ac:dyDescent="0.25">
      <c r="A309" s="277"/>
      <c r="B309" s="367" t="s">
        <v>1596</v>
      </c>
      <c r="C309" s="367" t="s">
        <v>1919</v>
      </c>
      <c r="D309" s="277"/>
      <c r="E309" s="367" t="s">
        <v>2261</v>
      </c>
      <c r="F309" s="11" t="s">
        <v>1474</v>
      </c>
      <c r="G309" s="277" t="s">
        <v>1476</v>
      </c>
      <c r="H309" s="276"/>
      <c r="I309" s="276"/>
      <c r="J309" s="276"/>
      <c r="K309" s="276"/>
      <c r="L309" s="276"/>
      <c r="M309" s="276"/>
      <c r="N309" s="276"/>
      <c r="O309" s="276"/>
      <c r="P309" s="345">
        <f t="shared" si="14"/>
        <v>0</v>
      </c>
      <c r="Q309" s="277"/>
      <c r="R309" s="277"/>
      <c r="S309" s="277"/>
      <c r="T309" s="277"/>
      <c r="U309" s="277"/>
      <c r="V309" s="277"/>
      <c r="W309" s="277"/>
      <c r="X309" s="368"/>
      <c r="Y309" s="346">
        <f t="shared" si="15"/>
        <v>0</v>
      </c>
      <c r="Z309" s="165"/>
      <c r="AA309" s="165"/>
      <c r="AB309" s="165"/>
      <c r="AC309" s="165"/>
      <c r="AD309" s="165"/>
      <c r="AE309" s="165"/>
      <c r="AF309" s="165">
        <v>1</v>
      </c>
      <c r="AG309" s="368">
        <v>43118</v>
      </c>
      <c r="AH309" s="346">
        <f t="shared" si="16"/>
        <v>1</v>
      </c>
      <c r="AI309" s="165"/>
      <c r="AJ309" s="11" t="s">
        <v>2491</v>
      </c>
      <c r="AK309" s="277"/>
      <c r="AL309" s="11"/>
      <c r="AM309" s="11"/>
      <c r="AN309" s="277"/>
      <c r="AO309" s="277"/>
      <c r="AP309" s="277"/>
      <c r="AQ309" s="277"/>
      <c r="AR309" s="338"/>
      <c r="AS309" s="275"/>
      <c r="AT309" s="306"/>
    </row>
    <row r="310" spans="1:46" s="262" customFormat="1" ht="26.4" x14ac:dyDescent="0.25">
      <c r="A310" s="277"/>
      <c r="B310" s="367" t="s">
        <v>1597</v>
      </c>
      <c r="C310" s="367" t="s">
        <v>1920</v>
      </c>
      <c r="D310" s="277"/>
      <c r="E310" s="367" t="s">
        <v>2262</v>
      </c>
      <c r="F310" s="11" t="s">
        <v>1474</v>
      </c>
      <c r="G310" s="277" t="s">
        <v>1476</v>
      </c>
      <c r="H310" s="276"/>
      <c r="I310" s="276"/>
      <c r="J310" s="276"/>
      <c r="K310" s="276"/>
      <c r="L310" s="276"/>
      <c r="M310" s="276"/>
      <c r="N310" s="276"/>
      <c r="O310" s="276"/>
      <c r="P310" s="345">
        <f t="shared" si="14"/>
        <v>0</v>
      </c>
      <c r="Q310" s="277"/>
      <c r="R310" s="277"/>
      <c r="S310" s="277"/>
      <c r="T310" s="277"/>
      <c r="U310" s="277"/>
      <c r="V310" s="277"/>
      <c r="W310" s="277"/>
      <c r="X310" s="368"/>
      <c r="Y310" s="346">
        <f t="shared" si="15"/>
        <v>0</v>
      </c>
      <c r="Z310" s="165"/>
      <c r="AA310" s="165"/>
      <c r="AB310" s="165"/>
      <c r="AC310" s="165"/>
      <c r="AD310" s="165"/>
      <c r="AE310" s="165"/>
      <c r="AF310" s="165">
        <v>1</v>
      </c>
      <c r="AG310" s="368">
        <v>43117</v>
      </c>
      <c r="AH310" s="346">
        <f t="shared" si="16"/>
        <v>1</v>
      </c>
      <c r="AI310" s="165"/>
      <c r="AJ310" s="11" t="s">
        <v>2491</v>
      </c>
      <c r="AK310" s="277"/>
      <c r="AL310" s="11"/>
      <c r="AM310" s="11"/>
      <c r="AN310" s="277"/>
      <c r="AO310" s="277"/>
      <c r="AP310" s="277"/>
      <c r="AQ310" s="277"/>
      <c r="AR310" s="338"/>
      <c r="AS310" s="275"/>
      <c r="AT310" s="306"/>
    </row>
    <row r="311" spans="1:46" s="262" customFormat="1" ht="26.4" x14ac:dyDescent="0.25">
      <c r="A311" s="277"/>
      <c r="B311" s="367" t="s">
        <v>1642</v>
      </c>
      <c r="C311" s="367" t="s">
        <v>1965</v>
      </c>
      <c r="D311" s="277"/>
      <c r="E311" s="367" t="s">
        <v>2307</v>
      </c>
      <c r="F311" s="11" t="s">
        <v>1474</v>
      </c>
      <c r="G311" s="277" t="s">
        <v>1476</v>
      </c>
      <c r="H311" s="276"/>
      <c r="I311" s="276"/>
      <c r="J311" s="276"/>
      <c r="K311" s="276"/>
      <c r="L311" s="276"/>
      <c r="M311" s="276"/>
      <c r="N311" s="276"/>
      <c r="O311" s="276"/>
      <c r="P311" s="345">
        <f t="shared" si="14"/>
        <v>0</v>
      </c>
      <c r="Q311" s="277"/>
      <c r="R311" s="277"/>
      <c r="S311" s="277"/>
      <c r="T311" s="277"/>
      <c r="U311" s="277"/>
      <c r="V311" s="277"/>
      <c r="W311" s="277"/>
      <c r="X311" s="368"/>
      <c r="Y311" s="346">
        <f t="shared" si="15"/>
        <v>0</v>
      </c>
      <c r="Z311" s="165"/>
      <c r="AA311" s="165"/>
      <c r="AB311" s="165"/>
      <c r="AC311" s="165"/>
      <c r="AD311" s="165"/>
      <c r="AE311" s="165"/>
      <c r="AF311" s="165">
        <v>1</v>
      </c>
      <c r="AG311" s="368">
        <v>43255</v>
      </c>
      <c r="AH311" s="346">
        <f t="shared" si="16"/>
        <v>1</v>
      </c>
      <c r="AI311" s="165"/>
      <c r="AJ311" s="11" t="s">
        <v>2491</v>
      </c>
      <c r="AK311" s="277"/>
      <c r="AL311" s="11"/>
      <c r="AM311" s="11"/>
      <c r="AN311" s="277"/>
      <c r="AO311" s="277"/>
      <c r="AP311" s="277"/>
      <c r="AQ311" s="277"/>
      <c r="AR311" s="338"/>
      <c r="AS311" s="275"/>
      <c r="AT311" s="306"/>
    </row>
    <row r="312" spans="1:46" s="262" customFormat="1" ht="26.4" x14ac:dyDescent="0.25">
      <c r="A312" s="277"/>
      <c r="B312" s="367" t="s">
        <v>1643</v>
      </c>
      <c r="C312" s="367" t="s">
        <v>1966</v>
      </c>
      <c r="D312" s="277"/>
      <c r="E312" s="367" t="s">
        <v>2308</v>
      </c>
      <c r="F312" s="11" t="s">
        <v>1474</v>
      </c>
      <c r="G312" s="277" t="s">
        <v>1476</v>
      </c>
      <c r="H312" s="276"/>
      <c r="I312" s="276"/>
      <c r="J312" s="276"/>
      <c r="K312" s="276"/>
      <c r="L312" s="276"/>
      <c r="M312" s="276"/>
      <c r="N312" s="276"/>
      <c r="O312" s="276"/>
      <c r="P312" s="345">
        <f t="shared" si="14"/>
        <v>0</v>
      </c>
      <c r="Q312" s="277"/>
      <c r="R312" s="277"/>
      <c r="S312" s="277"/>
      <c r="T312" s="277"/>
      <c r="U312" s="277"/>
      <c r="V312" s="277"/>
      <c r="W312" s="277"/>
      <c r="X312" s="368"/>
      <c r="Y312" s="346">
        <f t="shared" si="15"/>
        <v>0</v>
      </c>
      <c r="Z312" s="165"/>
      <c r="AA312" s="165"/>
      <c r="AB312" s="165"/>
      <c r="AC312" s="165"/>
      <c r="AD312" s="165"/>
      <c r="AE312" s="165"/>
      <c r="AF312" s="165">
        <v>1</v>
      </c>
      <c r="AG312" s="368">
        <v>43255</v>
      </c>
      <c r="AH312" s="346">
        <f t="shared" si="16"/>
        <v>1</v>
      </c>
      <c r="AI312" s="165"/>
      <c r="AJ312" s="11" t="s">
        <v>2491</v>
      </c>
      <c r="AK312" s="277"/>
      <c r="AL312" s="11"/>
      <c r="AM312" s="11"/>
      <c r="AN312" s="277"/>
      <c r="AO312" s="277"/>
      <c r="AP312" s="277"/>
      <c r="AQ312" s="277"/>
      <c r="AR312" s="338"/>
      <c r="AS312" s="275"/>
      <c r="AT312" s="306"/>
    </row>
    <row r="313" spans="1:46" s="262" customFormat="1" ht="26.4" x14ac:dyDescent="0.25">
      <c r="A313" s="277"/>
      <c r="B313" s="367" t="s">
        <v>1644</v>
      </c>
      <c r="C313" s="367" t="s">
        <v>1967</v>
      </c>
      <c r="D313" s="277"/>
      <c r="E313" s="367" t="s">
        <v>2309</v>
      </c>
      <c r="F313" s="11" t="s">
        <v>1474</v>
      </c>
      <c r="G313" s="277" t="s">
        <v>1476</v>
      </c>
      <c r="H313" s="276"/>
      <c r="I313" s="276"/>
      <c r="J313" s="276"/>
      <c r="K313" s="276"/>
      <c r="L313" s="276"/>
      <c r="M313" s="276"/>
      <c r="N313" s="276"/>
      <c r="O313" s="276"/>
      <c r="P313" s="345">
        <f t="shared" si="14"/>
        <v>0</v>
      </c>
      <c r="Q313" s="277"/>
      <c r="R313" s="277"/>
      <c r="S313" s="277"/>
      <c r="T313" s="277"/>
      <c r="U313" s="277"/>
      <c r="V313" s="277"/>
      <c r="W313" s="277"/>
      <c r="X313" s="368"/>
      <c r="Y313" s="346">
        <f t="shared" si="15"/>
        <v>0</v>
      </c>
      <c r="Z313" s="165"/>
      <c r="AA313" s="165"/>
      <c r="AB313" s="165"/>
      <c r="AC313" s="165"/>
      <c r="AD313" s="165"/>
      <c r="AE313" s="165"/>
      <c r="AF313" s="165">
        <v>1</v>
      </c>
      <c r="AG313" s="368">
        <v>43245</v>
      </c>
      <c r="AH313" s="346">
        <f t="shared" si="16"/>
        <v>1</v>
      </c>
      <c r="AI313" s="165"/>
      <c r="AJ313" s="11" t="s">
        <v>2491</v>
      </c>
      <c r="AK313" s="277"/>
      <c r="AL313" s="11"/>
      <c r="AM313" s="11"/>
      <c r="AN313" s="277"/>
      <c r="AO313" s="277"/>
      <c r="AP313" s="277"/>
      <c r="AQ313" s="277"/>
      <c r="AR313" s="338"/>
      <c r="AS313" s="275"/>
      <c r="AT313" s="306"/>
    </row>
    <row r="314" spans="1:46" s="262" customFormat="1" ht="26.4" x14ac:dyDescent="0.25">
      <c r="A314" s="277"/>
      <c r="B314" s="367" t="s">
        <v>1645</v>
      </c>
      <c r="C314" s="367" t="s">
        <v>1968</v>
      </c>
      <c r="D314" s="277"/>
      <c r="E314" s="367" t="s">
        <v>2310</v>
      </c>
      <c r="F314" s="11" t="s">
        <v>1474</v>
      </c>
      <c r="G314" s="277" t="s">
        <v>1476</v>
      </c>
      <c r="H314" s="276"/>
      <c r="I314" s="276"/>
      <c r="J314" s="276"/>
      <c r="K314" s="276"/>
      <c r="L314" s="276"/>
      <c r="M314" s="276"/>
      <c r="N314" s="276"/>
      <c r="O314" s="276"/>
      <c r="P314" s="345">
        <f t="shared" si="14"/>
        <v>0</v>
      </c>
      <c r="Q314" s="277"/>
      <c r="R314" s="277"/>
      <c r="S314" s="277"/>
      <c r="T314" s="277"/>
      <c r="U314" s="277"/>
      <c r="V314" s="277"/>
      <c r="W314" s="277"/>
      <c r="X314" s="368"/>
      <c r="Y314" s="346">
        <f t="shared" si="15"/>
        <v>0</v>
      </c>
      <c r="Z314" s="165"/>
      <c r="AA314" s="165"/>
      <c r="AB314" s="165"/>
      <c r="AC314" s="165"/>
      <c r="AD314" s="165"/>
      <c r="AE314" s="165"/>
      <c r="AF314" s="165">
        <v>1</v>
      </c>
      <c r="AG314" s="368">
        <v>43242</v>
      </c>
      <c r="AH314" s="346">
        <f t="shared" si="16"/>
        <v>1</v>
      </c>
      <c r="AI314" s="165"/>
      <c r="AJ314" s="11" t="s">
        <v>2491</v>
      </c>
      <c r="AK314" s="277"/>
      <c r="AL314" s="11"/>
      <c r="AM314" s="11"/>
      <c r="AN314" s="277"/>
      <c r="AO314" s="277"/>
      <c r="AP314" s="277"/>
      <c r="AQ314" s="277"/>
      <c r="AR314" s="338"/>
      <c r="AS314" s="275"/>
      <c r="AT314" s="306"/>
    </row>
    <row r="315" spans="1:46" s="262" customFormat="1" ht="26.4" x14ac:dyDescent="0.25">
      <c r="A315" s="277"/>
      <c r="B315" s="367" t="s">
        <v>1646</v>
      </c>
      <c r="C315" s="367" t="s">
        <v>1969</v>
      </c>
      <c r="D315" s="277"/>
      <c r="E315" s="367" t="s">
        <v>2311</v>
      </c>
      <c r="F315" s="11" t="s">
        <v>1474</v>
      </c>
      <c r="G315" s="277" t="s">
        <v>1476</v>
      </c>
      <c r="H315" s="276"/>
      <c r="I315" s="276"/>
      <c r="J315" s="276"/>
      <c r="K315" s="276"/>
      <c r="L315" s="276"/>
      <c r="M315" s="276"/>
      <c r="N315" s="276"/>
      <c r="O315" s="276"/>
      <c r="P315" s="345">
        <f t="shared" si="14"/>
        <v>0</v>
      </c>
      <c r="Q315" s="277"/>
      <c r="R315" s="277"/>
      <c r="S315" s="277"/>
      <c r="T315" s="277"/>
      <c r="U315" s="277"/>
      <c r="V315" s="277"/>
      <c r="W315" s="277"/>
      <c r="X315" s="368"/>
      <c r="Y315" s="346">
        <f t="shared" si="15"/>
        <v>0</v>
      </c>
      <c r="Z315" s="165"/>
      <c r="AA315" s="165"/>
      <c r="AB315" s="165"/>
      <c r="AC315" s="165"/>
      <c r="AD315" s="165"/>
      <c r="AE315" s="165"/>
      <c r="AF315" s="165">
        <v>1</v>
      </c>
      <c r="AG315" s="368">
        <v>43259</v>
      </c>
      <c r="AH315" s="346">
        <f t="shared" si="16"/>
        <v>1</v>
      </c>
      <c r="AI315" s="165"/>
      <c r="AJ315" s="11" t="s">
        <v>2491</v>
      </c>
      <c r="AK315" s="277"/>
      <c r="AL315" s="11"/>
      <c r="AM315" s="11"/>
      <c r="AN315" s="277"/>
      <c r="AO315" s="277"/>
      <c r="AP315" s="277"/>
      <c r="AQ315" s="277"/>
      <c r="AR315" s="338"/>
      <c r="AS315" s="275"/>
      <c r="AT315" s="306"/>
    </row>
    <row r="316" spans="1:46" s="262" customFormat="1" ht="26.4" x14ac:dyDescent="0.25">
      <c r="A316" s="277"/>
      <c r="B316" s="367" t="s">
        <v>1647</v>
      </c>
      <c r="C316" s="367" t="s">
        <v>1970</v>
      </c>
      <c r="D316" s="277"/>
      <c r="E316" s="367" t="s">
        <v>2312</v>
      </c>
      <c r="F316" s="11" t="s">
        <v>1474</v>
      </c>
      <c r="G316" s="277" t="s">
        <v>1476</v>
      </c>
      <c r="H316" s="276"/>
      <c r="I316" s="276"/>
      <c r="J316" s="276"/>
      <c r="K316" s="276"/>
      <c r="L316" s="276"/>
      <c r="M316" s="276"/>
      <c r="N316" s="276"/>
      <c r="O316" s="276"/>
      <c r="P316" s="345">
        <f t="shared" si="14"/>
        <v>0</v>
      </c>
      <c r="Q316" s="277"/>
      <c r="R316" s="277"/>
      <c r="S316" s="277"/>
      <c r="T316" s="277"/>
      <c r="U316" s="277"/>
      <c r="V316" s="277"/>
      <c r="W316" s="277"/>
      <c r="X316" s="368"/>
      <c r="Y316" s="346">
        <f t="shared" si="15"/>
        <v>0</v>
      </c>
      <c r="Z316" s="165"/>
      <c r="AA316" s="165"/>
      <c r="AB316" s="165"/>
      <c r="AC316" s="165"/>
      <c r="AD316" s="165"/>
      <c r="AE316" s="165"/>
      <c r="AF316" s="165">
        <v>1</v>
      </c>
      <c r="AG316" s="368">
        <v>43269</v>
      </c>
      <c r="AH316" s="346">
        <f t="shared" si="16"/>
        <v>1</v>
      </c>
      <c r="AI316" s="165"/>
      <c r="AJ316" s="11" t="s">
        <v>2491</v>
      </c>
      <c r="AK316" s="277"/>
      <c r="AL316" s="11"/>
      <c r="AM316" s="11"/>
      <c r="AN316" s="277"/>
      <c r="AO316" s="277"/>
      <c r="AP316" s="277"/>
      <c r="AQ316" s="277"/>
      <c r="AR316" s="338"/>
      <c r="AS316" s="275"/>
      <c r="AT316" s="306"/>
    </row>
    <row r="317" spans="1:46" s="262" customFormat="1" ht="26.4" x14ac:dyDescent="0.25">
      <c r="A317" s="277"/>
      <c r="B317" s="367" t="s">
        <v>1648</v>
      </c>
      <c r="C317" s="367" t="s">
        <v>1971</v>
      </c>
      <c r="D317" s="277"/>
      <c r="E317" s="367" t="s">
        <v>2313</v>
      </c>
      <c r="F317" s="11" t="s">
        <v>1474</v>
      </c>
      <c r="G317" s="277" t="s">
        <v>1476</v>
      </c>
      <c r="H317" s="276"/>
      <c r="I317" s="276"/>
      <c r="J317" s="276"/>
      <c r="K317" s="276"/>
      <c r="L317" s="276"/>
      <c r="M317" s="276"/>
      <c r="N317" s="276"/>
      <c r="O317" s="276"/>
      <c r="P317" s="345">
        <f t="shared" si="14"/>
        <v>0</v>
      </c>
      <c r="Q317" s="277"/>
      <c r="R317" s="277"/>
      <c r="S317" s="277"/>
      <c r="T317" s="277"/>
      <c r="U317" s="277"/>
      <c r="V317" s="277"/>
      <c r="W317" s="277"/>
      <c r="X317" s="368"/>
      <c r="Y317" s="346">
        <f t="shared" si="15"/>
        <v>0</v>
      </c>
      <c r="Z317" s="165"/>
      <c r="AA317" s="165"/>
      <c r="AB317" s="165"/>
      <c r="AC317" s="165"/>
      <c r="AD317" s="165"/>
      <c r="AE317" s="165"/>
      <c r="AF317" s="165">
        <v>1</v>
      </c>
      <c r="AG317" s="368">
        <v>43264</v>
      </c>
      <c r="AH317" s="346">
        <f t="shared" si="16"/>
        <v>1</v>
      </c>
      <c r="AI317" s="165"/>
      <c r="AJ317" s="11" t="s">
        <v>2491</v>
      </c>
      <c r="AK317" s="277"/>
      <c r="AL317" s="11"/>
      <c r="AM317" s="11"/>
      <c r="AN317" s="277"/>
      <c r="AO317" s="277"/>
      <c r="AP317" s="277"/>
      <c r="AQ317" s="277"/>
      <c r="AR317" s="338"/>
      <c r="AS317" s="275"/>
      <c r="AT317" s="306"/>
    </row>
    <row r="318" spans="1:46" s="262" customFormat="1" ht="26.4" x14ac:dyDescent="0.25">
      <c r="A318" s="277"/>
      <c r="B318" s="367" t="s">
        <v>1649</v>
      </c>
      <c r="C318" s="367" t="s">
        <v>1972</v>
      </c>
      <c r="D318" s="277"/>
      <c r="E318" s="367" t="s">
        <v>2314</v>
      </c>
      <c r="F318" s="11" t="s">
        <v>1474</v>
      </c>
      <c r="G318" s="277" t="s">
        <v>1476</v>
      </c>
      <c r="H318" s="276"/>
      <c r="I318" s="276"/>
      <c r="J318" s="276"/>
      <c r="K318" s="276"/>
      <c r="L318" s="276"/>
      <c r="M318" s="276"/>
      <c r="N318" s="276"/>
      <c r="O318" s="276"/>
      <c r="P318" s="345">
        <f t="shared" si="14"/>
        <v>0</v>
      </c>
      <c r="Q318" s="277"/>
      <c r="R318" s="277"/>
      <c r="S318" s="277"/>
      <c r="T318" s="277"/>
      <c r="U318" s="277"/>
      <c r="V318" s="277"/>
      <c r="W318" s="277"/>
      <c r="X318" s="368"/>
      <c r="Y318" s="346">
        <f t="shared" si="15"/>
        <v>0</v>
      </c>
      <c r="Z318" s="165"/>
      <c r="AA318" s="165"/>
      <c r="AB318" s="165"/>
      <c r="AC318" s="165"/>
      <c r="AD318" s="165"/>
      <c r="AE318" s="165"/>
      <c r="AF318" s="165">
        <v>1</v>
      </c>
      <c r="AG318" s="368">
        <v>43269</v>
      </c>
      <c r="AH318" s="346">
        <f t="shared" si="16"/>
        <v>1</v>
      </c>
      <c r="AI318" s="165"/>
      <c r="AJ318" s="11" t="s">
        <v>2491</v>
      </c>
      <c r="AK318" s="277"/>
      <c r="AL318" s="11"/>
      <c r="AM318" s="11"/>
      <c r="AN318" s="277"/>
      <c r="AO318" s="277"/>
      <c r="AP318" s="277"/>
      <c r="AQ318" s="277"/>
      <c r="AR318" s="338"/>
      <c r="AS318" s="275"/>
      <c r="AT318" s="306"/>
    </row>
    <row r="319" spans="1:46" s="262" customFormat="1" ht="26.4" x14ac:dyDescent="0.25">
      <c r="A319" s="277"/>
      <c r="B319" s="367" t="s">
        <v>1650</v>
      </c>
      <c r="C319" s="367" t="s">
        <v>1973</v>
      </c>
      <c r="D319" s="277"/>
      <c r="E319" s="367" t="s">
        <v>2315</v>
      </c>
      <c r="F319" s="11" t="s">
        <v>1474</v>
      </c>
      <c r="G319" s="277" t="s">
        <v>1476</v>
      </c>
      <c r="H319" s="276"/>
      <c r="I319" s="276"/>
      <c r="J319" s="276"/>
      <c r="K319" s="276"/>
      <c r="L319" s="276"/>
      <c r="M319" s="276"/>
      <c r="N319" s="276"/>
      <c r="O319" s="276"/>
      <c r="P319" s="345">
        <f t="shared" si="14"/>
        <v>0</v>
      </c>
      <c r="Q319" s="277"/>
      <c r="R319" s="277"/>
      <c r="S319" s="277"/>
      <c r="T319" s="277"/>
      <c r="U319" s="277"/>
      <c r="V319" s="277"/>
      <c r="W319" s="277"/>
      <c r="X319" s="368"/>
      <c r="Y319" s="346">
        <f t="shared" si="15"/>
        <v>0</v>
      </c>
      <c r="Z319" s="165"/>
      <c r="AA319" s="165"/>
      <c r="AB319" s="165"/>
      <c r="AC319" s="165"/>
      <c r="AD319" s="165"/>
      <c r="AE319" s="165"/>
      <c r="AF319" s="165">
        <v>1</v>
      </c>
      <c r="AG319" s="368">
        <v>43276</v>
      </c>
      <c r="AH319" s="346">
        <f t="shared" si="16"/>
        <v>1</v>
      </c>
      <c r="AI319" s="165"/>
      <c r="AJ319" s="11" t="s">
        <v>2491</v>
      </c>
      <c r="AK319" s="277"/>
      <c r="AL319" s="11"/>
      <c r="AM319" s="11"/>
      <c r="AN319" s="277"/>
      <c r="AO319" s="277"/>
      <c r="AP319" s="277"/>
      <c r="AQ319" s="277"/>
      <c r="AR319" s="338"/>
      <c r="AS319" s="275"/>
      <c r="AT319" s="306"/>
    </row>
    <row r="320" spans="1:46" s="262" customFormat="1" ht="26.4" x14ac:dyDescent="0.25">
      <c r="A320" s="277"/>
      <c r="B320" s="367" t="s">
        <v>1606</v>
      </c>
      <c r="C320" s="367" t="s">
        <v>1929</v>
      </c>
      <c r="D320" s="277"/>
      <c r="E320" s="367" t="s">
        <v>2271</v>
      </c>
      <c r="F320" s="11" t="s">
        <v>1474</v>
      </c>
      <c r="G320" s="277" t="s">
        <v>1476</v>
      </c>
      <c r="H320" s="276"/>
      <c r="I320" s="276"/>
      <c r="J320" s="276"/>
      <c r="K320" s="276"/>
      <c r="L320" s="276"/>
      <c r="M320" s="276"/>
      <c r="N320" s="276"/>
      <c r="O320" s="276"/>
      <c r="P320" s="345">
        <f t="shared" si="14"/>
        <v>0</v>
      </c>
      <c r="Q320" s="277"/>
      <c r="R320" s="277"/>
      <c r="S320" s="277"/>
      <c r="T320" s="277"/>
      <c r="U320" s="277"/>
      <c r="V320" s="277"/>
      <c r="W320" s="277"/>
      <c r="X320" s="368"/>
      <c r="Y320" s="346">
        <f t="shared" si="15"/>
        <v>0</v>
      </c>
      <c r="Z320" s="165"/>
      <c r="AA320" s="165"/>
      <c r="AB320" s="165"/>
      <c r="AC320" s="165"/>
      <c r="AD320" s="165"/>
      <c r="AE320" s="165"/>
      <c r="AF320" s="165">
        <v>1</v>
      </c>
      <c r="AG320" s="368">
        <v>43257</v>
      </c>
      <c r="AH320" s="346">
        <f t="shared" si="16"/>
        <v>1</v>
      </c>
      <c r="AI320" s="165"/>
      <c r="AJ320" s="11" t="s">
        <v>2491</v>
      </c>
      <c r="AK320" s="277"/>
      <c r="AL320" s="11"/>
      <c r="AM320" s="11"/>
      <c r="AN320" s="277"/>
      <c r="AO320" s="277"/>
      <c r="AP320" s="277"/>
      <c r="AQ320" s="277"/>
      <c r="AR320" s="338"/>
      <c r="AS320" s="275"/>
      <c r="AT320" s="306"/>
    </row>
    <row r="321" spans="1:46" s="262" customFormat="1" ht="26.4" x14ac:dyDescent="0.25">
      <c r="A321" s="277"/>
      <c r="B321" s="367" t="s">
        <v>1607</v>
      </c>
      <c r="C321" s="367" t="s">
        <v>1930</v>
      </c>
      <c r="D321" s="277"/>
      <c r="E321" s="367" t="s">
        <v>2272</v>
      </c>
      <c r="F321" s="11" t="s">
        <v>1474</v>
      </c>
      <c r="G321" s="277" t="s">
        <v>1476</v>
      </c>
      <c r="H321" s="276"/>
      <c r="I321" s="276"/>
      <c r="J321" s="276"/>
      <c r="K321" s="276"/>
      <c r="L321" s="276"/>
      <c r="M321" s="276"/>
      <c r="N321" s="276"/>
      <c r="O321" s="276"/>
      <c r="P321" s="345">
        <f t="shared" si="14"/>
        <v>0</v>
      </c>
      <c r="Q321" s="277"/>
      <c r="R321" s="277"/>
      <c r="S321" s="277"/>
      <c r="T321" s="277"/>
      <c r="U321" s="277"/>
      <c r="V321" s="277"/>
      <c r="W321" s="277"/>
      <c r="X321" s="368"/>
      <c r="Y321" s="346">
        <f t="shared" si="15"/>
        <v>0</v>
      </c>
      <c r="Z321" s="165"/>
      <c r="AA321" s="165"/>
      <c r="AB321" s="165"/>
      <c r="AC321" s="165"/>
      <c r="AD321" s="165"/>
      <c r="AE321" s="165"/>
      <c r="AF321" s="165">
        <v>1</v>
      </c>
      <c r="AG321" s="368">
        <v>43258</v>
      </c>
      <c r="AH321" s="346">
        <f t="shared" si="16"/>
        <v>1</v>
      </c>
      <c r="AI321" s="165"/>
      <c r="AJ321" s="11" t="s">
        <v>2491</v>
      </c>
      <c r="AK321" s="277"/>
      <c r="AL321" s="11"/>
      <c r="AM321" s="11"/>
      <c r="AN321" s="277"/>
      <c r="AO321" s="277"/>
      <c r="AP321" s="277"/>
      <c r="AQ321" s="277"/>
      <c r="AR321" s="338"/>
      <c r="AS321" s="275"/>
      <c r="AT321" s="306"/>
    </row>
    <row r="322" spans="1:46" s="262" customFormat="1" ht="26.4" x14ac:dyDescent="0.25">
      <c r="A322" s="277"/>
      <c r="B322" s="367" t="s">
        <v>1608</v>
      </c>
      <c r="C322" s="367" t="s">
        <v>1931</v>
      </c>
      <c r="D322" s="277"/>
      <c r="E322" s="367" t="s">
        <v>2273</v>
      </c>
      <c r="F322" s="11" t="s">
        <v>1474</v>
      </c>
      <c r="G322" s="277" t="s">
        <v>1476</v>
      </c>
      <c r="H322" s="276"/>
      <c r="I322" s="276"/>
      <c r="J322" s="276"/>
      <c r="K322" s="276"/>
      <c r="L322" s="276"/>
      <c r="M322" s="276"/>
      <c r="N322" s="276"/>
      <c r="O322" s="276"/>
      <c r="P322" s="345">
        <f t="shared" si="14"/>
        <v>0</v>
      </c>
      <c r="Q322" s="277"/>
      <c r="R322" s="277"/>
      <c r="S322" s="277"/>
      <c r="T322" s="277"/>
      <c r="U322" s="277"/>
      <c r="V322" s="277"/>
      <c r="W322" s="277"/>
      <c r="X322" s="368"/>
      <c r="Y322" s="346">
        <f t="shared" si="15"/>
        <v>0</v>
      </c>
      <c r="Z322" s="165"/>
      <c r="AA322" s="165"/>
      <c r="AB322" s="165"/>
      <c r="AC322" s="165"/>
      <c r="AD322" s="165"/>
      <c r="AE322" s="165"/>
      <c r="AF322" s="165">
        <v>1</v>
      </c>
      <c r="AG322" s="368">
        <v>43270</v>
      </c>
      <c r="AH322" s="346">
        <f t="shared" si="16"/>
        <v>1</v>
      </c>
      <c r="AI322" s="165"/>
      <c r="AJ322" s="11" t="s">
        <v>2491</v>
      </c>
      <c r="AK322" s="277"/>
      <c r="AL322" s="11"/>
      <c r="AM322" s="11"/>
      <c r="AN322" s="277"/>
      <c r="AO322" s="277"/>
      <c r="AP322" s="277"/>
      <c r="AQ322" s="277"/>
      <c r="AR322" s="338"/>
      <c r="AS322" s="275"/>
      <c r="AT322" s="306"/>
    </row>
    <row r="323" spans="1:46" s="262" customFormat="1" ht="26.4" x14ac:dyDescent="0.25">
      <c r="A323" s="277"/>
      <c r="B323" s="367" t="s">
        <v>1609</v>
      </c>
      <c r="C323" s="367" t="s">
        <v>1932</v>
      </c>
      <c r="D323" s="277"/>
      <c r="E323" s="367" t="s">
        <v>2274</v>
      </c>
      <c r="F323" s="11" t="s">
        <v>1474</v>
      </c>
      <c r="G323" s="277" t="s">
        <v>1476</v>
      </c>
      <c r="H323" s="276"/>
      <c r="I323" s="276"/>
      <c r="J323" s="276"/>
      <c r="K323" s="276"/>
      <c r="L323" s="276"/>
      <c r="M323" s="276"/>
      <c r="N323" s="276"/>
      <c r="O323" s="276"/>
      <c r="P323" s="345">
        <f t="shared" si="14"/>
        <v>0</v>
      </c>
      <c r="Q323" s="277"/>
      <c r="R323" s="277"/>
      <c r="S323" s="277"/>
      <c r="T323" s="277"/>
      <c r="U323" s="277"/>
      <c r="V323" s="277"/>
      <c r="W323" s="277"/>
      <c r="X323" s="368"/>
      <c r="Y323" s="346">
        <f t="shared" si="15"/>
        <v>0</v>
      </c>
      <c r="Z323" s="165"/>
      <c r="AA323" s="165"/>
      <c r="AB323" s="165"/>
      <c r="AC323" s="165"/>
      <c r="AD323" s="165"/>
      <c r="AE323" s="165"/>
      <c r="AF323" s="165">
        <v>1</v>
      </c>
      <c r="AG323" s="368">
        <v>43262</v>
      </c>
      <c r="AH323" s="346">
        <f t="shared" si="16"/>
        <v>1</v>
      </c>
      <c r="AI323" s="165"/>
      <c r="AJ323" s="11" t="s">
        <v>2491</v>
      </c>
      <c r="AK323" s="277"/>
      <c r="AL323" s="11"/>
      <c r="AM323" s="11"/>
      <c r="AN323" s="277"/>
      <c r="AO323" s="277"/>
      <c r="AP323" s="277"/>
      <c r="AQ323" s="277"/>
      <c r="AR323" s="338"/>
      <c r="AS323" s="275"/>
      <c r="AT323" s="306"/>
    </row>
    <row r="324" spans="1:46" s="262" customFormat="1" ht="26.4" x14ac:dyDescent="0.25">
      <c r="A324" s="277"/>
      <c r="B324" s="367" t="s">
        <v>1620</v>
      </c>
      <c r="C324" s="367" t="s">
        <v>1943</v>
      </c>
      <c r="D324" s="277"/>
      <c r="E324" s="367" t="s">
        <v>2285</v>
      </c>
      <c r="F324" s="11" t="s">
        <v>1474</v>
      </c>
      <c r="G324" s="277" t="s">
        <v>1476</v>
      </c>
      <c r="H324" s="276"/>
      <c r="I324" s="276"/>
      <c r="J324" s="276"/>
      <c r="K324" s="276"/>
      <c r="L324" s="276"/>
      <c r="M324" s="276"/>
      <c r="N324" s="276"/>
      <c r="O324" s="276"/>
      <c r="P324" s="345">
        <f t="shared" si="14"/>
        <v>0</v>
      </c>
      <c r="Q324" s="277"/>
      <c r="R324" s="277"/>
      <c r="S324" s="277"/>
      <c r="T324" s="277"/>
      <c r="U324" s="277"/>
      <c r="V324" s="277"/>
      <c r="W324" s="277"/>
      <c r="X324" s="368"/>
      <c r="Y324" s="346">
        <f t="shared" si="15"/>
        <v>0</v>
      </c>
      <c r="Z324" s="165"/>
      <c r="AA324" s="165"/>
      <c r="AB324" s="165"/>
      <c r="AC324" s="165"/>
      <c r="AD324" s="165"/>
      <c r="AE324" s="165"/>
      <c r="AF324" s="165">
        <v>1</v>
      </c>
      <c r="AG324" s="368">
        <v>43269</v>
      </c>
      <c r="AH324" s="346">
        <f t="shared" si="16"/>
        <v>1</v>
      </c>
      <c r="AI324" s="165"/>
      <c r="AJ324" s="11" t="s">
        <v>2491</v>
      </c>
      <c r="AK324" s="277"/>
      <c r="AL324" s="11"/>
      <c r="AM324" s="11"/>
      <c r="AN324" s="277"/>
      <c r="AO324" s="277"/>
      <c r="AP324" s="277"/>
      <c r="AQ324" s="277"/>
      <c r="AR324" s="338"/>
      <c r="AS324" s="275"/>
      <c r="AT324" s="306"/>
    </row>
    <row r="325" spans="1:46" s="262" customFormat="1" ht="26.4" x14ac:dyDescent="0.25">
      <c r="A325" s="277"/>
      <c r="B325" s="367" t="s">
        <v>1621</v>
      </c>
      <c r="C325" s="367" t="s">
        <v>1944</v>
      </c>
      <c r="D325" s="277"/>
      <c r="E325" s="367" t="s">
        <v>2286</v>
      </c>
      <c r="F325" s="11" t="s">
        <v>1474</v>
      </c>
      <c r="G325" s="277" t="s">
        <v>1476</v>
      </c>
      <c r="H325" s="276"/>
      <c r="I325" s="276"/>
      <c r="J325" s="276"/>
      <c r="K325" s="276"/>
      <c r="L325" s="276"/>
      <c r="M325" s="276"/>
      <c r="N325" s="276"/>
      <c r="O325" s="276"/>
      <c r="P325" s="345">
        <f t="shared" si="14"/>
        <v>0</v>
      </c>
      <c r="Q325" s="277"/>
      <c r="R325" s="277"/>
      <c r="S325" s="277"/>
      <c r="T325" s="277"/>
      <c r="U325" s="277"/>
      <c r="V325" s="277"/>
      <c r="W325" s="277"/>
      <c r="X325" s="368"/>
      <c r="Y325" s="346">
        <f t="shared" si="15"/>
        <v>0</v>
      </c>
      <c r="Z325" s="165"/>
      <c r="AA325" s="165"/>
      <c r="AB325" s="165"/>
      <c r="AC325" s="165"/>
      <c r="AD325" s="165"/>
      <c r="AE325" s="165"/>
      <c r="AF325" s="165">
        <v>1</v>
      </c>
      <c r="AG325" s="368">
        <v>43269</v>
      </c>
      <c r="AH325" s="346">
        <f t="shared" si="16"/>
        <v>1</v>
      </c>
      <c r="AI325" s="165"/>
      <c r="AJ325" s="11" t="s">
        <v>2491</v>
      </c>
      <c r="AK325" s="277"/>
      <c r="AL325" s="11"/>
      <c r="AM325" s="11"/>
      <c r="AN325" s="277"/>
      <c r="AO325" s="277"/>
      <c r="AP325" s="277"/>
      <c r="AQ325" s="277"/>
      <c r="AR325" s="338"/>
      <c r="AS325" s="275"/>
      <c r="AT325" s="306"/>
    </row>
    <row r="326" spans="1:46" s="262" customFormat="1" ht="26.4" x14ac:dyDescent="0.25">
      <c r="A326" s="277"/>
      <c r="B326" s="367" t="s">
        <v>1622</v>
      </c>
      <c r="C326" s="367" t="s">
        <v>1945</v>
      </c>
      <c r="D326" s="277"/>
      <c r="E326" s="367" t="s">
        <v>2287</v>
      </c>
      <c r="F326" s="11" t="s">
        <v>1474</v>
      </c>
      <c r="G326" s="277" t="s">
        <v>1476</v>
      </c>
      <c r="H326" s="276"/>
      <c r="I326" s="276"/>
      <c r="J326" s="276"/>
      <c r="K326" s="276"/>
      <c r="L326" s="276"/>
      <c r="M326" s="276"/>
      <c r="N326" s="276"/>
      <c r="O326" s="276"/>
      <c r="P326" s="345">
        <f t="shared" si="14"/>
        <v>0</v>
      </c>
      <c r="Q326" s="277"/>
      <c r="R326" s="277"/>
      <c r="S326" s="277"/>
      <c r="T326" s="277"/>
      <c r="U326" s="277"/>
      <c r="V326" s="277"/>
      <c r="W326" s="277"/>
      <c r="X326" s="368"/>
      <c r="Y326" s="346">
        <f t="shared" si="15"/>
        <v>0</v>
      </c>
      <c r="Z326" s="165"/>
      <c r="AA326" s="165"/>
      <c r="AB326" s="165"/>
      <c r="AC326" s="165"/>
      <c r="AD326" s="165"/>
      <c r="AE326" s="165"/>
      <c r="AF326" s="165">
        <v>1</v>
      </c>
      <c r="AG326" s="368">
        <v>43167</v>
      </c>
      <c r="AH326" s="346">
        <f t="shared" si="16"/>
        <v>1</v>
      </c>
      <c r="AI326" s="165"/>
      <c r="AJ326" s="11" t="s">
        <v>2491</v>
      </c>
      <c r="AK326" s="277"/>
      <c r="AL326" s="11"/>
      <c r="AM326" s="11"/>
      <c r="AN326" s="277"/>
      <c r="AO326" s="277"/>
      <c r="AP326" s="277"/>
      <c r="AQ326" s="277"/>
      <c r="AR326" s="338"/>
      <c r="AS326" s="275"/>
      <c r="AT326" s="306"/>
    </row>
    <row r="327" spans="1:46" s="262" customFormat="1" ht="26.4" x14ac:dyDescent="0.25">
      <c r="A327" s="277"/>
      <c r="B327" s="367" t="s">
        <v>1623</v>
      </c>
      <c r="C327" s="367" t="s">
        <v>1946</v>
      </c>
      <c r="D327" s="277"/>
      <c r="E327" s="367" t="s">
        <v>2288</v>
      </c>
      <c r="F327" s="11" t="s">
        <v>1474</v>
      </c>
      <c r="G327" s="277" t="s">
        <v>1476</v>
      </c>
      <c r="H327" s="276"/>
      <c r="I327" s="276"/>
      <c r="J327" s="276"/>
      <c r="K327" s="276"/>
      <c r="L327" s="276"/>
      <c r="M327" s="276"/>
      <c r="N327" s="276"/>
      <c r="O327" s="276"/>
      <c r="P327" s="345">
        <f t="shared" si="14"/>
        <v>0</v>
      </c>
      <c r="Q327" s="277"/>
      <c r="R327" s="277"/>
      <c r="S327" s="277"/>
      <c r="T327" s="277"/>
      <c r="U327" s="277"/>
      <c r="V327" s="277"/>
      <c r="W327" s="277"/>
      <c r="X327" s="368"/>
      <c r="Y327" s="346">
        <f t="shared" si="15"/>
        <v>0</v>
      </c>
      <c r="Z327" s="165"/>
      <c r="AA327" s="165"/>
      <c r="AB327" s="165"/>
      <c r="AC327" s="165"/>
      <c r="AD327" s="165"/>
      <c r="AE327" s="165"/>
      <c r="AF327" s="165">
        <v>1</v>
      </c>
      <c r="AG327" s="368">
        <v>43257</v>
      </c>
      <c r="AH327" s="346">
        <f t="shared" si="16"/>
        <v>1</v>
      </c>
      <c r="AI327" s="165"/>
      <c r="AJ327" s="11" t="s">
        <v>2491</v>
      </c>
      <c r="AK327" s="277"/>
      <c r="AL327" s="11"/>
      <c r="AM327" s="11"/>
      <c r="AN327" s="277"/>
      <c r="AO327" s="277"/>
      <c r="AP327" s="277"/>
      <c r="AQ327" s="277"/>
      <c r="AR327" s="338"/>
      <c r="AS327" s="275"/>
      <c r="AT327" s="306"/>
    </row>
    <row r="328" spans="1:46" s="262" customFormat="1" ht="26.4" x14ac:dyDescent="0.25">
      <c r="A328" s="277"/>
      <c r="B328" s="367" t="s">
        <v>1624</v>
      </c>
      <c r="C328" s="367" t="s">
        <v>1947</v>
      </c>
      <c r="D328" s="277"/>
      <c r="E328" s="367" t="s">
        <v>2289</v>
      </c>
      <c r="F328" s="11" t="s">
        <v>1474</v>
      </c>
      <c r="G328" s="277" t="s">
        <v>1476</v>
      </c>
      <c r="H328" s="276"/>
      <c r="I328" s="276"/>
      <c r="J328" s="276"/>
      <c r="K328" s="276"/>
      <c r="L328" s="276"/>
      <c r="M328" s="276"/>
      <c r="N328" s="276"/>
      <c r="O328" s="276"/>
      <c r="P328" s="345">
        <f t="shared" si="14"/>
        <v>0</v>
      </c>
      <c r="Q328" s="277"/>
      <c r="R328" s="277"/>
      <c r="S328" s="277"/>
      <c r="T328" s="277"/>
      <c r="U328" s="277"/>
      <c r="V328" s="277"/>
      <c r="W328" s="277"/>
      <c r="X328" s="368"/>
      <c r="Y328" s="346">
        <f t="shared" si="15"/>
        <v>0</v>
      </c>
      <c r="Z328" s="165"/>
      <c r="AA328" s="165"/>
      <c r="AB328" s="165"/>
      <c r="AC328" s="165"/>
      <c r="AD328" s="165"/>
      <c r="AE328" s="165"/>
      <c r="AF328" s="165">
        <v>1</v>
      </c>
      <c r="AG328" s="368">
        <v>43257</v>
      </c>
      <c r="AH328" s="346">
        <f t="shared" si="16"/>
        <v>1</v>
      </c>
      <c r="AI328" s="165"/>
      <c r="AJ328" s="11" t="s">
        <v>2491</v>
      </c>
      <c r="AK328" s="277"/>
      <c r="AL328" s="11"/>
      <c r="AM328" s="11"/>
      <c r="AN328" s="277"/>
      <c r="AO328" s="277"/>
      <c r="AP328" s="277"/>
      <c r="AQ328" s="277"/>
      <c r="AR328" s="338"/>
      <c r="AS328" s="275"/>
      <c r="AT328" s="306"/>
    </row>
    <row r="329" spans="1:46" s="262" customFormat="1" x14ac:dyDescent="0.25">
      <c r="A329" s="277"/>
      <c r="B329" s="367" t="s">
        <v>1548</v>
      </c>
      <c r="C329" s="367" t="s">
        <v>1871</v>
      </c>
      <c r="D329" s="277"/>
      <c r="E329" s="367" t="s">
        <v>2213</v>
      </c>
      <c r="F329" s="11" t="s">
        <v>1474</v>
      </c>
      <c r="G329" s="277" t="s">
        <v>1476</v>
      </c>
      <c r="H329" s="276"/>
      <c r="I329" s="276"/>
      <c r="J329" s="276"/>
      <c r="K329" s="276"/>
      <c r="L329" s="276"/>
      <c r="M329" s="276"/>
      <c r="N329" s="276"/>
      <c r="O329" s="276"/>
      <c r="P329" s="345">
        <f t="shared" si="14"/>
        <v>0</v>
      </c>
      <c r="Q329" s="277"/>
      <c r="R329" s="277"/>
      <c r="S329" s="277"/>
      <c r="T329" s="277"/>
      <c r="U329" s="277"/>
      <c r="V329" s="277"/>
      <c r="W329" s="277"/>
      <c r="X329" s="368"/>
      <c r="Y329" s="346">
        <f t="shared" si="15"/>
        <v>0</v>
      </c>
      <c r="Z329" s="165"/>
      <c r="AA329" s="165"/>
      <c r="AB329" s="165"/>
      <c r="AC329" s="165"/>
      <c r="AD329" s="165"/>
      <c r="AE329" s="165"/>
      <c r="AF329" s="165">
        <v>1</v>
      </c>
      <c r="AG329" s="368">
        <v>43185</v>
      </c>
      <c r="AH329" s="346">
        <f t="shared" si="16"/>
        <v>1</v>
      </c>
      <c r="AI329" s="165"/>
      <c r="AJ329" s="11" t="s">
        <v>2491</v>
      </c>
      <c r="AK329" s="277"/>
      <c r="AL329" s="11"/>
      <c r="AM329" s="11"/>
      <c r="AN329" s="277"/>
      <c r="AO329" s="277"/>
      <c r="AP329" s="277"/>
      <c r="AQ329" s="277"/>
      <c r="AR329" s="338"/>
      <c r="AS329" s="275"/>
      <c r="AT329" s="306"/>
    </row>
    <row r="330" spans="1:46" s="262" customFormat="1" x14ac:dyDescent="0.25">
      <c r="A330" s="277"/>
      <c r="B330" s="367" t="s">
        <v>1549</v>
      </c>
      <c r="C330" s="367" t="s">
        <v>1872</v>
      </c>
      <c r="D330" s="277"/>
      <c r="E330" s="367" t="s">
        <v>2214</v>
      </c>
      <c r="F330" s="11" t="s">
        <v>1474</v>
      </c>
      <c r="G330" s="277" t="s">
        <v>1476</v>
      </c>
      <c r="H330" s="276"/>
      <c r="I330" s="276"/>
      <c r="J330" s="276"/>
      <c r="K330" s="276"/>
      <c r="L330" s="276"/>
      <c r="M330" s="276"/>
      <c r="N330" s="276"/>
      <c r="O330" s="276"/>
      <c r="P330" s="345">
        <f t="shared" si="14"/>
        <v>0</v>
      </c>
      <c r="Q330" s="277"/>
      <c r="R330" s="277"/>
      <c r="S330" s="277"/>
      <c r="T330" s="277"/>
      <c r="U330" s="277"/>
      <c r="V330" s="277"/>
      <c r="W330" s="277"/>
      <c r="X330" s="368"/>
      <c r="Y330" s="346">
        <f t="shared" si="15"/>
        <v>0</v>
      </c>
      <c r="Z330" s="165"/>
      <c r="AA330" s="165"/>
      <c r="AB330" s="165"/>
      <c r="AC330" s="165"/>
      <c r="AD330" s="165"/>
      <c r="AE330" s="165"/>
      <c r="AF330" s="165">
        <v>1</v>
      </c>
      <c r="AG330" s="368">
        <v>43179</v>
      </c>
      <c r="AH330" s="346">
        <f t="shared" si="16"/>
        <v>1</v>
      </c>
      <c r="AI330" s="165"/>
      <c r="AJ330" s="11" t="s">
        <v>2491</v>
      </c>
      <c r="AK330" s="277"/>
      <c r="AL330" s="11"/>
      <c r="AM330" s="11"/>
      <c r="AN330" s="277"/>
      <c r="AO330" s="277"/>
      <c r="AP330" s="277"/>
      <c r="AQ330" s="277"/>
      <c r="AR330" s="338"/>
      <c r="AS330" s="275"/>
      <c r="AT330" s="306"/>
    </row>
    <row r="331" spans="1:46" s="262" customFormat="1" x14ac:dyDescent="0.25">
      <c r="A331" s="277"/>
      <c r="B331" s="367" t="s">
        <v>1550</v>
      </c>
      <c r="C331" s="367" t="s">
        <v>1873</v>
      </c>
      <c r="D331" s="277"/>
      <c r="E331" s="367" t="s">
        <v>2215</v>
      </c>
      <c r="F331" s="11" t="s">
        <v>1474</v>
      </c>
      <c r="G331" s="277" t="s">
        <v>1476</v>
      </c>
      <c r="H331" s="276"/>
      <c r="I331" s="276"/>
      <c r="J331" s="276"/>
      <c r="K331" s="276"/>
      <c r="L331" s="276"/>
      <c r="M331" s="276"/>
      <c r="N331" s="276"/>
      <c r="O331" s="276"/>
      <c r="P331" s="345">
        <f t="shared" si="14"/>
        <v>0</v>
      </c>
      <c r="Q331" s="277"/>
      <c r="R331" s="277"/>
      <c r="S331" s="277"/>
      <c r="T331" s="277"/>
      <c r="U331" s="277"/>
      <c r="V331" s="277"/>
      <c r="W331" s="277"/>
      <c r="X331" s="368"/>
      <c r="Y331" s="346">
        <f t="shared" si="15"/>
        <v>0</v>
      </c>
      <c r="Z331" s="165"/>
      <c r="AA331" s="165"/>
      <c r="AB331" s="165"/>
      <c r="AC331" s="165"/>
      <c r="AD331" s="165"/>
      <c r="AE331" s="165"/>
      <c r="AF331" s="165">
        <v>1</v>
      </c>
      <c r="AG331" s="368">
        <v>43179</v>
      </c>
      <c r="AH331" s="346">
        <f t="shared" si="16"/>
        <v>1</v>
      </c>
      <c r="AI331" s="165"/>
      <c r="AJ331" s="11" t="s">
        <v>2491</v>
      </c>
      <c r="AK331" s="277"/>
      <c r="AL331" s="11"/>
      <c r="AM331" s="11"/>
      <c r="AN331" s="277"/>
      <c r="AO331" s="277"/>
      <c r="AP331" s="277"/>
      <c r="AQ331" s="277"/>
      <c r="AR331" s="338"/>
      <c r="AS331" s="275"/>
      <c r="AT331" s="306"/>
    </row>
    <row r="332" spans="1:46" s="262" customFormat="1" ht="26.4" x14ac:dyDescent="0.25">
      <c r="A332" s="277"/>
      <c r="B332" s="367" t="s">
        <v>1590</v>
      </c>
      <c r="C332" s="367" t="s">
        <v>1913</v>
      </c>
      <c r="D332" s="277"/>
      <c r="E332" s="367" t="s">
        <v>2255</v>
      </c>
      <c r="F332" s="11" t="s">
        <v>1474</v>
      </c>
      <c r="G332" s="277" t="s">
        <v>1476</v>
      </c>
      <c r="H332" s="276"/>
      <c r="I332" s="276"/>
      <c r="J332" s="276"/>
      <c r="K332" s="276"/>
      <c r="L332" s="276"/>
      <c r="M332" s="276"/>
      <c r="N332" s="276"/>
      <c r="O332" s="276"/>
      <c r="P332" s="345">
        <f t="shared" si="14"/>
        <v>0</v>
      </c>
      <c r="Q332" s="277"/>
      <c r="R332" s="277"/>
      <c r="S332" s="277"/>
      <c r="T332" s="277"/>
      <c r="U332" s="277"/>
      <c r="V332" s="277"/>
      <c r="W332" s="277"/>
      <c r="X332" s="368"/>
      <c r="Y332" s="346">
        <f t="shared" si="15"/>
        <v>0</v>
      </c>
      <c r="Z332" s="165"/>
      <c r="AA332" s="165"/>
      <c r="AB332" s="165"/>
      <c r="AC332" s="165"/>
      <c r="AD332" s="165"/>
      <c r="AE332" s="165"/>
      <c r="AF332" s="165">
        <v>1</v>
      </c>
      <c r="AG332" s="368">
        <v>43160</v>
      </c>
      <c r="AH332" s="346">
        <f t="shared" si="16"/>
        <v>1</v>
      </c>
      <c r="AI332" s="165"/>
      <c r="AJ332" s="11" t="s">
        <v>2491</v>
      </c>
      <c r="AK332" s="277"/>
      <c r="AL332" s="11"/>
      <c r="AM332" s="11"/>
      <c r="AN332" s="277"/>
      <c r="AO332" s="277"/>
      <c r="AP332" s="277"/>
      <c r="AQ332" s="277"/>
      <c r="AR332" s="338"/>
      <c r="AS332" s="275"/>
      <c r="AT332" s="306"/>
    </row>
    <row r="333" spans="1:46" s="262" customFormat="1" ht="26.4" x14ac:dyDescent="0.25">
      <c r="A333" s="277"/>
      <c r="B333" s="367" t="s">
        <v>1591</v>
      </c>
      <c r="C333" s="367" t="s">
        <v>1914</v>
      </c>
      <c r="D333" s="277"/>
      <c r="E333" s="367" t="s">
        <v>2256</v>
      </c>
      <c r="F333" s="11" t="s">
        <v>1474</v>
      </c>
      <c r="G333" s="277" t="s">
        <v>1476</v>
      </c>
      <c r="H333" s="276"/>
      <c r="I333" s="276"/>
      <c r="J333" s="276"/>
      <c r="K333" s="276"/>
      <c r="L333" s="276"/>
      <c r="M333" s="276"/>
      <c r="N333" s="276"/>
      <c r="O333" s="276"/>
      <c r="P333" s="345">
        <f t="shared" ref="P333:P396" si="17">SUM(H333:N333)</f>
        <v>0</v>
      </c>
      <c r="Q333" s="277"/>
      <c r="R333" s="277"/>
      <c r="S333" s="277"/>
      <c r="T333" s="277"/>
      <c r="U333" s="277"/>
      <c r="V333" s="277"/>
      <c r="W333" s="277"/>
      <c r="X333" s="368"/>
      <c r="Y333" s="346">
        <f t="shared" ref="Y333:Y396" si="18">SUM(Q333:W333)</f>
        <v>0</v>
      </c>
      <c r="Z333" s="165"/>
      <c r="AA333" s="165"/>
      <c r="AB333" s="165"/>
      <c r="AC333" s="165"/>
      <c r="AD333" s="165"/>
      <c r="AE333" s="165"/>
      <c r="AF333" s="165">
        <v>1</v>
      </c>
      <c r="AG333" s="368">
        <v>43160</v>
      </c>
      <c r="AH333" s="346">
        <f t="shared" si="16"/>
        <v>1</v>
      </c>
      <c r="AI333" s="165"/>
      <c r="AJ333" s="11" t="s">
        <v>2491</v>
      </c>
      <c r="AK333" s="277"/>
      <c r="AL333" s="11"/>
      <c r="AM333" s="11"/>
      <c r="AN333" s="277"/>
      <c r="AO333" s="277"/>
      <c r="AP333" s="277"/>
      <c r="AQ333" s="277"/>
      <c r="AR333" s="338"/>
      <c r="AS333" s="275"/>
      <c r="AT333" s="306"/>
    </row>
    <row r="334" spans="1:46" s="262" customFormat="1" ht="26.4" x14ac:dyDescent="0.25">
      <c r="A334" s="277"/>
      <c r="B334" s="367" t="s">
        <v>1598</v>
      </c>
      <c r="C334" s="367" t="s">
        <v>1921</v>
      </c>
      <c r="D334" s="277"/>
      <c r="E334" s="367" t="s">
        <v>2263</v>
      </c>
      <c r="F334" s="11" t="s">
        <v>1474</v>
      </c>
      <c r="G334" s="277" t="s">
        <v>1476</v>
      </c>
      <c r="H334" s="276"/>
      <c r="I334" s="276"/>
      <c r="J334" s="276"/>
      <c r="K334" s="276"/>
      <c r="L334" s="276"/>
      <c r="M334" s="276"/>
      <c r="N334" s="276"/>
      <c r="O334" s="276"/>
      <c r="P334" s="345">
        <f t="shared" si="17"/>
        <v>0</v>
      </c>
      <c r="Q334" s="277"/>
      <c r="R334" s="277"/>
      <c r="S334" s="277"/>
      <c r="T334" s="277"/>
      <c r="U334" s="277"/>
      <c r="V334" s="277"/>
      <c r="W334" s="277"/>
      <c r="X334" s="368"/>
      <c r="Y334" s="346">
        <f t="shared" si="18"/>
        <v>0</v>
      </c>
      <c r="Z334" s="165"/>
      <c r="AA334" s="165"/>
      <c r="AB334" s="165"/>
      <c r="AC334" s="165"/>
      <c r="AD334" s="165"/>
      <c r="AE334" s="165"/>
      <c r="AF334" s="165">
        <v>1</v>
      </c>
      <c r="AG334" s="368">
        <v>43158</v>
      </c>
      <c r="AH334" s="346">
        <f t="shared" si="16"/>
        <v>1</v>
      </c>
      <c r="AI334" s="165"/>
      <c r="AJ334" s="11" t="s">
        <v>2491</v>
      </c>
      <c r="AK334" s="277"/>
      <c r="AL334" s="11"/>
      <c r="AM334" s="11"/>
      <c r="AN334" s="277"/>
      <c r="AO334" s="277"/>
      <c r="AP334" s="277"/>
      <c r="AQ334" s="277"/>
      <c r="AR334" s="338"/>
      <c r="AS334" s="275"/>
      <c r="AT334" s="306"/>
    </row>
    <row r="335" spans="1:46" s="262" customFormat="1" ht="26.4" x14ac:dyDescent="0.25">
      <c r="A335" s="277"/>
      <c r="B335" s="367" t="s">
        <v>1599</v>
      </c>
      <c r="C335" s="367" t="s">
        <v>1922</v>
      </c>
      <c r="D335" s="277"/>
      <c r="E335" s="367" t="s">
        <v>2264</v>
      </c>
      <c r="F335" s="11" t="s">
        <v>1474</v>
      </c>
      <c r="G335" s="277" t="s">
        <v>1476</v>
      </c>
      <c r="H335" s="276"/>
      <c r="I335" s="276"/>
      <c r="J335" s="276"/>
      <c r="K335" s="276"/>
      <c r="L335" s="276"/>
      <c r="M335" s="276"/>
      <c r="N335" s="276"/>
      <c r="O335" s="276"/>
      <c r="P335" s="345">
        <f t="shared" si="17"/>
        <v>0</v>
      </c>
      <c r="Q335" s="277"/>
      <c r="R335" s="277"/>
      <c r="S335" s="277"/>
      <c r="T335" s="277"/>
      <c r="U335" s="277"/>
      <c r="V335" s="277"/>
      <c r="W335" s="277"/>
      <c r="X335" s="368"/>
      <c r="Y335" s="346">
        <f t="shared" si="18"/>
        <v>0</v>
      </c>
      <c r="Z335" s="165"/>
      <c r="AA335" s="165"/>
      <c r="AB335" s="165"/>
      <c r="AC335" s="165"/>
      <c r="AD335" s="165"/>
      <c r="AE335" s="165"/>
      <c r="AF335" s="165">
        <v>1</v>
      </c>
      <c r="AG335" s="368">
        <v>43153</v>
      </c>
      <c r="AH335" s="346">
        <f t="shared" si="16"/>
        <v>1</v>
      </c>
      <c r="AI335" s="165"/>
      <c r="AJ335" s="11" t="s">
        <v>2491</v>
      </c>
      <c r="AK335" s="277"/>
      <c r="AL335" s="11"/>
      <c r="AM335" s="11"/>
      <c r="AN335" s="277"/>
      <c r="AO335" s="277"/>
      <c r="AP335" s="277"/>
      <c r="AQ335" s="277"/>
      <c r="AR335" s="338"/>
      <c r="AS335" s="275"/>
      <c r="AT335" s="306"/>
    </row>
    <row r="336" spans="1:46" s="262" customFormat="1" ht="26.4" x14ac:dyDescent="0.25">
      <c r="A336" s="277"/>
      <c r="B336" s="367" t="s">
        <v>1600</v>
      </c>
      <c r="C336" s="367" t="s">
        <v>1923</v>
      </c>
      <c r="D336" s="277"/>
      <c r="E336" s="367" t="s">
        <v>2265</v>
      </c>
      <c r="F336" s="11" t="s">
        <v>1474</v>
      </c>
      <c r="G336" s="277" t="s">
        <v>1476</v>
      </c>
      <c r="H336" s="276"/>
      <c r="I336" s="276"/>
      <c r="J336" s="276"/>
      <c r="K336" s="276"/>
      <c r="L336" s="276"/>
      <c r="M336" s="276"/>
      <c r="N336" s="276"/>
      <c r="O336" s="276"/>
      <c r="P336" s="345">
        <f t="shared" si="17"/>
        <v>0</v>
      </c>
      <c r="Q336" s="277"/>
      <c r="R336" s="277"/>
      <c r="S336" s="277"/>
      <c r="T336" s="277"/>
      <c r="U336" s="277"/>
      <c r="V336" s="277"/>
      <c r="W336" s="277"/>
      <c r="X336" s="368"/>
      <c r="Y336" s="346">
        <f t="shared" si="18"/>
        <v>0</v>
      </c>
      <c r="Z336" s="165"/>
      <c r="AA336" s="165"/>
      <c r="AB336" s="165"/>
      <c r="AC336" s="165"/>
      <c r="AD336" s="165"/>
      <c r="AE336" s="165"/>
      <c r="AF336" s="165">
        <v>1</v>
      </c>
      <c r="AG336" s="368">
        <v>43158</v>
      </c>
      <c r="AH336" s="346">
        <f t="shared" si="16"/>
        <v>1</v>
      </c>
      <c r="AI336" s="165"/>
      <c r="AJ336" s="11" t="s">
        <v>2491</v>
      </c>
      <c r="AK336" s="277"/>
      <c r="AL336" s="11"/>
      <c r="AM336" s="11"/>
      <c r="AN336" s="277"/>
      <c r="AO336" s="277"/>
      <c r="AP336" s="277"/>
      <c r="AQ336" s="277"/>
      <c r="AR336" s="338"/>
      <c r="AS336" s="275"/>
      <c r="AT336" s="306"/>
    </row>
    <row r="337" spans="1:46" s="262" customFormat="1" x14ac:dyDescent="0.25">
      <c r="A337" s="277"/>
      <c r="B337" s="367" t="s">
        <v>1542</v>
      </c>
      <c r="C337" s="367" t="s">
        <v>1865</v>
      </c>
      <c r="D337" s="277"/>
      <c r="E337" s="367" t="s">
        <v>2207</v>
      </c>
      <c r="F337" s="11" t="s">
        <v>1474</v>
      </c>
      <c r="G337" s="277" t="s">
        <v>1476</v>
      </c>
      <c r="H337" s="276"/>
      <c r="I337" s="276"/>
      <c r="J337" s="276"/>
      <c r="K337" s="276"/>
      <c r="L337" s="276"/>
      <c r="M337" s="276"/>
      <c r="N337" s="276"/>
      <c r="O337" s="276"/>
      <c r="P337" s="345">
        <f t="shared" si="17"/>
        <v>0</v>
      </c>
      <c r="Q337" s="277"/>
      <c r="R337" s="277"/>
      <c r="S337" s="277"/>
      <c r="T337" s="277"/>
      <c r="U337" s="277"/>
      <c r="V337" s="277"/>
      <c r="W337" s="277"/>
      <c r="X337" s="368"/>
      <c r="Y337" s="346">
        <f t="shared" si="18"/>
        <v>0</v>
      </c>
      <c r="Z337" s="165"/>
      <c r="AA337" s="165"/>
      <c r="AB337" s="165"/>
      <c r="AC337" s="165"/>
      <c r="AD337" s="165"/>
      <c r="AE337" s="165"/>
      <c r="AF337" s="165">
        <v>1</v>
      </c>
      <c r="AG337" s="368">
        <v>43195</v>
      </c>
      <c r="AH337" s="346">
        <f t="shared" si="16"/>
        <v>1</v>
      </c>
      <c r="AI337" s="165"/>
      <c r="AJ337" s="11" t="s">
        <v>2491</v>
      </c>
      <c r="AK337" s="277"/>
      <c r="AL337" s="11"/>
      <c r="AM337" s="11"/>
      <c r="AN337" s="277"/>
      <c r="AO337" s="277"/>
      <c r="AP337" s="277"/>
      <c r="AQ337" s="277"/>
      <c r="AR337" s="338"/>
      <c r="AS337" s="275"/>
      <c r="AT337" s="306"/>
    </row>
    <row r="338" spans="1:46" s="262" customFormat="1" x14ac:dyDescent="0.25">
      <c r="A338" s="277"/>
      <c r="B338" s="367" t="s">
        <v>1543</v>
      </c>
      <c r="C338" s="367" t="s">
        <v>1866</v>
      </c>
      <c r="D338" s="277"/>
      <c r="E338" s="367" t="s">
        <v>2208</v>
      </c>
      <c r="F338" s="11" t="s">
        <v>1474</v>
      </c>
      <c r="G338" s="277" t="s">
        <v>1476</v>
      </c>
      <c r="H338" s="276"/>
      <c r="I338" s="276"/>
      <c r="J338" s="276"/>
      <c r="K338" s="276"/>
      <c r="L338" s="276"/>
      <c r="M338" s="276"/>
      <c r="N338" s="276"/>
      <c r="O338" s="276"/>
      <c r="P338" s="345">
        <f t="shared" si="17"/>
        <v>0</v>
      </c>
      <c r="Q338" s="277"/>
      <c r="R338" s="277"/>
      <c r="S338" s="277"/>
      <c r="T338" s="277"/>
      <c r="U338" s="277"/>
      <c r="V338" s="277"/>
      <c r="W338" s="277"/>
      <c r="X338" s="368"/>
      <c r="Y338" s="346">
        <f t="shared" si="18"/>
        <v>0</v>
      </c>
      <c r="Z338" s="165"/>
      <c r="AA338" s="165"/>
      <c r="AB338" s="165"/>
      <c r="AC338" s="165"/>
      <c r="AD338" s="165"/>
      <c r="AE338" s="165"/>
      <c r="AF338" s="165">
        <v>1</v>
      </c>
      <c r="AG338" s="368">
        <v>43195</v>
      </c>
      <c r="AH338" s="346">
        <f t="shared" si="16"/>
        <v>1</v>
      </c>
      <c r="AI338" s="165"/>
      <c r="AJ338" s="11" t="s">
        <v>2491</v>
      </c>
      <c r="AK338" s="277"/>
      <c r="AL338" s="11"/>
      <c r="AM338" s="11"/>
      <c r="AN338" s="277"/>
      <c r="AO338" s="277"/>
      <c r="AP338" s="277"/>
      <c r="AQ338" s="277"/>
      <c r="AR338" s="338"/>
      <c r="AS338" s="275"/>
      <c r="AT338" s="306"/>
    </row>
    <row r="339" spans="1:46" s="262" customFormat="1" x14ac:dyDescent="0.25">
      <c r="A339" s="277"/>
      <c r="B339" s="367" t="s">
        <v>1544</v>
      </c>
      <c r="C339" s="367" t="s">
        <v>1867</v>
      </c>
      <c r="D339" s="277"/>
      <c r="E339" s="367" t="s">
        <v>2209</v>
      </c>
      <c r="F339" s="11" t="s">
        <v>1474</v>
      </c>
      <c r="G339" s="277" t="s">
        <v>1476</v>
      </c>
      <c r="H339" s="276"/>
      <c r="I339" s="276"/>
      <c r="J339" s="276"/>
      <c r="K339" s="276"/>
      <c r="L339" s="276"/>
      <c r="M339" s="276"/>
      <c r="N339" s="276"/>
      <c r="O339" s="276"/>
      <c r="P339" s="345">
        <f t="shared" si="17"/>
        <v>0</v>
      </c>
      <c r="Q339" s="277"/>
      <c r="R339" s="277"/>
      <c r="S339" s="277"/>
      <c r="T339" s="277"/>
      <c r="U339" s="277"/>
      <c r="V339" s="277"/>
      <c r="W339" s="277"/>
      <c r="X339" s="368"/>
      <c r="Y339" s="346">
        <f t="shared" si="18"/>
        <v>0</v>
      </c>
      <c r="Z339" s="165"/>
      <c r="AA339" s="165"/>
      <c r="AB339" s="165"/>
      <c r="AC339" s="165"/>
      <c r="AD339" s="165"/>
      <c r="AE339" s="165"/>
      <c r="AF339" s="165">
        <v>1</v>
      </c>
      <c r="AG339" s="368">
        <v>43200</v>
      </c>
      <c r="AH339" s="346">
        <f t="shared" si="16"/>
        <v>1</v>
      </c>
      <c r="AI339" s="165"/>
      <c r="AJ339" s="11" t="s">
        <v>2491</v>
      </c>
      <c r="AK339" s="277"/>
      <c r="AL339" s="11"/>
      <c r="AM339" s="11"/>
      <c r="AN339" s="277"/>
      <c r="AO339" s="277"/>
      <c r="AP339" s="277"/>
      <c r="AQ339" s="277"/>
      <c r="AR339" s="338"/>
      <c r="AS339" s="275"/>
      <c r="AT339" s="306"/>
    </row>
    <row r="340" spans="1:46" s="262" customFormat="1" x14ac:dyDescent="0.25">
      <c r="A340" s="277"/>
      <c r="B340" s="367" t="s">
        <v>1545</v>
      </c>
      <c r="C340" s="367" t="s">
        <v>1868</v>
      </c>
      <c r="D340" s="277"/>
      <c r="E340" s="367" t="s">
        <v>2210</v>
      </c>
      <c r="F340" s="11" t="s">
        <v>1474</v>
      </c>
      <c r="G340" s="277" t="s">
        <v>1476</v>
      </c>
      <c r="H340" s="276"/>
      <c r="I340" s="276"/>
      <c r="J340" s="276"/>
      <c r="K340" s="276"/>
      <c r="L340" s="276"/>
      <c r="M340" s="276"/>
      <c r="N340" s="276"/>
      <c r="O340" s="276"/>
      <c r="P340" s="345">
        <f t="shared" si="17"/>
        <v>0</v>
      </c>
      <c r="Q340" s="277"/>
      <c r="R340" s="277"/>
      <c r="S340" s="277"/>
      <c r="T340" s="277"/>
      <c r="U340" s="277"/>
      <c r="V340" s="277"/>
      <c r="W340" s="277"/>
      <c r="X340" s="368"/>
      <c r="Y340" s="346">
        <f t="shared" si="18"/>
        <v>0</v>
      </c>
      <c r="Z340" s="165"/>
      <c r="AA340" s="165"/>
      <c r="AB340" s="165"/>
      <c r="AC340" s="165"/>
      <c r="AD340" s="165"/>
      <c r="AE340" s="165"/>
      <c r="AF340" s="165">
        <v>1</v>
      </c>
      <c r="AG340" s="368">
        <v>43213</v>
      </c>
      <c r="AH340" s="346">
        <f t="shared" si="16"/>
        <v>1</v>
      </c>
      <c r="AI340" s="165"/>
      <c r="AJ340" s="11" t="s">
        <v>2491</v>
      </c>
      <c r="AK340" s="277"/>
      <c r="AL340" s="11"/>
      <c r="AM340" s="11"/>
      <c r="AN340" s="277"/>
      <c r="AO340" s="277"/>
      <c r="AP340" s="277"/>
      <c r="AQ340" s="277"/>
      <c r="AR340" s="338"/>
      <c r="AS340" s="275"/>
      <c r="AT340" s="306"/>
    </row>
    <row r="341" spans="1:46" s="262" customFormat="1" x14ac:dyDescent="0.25">
      <c r="A341" s="277"/>
      <c r="B341" s="367" t="s">
        <v>1546</v>
      </c>
      <c r="C341" s="367" t="s">
        <v>1869</v>
      </c>
      <c r="D341" s="277"/>
      <c r="E341" s="367" t="s">
        <v>2211</v>
      </c>
      <c r="F341" s="11" t="s">
        <v>1474</v>
      </c>
      <c r="G341" s="277" t="s">
        <v>1476</v>
      </c>
      <c r="H341" s="276"/>
      <c r="I341" s="276"/>
      <c r="J341" s="276"/>
      <c r="K341" s="276"/>
      <c r="L341" s="276"/>
      <c r="M341" s="276"/>
      <c r="N341" s="276"/>
      <c r="O341" s="276"/>
      <c r="P341" s="345">
        <f t="shared" si="17"/>
        <v>0</v>
      </c>
      <c r="Q341" s="277"/>
      <c r="R341" s="277"/>
      <c r="S341" s="277"/>
      <c r="T341" s="277"/>
      <c r="U341" s="277"/>
      <c r="V341" s="277"/>
      <c r="W341" s="277"/>
      <c r="X341" s="368"/>
      <c r="Y341" s="346">
        <f t="shared" si="18"/>
        <v>0</v>
      </c>
      <c r="Z341" s="165"/>
      <c r="AA341" s="165"/>
      <c r="AB341" s="165"/>
      <c r="AC341" s="165"/>
      <c r="AD341" s="165"/>
      <c r="AE341" s="165"/>
      <c r="AF341" s="165">
        <v>1</v>
      </c>
      <c r="AG341" s="368">
        <v>43230</v>
      </c>
      <c r="AH341" s="346">
        <f t="shared" si="16"/>
        <v>1</v>
      </c>
      <c r="AI341" s="165"/>
      <c r="AJ341" s="11" t="s">
        <v>2491</v>
      </c>
      <c r="AK341" s="277"/>
      <c r="AL341" s="11"/>
      <c r="AM341" s="11"/>
      <c r="AN341" s="277"/>
      <c r="AO341" s="277"/>
      <c r="AP341" s="277"/>
      <c r="AQ341" s="277"/>
      <c r="AR341" s="338"/>
      <c r="AS341" s="275"/>
      <c r="AT341" s="306"/>
    </row>
    <row r="342" spans="1:46" s="262" customFormat="1" x14ac:dyDescent="0.25">
      <c r="A342" s="277"/>
      <c r="B342" s="367" t="s">
        <v>1547</v>
      </c>
      <c r="C342" s="367" t="s">
        <v>1870</v>
      </c>
      <c r="D342" s="277"/>
      <c r="E342" s="367" t="s">
        <v>2212</v>
      </c>
      <c r="F342" s="11" t="s">
        <v>1474</v>
      </c>
      <c r="G342" s="277" t="s">
        <v>1476</v>
      </c>
      <c r="H342" s="276"/>
      <c r="I342" s="276"/>
      <c r="J342" s="276"/>
      <c r="K342" s="276"/>
      <c r="L342" s="276"/>
      <c r="M342" s="276"/>
      <c r="N342" s="276"/>
      <c r="O342" s="276"/>
      <c r="P342" s="345">
        <f t="shared" si="17"/>
        <v>0</v>
      </c>
      <c r="Q342" s="277"/>
      <c r="R342" s="277"/>
      <c r="S342" s="277"/>
      <c r="T342" s="277"/>
      <c r="U342" s="277"/>
      <c r="V342" s="277"/>
      <c r="W342" s="277"/>
      <c r="X342" s="368"/>
      <c r="Y342" s="346">
        <f t="shared" si="18"/>
        <v>0</v>
      </c>
      <c r="Z342" s="165"/>
      <c r="AA342" s="165"/>
      <c r="AB342" s="165"/>
      <c r="AC342" s="165"/>
      <c r="AD342" s="165"/>
      <c r="AE342" s="165"/>
      <c r="AF342" s="165">
        <v>1</v>
      </c>
      <c r="AG342" s="368">
        <v>43236</v>
      </c>
      <c r="AH342" s="346">
        <f t="shared" si="16"/>
        <v>1</v>
      </c>
      <c r="AI342" s="165"/>
      <c r="AJ342" s="11" t="s">
        <v>2491</v>
      </c>
      <c r="AK342" s="277"/>
      <c r="AL342" s="11"/>
      <c r="AM342" s="11"/>
      <c r="AN342" s="277"/>
      <c r="AO342" s="277"/>
      <c r="AP342" s="277"/>
      <c r="AQ342" s="277"/>
      <c r="AR342" s="338"/>
      <c r="AS342" s="275"/>
      <c r="AT342" s="306"/>
    </row>
    <row r="343" spans="1:46" s="262" customFormat="1" x14ac:dyDescent="0.25">
      <c r="A343" s="277"/>
      <c r="B343" s="367" t="s">
        <v>1551</v>
      </c>
      <c r="C343" s="367" t="s">
        <v>1874</v>
      </c>
      <c r="D343" s="277"/>
      <c r="E343" s="367" t="s">
        <v>2216</v>
      </c>
      <c r="F343" s="11" t="s">
        <v>1474</v>
      </c>
      <c r="G343" s="277" t="s">
        <v>1476</v>
      </c>
      <c r="H343" s="276"/>
      <c r="I343" s="276"/>
      <c r="J343" s="276"/>
      <c r="K343" s="276"/>
      <c r="L343" s="276"/>
      <c r="M343" s="276"/>
      <c r="N343" s="276"/>
      <c r="O343" s="276"/>
      <c r="P343" s="345">
        <f t="shared" si="17"/>
        <v>0</v>
      </c>
      <c r="Q343" s="277"/>
      <c r="R343" s="277"/>
      <c r="S343" s="277"/>
      <c r="T343" s="277"/>
      <c r="U343" s="277"/>
      <c r="V343" s="277"/>
      <c r="W343" s="277"/>
      <c r="X343" s="368"/>
      <c r="Y343" s="346">
        <f t="shared" si="18"/>
        <v>0</v>
      </c>
      <c r="Z343" s="165"/>
      <c r="AA343" s="165"/>
      <c r="AB343" s="165"/>
      <c r="AC343" s="165"/>
      <c r="AD343" s="165"/>
      <c r="AE343" s="165"/>
      <c r="AF343" s="165">
        <v>1</v>
      </c>
      <c r="AG343" s="368">
        <v>43227</v>
      </c>
      <c r="AH343" s="346">
        <f t="shared" si="16"/>
        <v>1</v>
      </c>
      <c r="AI343" s="165"/>
      <c r="AJ343" s="11" t="s">
        <v>2491</v>
      </c>
      <c r="AK343" s="277"/>
      <c r="AL343" s="11"/>
      <c r="AM343" s="11"/>
      <c r="AN343" s="277"/>
      <c r="AO343" s="277"/>
      <c r="AP343" s="277"/>
      <c r="AQ343" s="277"/>
      <c r="AR343" s="338"/>
      <c r="AS343" s="275"/>
      <c r="AT343" s="306"/>
    </row>
    <row r="344" spans="1:46" s="262" customFormat="1" x14ac:dyDescent="0.25">
      <c r="A344" s="277"/>
      <c r="B344" s="367" t="s">
        <v>1653</v>
      </c>
      <c r="C344" s="367" t="s">
        <v>1976</v>
      </c>
      <c r="D344" s="277"/>
      <c r="E344" s="367" t="s">
        <v>2318</v>
      </c>
      <c r="F344" s="11" t="s">
        <v>1474</v>
      </c>
      <c r="G344" s="277" t="s">
        <v>1476</v>
      </c>
      <c r="H344" s="276"/>
      <c r="I344" s="276"/>
      <c r="J344" s="276"/>
      <c r="K344" s="276"/>
      <c r="L344" s="276"/>
      <c r="M344" s="276"/>
      <c r="N344" s="276"/>
      <c r="O344" s="276"/>
      <c r="P344" s="345">
        <f t="shared" si="17"/>
        <v>0</v>
      </c>
      <c r="Q344" s="277"/>
      <c r="R344" s="277"/>
      <c r="S344" s="277"/>
      <c r="T344" s="277"/>
      <c r="U344" s="277"/>
      <c r="V344" s="277"/>
      <c r="W344" s="277"/>
      <c r="X344" s="368"/>
      <c r="Y344" s="346">
        <f t="shared" si="18"/>
        <v>0</v>
      </c>
      <c r="Z344" s="165"/>
      <c r="AA344" s="165"/>
      <c r="AB344" s="165"/>
      <c r="AC344" s="165"/>
      <c r="AD344" s="165"/>
      <c r="AE344" s="165"/>
      <c r="AF344" s="165">
        <v>1</v>
      </c>
      <c r="AG344" s="368">
        <v>43328</v>
      </c>
      <c r="AH344" s="346">
        <f t="shared" si="16"/>
        <v>1</v>
      </c>
      <c r="AI344" s="165"/>
      <c r="AJ344" s="11" t="s">
        <v>2491</v>
      </c>
      <c r="AK344" s="277"/>
      <c r="AL344" s="11"/>
      <c r="AM344" s="11"/>
      <c r="AN344" s="277"/>
      <c r="AO344" s="277"/>
      <c r="AP344" s="277"/>
      <c r="AQ344" s="277"/>
      <c r="AR344" s="338"/>
      <c r="AS344" s="275"/>
      <c r="AT344" s="306"/>
    </row>
    <row r="345" spans="1:46" s="262" customFormat="1" x14ac:dyDescent="0.25">
      <c r="A345" s="277"/>
      <c r="B345" s="367" t="s">
        <v>1654</v>
      </c>
      <c r="C345" s="367" t="s">
        <v>1977</v>
      </c>
      <c r="D345" s="277"/>
      <c r="E345" s="367" t="s">
        <v>2319</v>
      </c>
      <c r="F345" s="11" t="s">
        <v>1474</v>
      </c>
      <c r="G345" s="277" t="s">
        <v>1476</v>
      </c>
      <c r="H345" s="276"/>
      <c r="I345" s="276"/>
      <c r="J345" s="276"/>
      <c r="K345" s="276"/>
      <c r="L345" s="276"/>
      <c r="M345" s="276"/>
      <c r="N345" s="276"/>
      <c r="O345" s="276"/>
      <c r="P345" s="345">
        <f t="shared" si="17"/>
        <v>0</v>
      </c>
      <c r="Q345" s="277"/>
      <c r="R345" s="277"/>
      <c r="S345" s="277"/>
      <c r="T345" s="277"/>
      <c r="U345" s="277"/>
      <c r="V345" s="277"/>
      <c r="W345" s="277"/>
      <c r="X345" s="368"/>
      <c r="Y345" s="346">
        <f t="shared" si="18"/>
        <v>0</v>
      </c>
      <c r="Z345" s="165"/>
      <c r="AA345" s="165"/>
      <c r="AB345" s="165"/>
      <c r="AC345" s="165"/>
      <c r="AD345" s="165"/>
      <c r="AE345" s="165"/>
      <c r="AF345" s="165">
        <v>1</v>
      </c>
      <c r="AG345" s="368">
        <v>43335</v>
      </c>
      <c r="AH345" s="346">
        <f t="shared" si="16"/>
        <v>1</v>
      </c>
      <c r="AI345" s="165"/>
      <c r="AJ345" s="11" t="s">
        <v>2491</v>
      </c>
      <c r="AK345" s="277"/>
      <c r="AL345" s="11"/>
      <c r="AM345" s="11"/>
      <c r="AN345" s="277"/>
      <c r="AO345" s="277"/>
      <c r="AP345" s="277"/>
      <c r="AQ345" s="277"/>
      <c r="AR345" s="338"/>
      <c r="AS345" s="275"/>
      <c r="AT345" s="306"/>
    </row>
    <row r="346" spans="1:46" s="262" customFormat="1" x14ac:dyDescent="0.25">
      <c r="A346" s="277"/>
      <c r="B346" s="367" t="s">
        <v>1655</v>
      </c>
      <c r="C346" s="367" t="s">
        <v>1978</v>
      </c>
      <c r="D346" s="277"/>
      <c r="E346" s="367" t="s">
        <v>2320</v>
      </c>
      <c r="F346" s="11" t="s">
        <v>1474</v>
      </c>
      <c r="G346" s="277" t="s">
        <v>1476</v>
      </c>
      <c r="H346" s="276"/>
      <c r="I346" s="276"/>
      <c r="J346" s="276"/>
      <c r="K346" s="276"/>
      <c r="L346" s="276"/>
      <c r="M346" s="276"/>
      <c r="N346" s="276"/>
      <c r="O346" s="276"/>
      <c r="P346" s="345">
        <f t="shared" si="17"/>
        <v>0</v>
      </c>
      <c r="Q346" s="277"/>
      <c r="R346" s="277"/>
      <c r="S346" s="277"/>
      <c r="T346" s="277"/>
      <c r="U346" s="277"/>
      <c r="V346" s="277"/>
      <c r="W346" s="277"/>
      <c r="X346" s="368"/>
      <c r="Y346" s="346">
        <f t="shared" si="18"/>
        <v>0</v>
      </c>
      <c r="Z346" s="165"/>
      <c r="AA346" s="165"/>
      <c r="AB346" s="165"/>
      <c r="AC346" s="165"/>
      <c r="AD346" s="165"/>
      <c r="AE346" s="165"/>
      <c r="AF346" s="165">
        <v>1</v>
      </c>
      <c r="AG346" s="368">
        <v>43341</v>
      </c>
      <c r="AH346" s="346">
        <f t="shared" si="16"/>
        <v>1</v>
      </c>
      <c r="AI346" s="165"/>
      <c r="AJ346" s="11" t="s">
        <v>2491</v>
      </c>
      <c r="AK346" s="277"/>
      <c r="AL346" s="11"/>
      <c r="AM346" s="11"/>
      <c r="AN346" s="277"/>
      <c r="AO346" s="277"/>
      <c r="AP346" s="277"/>
      <c r="AQ346" s="277"/>
      <c r="AR346" s="338"/>
      <c r="AS346" s="275"/>
      <c r="AT346" s="306"/>
    </row>
    <row r="347" spans="1:46" s="262" customFormat="1" x14ac:dyDescent="0.25">
      <c r="A347" s="277"/>
      <c r="B347" s="367" t="s">
        <v>1660</v>
      </c>
      <c r="C347" s="367" t="s">
        <v>1983</v>
      </c>
      <c r="D347" s="277"/>
      <c r="E347" s="367" t="s">
        <v>2325</v>
      </c>
      <c r="F347" s="11" t="s">
        <v>1474</v>
      </c>
      <c r="G347" s="277" t="s">
        <v>1476</v>
      </c>
      <c r="H347" s="276"/>
      <c r="I347" s="276"/>
      <c r="J347" s="276"/>
      <c r="K347" s="276"/>
      <c r="L347" s="276"/>
      <c r="M347" s="276"/>
      <c r="N347" s="276"/>
      <c r="O347" s="276"/>
      <c r="P347" s="345">
        <f t="shared" si="17"/>
        <v>0</v>
      </c>
      <c r="Q347" s="277"/>
      <c r="R347" s="277"/>
      <c r="S347" s="277"/>
      <c r="T347" s="277"/>
      <c r="U347" s="277"/>
      <c r="V347" s="277"/>
      <c r="W347" s="277"/>
      <c r="X347" s="368"/>
      <c r="Y347" s="346">
        <f t="shared" si="18"/>
        <v>0</v>
      </c>
      <c r="Z347" s="165"/>
      <c r="AA347" s="165"/>
      <c r="AB347" s="165"/>
      <c r="AC347" s="165"/>
      <c r="AD347" s="165"/>
      <c r="AE347" s="165"/>
      <c r="AF347" s="165">
        <v>1</v>
      </c>
      <c r="AG347" s="368">
        <v>43333</v>
      </c>
      <c r="AH347" s="346">
        <f t="shared" si="16"/>
        <v>1</v>
      </c>
      <c r="AI347" s="165"/>
      <c r="AJ347" s="11" t="s">
        <v>2491</v>
      </c>
      <c r="AK347" s="277"/>
      <c r="AL347" s="11"/>
      <c r="AM347" s="11"/>
      <c r="AN347" s="277"/>
      <c r="AO347" s="277"/>
      <c r="AP347" s="277"/>
      <c r="AQ347" s="277"/>
      <c r="AR347" s="338"/>
      <c r="AS347" s="275"/>
      <c r="AT347" s="306"/>
    </row>
    <row r="348" spans="1:46" s="262" customFormat="1" x14ac:dyDescent="0.25">
      <c r="A348" s="277"/>
      <c r="B348" s="367" t="s">
        <v>1661</v>
      </c>
      <c r="C348" s="367" t="s">
        <v>1984</v>
      </c>
      <c r="D348" s="277"/>
      <c r="E348" s="367" t="s">
        <v>2326</v>
      </c>
      <c r="F348" s="11" t="s">
        <v>1474</v>
      </c>
      <c r="G348" s="277" t="s">
        <v>1476</v>
      </c>
      <c r="H348" s="276"/>
      <c r="I348" s="276"/>
      <c r="J348" s="276"/>
      <c r="K348" s="276"/>
      <c r="L348" s="276"/>
      <c r="M348" s="276"/>
      <c r="N348" s="276"/>
      <c r="O348" s="276"/>
      <c r="P348" s="345">
        <f t="shared" si="17"/>
        <v>0</v>
      </c>
      <c r="Q348" s="277"/>
      <c r="R348" s="277"/>
      <c r="S348" s="277"/>
      <c r="T348" s="277"/>
      <c r="U348" s="277"/>
      <c r="V348" s="277"/>
      <c r="W348" s="277"/>
      <c r="X348" s="368"/>
      <c r="Y348" s="346">
        <f t="shared" si="18"/>
        <v>0</v>
      </c>
      <c r="Z348" s="165"/>
      <c r="AA348" s="165"/>
      <c r="AB348" s="165"/>
      <c r="AC348" s="165"/>
      <c r="AD348" s="165"/>
      <c r="AE348" s="165"/>
      <c r="AF348" s="165">
        <v>1</v>
      </c>
      <c r="AG348" s="368">
        <v>43343</v>
      </c>
      <c r="AH348" s="346">
        <f t="shared" si="16"/>
        <v>1</v>
      </c>
      <c r="AI348" s="165"/>
      <c r="AJ348" s="11" t="s">
        <v>2491</v>
      </c>
      <c r="AK348" s="277"/>
      <c r="AL348" s="11"/>
      <c r="AM348" s="11"/>
      <c r="AN348" s="277"/>
      <c r="AO348" s="277"/>
      <c r="AP348" s="277"/>
      <c r="AQ348" s="277"/>
      <c r="AR348" s="338"/>
      <c r="AS348" s="275"/>
      <c r="AT348" s="306"/>
    </row>
    <row r="349" spans="1:46" s="262" customFormat="1" x14ac:dyDescent="0.25">
      <c r="A349" s="277"/>
      <c r="B349" s="367" t="s">
        <v>1662</v>
      </c>
      <c r="C349" s="367" t="s">
        <v>1985</v>
      </c>
      <c r="D349" s="277"/>
      <c r="E349" s="367" t="s">
        <v>2327</v>
      </c>
      <c r="F349" s="11" t="s">
        <v>1474</v>
      </c>
      <c r="G349" s="277" t="s">
        <v>1476</v>
      </c>
      <c r="H349" s="276"/>
      <c r="I349" s="276"/>
      <c r="J349" s="276"/>
      <c r="K349" s="276"/>
      <c r="L349" s="276"/>
      <c r="M349" s="276"/>
      <c r="N349" s="276"/>
      <c r="O349" s="276"/>
      <c r="P349" s="345">
        <f t="shared" si="17"/>
        <v>0</v>
      </c>
      <c r="Q349" s="277"/>
      <c r="R349" s="277"/>
      <c r="S349" s="277"/>
      <c r="T349" s="277"/>
      <c r="U349" s="277"/>
      <c r="V349" s="277"/>
      <c r="W349" s="277"/>
      <c r="X349" s="368"/>
      <c r="Y349" s="346">
        <f t="shared" si="18"/>
        <v>0</v>
      </c>
      <c r="Z349" s="165"/>
      <c r="AA349" s="165"/>
      <c r="AB349" s="165"/>
      <c r="AC349" s="165"/>
      <c r="AD349" s="165"/>
      <c r="AE349" s="165"/>
      <c r="AF349" s="165">
        <v>1</v>
      </c>
      <c r="AG349" s="368">
        <v>43325</v>
      </c>
      <c r="AH349" s="346">
        <f t="shared" si="16"/>
        <v>1</v>
      </c>
      <c r="AI349" s="165"/>
      <c r="AJ349" s="11" t="s">
        <v>2491</v>
      </c>
      <c r="AK349" s="277"/>
      <c r="AL349" s="11"/>
      <c r="AM349" s="11"/>
      <c r="AN349" s="277"/>
      <c r="AO349" s="277"/>
      <c r="AP349" s="277"/>
      <c r="AQ349" s="277"/>
      <c r="AR349" s="338"/>
      <c r="AS349" s="275"/>
      <c r="AT349" s="306"/>
    </row>
    <row r="350" spans="1:46" s="262" customFormat="1" x14ac:dyDescent="0.25">
      <c r="A350" s="277"/>
      <c r="B350" s="367" t="s">
        <v>1663</v>
      </c>
      <c r="C350" s="367" t="s">
        <v>1986</v>
      </c>
      <c r="D350" s="277"/>
      <c r="E350" s="367" t="s">
        <v>2328</v>
      </c>
      <c r="F350" s="11" t="s">
        <v>1474</v>
      </c>
      <c r="G350" s="277" t="s">
        <v>1476</v>
      </c>
      <c r="H350" s="276"/>
      <c r="I350" s="276"/>
      <c r="J350" s="276"/>
      <c r="K350" s="276"/>
      <c r="L350" s="276"/>
      <c r="M350" s="276"/>
      <c r="N350" s="276"/>
      <c r="O350" s="276"/>
      <c r="P350" s="345">
        <f t="shared" si="17"/>
        <v>0</v>
      </c>
      <c r="Q350" s="277"/>
      <c r="R350" s="277"/>
      <c r="S350" s="277"/>
      <c r="T350" s="277"/>
      <c r="U350" s="277"/>
      <c r="V350" s="277"/>
      <c r="W350" s="277"/>
      <c r="X350" s="368"/>
      <c r="Y350" s="346">
        <f t="shared" si="18"/>
        <v>0</v>
      </c>
      <c r="Z350" s="165"/>
      <c r="AA350" s="165"/>
      <c r="AB350" s="165"/>
      <c r="AC350" s="165"/>
      <c r="AD350" s="165"/>
      <c r="AE350" s="165"/>
      <c r="AF350" s="165">
        <v>1</v>
      </c>
      <c r="AG350" s="368">
        <v>43326</v>
      </c>
      <c r="AH350" s="346">
        <f t="shared" si="16"/>
        <v>1</v>
      </c>
      <c r="AI350" s="165"/>
      <c r="AJ350" s="11" t="s">
        <v>2491</v>
      </c>
      <c r="AK350" s="277"/>
      <c r="AL350" s="11"/>
      <c r="AM350" s="11"/>
      <c r="AN350" s="277"/>
      <c r="AO350" s="277"/>
      <c r="AP350" s="277"/>
      <c r="AQ350" s="277"/>
      <c r="AR350" s="338"/>
      <c r="AS350" s="275"/>
      <c r="AT350" s="306"/>
    </row>
    <row r="351" spans="1:46" s="262" customFormat="1" ht="26.4" x14ac:dyDescent="0.25">
      <c r="A351" s="277"/>
      <c r="B351" s="367" t="s">
        <v>1664</v>
      </c>
      <c r="C351" s="367" t="s">
        <v>1987</v>
      </c>
      <c r="D351" s="277"/>
      <c r="E351" s="367" t="s">
        <v>2329</v>
      </c>
      <c r="F351" s="11" t="s">
        <v>1474</v>
      </c>
      <c r="G351" s="277" t="s">
        <v>1476</v>
      </c>
      <c r="H351" s="276"/>
      <c r="I351" s="276"/>
      <c r="J351" s="276"/>
      <c r="K351" s="276"/>
      <c r="L351" s="276"/>
      <c r="M351" s="276"/>
      <c r="N351" s="276"/>
      <c r="O351" s="276"/>
      <c r="P351" s="345">
        <f t="shared" si="17"/>
        <v>0</v>
      </c>
      <c r="Q351" s="277"/>
      <c r="R351" s="277"/>
      <c r="S351" s="277"/>
      <c r="T351" s="277"/>
      <c r="U351" s="277"/>
      <c r="V351" s="277"/>
      <c r="W351" s="277"/>
      <c r="X351" s="368"/>
      <c r="Y351" s="346">
        <f t="shared" si="18"/>
        <v>0</v>
      </c>
      <c r="Z351" s="165"/>
      <c r="AA351" s="165"/>
      <c r="AB351" s="165"/>
      <c r="AC351" s="165"/>
      <c r="AD351" s="165"/>
      <c r="AE351" s="165"/>
      <c r="AF351" s="165">
        <v>1</v>
      </c>
      <c r="AG351" s="368">
        <v>43320</v>
      </c>
      <c r="AH351" s="346">
        <f t="shared" si="16"/>
        <v>1</v>
      </c>
      <c r="AI351" s="165"/>
      <c r="AJ351" s="11" t="s">
        <v>2491</v>
      </c>
      <c r="AK351" s="277"/>
      <c r="AL351" s="11"/>
      <c r="AM351" s="11"/>
      <c r="AN351" s="277"/>
      <c r="AO351" s="277"/>
      <c r="AP351" s="277"/>
      <c r="AQ351" s="277"/>
      <c r="AR351" s="338"/>
      <c r="AS351" s="275"/>
      <c r="AT351" s="306"/>
    </row>
    <row r="352" spans="1:46" s="262" customFormat="1" ht="26.4" x14ac:dyDescent="0.25">
      <c r="A352" s="277"/>
      <c r="B352" s="367" t="s">
        <v>1665</v>
      </c>
      <c r="C352" s="367" t="s">
        <v>1988</v>
      </c>
      <c r="D352" s="277"/>
      <c r="E352" s="367" t="s">
        <v>2330</v>
      </c>
      <c r="F352" s="11" t="s">
        <v>1474</v>
      </c>
      <c r="G352" s="277" t="s">
        <v>1476</v>
      </c>
      <c r="H352" s="276"/>
      <c r="I352" s="276"/>
      <c r="J352" s="276"/>
      <c r="K352" s="276"/>
      <c r="L352" s="276"/>
      <c r="M352" s="276"/>
      <c r="N352" s="276"/>
      <c r="O352" s="276"/>
      <c r="P352" s="345">
        <f t="shared" si="17"/>
        <v>0</v>
      </c>
      <c r="Q352" s="277"/>
      <c r="R352" s="277"/>
      <c r="S352" s="277"/>
      <c r="T352" s="277"/>
      <c r="U352" s="277"/>
      <c r="V352" s="277"/>
      <c r="W352" s="277"/>
      <c r="X352" s="368"/>
      <c r="Y352" s="346">
        <f t="shared" si="18"/>
        <v>0</v>
      </c>
      <c r="Z352" s="165"/>
      <c r="AA352" s="165"/>
      <c r="AB352" s="165"/>
      <c r="AC352" s="165"/>
      <c r="AD352" s="165"/>
      <c r="AE352" s="165"/>
      <c r="AF352" s="165">
        <v>1</v>
      </c>
      <c r="AG352" s="368">
        <v>43308</v>
      </c>
      <c r="AH352" s="346">
        <f t="shared" si="16"/>
        <v>1</v>
      </c>
      <c r="AI352" s="165"/>
      <c r="AJ352" s="11" t="s">
        <v>2491</v>
      </c>
      <c r="AK352" s="277"/>
      <c r="AL352" s="11"/>
      <c r="AM352" s="11"/>
      <c r="AN352" s="277"/>
      <c r="AO352" s="277"/>
      <c r="AP352" s="277"/>
      <c r="AQ352" s="277"/>
      <c r="AR352" s="338"/>
      <c r="AS352" s="275"/>
      <c r="AT352" s="306"/>
    </row>
    <row r="353" spans="1:46" s="262" customFormat="1" ht="26.4" x14ac:dyDescent="0.25">
      <c r="A353" s="277"/>
      <c r="B353" s="367" t="s">
        <v>1666</v>
      </c>
      <c r="C353" s="367" t="s">
        <v>1989</v>
      </c>
      <c r="D353" s="277"/>
      <c r="E353" s="367" t="s">
        <v>2331</v>
      </c>
      <c r="F353" s="11" t="s">
        <v>1474</v>
      </c>
      <c r="G353" s="277" t="s">
        <v>1476</v>
      </c>
      <c r="H353" s="276"/>
      <c r="I353" s="276"/>
      <c r="J353" s="276"/>
      <c r="K353" s="276"/>
      <c r="L353" s="276"/>
      <c r="M353" s="276"/>
      <c r="N353" s="276"/>
      <c r="O353" s="276"/>
      <c r="P353" s="345">
        <f t="shared" si="17"/>
        <v>0</v>
      </c>
      <c r="Q353" s="277"/>
      <c r="R353" s="277"/>
      <c r="S353" s="277"/>
      <c r="T353" s="277"/>
      <c r="U353" s="277"/>
      <c r="V353" s="277"/>
      <c r="W353" s="277"/>
      <c r="X353" s="368"/>
      <c r="Y353" s="346">
        <f t="shared" si="18"/>
        <v>0</v>
      </c>
      <c r="Z353" s="165"/>
      <c r="AA353" s="165"/>
      <c r="AB353" s="165"/>
      <c r="AC353" s="165"/>
      <c r="AD353" s="165"/>
      <c r="AE353" s="165"/>
      <c r="AF353" s="165">
        <v>1</v>
      </c>
      <c r="AG353" s="368">
        <v>43306</v>
      </c>
      <c r="AH353" s="346">
        <f t="shared" ref="AH353:AH416" si="19">SUM(Z353:AF353)</f>
        <v>1</v>
      </c>
      <c r="AI353" s="165"/>
      <c r="AJ353" s="11" t="s">
        <v>2491</v>
      </c>
      <c r="AK353" s="277"/>
      <c r="AL353" s="11"/>
      <c r="AM353" s="11"/>
      <c r="AN353" s="277"/>
      <c r="AO353" s="277"/>
      <c r="AP353" s="277"/>
      <c r="AQ353" s="277"/>
      <c r="AR353" s="338"/>
      <c r="AS353" s="275"/>
      <c r="AT353" s="306"/>
    </row>
    <row r="354" spans="1:46" s="262" customFormat="1" ht="26.4" x14ac:dyDescent="0.25">
      <c r="A354" s="277"/>
      <c r="B354" s="367" t="s">
        <v>1667</v>
      </c>
      <c r="C354" s="367" t="s">
        <v>1990</v>
      </c>
      <c r="D354" s="277"/>
      <c r="E354" s="367" t="s">
        <v>2332</v>
      </c>
      <c r="F354" s="11" t="s">
        <v>1474</v>
      </c>
      <c r="G354" s="277" t="s">
        <v>1476</v>
      </c>
      <c r="H354" s="276"/>
      <c r="I354" s="276"/>
      <c r="J354" s="276"/>
      <c r="K354" s="276"/>
      <c r="L354" s="276"/>
      <c r="M354" s="276"/>
      <c r="N354" s="276"/>
      <c r="O354" s="276"/>
      <c r="P354" s="345">
        <f t="shared" si="17"/>
        <v>0</v>
      </c>
      <c r="Q354" s="277"/>
      <c r="R354" s="277"/>
      <c r="S354" s="277"/>
      <c r="T354" s="277"/>
      <c r="U354" s="277"/>
      <c r="V354" s="277"/>
      <c r="W354" s="277"/>
      <c r="X354" s="368"/>
      <c r="Y354" s="346">
        <f t="shared" si="18"/>
        <v>0</v>
      </c>
      <c r="Z354" s="165"/>
      <c r="AA354" s="165"/>
      <c r="AB354" s="165"/>
      <c r="AC354" s="165"/>
      <c r="AD354" s="165"/>
      <c r="AE354" s="165"/>
      <c r="AF354" s="165">
        <v>1</v>
      </c>
      <c r="AG354" s="368">
        <v>43336</v>
      </c>
      <c r="AH354" s="346">
        <f t="shared" si="19"/>
        <v>1</v>
      </c>
      <c r="AI354" s="165"/>
      <c r="AJ354" s="11" t="s">
        <v>2491</v>
      </c>
      <c r="AK354" s="277"/>
      <c r="AL354" s="11"/>
      <c r="AM354" s="11"/>
      <c r="AN354" s="277"/>
      <c r="AO354" s="277"/>
      <c r="AP354" s="277"/>
      <c r="AQ354" s="277"/>
      <c r="AR354" s="338"/>
      <c r="AS354" s="275"/>
      <c r="AT354" s="306"/>
    </row>
    <row r="355" spans="1:46" s="262" customFormat="1" ht="26.4" x14ac:dyDescent="0.25">
      <c r="A355" s="277"/>
      <c r="B355" s="367" t="s">
        <v>1668</v>
      </c>
      <c r="C355" s="367" t="s">
        <v>1991</v>
      </c>
      <c r="D355" s="277"/>
      <c r="E355" s="367" t="s">
        <v>2333</v>
      </c>
      <c r="F355" s="11" t="s">
        <v>1474</v>
      </c>
      <c r="G355" s="277" t="s">
        <v>1476</v>
      </c>
      <c r="H355" s="276"/>
      <c r="I355" s="276"/>
      <c r="J355" s="276"/>
      <c r="K355" s="276"/>
      <c r="L355" s="276"/>
      <c r="M355" s="276"/>
      <c r="N355" s="276"/>
      <c r="O355" s="276"/>
      <c r="P355" s="345">
        <f t="shared" si="17"/>
        <v>0</v>
      </c>
      <c r="Q355" s="277"/>
      <c r="R355" s="277"/>
      <c r="S355" s="277"/>
      <c r="T355" s="277"/>
      <c r="U355" s="277"/>
      <c r="V355" s="277"/>
      <c r="W355" s="277"/>
      <c r="X355" s="368"/>
      <c r="Y355" s="346">
        <f t="shared" si="18"/>
        <v>0</v>
      </c>
      <c r="Z355" s="165"/>
      <c r="AA355" s="165"/>
      <c r="AB355" s="165"/>
      <c r="AC355" s="165"/>
      <c r="AD355" s="165"/>
      <c r="AE355" s="165"/>
      <c r="AF355" s="165">
        <v>1</v>
      </c>
      <c r="AG355" s="368">
        <v>43299</v>
      </c>
      <c r="AH355" s="346">
        <f t="shared" si="19"/>
        <v>1</v>
      </c>
      <c r="AI355" s="165"/>
      <c r="AJ355" s="11" t="s">
        <v>2491</v>
      </c>
      <c r="AK355" s="277"/>
      <c r="AL355" s="11"/>
      <c r="AM355" s="11"/>
      <c r="AN355" s="277"/>
      <c r="AO355" s="277"/>
      <c r="AP355" s="277"/>
      <c r="AQ355" s="277"/>
      <c r="AR355" s="338"/>
      <c r="AS355" s="275"/>
      <c r="AT355" s="306"/>
    </row>
    <row r="356" spans="1:46" s="262" customFormat="1" ht="26.4" x14ac:dyDescent="0.25">
      <c r="A356" s="277"/>
      <c r="B356" s="367" t="s">
        <v>1669</v>
      </c>
      <c r="C356" s="367" t="s">
        <v>1992</v>
      </c>
      <c r="D356" s="277"/>
      <c r="E356" s="367" t="s">
        <v>2334</v>
      </c>
      <c r="F356" s="11" t="s">
        <v>1474</v>
      </c>
      <c r="G356" s="277" t="s">
        <v>1476</v>
      </c>
      <c r="H356" s="276"/>
      <c r="I356" s="276"/>
      <c r="J356" s="276"/>
      <c r="K356" s="276"/>
      <c r="L356" s="276"/>
      <c r="M356" s="276"/>
      <c r="N356" s="276"/>
      <c r="O356" s="276"/>
      <c r="P356" s="345">
        <f t="shared" si="17"/>
        <v>0</v>
      </c>
      <c r="Q356" s="277"/>
      <c r="R356" s="277"/>
      <c r="S356" s="277"/>
      <c r="T356" s="277"/>
      <c r="U356" s="277"/>
      <c r="V356" s="277"/>
      <c r="W356" s="277"/>
      <c r="X356" s="368"/>
      <c r="Y356" s="346">
        <f t="shared" si="18"/>
        <v>0</v>
      </c>
      <c r="Z356" s="165"/>
      <c r="AA356" s="165"/>
      <c r="AB356" s="165"/>
      <c r="AC356" s="165"/>
      <c r="AD356" s="165"/>
      <c r="AE356" s="165"/>
      <c r="AF356" s="165">
        <v>1</v>
      </c>
      <c r="AG356" s="368">
        <v>43293</v>
      </c>
      <c r="AH356" s="346">
        <f t="shared" si="19"/>
        <v>1</v>
      </c>
      <c r="AI356" s="165"/>
      <c r="AJ356" s="11" t="s">
        <v>2491</v>
      </c>
      <c r="AK356" s="277"/>
      <c r="AL356" s="11"/>
      <c r="AM356" s="11"/>
      <c r="AN356" s="277"/>
      <c r="AO356" s="277"/>
      <c r="AP356" s="277"/>
      <c r="AQ356" s="277"/>
      <c r="AR356" s="338"/>
      <c r="AS356" s="275"/>
      <c r="AT356" s="306"/>
    </row>
    <row r="357" spans="1:46" s="262" customFormat="1" ht="26.4" x14ac:dyDescent="0.25">
      <c r="A357" s="277"/>
      <c r="B357" s="367" t="s">
        <v>1670</v>
      </c>
      <c r="C357" s="367" t="s">
        <v>1993</v>
      </c>
      <c r="D357" s="277"/>
      <c r="E357" s="367" t="s">
        <v>2335</v>
      </c>
      <c r="F357" s="11" t="s">
        <v>1474</v>
      </c>
      <c r="G357" s="277" t="s">
        <v>1476</v>
      </c>
      <c r="H357" s="276"/>
      <c r="I357" s="276"/>
      <c r="J357" s="276"/>
      <c r="K357" s="276"/>
      <c r="L357" s="276"/>
      <c r="M357" s="276"/>
      <c r="N357" s="276"/>
      <c r="O357" s="276"/>
      <c r="P357" s="345">
        <f t="shared" si="17"/>
        <v>0</v>
      </c>
      <c r="Q357" s="277"/>
      <c r="R357" s="277"/>
      <c r="S357" s="277"/>
      <c r="T357" s="277"/>
      <c r="U357" s="277"/>
      <c r="V357" s="277"/>
      <c r="W357" s="277"/>
      <c r="X357" s="368"/>
      <c r="Y357" s="346">
        <f t="shared" si="18"/>
        <v>0</v>
      </c>
      <c r="Z357" s="165"/>
      <c r="AA357" s="165"/>
      <c r="AB357" s="165"/>
      <c r="AC357" s="165"/>
      <c r="AD357" s="165"/>
      <c r="AE357" s="165"/>
      <c r="AF357" s="165">
        <v>1</v>
      </c>
      <c r="AG357" s="368">
        <v>43286</v>
      </c>
      <c r="AH357" s="346">
        <f t="shared" si="19"/>
        <v>1</v>
      </c>
      <c r="AI357" s="165"/>
      <c r="AJ357" s="11" t="s">
        <v>2491</v>
      </c>
      <c r="AK357" s="277"/>
      <c r="AL357" s="11"/>
      <c r="AM357" s="11"/>
      <c r="AN357" s="277"/>
      <c r="AO357" s="277"/>
      <c r="AP357" s="277"/>
      <c r="AQ357" s="277"/>
      <c r="AR357" s="338"/>
      <c r="AS357" s="275"/>
      <c r="AT357" s="306"/>
    </row>
    <row r="358" spans="1:46" s="262" customFormat="1" x14ac:dyDescent="0.25">
      <c r="A358" s="277"/>
      <c r="B358" s="367" t="s">
        <v>1507</v>
      </c>
      <c r="C358" s="367" t="s">
        <v>1827</v>
      </c>
      <c r="D358" s="277"/>
      <c r="E358" s="367" t="s">
        <v>2169</v>
      </c>
      <c r="F358" s="11" t="s">
        <v>1474</v>
      </c>
      <c r="G358" s="277" t="s">
        <v>1476</v>
      </c>
      <c r="H358" s="276"/>
      <c r="I358" s="276"/>
      <c r="J358" s="276"/>
      <c r="K358" s="276"/>
      <c r="L358" s="276"/>
      <c r="M358" s="276"/>
      <c r="N358" s="276"/>
      <c r="O358" s="276"/>
      <c r="P358" s="345">
        <f t="shared" si="17"/>
        <v>0</v>
      </c>
      <c r="Q358" s="277"/>
      <c r="R358" s="277"/>
      <c r="S358" s="277"/>
      <c r="T358" s="277"/>
      <c r="U358" s="277"/>
      <c r="V358" s="277"/>
      <c r="W358" s="277"/>
      <c r="X358" s="368"/>
      <c r="Y358" s="346">
        <f t="shared" si="18"/>
        <v>0</v>
      </c>
      <c r="Z358" s="165"/>
      <c r="AA358" s="165"/>
      <c r="AB358" s="165"/>
      <c r="AC358" s="165"/>
      <c r="AD358" s="165"/>
      <c r="AE358" s="165"/>
      <c r="AF358" s="165">
        <v>1</v>
      </c>
      <c r="AG358" s="368">
        <v>43439</v>
      </c>
      <c r="AH358" s="346">
        <f t="shared" si="19"/>
        <v>1</v>
      </c>
      <c r="AI358" s="165"/>
      <c r="AJ358" s="11" t="s">
        <v>2491</v>
      </c>
      <c r="AK358" s="277"/>
      <c r="AL358" s="11"/>
      <c r="AM358" s="11"/>
      <c r="AN358" s="277"/>
      <c r="AO358" s="277"/>
      <c r="AP358" s="277"/>
      <c r="AQ358" s="277"/>
      <c r="AR358" s="338"/>
      <c r="AS358" s="275"/>
      <c r="AT358" s="306"/>
    </row>
    <row r="359" spans="1:46" s="262" customFormat="1" x14ac:dyDescent="0.25">
      <c r="A359" s="277"/>
      <c r="B359" s="367" t="s">
        <v>1508</v>
      </c>
      <c r="C359" s="367" t="s">
        <v>1828</v>
      </c>
      <c r="D359" s="277"/>
      <c r="E359" s="367" t="s">
        <v>2170</v>
      </c>
      <c r="F359" s="11" t="s">
        <v>1474</v>
      </c>
      <c r="G359" s="277" t="s">
        <v>1476</v>
      </c>
      <c r="H359" s="276"/>
      <c r="I359" s="276"/>
      <c r="J359" s="276"/>
      <c r="K359" s="276"/>
      <c r="L359" s="276"/>
      <c r="M359" s="276"/>
      <c r="N359" s="276"/>
      <c r="O359" s="276"/>
      <c r="P359" s="345">
        <f t="shared" si="17"/>
        <v>0</v>
      </c>
      <c r="Q359" s="277"/>
      <c r="R359" s="277"/>
      <c r="S359" s="277"/>
      <c r="T359" s="277"/>
      <c r="U359" s="277"/>
      <c r="V359" s="277"/>
      <c r="W359" s="277"/>
      <c r="X359" s="368"/>
      <c r="Y359" s="346">
        <f t="shared" si="18"/>
        <v>0</v>
      </c>
      <c r="Z359" s="165"/>
      <c r="AA359" s="165"/>
      <c r="AB359" s="165"/>
      <c r="AC359" s="165"/>
      <c r="AD359" s="165"/>
      <c r="AE359" s="165"/>
      <c r="AF359" s="165">
        <v>1</v>
      </c>
      <c r="AG359" s="368">
        <v>43336</v>
      </c>
      <c r="AH359" s="346">
        <f t="shared" si="19"/>
        <v>1</v>
      </c>
      <c r="AI359" s="165"/>
      <c r="AJ359" s="11" t="s">
        <v>2491</v>
      </c>
      <c r="AK359" s="277"/>
      <c r="AL359" s="11"/>
      <c r="AM359" s="11"/>
      <c r="AN359" s="277"/>
      <c r="AO359" s="277"/>
      <c r="AP359" s="277"/>
      <c r="AQ359" s="277"/>
      <c r="AR359" s="338"/>
      <c r="AS359" s="275"/>
      <c r="AT359" s="306"/>
    </row>
    <row r="360" spans="1:46" s="262" customFormat="1" x14ac:dyDescent="0.25">
      <c r="A360" s="277"/>
      <c r="B360" s="367" t="s">
        <v>1509</v>
      </c>
      <c r="C360" s="367" t="s">
        <v>1829</v>
      </c>
      <c r="D360" s="277"/>
      <c r="E360" s="367" t="s">
        <v>2171</v>
      </c>
      <c r="F360" s="11" t="s">
        <v>1474</v>
      </c>
      <c r="G360" s="277" t="s">
        <v>1476</v>
      </c>
      <c r="H360" s="276"/>
      <c r="I360" s="276"/>
      <c r="J360" s="276"/>
      <c r="K360" s="276"/>
      <c r="L360" s="276"/>
      <c r="M360" s="276"/>
      <c r="N360" s="276"/>
      <c r="O360" s="276"/>
      <c r="P360" s="345">
        <f t="shared" si="17"/>
        <v>0</v>
      </c>
      <c r="Q360" s="277"/>
      <c r="R360" s="277"/>
      <c r="S360" s="277"/>
      <c r="T360" s="277"/>
      <c r="U360" s="277"/>
      <c r="V360" s="277"/>
      <c r="W360" s="277"/>
      <c r="X360" s="368"/>
      <c r="Y360" s="346">
        <f t="shared" si="18"/>
        <v>0</v>
      </c>
      <c r="Z360" s="165"/>
      <c r="AA360" s="165"/>
      <c r="AB360" s="165"/>
      <c r="AC360" s="165"/>
      <c r="AD360" s="165"/>
      <c r="AE360" s="165"/>
      <c r="AF360" s="165">
        <v>1</v>
      </c>
      <c r="AG360" s="368">
        <v>43454</v>
      </c>
      <c r="AH360" s="346">
        <f t="shared" si="19"/>
        <v>1</v>
      </c>
      <c r="AI360" s="165"/>
      <c r="AJ360" s="11" t="s">
        <v>2491</v>
      </c>
      <c r="AK360" s="277"/>
      <c r="AL360" s="11"/>
      <c r="AM360" s="11"/>
      <c r="AN360" s="277"/>
      <c r="AO360" s="277"/>
      <c r="AP360" s="277"/>
      <c r="AQ360" s="277"/>
      <c r="AR360" s="338"/>
      <c r="AS360" s="275"/>
      <c r="AT360" s="306"/>
    </row>
    <row r="361" spans="1:46" s="262" customFormat="1" x14ac:dyDescent="0.25">
      <c r="A361" s="277"/>
      <c r="B361" s="367" t="s">
        <v>1510</v>
      </c>
      <c r="C361" s="367" t="s">
        <v>1830</v>
      </c>
      <c r="D361" s="277"/>
      <c r="E361" s="367" t="s">
        <v>2172</v>
      </c>
      <c r="F361" s="11" t="s">
        <v>1474</v>
      </c>
      <c r="G361" s="277" t="s">
        <v>1476</v>
      </c>
      <c r="H361" s="276"/>
      <c r="I361" s="276"/>
      <c r="J361" s="276"/>
      <c r="K361" s="276"/>
      <c r="L361" s="276"/>
      <c r="M361" s="276"/>
      <c r="N361" s="276"/>
      <c r="O361" s="276"/>
      <c r="P361" s="345">
        <f t="shared" si="17"/>
        <v>0</v>
      </c>
      <c r="Q361" s="277"/>
      <c r="R361" s="277"/>
      <c r="S361" s="277"/>
      <c r="T361" s="277"/>
      <c r="U361" s="277"/>
      <c r="V361" s="277"/>
      <c r="W361" s="277"/>
      <c r="X361" s="368"/>
      <c r="Y361" s="346">
        <f t="shared" si="18"/>
        <v>0</v>
      </c>
      <c r="Z361" s="165"/>
      <c r="AA361" s="165"/>
      <c r="AB361" s="165"/>
      <c r="AC361" s="165"/>
      <c r="AD361" s="165"/>
      <c r="AE361" s="165"/>
      <c r="AF361" s="165">
        <v>1</v>
      </c>
      <c r="AG361" s="368">
        <v>43308</v>
      </c>
      <c r="AH361" s="346">
        <f t="shared" si="19"/>
        <v>1</v>
      </c>
      <c r="AI361" s="165"/>
      <c r="AJ361" s="11" t="s">
        <v>2491</v>
      </c>
      <c r="AK361" s="277"/>
      <c r="AL361" s="11"/>
      <c r="AM361" s="11"/>
      <c r="AN361" s="277"/>
      <c r="AO361" s="277"/>
      <c r="AP361" s="277"/>
      <c r="AQ361" s="277"/>
      <c r="AR361" s="338"/>
      <c r="AS361" s="275"/>
      <c r="AT361" s="306"/>
    </row>
    <row r="362" spans="1:46" s="262" customFormat="1" x14ac:dyDescent="0.25">
      <c r="A362" s="277"/>
      <c r="B362" s="367" t="s">
        <v>1514</v>
      </c>
      <c r="C362" s="367" t="s">
        <v>1834</v>
      </c>
      <c r="D362" s="277"/>
      <c r="E362" s="367" t="s">
        <v>2176</v>
      </c>
      <c r="F362" s="11" t="s">
        <v>1474</v>
      </c>
      <c r="G362" s="277" t="s">
        <v>1476</v>
      </c>
      <c r="H362" s="276"/>
      <c r="I362" s="276"/>
      <c r="J362" s="276"/>
      <c r="K362" s="276"/>
      <c r="L362" s="276"/>
      <c r="M362" s="276"/>
      <c r="N362" s="276"/>
      <c r="O362" s="276"/>
      <c r="P362" s="345">
        <f t="shared" si="17"/>
        <v>0</v>
      </c>
      <c r="Q362" s="277"/>
      <c r="R362" s="277"/>
      <c r="S362" s="277"/>
      <c r="T362" s="277"/>
      <c r="U362" s="277"/>
      <c r="V362" s="277"/>
      <c r="W362" s="277"/>
      <c r="X362" s="368"/>
      <c r="Y362" s="346">
        <f t="shared" si="18"/>
        <v>0</v>
      </c>
      <c r="Z362" s="165"/>
      <c r="AA362" s="165"/>
      <c r="AB362" s="165"/>
      <c r="AC362" s="165"/>
      <c r="AD362" s="165"/>
      <c r="AE362" s="165"/>
      <c r="AF362" s="165">
        <v>1</v>
      </c>
      <c r="AG362" s="368">
        <v>43349</v>
      </c>
      <c r="AH362" s="346">
        <f t="shared" si="19"/>
        <v>1</v>
      </c>
      <c r="AI362" s="165"/>
      <c r="AJ362" s="11" t="s">
        <v>2491</v>
      </c>
      <c r="AK362" s="277"/>
      <c r="AL362" s="11"/>
      <c r="AM362" s="11"/>
      <c r="AN362" s="277"/>
      <c r="AO362" s="277"/>
      <c r="AP362" s="277"/>
      <c r="AQ362" s="277"/>
      <c r="AR362" s="338"/>
      <c r="AS362" s="275"/>
      <c r="AT362" s="306"/>
    </row>
    <row r="363" spans="1:46" s="262" customFormat="1" x14ac:dyDescent="0.25">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5">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5">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5">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5">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5">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5">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5">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5">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5">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5">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5">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5">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5">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5">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5">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5">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5">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5">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5">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5">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5">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5">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5">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5">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5">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5">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5">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5">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5">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5">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5">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5">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5">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5">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5">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5">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5">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5">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5">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5">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5">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5">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5">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5">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5">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5">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5">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5">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5">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5">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5">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5">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5">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5">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5">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5">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5">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5">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5">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5">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5">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5">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5">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5">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5">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5">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5">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5">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5">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5">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5">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5">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5">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5">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5">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5">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5">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5">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5">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5">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5">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5">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5">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5">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5">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5">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5">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5">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5">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5">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5">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5">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5">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5">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5">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5">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5">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5">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5">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5">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5">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5">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5">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5">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5">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5">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5">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5">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5">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5">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5">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5">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5">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5">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5">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5">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5">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5">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5">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5">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5">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5">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5">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5">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5">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5">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5">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5">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5">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5">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5">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5">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5">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5">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5">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5">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5">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5">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5">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5">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5">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5">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5">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5">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5">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5">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5">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5">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5">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5">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5">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5">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5">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5">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5">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5">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5">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5">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5">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5">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5">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5">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5">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5">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5">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5">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5">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5">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5">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5">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5">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5">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5">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5">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5">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5">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5">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5">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5">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5">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5">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5">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5">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5">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5">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5">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5">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5">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5">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5">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5">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5">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5">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5">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5">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5">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5">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5">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5">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5">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5">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5">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5">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5">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5">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5">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5">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5">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5">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5">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5">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5">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5">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5">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5">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5">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5">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5">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5">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5">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5">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5">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5">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5">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5">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5">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5">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5">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5">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5">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5">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5">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5">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5">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5">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5">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5">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5">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5">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5">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5">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5">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5">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5">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5">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5">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5">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5">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5">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5">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5">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5">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5">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5">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5">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5">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5">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5">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5">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5">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5">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5">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5">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5">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5">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5">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5">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5">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5">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5">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5">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5">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5">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5">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5">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5">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5">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5">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5">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5">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5">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5">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5">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5">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5">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5">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5">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5">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5">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5">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5">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5">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5">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5">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5">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5">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5">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5">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5">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5">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5">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5">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5">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5">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5">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5">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5">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5">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5">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5">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5">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5">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5">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5">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5">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5">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5">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5">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5">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5">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5">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5">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5">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5">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5">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5">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5">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5">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5">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5">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5">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5">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5">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5">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5">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5">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5">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5">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5">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5">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5">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5">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5">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5">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5">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5">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5">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5">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5">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5">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5">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5">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5">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5">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5">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5">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5">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5">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5">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5">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5">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5">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5">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5">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5">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5">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5">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5">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5">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5">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5">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5">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5">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5">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5">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5">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5">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5">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5">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5">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5">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5">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5">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5">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5">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5">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5">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5">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5">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5">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5">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5">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5">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5">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5">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5">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5">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5">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5">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5">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5">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5">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5">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5">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5">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5">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5">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5">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5">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5">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5">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5">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5">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5">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5">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5">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5">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5">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5">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5">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5">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5">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5">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5">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5">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5">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5">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5">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5">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5">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5">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5">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5">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5">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5">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5">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5">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5">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5">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5">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5">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5">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5">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5">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5">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5">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5">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5">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5">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5">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5">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5">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5">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5">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5">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5">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5">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5">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5">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5">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5">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5">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5">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5">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5">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5">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5">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5">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5">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5">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5">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5">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5">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5">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5">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5">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5">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5">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5">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5">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5">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5">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5">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5">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5">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5">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5">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5">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5">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5">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5">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5">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5">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5">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5">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5">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5">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5">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5">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5">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5">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5">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5">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5">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5">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5">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5">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5">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5">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5">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5">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5">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5">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5">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5">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5">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5">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5">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5">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5">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5">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5">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5">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5">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5">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5">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5">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5">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5">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5">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5">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5">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5">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5">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5">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5">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5">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5">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5">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5">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5">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5">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5">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5">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5">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5">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5">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5">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5">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5">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5">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5">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5">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5">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5">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5">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5">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5">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5">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5">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5">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5">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5">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5">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5">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5">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5">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5">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5">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5">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5">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5">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5">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5">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5">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5">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5">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5">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5">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5">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5">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5">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5">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5">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5">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5">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5">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5">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5">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5">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5">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5">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5">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5">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5">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5">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5">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5">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5">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5">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5">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5">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5">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5">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5">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5">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5">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5">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5">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5">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5">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5">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5">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5">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5">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5">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5">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5">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5">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5">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5">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5">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5">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5">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5">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5">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5">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5">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5">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5">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5">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5">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5">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5">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5">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5">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5">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MmoUjpE00CnFsbC7diyz+ztF9DVo2/4rFAWIU6P2u1rql/23ejBaJM/579PiPMTfr3TS/4Vhp3GH1eUZqtZ4w==" saltValue="zMXEWKcObc3usv+9jZcLw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2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95" t="s">
        <v>1262</v>
      </c>
    </row>
    <row r="3" spans="1:2" x14ac:dyDescent="0.3">
      <c r="A3" t="s">
        <v>1291</v>
      </c>
      <c r="B3" s="95"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C26" sqref="C26"/>
    </sheetView>
  </sheetViews>
  <sheetFormatPr defaultColWidth="0" defaultRowHeight="13.8" x14ac:dyDescent="0.25"/>
  <cols>
    <col min="1" max="1" width="18.44140625" style="241" customWidth="1"/>
    <col min="2" max="2" width="19.88671875" style="241" bestFit="1" customWidth="1"/>
    <col min="3" max="3" width="17.109375" style="241" customWidth="1"/>
    <col min="4" max="14" width="15.6640625" style="241" customWidth="1"/>
    <col min="15" max="15" width="1.6640625" style="241" customWidth="1"/>
    <col min="16" max="16384" width="8.88671875" style="241" hidden="1"/>
  </cols>
  <sheetData>
    <row r="1" spans="1:21" s="255" customFormat="1" ht="20.25" customHeight="1" x14ac:dyDescent="0.4">
      <c r="A1" s="428" t="s">
        <v>8</v>
      </c>
      <c r="B1" s="428"/>
      <c r="C1" s="428"/>
      <c r="D1" s="428"/>
      <c r="E1" s="428"/>
      <c r="F1" s="428"/>
      <c r="G1" s="428"/>
      <c r="H1" s="428"/>
      <c r="I1" s="428"/>
      <c r="J1" s="428"/>
      <c r="K1" s="428"/>
      <c r="L1" s="428"/>
      <c r="M1" s="428"/>
      <c r="N1" s="428"/>
      <c r="O1" s="74"/>
      <c r="P1" s="74"/>
      <c r="Q1" s="74"/>
      <c r="R1" s="74"/>
      <c r="S1" s="74"/>
      <c r="T1" s="74"/>
      <c r="U1" s="74"/>
    </row>
    <row r="2" spans="1:21" s="255" customFormat="1" ht="20.25" customHeight="1" x14ac:dyDescent="0.35">
      <c r="A2" s="429" t="s">
        <v>9</v>
      </c>
      <c r="B2" s="429"/>
      <c r="C2" s="429"/>
      <c r="D2" s="429"/>
      <c r="E2" s="429"/>
      <c r="F2" s="429"/>
      <c r="G2" s="429"/>
      <c r="H2" s="429"/>
      <c r="I2" s="429"/>
      <c r="J2" s="429"/>
      <c r="K2" s="429"/>
      <c r="L2" s="429"/>
      <c r="M2" s="429"/>
      <c r="N2" s="429"/>
      <c r="O2" s="75"/>
      <c r="P2" s="75"/>
      <c r="Q2" s="75"/>
      <c r="R2" s="75"/>
      <c r="S2" s="75"/>
      <c r="T2" s="75"/>
      <c r="U2" s="75"/>
    </row>
    <row r="3" spans="1:21" s="255" customFormat="1" ht="24" customHeight="1" thickBot="1" x14ac:dyDescent="0.3">
      <c r="A3" s="424" t="s">
        <v>1376</v>
      </c>
      <c r="B3" s="424"/>
      <c r="C3" s="424"/>
      <c r="D3" s="424"/>
      <c r="E3" s="424"/>
      <c r="F3" s="424"/>
      <c r="G3" s="424"/>
      <c r="H3" s="424"/>
      <c r="I3" s="424"/>
      <c r="J3" s="424"/>
      <c r="K3" s="424"/>
      <c r="L3" s="424"/>
      <c r="M3" s="424"/>
      <c r="N3" s="424"/>
      <c r="O3" s="76"/>
      <c r="P3" s="76"/>
      <c r="Q3" s="76"/>
      <c r="R3" s="76"/>
      <c r="S3" s="76"/>
      <c r="T3" s="76"/>
      <c r="U3" s="76"/>
    </row>
    <row r="4" spans="1:21" s="79" customFormat="1" ht="33.75" customHeight="1" x14ac:dyDescent="0.25">
      <c r="A4" s="319" t="s">
        <v>10</v>
      </c>
      <c r="B4" s="238" t="str">
        <f>'Start Here'!B4:D4</f>
        <v>Oakley</v>
      </c>
      <c r="C4" s="317"/>
      <c r="D4" s="78"/>
      <c r="E4" s="78"/>
      <c r="F4" s="78"/>
      <c r="G4" s="78"/>
      <c r="H4" s="78"/>
      <c r="I4" s="437" t="s">
        <v>1370</v>
      </c>
      <c r="J4" s="438"/>
      <c r="K4" s="438"/>
      <c r="L4" s="438"/>
      <c r="M4" s="439"/>
    </row>
    <row r="5" spans="1:21" s="79" customFormat="1" ht="22.5" customHeight="1" thickBot="1" x14ac:dyDescent="0.4">
      <c r="A5" s="319" t="s">
        <v>36</v>
      </c>
      <c r="B5" s="237">
        <f>'Start Here'!B5:C5</f>
        <v>2018</v>
      </c>
      <c r="C5" s="318" t="str">
        <f>'Table A'!C5</f>
        <v>(Jan. 1 - Dec. 31)</v>
      </c>
      <c r="D5" s="78"/>
      <c r="E5" s="106"/>
      <c r="F5" s="106"/>
      <c r="G5" s="106"/>
      <c r="H5" s="106"/>
      <c r="I5" s="440" t="s">
        <v>1290</v>
      </c>
      <c r="J5" s="441"/>
      <c r="K5" s="441"/>
      <c r="L5" s="441"/>
      <c r="M5" s="442"/>
    </row>
    <row r="7" spans="1:21" ht="17.399999999999999" x14ac:dyDescent="0.3">
      <c r="A7" s="433" t="s">
        <v>13</v>
      </c>
      <c r="B7" s="433"/>
      <c r="C7" s="433"/>
      <c r="D7" s="433"/>
      <c r="E7" s="433"/>
      <c r="F7" s="433"/>
      <c r="G7" s="433"/>
      <c r="H7" s="433"/>
      <c r="I7" s="433"/>
      <c r="J7" s="433"/>
      <c r="K7" s="433"/>
      <c r="L7" s="433"/>
      <c r="M7" s="433"/>
      <c r="N7" s="433"/>
    </row>
    <row r="8" spans="1:21" ht="17.399999999999999" x14ac:dyDescent="0.3">
      <c r="A8" s="433" t="s">
        <v>83</v>
      </c>
      <c r="B8" s="433"/>
      <c r="C8" s="433"/>
      <c r="D8" s="433"/>
      <c r="E8" s="433"/>
      <c r="F8" s="433"/>
      <c r="G8" s="433"/>
      <c r="H8" s="433"/>
      <c r="I8" s="433"/>
      <c r="J8" s="433"/>
      <c r="K8" s="433"/>
      <c r="L8" s="433"/>
      <c r="M8" s="433"/>
      <c r="N8" s="433"/>
    </row>
    <row r="9" spans="1:21" ht="17.399999999999999" x14ac:dyDescent="0.3">
      <c r="A9" s="433" t="s">
        <v>14</v>
      </c>
      <c r="B9" s="433"/>
      <c r="C9" s="433"/>
      <c r="D9" s="433"/>
      <c r="E9" s="433"/>
      <c r="F9" s="433"/>
      <c r="G9" s="433"/>
      <c r="H9" s="433"/>
      <c r="I9" s="433"/>
      <c r="J9" s="433"/>
      <c r="K9" s="433"/>
      <c r="L9" s="433"/>
      <c r="M9" s="433"/>
      <c r="N9" s="433"/>
    </row>
    <row r="10" spans="1:21" x14ac:dyDescent="0.25">
      <c r="A10" s="107"/>
      <c r="B10" s="107"/>
      <c r="C10" s="204">
        <v>1</v>
      </c>
      <c r="D10" s="432">
        <v>2</v>
      </c>
      <c r="E10" s="432"/>
      <c r="F10" s="432"/>
      <c r="G10" s="432"/>
      <c r="H10" s="432"/>
      <c r="I10" s="432"/>
      <c r="J10" s="432"/>
      <c r="K10" s="432"/>
      <c r="L10" s="432"/>
      <c r="M10" s="204">
        <v>3</v>
      </c>
      <c r="N10" s="204">
        <v>4</v>
      </c>
    </row>
    <row r="11" spans="1:21" ht="58.5" customHeight="1" x14ac:dyDescent="0.25">
      <c r="A11" s="446" t="s">
        <v>15</v>
      </c>
      <c r="B11" s="446"/>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5">
      <c r="A12" s="430" t="s">
        <v>16</v>
      </c>
      <c r="B12" s="201" t="s">
        <v>5</v>
      </c>
      <c r="C12" s="431">
        <f>VLOOKUP($B$4,'RHNA Allocations'!$C$2:$H$540,2,0)</f>
        <v>317</v>
      </c>
      <c r="D12" s="11">
        <f>IF(D$11=$B$5,'Table A2'!$Q$12+'Table F'!$F$16+'Table F'!$G$16,IF(D$11&lt;$B$5,(VLOOKUP(CONCATENATE($B$4," ",D$11),'RHNA past year values'!$D$2:$V$2433,4,0)),0))</f>
        <v>0</v>
      </c>
      <c r="E12" s="11"/>
      <c r="F12" s="11">
        <f>IF(F$11=$B$5,'Table A2'!$Q$12+'Table F'!$F$16+'Table F'!$G$16,IF(F$11&lt;$B$5,(VLOOKUP(CONCATENATE($B$4," ",F$11),'RHNA past year values'!$D$2:$V$2433,4,0)),0))</f>
        <v>8</v>
      </c>
      <c r="G12" s="11"/>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6">
        <f>SUM(D12:L12)+SUM(D13:L13)</f>
        <v>8</v>
      </c>
      <c r="N12" s="434">
        <f>MAX(0,C12-M12)</f>
        <v>309</v>
      </c>
    </row>
    <row r="13" spans="1:21" x14ac:dyDescent="0.25">
      <c r="A13" s="430"/>
      <c r="B13" s="201" t="s">
        <v>20</v>
      </c>
      <c r="C13" s="43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5"/>
      <c r="N13" s="435"/>
    </row>
    <row r="14" spans="1:21" x14ac:dyDescent="0.25">
      <c r="A14" s="430" t="s">
        <v>17</v>
      </c>
      <c r="B14" s="201" t="s">
        <v>5</v>
      </c>
      <c r="C14" s="431">
        <f>VLOOKUP($B$4,'RHNA Allocations'!$C$2:$H$540,3,0)</f>
        <v>174</v>
      </c>
      <c r="D14" s="11">
        <f>IF(D$11=$B$5,'Table A2'!$S$12+'Table F'!$H$16,IF(D$11&lt;$B$5,(VLOOKUP(CONCATENATE($B$4," ",D$11),'RHNA past year values'!$D$2:$V$2433,9,0)),0))</f>
        <v>0</v>
      </c>
      <c r="E14" s="11"/>
      <c r="F14" s="11">
        <f>IF(F$11=$B$5,'Table A2'!$S$12+'Table F'!$H$16,IF(F$11&lt;$B$5,(VLOOKUP(CONCATENATE($B$4," ",F$11),'RHNA past year values'!$D$2:$V$2433,9,0)),0))</f>
        <v>66</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6">
        <f>SUM(D14:L14)+SUM(D15:L15)</f>
        <v>66</v>
      </c>
      <c r="N14" s="434">
        <f>MAX(0,C14-M14)</f>
        <v>108</v>
      </c>
    </row>
    <row r="15" spans="1:21" x14ac:dyDescent="0.25">
      <c r="A15" s="430"/>
      <c r="B15" s="201" t="s">
        <v>20</v>
      </c>
      <c r="C15" s="43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5"/>
      <c r="N15" s="435"/>
    </row>
    <row r="16" spans="1:21" x14ac:dyDescent="0.25">
      <c r="A16" s="430" t="s">
        <v>18</v>
      </c>
      <c r="B16" s="201" t="s">
        <v>5</v>
      </c>
      <c r="C16" s="431">
        <f>VLOOKUP($B$4,'RHNA Allocations'!$C$2:$H$540,4,0)</f>
        <v>175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6">
        <f>SUM(D16:L16)+SUM(D17:L17)</f>
        <v>209</v>
      </c>
      <c r="N16" s="434">
        <f>MAX(0,C16-M16)</f>
        <v>0</v>
      </c>
    </row>
    <row r="17" spans="1:14" x14ac:dyDescent="0.25">
      <c r="A17" s="430"/>
      <c r="B17" s="201" t="s">
        <v>20</v>
      </c>
      <c r="C17" s="431"/>
      <c r="D17" s="11">
        <f>IF(D$11=$B$5,'Table A2'!$V$12,IF(D$11&lt;$B$5,(VLOOKUP(CONCATENATE($B$4," ",D$11),'RHNA past year values'!$D$2:$V$2433,13,0)),0))</f>
        <v>70</v>
      </c>
      <c r="E17" s="11">
        <f>IF(E$11=$B$5,'Table A2'!$V$12,IF(E$11&lt;$B$5,(VLOOKUP(CONCATENATE($B$4," ",E$11),'RHNA past year values'!$D$2:$V$2433,13,0)),0))</f>
        <v>88</v>
      </c>
      <c r="F17" s="11">
        <f>IF(F$11=$B$5,'Table A2'!$V$12,IF(F$11&lt;$B$5,(VLOOKUP(CONCATENATE($B$4," ",F$11),'RHNA past year values'!$D$2:$V$2433,13,0)),0))</f>
        <v>51</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5"/>
      <c r="N17" s="435"/>
    </row>
    <row r="18" spans="1:14" ht="14.4" thickBot="1" x14ac:dyDescent="0.3">
      <c r="A18" s="189" t="s">
        <v>19</v>
      </c>
      <c r="B18" s="190"/>
      <c r="C18" s="191">
        <f>VLOOKUP($B$4,'RHNA Allocations'!$C$2:$H$540,5,0)</f>
        <v>502</v>
      </c>
      <c r="D18" s="12">
        <f>IF(D$11=$B$5,'Table A2'!$W$12,IF(D$11&lt;$B$5,(VLOOKUP(CONCATENATE($B$4," ",D$11),'RHNA past year values'!$D$2:$V$2433,16,0)),0))</f>
        <v>164</v>
      </c>
      <c r="E18" s="12">
        <f>IF(E$11=$B$5,'Table A2'!$W$12,IF(E$11&lt;$B$5,(VLOOKUP(CONCATENATE($B$4," ",E$11),'RHNA past year values'!$D$2:$V$2433,16,0)),0))</f>
        <v>208</v>
      </c>
      <c r="F18" s="12">
        <f>IF(F$11=$B$5,'Table A2'!$W$12,IF(F$11&lt;$B$5,(VLOOKUP(CONCATENATE($B$4," ",F$11),'RHNA past year values'!$D$2:$V$2433,16,0)),0))</f>
        <v>117</v>
      </c>
      <c r="G18" s="12">
        <v>192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681</v>
      </c>
      <c r="N18" s="193">
        <f>MAX(0,C18-M18)</f>
        <v>0</v>
      </c>
    </row>
    <row r="19" spans="1:14" ht="14.4" thickTop="1" x14ac:dyDescent="0.25">
      <c r="A19" s="443" t="s">
        <v>79</v>
      </c>
      <c r="B19" s="444"/>
      <c r="C19" s="194">
        <f>SUM(C12:C18)</f>
        <v>1168</v>
      </c>
      <c r="D19" s="195"/>
      <c r="E19" s="195"/>
      <c r="F19" s="195"/>
      <c r="G19" s="195"/>
      <c r="H19" s="195"/>
      <c r="I19" s="195"/>
      <c r="J19" s="195"/>
      <c r="K19" s="195"/>
      <c r="L19" s="195"/>
      <c r="M19" s="195"/>
      <c r="N19" s="196"/>
    </row>
    <row r="20" spans="1:14" x14ac:dyDescent="0.25">
      <c r="A20" s="445" t="s">
        <v>1375</v>
      </c>
      <c r="B20" s="445"/>
      <c r="C20" s="445"/>
      <c r="D20" s="197">
        <f t="shared" ref="D20:N20" si="0">SUM(D12:D18)</f>
        <v>234</v>
      </c>
      <c r="E20" s="197">
        <f t="shared" si="0"/>
        <v>296</v>
      </c>
      <c r="F20" s="197">
        <f t="shared" si="0"/>
        <v>242</v>
      </c>
      <c r="G20" s="197">
        <f t="shared" si="0"/>
        <v>192</v>
      </c>
      <c r="H20" s="197">
        <f t="shared" si="0"/>
        <v>0</v>
      </c>
      <c r="I20" s="197">
        <f t="shared" si="0"/>
        <v>0</v>
      </c>
      <c r="J20" s="197">
        <f t="shared" si="0"/>
        <v>0</v>
      </c>
      <c r="K20" s="197">
        <f t="shared" si="0"/>
        <v>0</v>
      </c>
      <c r="L20" s="197">
        <f t="shared" si="0"/>
        <v>0</v>
      </c>
      <c r="M20" s="197">
        <f t="shared" si="0"/>
        <v>964</v>
      </c>
      <c r="N20" s="197">
        <f t="shared" si="0"/>
        <v>417</v>
      </c>
    </row>
    <row r="21" spans="1:14" x14ac:dyDescent="0.25">
      <c r="A21" s="109" t="s">
        <v>78</v>
      </c>
      <c r="B21" s="280"/>
      <c r="C21" s="280"/>
      <c r="D21" s="110"/>
      <c r="E21" s="110"/>
      <c r="F21" s="79"/>
      <c r="G21" s="79"/>
      <c r="H21" s="79"/>
      <c r="I21" s="79"/>
      <c r="J21" s="79"/>
      <c r="K21" s="79"/>
      <c r="L21" s="79"/>
      <c r="M21" s="79"/>
      <c r="N21" s="255"/>
    </row>
    <row r="22" spans="1:14" x14ac:dyDescent="0.25">
      <c r="A22" s="97" t="s">
        <v>106</v>
      </c>
    </row>
    <row r="26" spans="1:14" ht="40.35" customHeight="1" x14ac:dyDescent="0.25"/>
    <row r="27" spans="1:14" ht="29.4" customHeight="1" x14ac:dyDescent="0.25"/>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17" scale="8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3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4" customWidth="1"/>
  </cols>
  <sheetData>
    <row r="1" spans="1:15" s="14" customFormat="1" ht="86.4" x14ac:dyDescent="0.3">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3">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3">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3">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3">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3">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3">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3">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3">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3">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3">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3">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3">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3">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3">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3">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3">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3">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3">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3">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3">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3">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3">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3">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3">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3">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3">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3">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3">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3">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3">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3">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3">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3">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3">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3">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3">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3">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3">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3">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3">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3">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3">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3">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3">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3">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3">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3">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3">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3">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3">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3">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3">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3">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3">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3">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3">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3">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3">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3">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3">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3">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3">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3">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3">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3">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3">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3">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3">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3">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3">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3">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3">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3">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3">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3">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3">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3">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3">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3">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3">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3">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3">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3">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3">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3">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3">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3">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3">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3">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3">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3">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3">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3">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3">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3">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3">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3">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3">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3">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3">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3">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3">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3">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3">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3">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3">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3">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3">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3">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3">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3">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3">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3">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3">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3">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3">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3">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3">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3">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3">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3">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3">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3">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3">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3">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3">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3">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3">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3">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3">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3">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3">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3">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3">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3">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3">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3">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3">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3">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3">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3">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3">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3">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3">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3">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3">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3">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3">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3">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3">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3">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3">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3">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3">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3">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3">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3">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3">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3">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3">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3">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3">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3">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3">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3">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3">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3">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3">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3">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3">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3">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3">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3">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3">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3">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3">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3">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3">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3">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3">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3">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3">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3">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3">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3">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3">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3">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3">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3">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3">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3">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3">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3">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3">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3">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3">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3">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3">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3">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3">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3">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3">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3">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3">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3">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3">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3">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3">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3">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3">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3">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3">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3">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3">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3">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3">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3">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3">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3">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3">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3">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3">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3">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3">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3">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3">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3">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3">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3">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3">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3">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3">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3">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3">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3">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3">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3">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3">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3">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3">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3">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3">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3">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3">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3">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3">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3">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3">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3">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3">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3">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3">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3">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3">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3">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3">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3">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3">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3">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3">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3">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3">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3">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3">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3">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3">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3">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3">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3">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3">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3">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3">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3">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3">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3">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3">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3">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3">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3">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3">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3">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3">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3">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3">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3">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3">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3">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3">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3">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3">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3">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3">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3">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3">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3">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3">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3">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3">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3">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3">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3">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3">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3">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3">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3">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3">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3">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3">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3">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3">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3">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3">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3">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3">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3">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3">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3">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3">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3">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3">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3">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3">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3">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3">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3">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3">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3">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3">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3">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3">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3">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3">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3">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3">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3">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3">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3">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3">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3">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3">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3">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3">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3">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3">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3">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3">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3">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3">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3">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3">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3">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3">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3">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3">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3">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3">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3">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3">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3">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3">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3">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3">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3">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3">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3">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3">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3">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3">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3">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3">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3">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3">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3">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3">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3">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3">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3">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3">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3">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3">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3">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3">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3">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3">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3">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3">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3">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3">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3">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3">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3">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3">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3">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3">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3">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3">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3">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3">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3">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3">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3">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3">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3">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3">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3">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3">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3">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3">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3">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3">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3">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3">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3">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3">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3">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3">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3">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3">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3">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3">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3">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3">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3">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3">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3">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3">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3">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3">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3">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3">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3">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3">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3">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3">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3">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3">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3">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3">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3">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3">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3">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3">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3">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3">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3">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3">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3">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3">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3">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3">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3">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3">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3">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3">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3">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3">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3">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3">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3">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3">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3">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3">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3">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3">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3">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3">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3">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3">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3">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3">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3">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3">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3">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3">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3">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3">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3">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3">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3">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3">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3">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3">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3">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3">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3">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3">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3">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3">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3">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3">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3">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3">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3">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3">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3">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3">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3">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3">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3">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3">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3">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3">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3">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3">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3">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3">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3">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3">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3">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3">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3">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3">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3">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3">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3">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3">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3">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3">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3">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3">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3">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3">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3">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3">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3">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3">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3">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3">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3">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3">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3">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3">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3">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3">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3">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3">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3">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3">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3">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3">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
      <c r="A3" t="s">
        <v>926</v>
      </c>
      <c r="B3" s="37" t="str">
        <f>VLOOKUP(A3,'Planning Periods'!$E$2:$N$540,10,FALSE)</f>
        <v>10/15/2013 - 10/15/2021</v>
      </c>
      <c r="C3" s="138">
        <v>2014</v>
      </c>
      <c r="D3" s="138" t="str">
        <f t="shared" si="0"/>
        <v>Adelanto 2014</v>
      </c>
      <c r="E3" s="136"/>
    </row>
    <row r="4" spans="1:22" x14ac:dyDescent="0.3">
      <c r="A4" t="s">
        <v>926</v>
      </c>
      <c r="B4" s="37" t="str">
        <f>VLOOKUP(A4,'Planning Periods'!$E$2:$N$540,10,FALSE)</f>
        <v>10/15/2013 - 10/15/2021</v>
      </c>
      <c r="C4" s="138">
        <v>2015</v>
      </c>
      <c r="D4" s="138" t="str">
        <f t="shared" si="0"/>
        <v>Adelanto 2015</v>
      </c>
    </row>
    <row r="5" spans="1:22" s="145" customFormat="1" x14ac:dyDescent="0.3">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
      <c r="A6" t="s">
        <v>926</v>
      </c>
      <c r="B6" s="37" t="str">
        <f>VLOOKUP(A6,'Planning Periods'!$E$2:$N$540,10,FALSE)</f>
        <v>10/15/2013 - 10/15/2021</v>
      </c>
      <c r="C6" s="138">
        <v>2017</v>
      </c>
      <c r="D6" s="138" t="str">
        <f>CONCATENATE(A6," ",C6)</f>
        <v>Adelanto 2017</v>
      </c>
    </row>
    <row r="7" spans="1:22" x14ac:dyDescent="0.3">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
      <c r="A39" t="s">
        <v>1024</v>
      </c>
      <c r="B39" s="37" t="str">
        <f>VLOOKUP(A39,'Planning Periods'!$E$2:$N$540,10,FALSE)</f>
        <v>06/30/2014 - 06/30/2019</v>
      </c>
      <c r="C39" s="138">
        <v>2015</v>
      </c>
      <c r="D39" s="138" t="str">
        <f t="shared" si="0"/>
        <v>Alturas 2015</v>
      </c>
    </row>
    <row r="40" spans="1:22" x14ac:dyDescent="0.3">
      <c r="A40" t="s">
        <v>1024</v>
      </c>
      <c r="B40" s="37" t="str">
        <f>VLOOKUP(A40,'Planning Periods'!$E$2:$N$540,10,FALSE)</f>
        <v>06/30/2014 - 06/30/2019</v>
      </c>
      <c r="C40" s="138">
        <v>2016</v>
      </c>
      <c r="D40" s="138" t="str">
        <f t="shared" si="0"/>
        <v>Alturas 2016</v>
      </c>
    </row>
    <row r="41" spans="1:22" x14ac:dyDescent="0.3">
      <c r="A41" t="s">
        <v>1024</v>
      </c>
      <c r="B41" s="37" t="str">
        <f>VLOOKUP(A41,'Planning Periods'!$E$2:$N$540,10,FALSE)</f>
        <v>06/30/2014 - 06/30/2019</v>
      </c>
      <c r="C41" s="138">
        <v>2017</v>
      </c>
      <c r="D41" s="138" t="str">
        <f t="shared" si="0"/>
        <v>Alturas 2017</v>
      </c>
    </row>
    <row r="42" spans="1:22" x14ac:dyDescent="0.3">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
      <c r="A43" t="s">
        <v>1228</v>
      </c>
      <c r="B43" s="37" t="str">
        <f>VLOOKUP(A43,'Planning Periods'!$E$2:$N$540,10,FALSE)</f>
        <v>06/30/2014 - 06/30/2019</v>
      </c>
      <c r="C43" s="138">
        <v>2015</v>
      </c>
      <c r="D43" s="138" t="str">
        <f t="shared" si="0"/>
        <v>Amador City 2015</v>
      </c>
    </row>
    <row r="44" spans="1:22" x14ac:dyDescent="0.3">
      <c r="A44" t="s">
        <v>1228</v>
      </c>
      <c r="B44" s="37" t="str">
        <f>VLOOKUP(A44,'Planning Periods'!$E$2:$N$540,10,FALSE)</f>
        <v>06/30/2014 - 06/30/2019</v>
      </c>
      <c r="C44" s="138">
        <v>2016</v>
      </c>
      <c r="D44" s="138" t="str">
        <f t="shared" si="0"/>
        <v>Amador City 2016</v>
      </c>
    </row>
    <row r="45" spans="1:22" x14ac:dyDescent="0.3">
      <c r="A45" t="s">
        <v>1228</v>
      </c>
      <c r="B45" s="37" t="str">
        <f>VLOOKUP(A45,'Planning Periods'!$E$2:$N$540,10,FALSE)</f>
        <v>06/30/2014 - 06/30/2019</v>
      </c>
      <c r="C45" s="138">
        <v>2017</v>
      </c>
      <c r="D45" s="138" t="str">
        <f t="shared" si="0"/>
        <v>Amador City 2017</v>
      </c>
    </row>
    <row r="46" spans="1:22" x14ac:dyDescent="0.3">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
      <c r="A64" t="s">
        <v>1342</v>
      </c>
      <c r="B64" s="37" t="str">
        <f>VLOOKUP(A64,'Planning Periods'!$E$2:$N$540,10,FALSE)</f>
        <v>06/30/2014 - 06/30/2019</v>
      </c>
      <c r="C64" s="138">
        <v>2015</v>
      </c>
      <c r="D64" s="138" t="str">
        <f t="shared" si="0"/>
        <v>Angels Camp 2015</v>
      </c>
    </row>
    <row r="65" spans="1:22" x14ac:dyDescent="0.3">
      <c r="A65" t="s">
        <v>1342</v>
      </c>
      <c r="B65" s="37" t="str">
        <f>VLOOKUP(A65,'Planning Periods'!$E$2:$N$540,10,FALSE)</f>
        <v>06/30/2014 - 06/30/2019</v>
      </c>
      <c r="C65" s="138">
        <v>2016</v>
      </c>
      <c r="D65" s="138" t="str">
        <f t="shared" si="0"/>
        <v>Angels Camp 2016</v>
      </c>
    </row>
    <row r="66" spans="1:22" x14ac:dyDescent="0.3">
      <c r="A66" t="s">
        <v>1342</v>
      </c>
      <c r="B66" s="37" t="str">
        <f>VLOOKUP(A66,'Planning Periods'!$E$2:$N$540,10,FALSE)</f>
        <v>06/30/2014 - 06/30/2019</v>
      </c>
      <c r="C66" s="138">
        <v>2017</v>
      </c>
      <c r="D66" s="138" t="str">
        <f t="shared" si="0"/>
        <v>Angels Camp 2017</v>
      </c>
    </row>
    <row r="67" spans="1:22" x14ac:dyDescent="0.3">
      <c r="A67" t="s">
        <v>1214</v>
      </c>
      <c r="B67" s="37" t="str">
        <f>VLOOKUP(A67,'Planning Periods'!$E$2:$N$540,10,FALSE)</f>
        <v>01/31/2015 - 01/31/2023</v>
      </c>
      <c r="C67" s="138">
        <v>2014</v>
      </c>
      <c r="D67" s="138" t="str">
        <f t="shared" ref="D67:D131" si="1">CONCATENATE(A67," ",C67)</f>
        <v>Antioch 2014</v>
      </c>
    </row>
    <row r="68" spans="1:22" x14ac:dyDescent="0.3">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
      <c r="A128" t="s">
        <v>1128</v>
      </c>
      <c r="B128" s="37" t="str">
        <f>VLOOKUP(A128,'Planning Periods'!$E$2:$N$540,10,FALSE)</f>
        <v>10/15/2013 - 10/15/2021</v>
      </c>
      <c r="C128" s="138">
        <v>2015</v>
      </c>
      <c r="D128" s="138" t="str">
        <f t="shared" si="1"/>
        <v>Azusa 2015</v>
      </c>
    </row>
    <row r="129" spans="1:22" x14ac:dyDescent="0.3">
      <c r="A129" t="s">
        <v>1128</v>
      </c>
      <c r="B129" s="37" t="str">
        <f>VLOOKUP(A129,'Planning Periods'!$E$2:$N$540,10,FALSE)</f>
        <v>10/15/2013 - 10/15/2021</v>
      </c>
      <c r="C129" s="138">
        <v>2016</v>
      </c>
      <c r="D129" s="138" t="str">
        <f t="shared" si="1"/>
        <v>Azusa 2016</v>
      </c>
    </row>
    <row r="130" spans="1:22" x14ac:dyDescent="0.3">
      <c r="A130" t="s">
        <v>1128</v>
      </c>
      <c r="B130" s="37" t="str">
        <f>VLOOKUP(A130,'Planning Periods'!$E$2:$N$540,10,FALSE)</f>
        <v>10/15/2013 - 10/15/2021</v>
      </c>
      <c r="C130" s="138">
        <v>2017</v>
      </c>
      <c r="D130" s="138" t="str">
        <f t="shared" si="1"/>
        <v>Azusa 2017</v>
      </c>
    </row>
    <row r="131" spans="1:22" x14ac:dyDescent="0.3">
      <c r="A131" s="139" t="s">
        <v>1154</v>
      </c>
      <c r="B131" s="37" t="str">
        <f>VLOOKUP(A131,'Planning Periods'!$E$2:$N$540,10,FALSE)</f>
        <v>12/31/2015 - 12/31/2023</v>
      </c>
      <c r="C131" s="138">
        <v>2013</v>
      </c>
      <c r="D131" s="138" t="str">
        <f t="shared" si="1"/>
        <v>Bakersfield 2013</v>
      </c>
    </row>
    <row r="132" spans="1:22" x14ac:dyDescent="0.3">
      <c r="A132" s="139" t="s">
        <v>1154</v>
      </c>
      <c r="B132" s="37" t="str">
        <f>VLOOKUP(A132,'Planning Periods'!$E$2:$N$540,10,FALSE)</f>
        <v>12/31/2015 - 12/31/2023</v>
      </c>
      <c r="C132" s="138">
        <v>2014</v>
      </c>
      <c r="D132" s="138" t="str">
        <f t="shared" ref="D132:D203" si="2">CONCATENATE(A132," ",C132)</f>
        <v>Bakersfield 2014</v>
      </c>
    </row>
    <row r="133" spans="1:22" x14ac:dyDescent="0.3">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
      <c r="A206" t="s">
        <v>1172</v>
      </c>
      <c r="B206" s="37" t="str">
        <f>VLOOKUP(A206,'Planning Periods'!$E$2:$N$540,10,FALSE)</f>
        <v>06/30/2014 - 06/30/2019</v>
      </c>
      <c r="C206" s="138">
        <v>2015</v>
      </c>
      <c r="D206" s="138" t="str">
        <f t="shared" si="3"/>
        <v>Blue Lake 2015</v>
      </c>
    </row>
    <row r="207" spans="1:22" x14ac:dyDescent="0.3">
      <c r="A207" t="s">
        <v>1172</v>
      </c>
      <c r="B207" s="37" t="str">
        <f>VLOOKUP(A207,'Planning Periods'!$E$2:$N$540,10,FALSE)</f>
        <v>06/30/2014 - 06/30/2019</v>
      </c>
      <c r="C207" s="138">
        <v>2016</v>
      </c>
      <c r="D207" s="138" t="str">
        <f t="shared" si="3"/>
        <v>Blue Lake 2016</v>
      </c>
    </row>
    <row r="208" spans="1:22" x14ac:dyDescent="0.3">
      <c r="A208" t="s">
        <v>1172</v>
      </c>
      <c r="B208" s="37" t="str">
        <f>VLOOKUP(A208,'Planning Periods'!$E$2:$N$540,10,FALSE)</f>
        <v>06/30/2014 - 06/30/2019</v>
      </c>
      <c r="C208" s="138">
        <v>2017</v>
      </c>
      <c r="D208" s="138" t="str">
        <f t="shared" si="3"/>
        <v>Blue Lake 2017</v>
      </c>
    </row>
    <row r="209" spans="1:22" x14ac:dyDescent="0.3">
      <c r="A209" s="139" t="s">
        <v>958</v>
      </c>
      <c r="B209" s="37"/>
      <c r="C209" s="138">
        <v>2013</v>
      </c>
      <c r="D209" s="138" t="str">
        <f t="shared" si="3"/>
        <v>Blythe 2013</v>
      </c>
    </row>
    <row r="210" spans="1:22" x14ac:dyDescent="0.3">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
      <c r="A211" t="s">
        <v>958</v>
      </c>
      <c r="B211" s="37" t="str">
        <f>VLOOKUP(A211,'Planning Periods'!$E$2:$N$540,10,FALSE)</f>
        <v>10/15/2013 - 10/15/2021</v>
      </c>
      <c r="C211" s="138">
        <v>2015</v>
      </c>
      <c r="D211" s="138" t="str">
        <f t="shared" si="3"/>
        <v>Blythe 2015</v>
      </c>
    </row>
    <row r="212" spans="1:22" x14ac:dyDescent="0.3">
      <c r="A212" t="s">
        <v>958</v>
      </c>
      <c r="B212" s="37" t="str">
        <f>VLOOKUP(A212,'Planning Periods'!$E$2:$N$540,10,FALSE)</f>
        <v>10/15/2013 - 10/15/2021</v>
      </c>
      <c r="C212" s="138">
        <v>2016</v>
      </c>
      <c r="D212" s="138" t="str">
        <f t="shared" si="3"/>
        <v>Blythe 2016</v>
      </c>
    </row>
    <row r="213" spans="1:22" x14ac:dyDescent="0.3">
      <c r="A213" t="s">
        <v>958</v>
      </c>
      <c r="B213" s="37" t="str">
        <f>VLOOKUP(A213,'Planning Periods'!$E$2:$N$540,10,FALSE)</f>
        <v>10/15/2013 - 10/15/2021</v>
      </c>
      <c r="C213" s="138">
        <v>2017</v>
      </c>
      <c r="D213" s="138" t="str">
        <f t="shared" si="3"/>
        <v>Blythe 2017</v>
      </c>
    </row>
    <row r="214" spans="1:22" x14ac:dyDescent="0.3">
      <c r="A214" t="s">
        <v>1122</v>
      </c>
      <c r="B214" s="37"/>
      <c r="C214" s="138">
        <v>2013</v>
      </c>
      <c r="D214" s="138" t="str">
        <f t="shared" si="3"/>
        <v>Bradbury 2013</v>
      </c>
    </row>
    <row r="215" spans="1:22" x14ac:dyDescent="0.3">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
      <c r="A216" t="s">
        <v>1122</v>
      </c>
      <c r="B216" s="37" t="str">
        <f>VLOOKUP(A216,'Planning Periods'!$E$2:$N$540,10,FALSE)</f>
        <v>10/15/2013 - 10/15/2021</v>
      </c>
      <c r="C216" s="138">
        <v>2015</v>
      </c>
      <c r="D216" s="138" t="str">
        <f t="shared" si="3"/>
        <v>Bradbury 2015</v>
      </c>
    </row>
    <row r="217" spans="1:22" x14ac:dyDescent="0.3">
      <c r="A217" t="s">
        <v>1122</v>
      </c>
      <c r="B217" s="37" t="str">
        <f>VLOOKUP(A217,'Planning Periods'!$E$2:$N$540,10,FALSE)</f>
        <v>10/15/2013 - 10/15/2021</v>
      </c>
      <c r="C217" s="138">
        <v>2016</v>
      </c>
      <c r="D217" s="138" t="str">
        <f t="shared" si="3"/>
        <v>Bradbury 2016</v>
      </c>
    </row>
    <row r="218" spans="1:22" x14ac:dyDescent="0.3">
      <c r="A218" t="s">
        <v>1122</v>
      </c>
      <c r="B218" s="37" t="str">
        <f>VLOOKUP(A218,'Planning Periods'!$E$2:$N$540,10,FALSE)</f>
        <v>10/15/2013 - 10/15/2021</v>
      </c>
      <c r="C218" s="138">
        <v>2017</v>
      </c>
      <c r="D218" s="138" t="str">
        <f t="shared" si="3"/>
        <v>Bradbury 2017</v>
      </c>
    </row>
    <row r="219" spans="1:22" x14ac:dyDescent="0.3">
      <c r="A219" s="139" t="s">
        <v>1165</v>
      </c>
      <c r="B219" s="37"/>
      <c r="C219" s="138">
        <v>2013</v>
      </c>
      <c r="D219" s="138" t="str">
        <f t="shared" si="3"/>
        <v>Brawley 2013</v>
      </c>
    </row>
    <row r="220" spans="1:22" x14ac:dyDescent="0.3">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
      <c r="A275" t="s">
        <v>1153</v>
      </c>
      <c r="B275" s="37" t="str">
        <f>VLOOKUP(A275,'Planning Periods'!$E$2:$N$540,10,FALSE)</f>
        <v>12/31/2015 - 12/31/2023</v>
      </c>
      <c r="C275" s="138">
        <v>2015</v>
      </c>
      <c r="D275" s="138" t="str">
        <f t="shared" si="3"/>
        <v>California City 2015</v>
      </c>
    </row>
    <row r="276" spans="1:22" x14ac:dyDescent="0.3">
      <c r="A276" t="s">
        <v>1153</v>
      </c>
      <c r="B276" s="37" t="str">
        <f>VLOOKUP(A276,'Planning Periods'!$E$2:$N$540,10,FALSE)</f>
        <v>12/31/2015 - 12/31/2023</v>
      </c>
      <c r="C276" s="138">
        <v>2016</v>
      </c>
      <c r="D276" s="138" t="str">
        <f t="shared" ref="D276:D343" si="4">CONCATENATE(A276," ",C276)</f>
        <v>California City 2016</v>
      </c>
    </row>
    <row r="277" spans="1:22" x14ac:dyDescent="0.3">
      <c r="A277" t="s">
        <v>1153</v>
      </c>
      <c r="B277" s="37" t="str">
        <f>VLOOKUP(A277,'Planning Periods'!$E$2:$N$540,10,FALSE)</f>
        <v>12/31/2015 - 12/31/2023</v>
      </c>
      <c r="C277" s="138">
        <v>2017</v>
      </c>
      <c r="D277" s="138" t="str">
        <f t="shared" si="4"/>
        <v>California City 2017</v>
      </c>
    </row>
    <row r="278" spans="1:22" x14ac:dyDescent="0.3">
      <c r="A278" s="139" t="s">
        <v>957</v>
      </c>
      <c r="B278" s="37"/>
      <c r="C278" s="138">
        <v>2013</v>
      </c>
      <c r="D278" s="138" t="str">
        <f t="shared" si="4"/>
        <v>Calimesa 2013</v>
      </c>
    </row>
    <row r="279" spans="1:22" x14ac:dyDescent="0.3">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
      <c r="A303" t="s">
        <v>956</v>
      </c>
      <c r="B303" s="37" t="str">
        <f>VLOOKUP(A303,'Planning Periods'!$E$2:$N$540,10,FALSE)</f>
        <v>10/15/2013 - 10/15/2021</v>
      </c>
      <c r="C303" s="138">
        <v>2015</v>
      </c>
      <c r="D303" s="138" t="str">
        <f t="shared" si="4"/>
        <v>Canyon Lake 2015</v>
      </c>
    </row>
    <row r="304" spans="1:22" x14ac:dyDescent="0.3">
      <c r="A304" t="s">
        <v>956</v>
      </c>
      <c r="B304" s="37" t="str">
        <f>VLOOKUP(A304,'Planning Periods'!$E$2:$N$540,10,FALSE)</f>
        <v>10/15/2013 - 10/15/2021</v>
      </c>
      <c r="C304" s="138">
        <v>2016</v>
      </c>
      <c r="D304" s="138" t="str">
        <f t="shared" si="4"/>
        <v>Canyon Lake 2016</v>
      </c>
    </row>
    <row r="305" spans="1:22" x14ac:dyDescent="0.3">
      <c r="A305" t="s">
        <v>956</v>
      </c>
      <c r="B305" s="37" t="str">
        <f>VLOOKUP(A305,'Planning Periods'!$E$2:$N$540,10,FALSE)</f>
        <v>10/15/2013 - 10/15/2021</v>
      </c>
      <c r="C305" s="138">
        <v>2017</v>
      </c>
      <c r="D305" s="138" t="str">
        <f t="shared" si="4"/>
        <v>Canyon Lake 2017</v>
      </c>
    </row>
    <row r="306" spans="1:22" x14ac:dyDescent="0.3">
      <c r="A306" s="139" t="s">
        <v>833</v>
      </c>
      <c r="B306" s="37" t="str">
        <f>VLOOKUP(A306,'Planning Periods'!$E$2:$N$540,10,FALSE)</f>
        <v>12/31/2015 - 12/31/2023</v>
      </c>
      <c r="C306" s="138">
        <v>2014</v>
      </c>
      <c r="D306" s="138" t="str">
        <f t="shared" si="4"/>
        <v>Capitola 2014</v>
      </c>
    </row>
    <row r="307" spans="1:22" x14ac:dyDescent="0.3">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
      <c r="A316" t="s">
        <v>1022</v>
      </c>
      <c r="B316" s="37" t="str">
        <f>VLOOKUP(A316,'Planning Periods'!$E$2:$N$540,10,FALSE)</f>
        <v>12/31/2015 - 12/31/2023</v>
      </c>
      <c r="C316" s="138">
        <v>2015</v>
      </c>
      <c r="D316" s="138" t="str">
        <f t="shared" si="4"/>
        <v>Carmel-by-the-Sea 2015</v>
      </c>
    </row>
    <row r="317" spans="1:22" x14ac:dyDescent="0.3">
      <c r="A317" t="s">
        <v>1022</v>
      </c>
      <c r="B317" s="37" t="str">
        <f>VLOOKUP(A317,'Planning Periods'!$E$2:$N$540,10,FALSE)</f>
        <v>12/31/2015 - 12/31/2023</v>
      </c>
      <c r="C317" s="138">
        <v>2016</v>
      </c>
      <c r="D317" s="138" t="str">
        <f t="shared" si="4"/>
        <v>Carmel-by-the-Sea 2016</v>
      </c>
    </row>
    <row r="318" spans="1:22" x14ac:dyDescent="0.3">
      <c r="A318" t="s">
        <v>1022</v>
      </c>
      <c r="B318" s="37" t="str">
        <f>VLOOKUP(A318,'Planning Periods'!$E$2:$N$540,10,FALSE)</f>
        <v>12/31/2015 - 12/31/2023</v>
      </c>
      <c r="C318" s="138">
        <v>2017</v>
      </c>
      <c r="D318" s="138" t="str">
        <f t="shared" si="4"/>
        <v>Carmel-by-the-Sea 2017</v>
      </c>
    </row>
    <row r="319" spans="1:22" x14ac:dyDescent="0.3">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
      <c r="A357" t="s">
        <v>1045</v>
      </c>
      <c r="B357" s="37" t="str">
        <f>VLOOKUP(A357,'Planning Periods'!$E$2:$N$540,10,FALSE)</f>
        <v>01/31/2016 - 01/31/2024</v>
      </c>
      <c r="C357" s="138">
        <v>2015</v>
      </c>
      <c r="D357" s="138" t="str">
        <f t="shared" si="5"/>
        <v>Chowchilla 2015</v>
      </c>
    </row>
    <row r="358" spans="1:22" x14ac:dyDescent="0.3">
      <c r="A358" t="s">
        <v>1045</v>
      </c>
      <c r="B358" s="37" t="str">
        <f>VLOOKUP(A358,'Planning Periods'!$E$2:$N$540,10,FALSE)</f>
        <v>01/31/2016 - 01/31/2024</v>
      </c>
      <c r="C358" s="138">
        <v>2016</v>
      </c>
      <c r="D358" s="138" t="str">
        <f t="shared" si="5"/>
        <v>Chowchilla 2016</v>
      </c>
    </row>
    <row r="359" spans="1:22" x14ac:dyDescent="0.3">
      <c r="A359" t="s">
        <v>1045</v>
      </c>
      <c r="B359" s="37" t="str">
        <f>VLOOKUP(A359,'Planning Periods'!$E$2:$N$540,10,FALSE)</f>
        <v>01/31/2016 - 01/31/2024</v>
      </c>
      <c r="C359" s="138">
        <v>2017</v>
      </c>
      <c r="D359" s="138" t="str">
        <f t="shared" si="5"/>
        <v>Chowchilla 2017</v>
      </c>
    </row>
    <row r="360" spans="1:22" x14ac:dyDescent="0.3">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
      <c r="A417" t="s">
        <v>1216</v>
      </c>
      <c r="B417" s="37" t="str">
        <f>VLOOKUP(A417,'Planning Periods'!$E$2:$N$540,10,FALSE)</f>
        <v>06/30/2014 - 06/30/2019</v>
      </c>
      <c r="C417" s="138">
        <v>2015</v>
      </c>
      <c r="D417" s="138" t="str">
        <f t="shared" si="6"/>
        <v>Colusa 2015</v>
      </c>
    </row>
    <row r="418" spans="1:22" x14ac:dyDescent="0.3">
      <c r="A418" t="s">
        <v>1216</v>
      </c>
      <c r="B418" s="37" t="str">
        <f>VLOOKUP(A418,'Planning Periods'!$E$2:$N$540,10,FALSE)</f>
        <v>06/30/2014 - 06/30/2019</v>
      </c>
      <c r="C418" s="138">
        <v>2016</v>
      </c>
      <c r="D418" s="138" t="str">
        <f t="shared" si="6"/>
        <v>Colusa 2016</v>
      </c>
    </row>
    <row r="419" spans="1:22" x14ac:dyDescent="0.3">
      <c r="A419" t="s">
        <v>1216</v>
      </c>
      <c r="B419" s="37" t="str">
        <f>VLOOKUP(A419,'Planning Periods'!$E$2:$N$540,10,FALSE)</f>
        <v>06/30/2014 - 06/30/2019</v>
      </c>
      <c r="C419" s="138">
        <v>2017</v>
      </c>
      <c r="D419" s="138" t="str">
        <f t="shared" si="6"/>
        <v>Colusa 2017</v>
      </c>
    </row>
    <row r="420" spans="1:22" x14ac:dyDescent="0.3">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
      <c r="A426" t="s">
        <v>1116</v>
      </c>
      <c r="B426" s="37" t="str">
        <f>VLOOKUP(A426,'Planning Periods'!$E$2:$N$540,10,FALSE)</f>
        <v>10/15/2013 - 10/15/2021</v>
      </c>
      <c r="C426" s="138">
        <v>2015</v>
      </c>
      <c r="D426" s="138" t="str">
        <f t="shared" si="6"/>
        <v>Commerce 2015</v>
      </c>
    </row>
    <row r="427" spans="1:22" x14ac:dyDescent="0.3">
      <c r="A427" t="s">
        <v>1116</v>
      </c>
      <c r="B427" s="37" t="str">
        <f>VLOOKUP(A427,'Planning Periods'!$E$2:$N$540,10,FALSE)</f>
        <v>10/15/2013 - 10/15/2021</v>
      </c>
      <c r="C427" s="138">
        <v>2016</v>
      </c>
      <c r="D427" s="138" t="str">
        <f t="shared" si="6"/>
        <v>Commerce 2016</v>
      </c>
    </row>
    <row r="428" spans="1:22" x14ac:dyDescent="0.3">
      <c r="A428" t="s">
        <v>1116</v>
      </c>
      <c r="B428" s="37" t="str">
        <f>VLOOKUP(A428,'Planning Periods'!$E$2:$N$540,10,FALSE)</f>
        <v>10/15/2013 - 10/15/2021</v>
      </c>
      <c r="C428" s="138">
        <v>2017</v>
      </c>
      <c r="D428" s="138" t="str">
        <f t="shared" si="6"/>
        <v>Commerce 2017</v>
      </c>
    </row>
    <row r="429" spans="1:22" x14ac:dyDescent="0.3">
      <c r="A429" t="s">
        <v>1115</v>
      </c>
      <c r="B429" s="37"/>
      <c r="C429" s="138">
        <v>2013</v>
      </c>
      <c r="D429" s="138" t="str">
        <f t="shared" si="6"/>
        <v>Compton 2013</v>
      </c>
    </row>
    <row r="430" spans="1:22" x14ac:dyDescent="0.3">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
      <c r="A431" t="s">
        <v>1115</v>
      </c>
      <c r="B431" s="37" t="str">
        <f>VLOOKUP(A431,'Planning Periods'!$E$2:$N$540,10,FALSE)</f>
        <v>10/15/2013 - 10/15/2021</v>
      </c>
      <c r="C431" s="138">
        <v>2015</v>
      </c>
      <c r="D431" s="138" t="str">
        <f t="shared" si="6"/>
        <v>Compton 2015</v>
      </c>
    </row>
    <row r="432" spans="1:22" x14ac:dyDescent="0.3">
      <c r="A432" t="s">
        <v>1115</v>
      </c>
      <c r="B432" s="37" t="str">
        <f>VLOOKUP(A432,'Planning Periods'!$E$2:$N$540,10,FALSE)</f>
        <v>10/15/2013 - 10/15/2021</v>
      </c>
      <c r="C432" s="138">
        <v>2016</v>
      </c>
      <c r="D432" s="138" t="str">
        <f t="shared" si="6"/>
        <v>Compton 2016</v>
      </c>
    </row>
    <row r="433" spans="1:22" x14ac:dyDescent="0.3">
      <c r="A433" t="s">
        <v>1115</v>
      </c>
      <c r="B433" s="37" t="str">
        <f>VLOOKUP(A433,'Planning Periods'!$E$2:$N$540,10,FALSE)</f>
        <v>10/15/2013 - 10/15/2021</v>
      </c>
      <c r="C433" s="138">
        <v>2017</v>
      </c>
      <c r="D433" s="138" t="str">
        <f t="shared" si="6"/>
        <v>Compton 2017</v>
      </c>
    </row>
    <row r="434" spans="1:22" x14ac:dyDescent="0.3">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
      <c r="A443" t="s">
        <v>1142</v>
      </c>
      <c r="B443" s="37" t="str">
        <f>VLOOKUP(A443,'Planning Periods'!$E$2:$N$540,10,FALSE)</f>
        <v>01/31/2016 - 01/31/2024</v>
      </c>
      <c r="C443" s="138">
        <v>2015</v>
      </c>
      <c r="D443" s="138" t="str">
        <f t="shared" si="6"/>
        <v>Corcoran 2015</v>
      </c>
    </row>
    <row r="444" spans="1:22" x14ac:dyDescent="0.3">
      <c r="A444" t="s">
        <v>1142</v>
      </c>
      <c r="B444" s="37" t="str">
        <f>VLOOKUP(A444,'Planning Periods'!$E$2:$N$540,10,FALSE)</f>
        <v>01/31/2016 - 01/31/2024</v>
      </c>
      <c r="C444" s="138">
        <v>2016</v>
      </c>
      <c r="D444" s="138" t="str">
        <f t="shared" si="6"/>
        <v>Corcoran 2016</v>
      </c>
    </row>
    <row r="445" spans="1:22" x14ac:dyDescent="0.3">
      <c r="A445" t="s">
        <v>1142</v>
      </c>
      <c r="B445" s="37" t="str">
        <f>VLOOKUP(A445,'Planning Periods'!$E$2:$N$540,10,FALSE)</f>
        <v>01/31/2016 - 01/31/2024</v>
      </c>
      <c r="C445" s="138">
        <v>2017</v>
      </c>
      <c r="D445" s="138" t="str">
        <f t="shared" si="6"/>
        <v>Corcoran 2017</v>
      </c>
    </row>
    <row r="446" spans="1:22" x14ac:dyDescent="0.3">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
      <c r="A447" t="s">
        <v>784</v>
      </c>
      <c r="B447" s="37" t="str">
        <f>VLOOKUP(A447,'Planning Periods'!$E$2:$N$540,10,FALSE)</f>
        <v>06/30/2014 - 06/30/2019</v>
      </c>
      <c r="C447" s="138">
        <v>2015</v>
      </c>
      <c r="D447" s="138" t="str">
        <f t="shared" si="6"/>
        <v>Corning 2015</v>
      </c>
    </row>
    <row r="448" spans="1:22" x14ac:dyDescent="0.3">
      <c r="A448" t="s">
        <v>784</v>
      </c>
      <c r="B448" s="37" t="str">
        <f>VLOOKUP(A448,'Planning Periods'!$E$2:$N$540,10,FALSE)</f>
        <v>06/30/2014 - 06/30/2019</v>
      </c>
      <c r="C448" s="138">
        <v>2016</v>
      </c>
      <c r="D448" s="138" t="str">
        <f t="shared" si="6"/>
        <v>Corning 2016</v>
      </c>
    </row>
    <row r="449" spans="1:22" x14ac:dyDescent="0.3">
      <c r="A449" t="s">
        <v>784</v>
      </c>
      <c r="B449" s="37" t="str">
        <f>VLOOKUP(A449,'Planning Periods'!$E$2:$N$540,10,FALSE)</f>
        <v>06/30/2014 - 06/30/2019</v>
      </c>
      <c r="C449" s="138">
        <v>2017</v>
      </c>
      <c r="D449" s="138" t="str">
        <f t="shared" si="6"/>
        <v>Corning 2017</v>
      </c>
    </row>
    <row r="450" spans="1:22" x14ac:dyDescent="0.3">
      <c r="A450" s="139" t="s">
        <v>954</v>
      </c>
      <c r="B450" s="37"/>
      <c r="C450" s="138">
        <v>2013</v>
      </c>
      <c r="D450" s="138" t="str">
        <f t="shared" si="6"/>
        <v>Corona 2013</v>
      </c>
    </row>
    <row r="451" spans="1:22" x14ac:dyDescent="0.3">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
      <c r="A475" t="s">
        <v>1114</v>
      </c>
      <c r="B475" s="37" t="str">
        <f>VLOOKUP(A475,'Planning Periods'!$E$2:$N$540,10,FALSE)</f>
        <v>10/15/2013 - 10/15/2021</v>
      </c>
      <c r="C475" s="138">
        <v>2015</v>
      </c>
      <c r="D475" s="138" t="str">
        <f t="shared" si="6"/>
        <v>Covina 2015</v>
      </c>
    </row>
    <row r="476" spans="1:22" x14ac:dyDescent="0.3">
      <c r="A476" t="s">
        <v>1114</v>
      </c>
      <c r="B476" s="37" t="str">
        <f>VLOOKUP(A476,'Planning Periods'!$E$2:$N$540,10,FALSE)</f>
        <v>10/15/2013 - 10/15/2021</v>
      </c>
      <c r="C476" s="138">
        <v>2016</v>
      </c>
      <c r="D476" s="138" t="str">
        <f t="shared" ref="D476:D542" si="7">CONCATENATE(A476," ",C476)</f>
        <v>Covina 2016</v>
      </c>
    </row>
    <row r="477" spans="1:22" x14ac:dyDescent="0.3">
      <c r="A477" t="s">
        <v>1114</v>
      </c>
      <c r="B477" s="37" t="str">
        <f>VLOOKUP(A477,'Planning Periods'!$E$2:$N$540,10,FALSE)</f>
        <v>10/15/2013 - 10/15/2021</v>
      </c>
      <c r="C477" s="138">
        <v>2017</v>
      </c>
      <c r="D477" s="138" t="str">
        <f t="shared" si="7"/>
        <v>Covina 2017</v>
      </c>
    </row>
    <row r="478" spans="1:22" x14ac:dyDescent="0.3">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
      <c r="A479" t="s">
        <v>1194</v>
      </c>
      <c r="B479" s="37" t="str">
        <f>VLOOKUP(A479,'Planning Periods'!$E$2:$N$540,10,FALSE)</f>
        <v>06/30/2014 - 06/30/2019</v>
      </c>
      <c r="C479" s="138">
        <v>2015</v>
      </c>
      <c r="D479" s="138" t="str">
        <f t="shared" si="7"/>
        <v>Crescent City 2015</v>
      </c>
    </row>
    <row r="480" spans="1:22" x14ac:dyDescent="0.3">
      <c r="A480" t="s">
        <v>1194</v>
      </c>
      <c r="B480" s="37" t="str">
        <f>VLOOKUP(A480,'Planning Periods'!$E$2:$N$540,10,FALSE)</f>
        <v>06/30/2014 - 06/30/2019</v>
      </c>
      <c r="C480" s="138">
        <v>2016</v>
      </c>
      <c r="D480" s="138" t="str">
        <f t="shared" si="7"/>
        <v>Crescent City 2016</v>
      </c>
    </row>
    <row r="481" spans="1:22" x14ac:dyDescent="0.3">
      <c r="A481" t="s">
        <v>1194</v>
      </c>
      <c r="B481" s="37" t="str">
        <f>VLOOKUP(A481,'Planning Periods'!$E$2:$N$540,10,FALSE)</f>
        <v>06/30/2014 - 06/30/2019</v>
      </c>
      <c r="C481" s="138">
        <v>2017</v>
      </c>
      <c r="D481" s="138" t="str">
        <f t="shared" si="7"/>
        <v>Crescent City 2017</v>
      </c>
    </row>
    <row r="482" spans="1:22" x14ac:dyDescent="0.3">
      <c r="A482" s="139" t="s">
        <v>1113</v>
      </c>
      <c r="B482" s="37"/>
      <c r="C482" s="138">
        <v>2013</v>
      </c>
      <c r="D482" s="138" t="str">
        <f t="shared" si="7"/>
        <v>Cudahy 2013</v>
      </c>
    </row>
    <row r="483" spans="1:22" x14ac:dyDescent="0.3">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
      <c r="A529" t="s">
        <v>1021</v>
      </c>
      <c r="B529" s="37" t="str">
        <f>VLOOKUP(A529,'Planning Periods'!$E$2:$N$540,10,FALSE)</f>
        <v>12/31/2015 - 12/31/2023</v>
      </c>
      <c r="C529" s="138">
        <v>2015</v>
      </c>
      <c r="D529" s="138" t="str">
        <f t="shared" si="7"/>
        <v>Del Rey Oaks 2015</v>
      </c>
    </row>
    <row r="530" spans="1:22" x14ac:dyDescent="0.3">
      <c r="A530" t="s">
        <v>1021</v>
      </c>
      <c r="B530" s="37" t="str">
        <f>VLOOKUP(A530,'Planning Periods'!$E$2:$N$540,10,FALSE)</f>
        <v>12/31/2015 - 12/31/2023</v>
      </c>
      <c r="C530" s="138">
        <v>2016</v>
      </c>
      <c r="D530" s="138" t="str">
        <f t="shared" si="7"/>
        <v>Del Rey Oaks 2016</v>
      </c>
    </row>
    <row r="531" spans="1:22" x14ac:dyDescent="0.3">
      <c r="A531" t="s">
        <v>1021</v>
      </c>
      <c r="B531" s="37" t="str">
        <f>VLOOKUP(A531,'Planning Periods'!$E$2:$N$540,10,FALSE)</f>
        <v>12/31/2015 - 12/31/2023</v>
      </c>
      <c r="C531" s="138">
        <v>2017</v>
      </c>
      <c r="D531" s="138" t="str">
        <f t="shared" si="7"/>
        <v>Del Rey Oaks 2017</v>
      </c>
    </row>
    <row r="532" spans="1:22" x14ac:dyDescent="0.3">
      <c r="A532" s="139" t="s">
        <v>1152</v>
      </c>
      <c r="B532" s="37" t="str">
        <f>VLOOKUP(A532,'Planning Periods'!$E$2:$N$540,10,FALSE)</f>
        <v>12/31/2015 - 12/31/2023</v>
      </c>
      <c r="C532" s="138">
        <v>2013</v>
      </c>
      <c r="D532" s="138" t="str">
        <f t="shared" si="7"/>
        <v>Delano 2013</v>
      </c>
    </row>
    <row r="533" spans="1:22" x14ac:dyDescent="0.3">
      <c r="A533" s="139" t="s">
        <v>1152</v>
      </c>
      <c r="B533" s="37" t="str">
        <f>VLOOKUP(A533,'Planning Periods'!$E$2:$N$540,10,FALSE)</f>
        <v>12/31/2015 - 12/31/2023</v>
      </c>
      <c r="C533" s="138">
        <v>2014</v>
      </c>
      <c r="D533" s="138" t="str">
        <f t="shared" si="7"/>
        <v>Delano 2014</v>
      </c>
    </row>
    <row r="534" spans="1:22" x14ac:dyDescent="0.3">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
      <c r="A560" t="s">
        <v>1030</v>
      </c>
      <c r="B560" s="37" t="str">
        <f>VLOOKUP(A560,'Planning Periods'!$E$2:$N$540,10,FALSE)</f>
        <v>03/31/2016 - 03/31/2024</v>
      </c>
      <c r="C560" s="138">
        <v>2015</v>
      </c>
      <c r="D560" s="138" t="str">
        <f t="shared" si="8"/>
        <v>Dos Palos 2015</v>
      </c>
    </row>
    <row r="561" spans="1:22" x14ac:dyDescent="0.3">
      <c r="A561" t="s">
        <v>1030</v>
      </c>
      <c r="B561" s="37" t="str">
        <f>VLOOKUP(A561,'Planning Periods'!$E$2:$N$540,10,FALSE)</f>
        <v>03/31/2016 - 03/31/2024</v>
      </c>
      <c r="C561" s="138">
        <v>2016</v>
      </c>
      <c r="D561" s="138" t="str">
        <f t="shared" si="8"/>
        <v>Dos Palos 2016</v>
      </c>
    </row>
    <row r="562" spans="1:22" x14ac:dyDescent="0.3">
      <c r="A562" t="s">
        <v>1030</v>
      </c>
      <c r="B562" s="37" t="str">
        <f>VLOOKUP(A562,'Planning Periods'!$E$2:$N$540,10,FALSE)</f>
        <v>03/31/2016 - 03/31/2024</v>
      </c>
      <c r="C562" s="138">
        <v>2017</v>
      </c>
      <c r="D562" s="138" t="str">
        <f t="shared" si="8"/>
        <v>Dos Palos 2017</v>
      </c>
    </row>
    <row r="563" spans="1:22" x14ac:dyDescent="0.3">
      <c r="A563" s="139" t="s">
        <v>1110</v>
      </c>
      <c r="B563" s="37"/>
      <c r="C563" s="138">
        <v>2013</v>
      </c>
      <c r="D563" s="138" t="str">
        <f t="shared" si="8"/>
        <v>Downey 2013</v>
      </c>
    </row>
    <row r="564" spans="1:22" x14ac:dyDescent="0.3">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
      <c r="A578" t="s">
        <v>822</v>
      </c>
      <c r="B578" s="37" t="str">
        <f>VLOOKUP(A578,'Planning Periods'!$E$2:$N$540,10,FALSE)</f>
        <v>06/30/2014 - 06/30/2019</v>
      </c>
      <c r="C578" s="138">
        <v>2015</v>
      </c>
      <c r="D578" s="138" t="str">
        <f t="shared" si="8"/>
        <v>Dunsmuir 2015</v>
      </c>
    </row>
    <row r="579" spans="1:22" x14ac:dyDescent="0.3">
      <c r="A579" t="s">
        <v>822</v>
      </c>
      <c r="B579" s="37" t="str">
        <f>VLOOKUP(A579,'Planning Periods'!$E$2:$N$540,10,FALSE)</f>
        <v>06/30/2014 - 06/30/2019</v>
      </c>
      <c r="C579" s="138">
        <v>2016</v>
      </c>
      <c r="D579" s="138" t="str">
        <f t="shared" si="8"/>
        <v>Dunsmuir 2016</v>
      </c>
    </row>
    <row r="580" spans="1:22" x14ac:dyDescent="0.3">
      <c r="A580" t="s">
        <v>822</v>
      </c>
      <c r="B580" s="37" t="str">
        <f>VLOOKUP(A580,'Planning Periods'!$E$2:$N$540,10,FALSE)</f>
        <v>06/30/2014 - 06/30/2019</v>
      </c>
      <c r="C580" s="138">
        <v>2017</v>
      </c>
      <c r="D580" s="138" t="str">
        <f t="shared" si="8"/>
        <v>Dunsmuir 2017</v>
      </c>
    </row>
    <row r="581" spans="1:22" x14ac:dyDescent="0.3">
      <c r="A581" s="139" t="s">
        <v>865</v>
      </c>
      <c r="B581" s="37" t="str">
        <f>VLOOKUP(A581,'Planning Periods'!$E$2:$N$540,10,FALSE)</f>
        <v>01/31/2015 - 01/31/2023</v>
      </c>
      <c r="C581" s="138">
        <v>2014</v>
      </c>
      <c r="D581" s="138" t="str">
        <f t="shared" si="8"/>
        <v>East Palo Alto 2014</v>
      </c>
    </row>
    <row r="582" spans="1:22" x14ac:dyDescent="0.3">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
      <c r="A616" t="s">
        <v>1107</v>
      </c>
      <c r="B616" s="37" t="str">
        <f>VLOOKUP(A616,'Planning Periods'!$E$2:$N$540,10,FALSE)</f>
        <v>10/15/2013 - 10/15/2021</v>
      </c>
      <c r="C616" s="138">
        <v>2015</v>
      </c>
      <c r="D616" s="138" t="str">
        <f t="shared" si="9"/>
        <v>El Segundo 2015</v>
      </c>
    </row>
    <row r="617" spans="1:22" x14ac:dyDescent="0.3">
      <c r="A617" t="s">
        <v>1107</v>
      </c>
      <c r="B617" s="37" t="str">
        <f>VLOOKUP(A617,'Planning Periods'!$E$2:$N$540,10,FALSE)</f>
        <v>10/15/2013 - 10/15/2021</v>
      </c>
      <c r="C617" s="138">
        <v>2016</v>
      </c>
      <c r="D617" s="138" t="str">
        <f t="shared" si="9"/>
        <v>El Segundo 2016</v>
      </c>
    </row>
    <row r="618" spans="1:22" x14ac:dyDescent="0.3">
      <c r="A618" t="s">
        <v>1107</v>
      </c>
      <c r="B618" s="37" t="str">
        <f>VLOOKUP(A618,'Planning Periods'!$E$2:$N$540,10,FALSE)</f>
        <v>10/15/2013 - 10/15/2021</v>
      </c>
      <c r="C618" s="138">
        <v>2017</v>
      </c>
      <c r="D618" s="138" t="str">
        <f t="shared" si="9"/>
        <v>El Segundo 2017</v>
      </c>
    </row>
    <row r="619" spans="1:22" x14ac:dyDescent="0.3">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
      <c r="A634" t="s">
        <v>885</v>
      </c>
      <c r="B634" s="37" t="str">
        <f>VLOOKUP(A634,'Planning Periods'!$E$2:$N$540,10,FALSE)</f>
        <v>12/31/2015 - 12/31/2023</v>
      </c>
      <c r="C634" s="138">
        <v>2015</v>
      </c>
      <c r="D634" s="138" t="str">
        <f t="shared" si="9"/>
        <v>Escalon 2015</v>
      </c>
    </row>
    <row r="635" spans="1:22" x14ac:dyDescent="0.3">
      <c r="A635" t="s">
        <v>885</v>
      </c>
      <c r="B635" s="37" t="str">
        <f>VLOOKUP(A635,'Planning Periods'!$E$2:$N$540,10,FALSE)</f>
        <v>12/31/2015 - 12/31/2023</v>
      </c>
      <c r="C635" s="138">
        <v>2016</v>
      </c>
      <c r="D635" s="138" t="str">
        <f t="shared" si="9"/>
        <v>Escalon 2016</v>
      </c>
    </row>
    <row r="636" spans="1:22" x14ac:dyDescent="0.3">
      <c r="A636" t="s">
        <v>885</v>
      </c>
      <c r="B636" s="37" t="str">
        <f>VLOOKUP(A636,'Planning Periods'!$E$2:$N$540,10,FALSE)</f>
        <v>12/31/2015 - 12/31/2023</v>
      </c>
      <c r="C636" s="138">
        <v>2017</v>
      </c>
      <c r="D636" s="138" t="str">
        <f t="shared" si="9"/>
        <v>Escalon 2017</v>
      </c>
    </row>
    <row r="637" spans="1:22" x14ac:dyDescent="0.3">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
      <c r="A667" t="s">
        <v>1170</v>
      </c>
      <c r="B667" s="37" t="str">
        <f>VLOOKUP(A667,'Planning Periods'!$E$2:$N$540,10,FALSE)</f>
        <v>06/30/2014 - 06/30/2019</v>
      </c>
      <c r="C667" s="138">
        <v>2015</v>
      </c>
      <c r="D667" s="138" t="str">
        <f t="shared" si="9"/>
        <v>Ferndale 2015</v>
      </c>
    </row>
    <row r="668" spans="1:22" x14ac:dyDescent="0.3">
      <c r="A668" t="s">
        <v>1170</v>
      </c>
      <c r="B668" s="37" t="str">
        <f>VLOOKUP(A668,'Planning Periods'!$E$2:$N$540,10,FALSE)</f>
        <v>06/30/2014 - 06/30/2019</v>
      </c>
      <c r="C668" s="138">
        <v>2016</v>
      </c>
      <c r="D668" s="138" t="str">
        <f t="shared" ref="D668:D735" si="10">CONCATENATE(A668," ",C668)</f>
        <v>Ferndale 2016</v>
      </c>
    </row>
    <row r="669" spans="1:22" x14ac:dyDescent="0.3">
      <c r="A669" t="s">
        <v>1170</v>
      </c>
      <c r="B669" s="37" t="str">
        <f>VLOOKUP(A669,'Planning Periods'!$E$2:$N$540,10,FALSE)</f>
        <v>06/30/2014 - 06/30/2019</v>
      </c>
      <c r="C669" s="138">
        <v>2017</v>
      </c>
      <c r="D669" s="138" t="str">
        <f t="shared" si="10"/>
        <v>Ferndale 2017</v>
      </c>
    </row>
    <row r="670" spans="1:22" x14ac:dyDescent="0.3">
      <c r="A670" t="s">
        <v>770</v>
      </c>
      <c r="B670" s="37"/>
      <c r="C670" s="138">
        <v>2013</v>
      </c>
      <c r="D670" s="138" t="str">
        <f t="shared" si="10"/>
        <v>Fillmore 2013</v>
      </c>
    </row>
    <row r="671" spans="1:22" x14ac:dyDescent="0.3">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
      <c r="A672" t="s">
        <v>770</v>
      </c>
      <c r="B672" s="37" t="str">
        <f>VLOOKUP(A672,'Planning Periods'!$E$2:$N$540,10,FALSE)</f>
        <v>10/15/2013 - 10/15/2021</v>
      </c>
      <c r="C672" s="138">
        <v>2015</v>
      </c>
      <c r="D672" s="138" t="str">
        <f t="shared" si="10"/>
        <v>Fillmore 2015</v>
      </c>
    </row>
    <row r="673" spans="1:22" x14ac:dyDescent="0.3">
      <c r="A673" t="s">
        <v>770</v>
      </c>
      <c r="B673" s="37" t="str">
        <f>VLOOKUP(A673,'Planning Periods'!$E$2:$N$540,10,FALSE)</f>
        <v>10/15/2013 - 10/15/2021</v>
      </c>
      <c r="C673" s="138">
        <v>2016</v>
      </c>
      <c r="D673" s="138" t="str">
        <f t="shared" si="10"/>
        <v>Fillmore 2016</v>
      </c>
    </row>
    <row r="674" spans="1:22" x14ac:dyDescent="0.3">
      <c r="A674" t="s">
        <v>770</v>
      </c>
      <c r="B674" s="37" t="str">
        <f>VLOOKUP(A674,'Planning Periods'!$E$2:$N$540,10,FALSE)</f>
        <v>10/15/2013 - 10/15/2021</v>
      </c>
      <c r="C674" s="138">
        <v>2017</v>
      </c>
      <c r="D674" s="138" t="str">
        <f t="shared" si="10"/>
        <v>Fillmore 2017</v>
      </c>
    </row>
    <row r="675" spans="1:22" x14ac:dyDescent="0.3">
      <c r="A675" s="139" t="s">
        <v>1188</v>
      </c>
      <c r="B675" s="37" t="str">
        <f>VLOOKUP(A675,'Planning Periods'!$E$2:$N$540,10,FALSE)</f>
        <v>12/31/2015 - 12/31/2023</v>
      </c>
      <c r="C675" s="138">
        <v>2013</v>
      </c>
      <c r="D675" s="138" t="str">
        <f t="shared" si="10"/>
        <v>Firebaugh 2013</v>
      </c>
    </row>
    <row r="676" spans="1:22" x14ac:dyDescent="0.3">
      <c r="A676" s="139" t="s">
        <v>1188</v>
      </c>
      <c r="B676" s="37" t="str">
        <f>VLOOKUP(A676,'Planning Periods'!$E$2:$N$540,10,FALSE)</f>
        <v>12/31/2015 - 12/31/2023</v>
      </c>
      <c r="C676" s="138">
        <v>2014</v>
      </c>
      <c r="D676" s="138" t="str">
        <f t="shared" si="10"/>
        <v>Firebaugh 2014</v>
      </c>
    </row>
    <row r="677" spans="1:22" x14ac:dyDescent="0.3">
      <c r="A677" s="139" t="s">
        <v>1188</v>
      </c>
      <c r="B677" s="37" t="str">
        <f>VLOOKUP(A677,'Planning Periods'!$E$2:$N$540,10,FALSE)</f>
        <v>12/31/2015 - 12/31/2023</v>
      </c>
      <c r="C677" s="138">
        <v>2015</v>
      </c>
      <c r="D677" s="138" t="str">
        <f t="shared" si="10"/>
        <v>Firebaugh 2015</v>
      </c>
    </row>
    <row r="678" spans="1:22" x14ac:dyDescent="0.3">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
      <c r="A695" t="s">
        <v>820</v>
      </c>
      <c r="B695" s="37" t="str">
        <f>VLOOKUP(A695,'Planning Periods'!$E$2:$N$540,10,FALSE)</f>
        <v>06/30/2014 - 06/30/2019</v>
      </c>
      <c r="C695" s="138">
        <v>2015</v>
      </c>
      <c r="D695" s="138" t="str">
        <f t="shared" si="10"/>
        <v>Fort Jones 2015</v>
      </c>
    </row>
    <row r="696" spans="1:22" x14ac:dyDescent="0.3">
      <c r="A696" t="s">
        <v>820</v>
      </c>
      <c r="B696" s="37" t="str">
        <f>VLOOKUP(A696,'Planning Periods'!$E$2:$N$540,10,FALSE)</f>
        <v>06/30/2014 - 06/30/2019</v>
      </c>
      <c r="C696" s="138">
        <v>2016</v>
      </c>
      <c r="D696" s="138" t="str">
        <f t="shared" si="10"/>
        <v>Fort Jones 2016</v>
      </c>
    </row>
    <row r="697" spans="1:22" x14ac:dyDescent="0.3">
      <c r="A697" t="s">
        <v>820</v>
      </c>
      <c r="B697" s="37" t="str">
        <f>VLOOKUP(A697,'Planning Periods'!$E$2:$N$540,10,FALSE)</f>
        <v>06/30/2014 - 06/30/2019</v>
      </c>
      <c r="C697" s="138">
        <v>2017</v>
      </c>
      <c r="D697" s="138" t="str">
        <f t="shared" si="10"/>
        <v>Fort Jones 2017</v>
      </c>
    </row>
    <row r="698" spans="1:22" x14ac:dyDescent="0.3">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
      <c r="A713" t="s">
        <v>1187</v>
      </c>
      <c r="B713" s="37" t="str">
        <f>VLOOKUP(A713,'Planning Periods'!$E$2:$N$540,10,FALSE)</f>
        <v>12/31/2015 - 12/31/2023</v>
      </c>
      <c r="C713" s="138">
        <v>2015</v>
      </c>
      <c r="D713" s="138" t="str">
        <f t="shared" si="10"/>
        <v>Fowler 2015</v>
      </c>
    </row>
    <row r="714" spans="1:22" x14ac:dyDescent="0.3">
      <c r="A714" t="s">
        <v>1187</v>
      </c>
      <c r="B714" s="37" t="str">
        <f>VLOOKUP(A714,'Planning Periods'!$E$2:$N$540,10,FALSE)</f>
        <v>12/31/2015 - 12/31/2023</v>
      </c>
      <c r="C714" s="138">
        <v>2016</v>
      </c>
      <c r="D714" s="138" t="str">
        <f t="shared" si="10"/>
        <v>Fowler 2016</v>
      </c>
    </row>
    <row r="715" spans="1:22" x14ac:dyDescent="0.3">
      <c r="A715" t="s">
        <v>1187</v>
      </c>
      <c r="B715" s="37" t="str">
        <f>VLOOKUP(A715,'Planning Periods'!$E$2:$N$540,10,FALSE)</f>
        <v>12/31/2015 - 12/31/2023</v>
      </c>
      <c r="C715" s="138">
        <v>2017</v>
      </c>
      <c r="D715" s="138" t="str">
        <f t="shared" si="10"/>
        <v>Fowler 2017</v>
      </c>
    </row>
    <row r="716" spans="1:22" x14ac:dyDescent="0.3">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
      <c r="A773" t="s">
        <v>1020</v>
      </c>
      <c r="B773" s="37" t="str">
        <f>VLOOKUP(A773,'Planning Periods'!$E$2:$N$540,10,FALSE)</f>
        <v>12/31/2015 - 12/31/2023</v>
      </c>
      <c r="C773" s="138">
        <v>2015</v>
      </c>
      <c r="D773" s="138" t="str">
        <f t="shared" si="11"/>
        <v>Gonzales 2015</v>
      </c>
    </row>
    <row r="774" spans="1:22" x14ac:dyDescent="0.3">
      <c r="A774" t="s">
        <v>1020</v>
      </c>
      <c r="B774" s="37" t="str">
        <f>VLOOKUP(A774,'Planning Periods'!$E$2:$N$540,10,FALSE)</f>
        <v>12/31/2015 - 12/31/2023</v>
      </c>
      <c r="C774" s="138">
        <v>2016</v>
      </c>
      <c r="D774" s="138" t="str">
        <f t="shared" si="11"/>
        <v>Gonzales 2016</v>
      </c>
    </row>
    <row r="775" spans="1:22" x14ac:dyDescent="0.3">
      <c r="A775" t="s">
        <v>1020</v>
      </c>
      <c r="B775" s="37" t="str">
        <f>VLOOKUP(A775,'Planning Periods'!$E$2:$N$540,10,FALSE)</f>
        <v>12/31/2015 - 12/31/2023</v>
      </c>
      <c r="C775" s="138">
        <v>2017</v>
      </c>
      <c r="D775" s="138" t="str">
        <f t="shared" si="11"/>
        <v>Gonzales 2017</v>
      </c>
    </row>
    <row r="776" spans="1:22" x14ac:dyDescent="0.3">
      <c r="A776" s="139" t="s">
        <v>919</v>
      </c>
      <c r="B776" s="37"/>
      <c r="C776" s="138">
        <v>2013</v>
      </c>
      <c r="D776" s="138" t="str">
        <f t="shared" si="11"/>
        <v>Grand Terrace 2013</v>
      </c>
    </row>
    <row r="777" spans="1:22" x14ac:dyDescent="0.3">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
      <c r="A786" t="s">
        <v>1019</v>
      </c>
      <c r="B786" s="37" t="str">
        <f>VLOOKUP(A786,'Planning Periods'!$E$2:$N$540,10,FALSE)</f>
        <v>12/31/2015 - 12/31/2023</v>
      </c>
      <c r="C786" s="138">
        <v>2015</v>
      </c>
      <c r="D786" s="138" t="str">
        <f t="shared" si="11"/>
        <v>Greenfield 2015</v>
      </c>
    </row>
    <row r="787" spans="1:22" x14ac:dyDescent="0.3">
      <c r="A787" t="s">
        <v>1019</v>
      </c>
      <c r="B787" s="37" t="str">
        <f>VLOOKUP(A787,'Planning Periods'!$E$2:$N$540,10,FALSE)</f>
        <v>12/31/2015 - 12/31/2023</v>
      </c>
      <c r="C787" s="138">
        <v>2016</v>
      </c>
      <c r="D787" s="138" t="str">
        <f t="shared" si="11"/>
        <v>Greenfield 2016</v>
      </c>
    </row>
    <row r="788" spans="1:22" x14ac:dyDescent="0.3">
      <c r="A788" t="s">
        <v>1019</v>
      </c>
      <c r="B788" s="37" t="str">
        <f>VLOOKUP(A788,'Planning Periods'!$E$2:$N$540,10,FALSE)</f>
        <v>12/31/2015 - 12/31/2023</v>
      </c>
      <c r="C788" s="138">
        <v>2017</v>
      </c>
      <c r="D788" s="138" t="str">
        <f t="shared" si="11"/>
        <v>Greenfield 2017</v>
      </c>
    </row>
    <row r="789" spans="1:22" x14ac:dyDescent="0.3">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
      <c r="A798" t="s">
        <v>851</v>
      </c>
      <c r="B798" s="37" t="str">
        <f>VLOOKUP(A798,'Planning Periods'!$E$2:$N$540,10,FALSE)</f>
        <v>02/15/2015 - 02/15/2023</v>
      </c>
      <c r="C798" s="138">
        <v>2015</v>
      </c>
      <c r="D798" s="138" t="str">
        <f t="shared" si="11"/>
        <v>Guadalupe 2015</v>
      </c>
    </row>
    <row r="799" spans="1:22" x14ac:dyDescent="0.3">
      <c r="A799" t="s">
        <v>851</v>
      </c>
      <c r="B799" s="37" t="str">
        <f>VLOOKUP(A799,'Planning Periods'!$E$2:$N$540,10,FALSE)</f>
        <v>02/15/2015 - 02/15/2023</v>
      </c>
      <c r="C799" s="138">
        <v>2016</v>
      </c>
      <c r="D799" s="138" t="str">
        <f t="shared" si="11"/>
        <v>Guadalupe 2016</v>
      </c>
    </row>
    <row r="800" spans="1:22" x14ac:dyDescent="0.3">
      <c r="A800" t="s">
        <v>851</v>
      </c>
      <c r="B800" s="37" t="str">
        <f>VLOOKUP(A800,'Planning Periods'!$E$2:$N$540,10,FALSE)</f>
        <v>02/15/2015 - 02/15/2023</v>
      </c>
      <c r="C800" s="138">
        <v>2017</v>
      </c>
      <c r="D800" s="138" t="str">
        <f t="shared" si="11"/>
        <v>Guadalupe 2017</v>
      </c>
    </row>
    <row r="801" spans="1:22" x14ac:dyDescent="0.3">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
      <c r="A802" t="s">
        <v>1029</v>
      </c>
      <c r="B802" s="37" t="str">
        <f>VLOOKUP(A802,'Planning Periods'!$E$2:$N$540,10,FALSE)</f>
        <v>03/31/2016 - 03/31/2024</v>
      </c>
      <c r="C802" s="138">
        <v>2015</v>
      </c>
      <c r="D802" s="138" t="str">
        <f t="shared" si="11"/>
        <v>Gustine 2015</v>
      </c>
    </row>
    <row r="803" spans="1:22" x14ac:dyDescent="0.3">
      <c r="A803" t="s">
        <v>1029</v>
      </c>
      <c r="B803" s="37" t="str">
        <f>VLOOKUP(A803,'Planning Periods'!$E$2:$N$540,10,FALSE)</f>
        <v>03/31/2016 - 03/31/2024</v>
      </c>
      <c r="C803" s="138">
        <v>2016</v>
      </c>
      <c r="D803" s="138" t="str">
        <f t="shared" si="11"/>
        <v>Gustine 2016</v>
      </c>
    </row>
    <row r="804" spans="1:22" x14ac:dyDescent="0.3">
      <c r="A804" t="s">
        <v>1029</v>
      </c>
      <c r="B804" s="37" t="str">
        <f>VLOOKUP(A804,'Planning Periods'!$E$2:$N$540,10,FALSE)</f>
        <v>03/31/2016 - 03/31/2024</v>
      </c>
      <c r="C804" s="138">
        <v>2017</v>
      </c>
      <c r="D804" s="138" t="str">
        <f t="shared" si="11"/>
        <v>Gustine 2017</v>
      </c>
    </row>
    <row r="805" spans="1:22" x14ac:dyDescent="0.3">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
      <c r="A810" t="s">
        <v>1141</v>
      </c>
      <c r="B810" s="37" t="str">
        <f>VLOOKUP(A810,'Planning Periods'!$E$2:$N$540,10,FALSE)</f>
        <v>01/31/2016 - 01/31/2024</v>
      </c>
      <c r="C810" s="138">
        <v>2015</v>
      </c>
      <c r="D810" s="138" t="str">
        <f t="shared" si="12"/>
        <v>Hanford 2015</v>
      </c>
    </row>
    <row r="811" spans="1:22" x14ac:dyDescent="0.3">
      <c r="A811" t="s">
        <v>1141</v>
      </c>
      <c r="B811" s="37" t="str">
        <f>VLOOKUP(A811,'Planning Periods'!$E$2:$N$540,10,FALSE)</f>
        <v>01/31/2016 - 01/31/2024</v>
      </c>
      <c r="C811" s="138">
        <v>2016</v>
      </c>
      <c r="D811" s="138" t="str">
        <f t="shared" si="12"/>
        <v>Hanford 2016</v>
      </c>
    </row>
    <row r="812" spans="1:22" x14ac:dyDescent="0.3">
      <c r="A812" t="s">
        <v>1141</v>
      </c>
      <c r="B812" s="37" t="str">
        <f>VLOOKUP(A812,'Planning Periods'!$E$2:$N$540,10,FALSE)</f>
        <v>01/31/2016 - 01/31/2024</v>
      </c>
      <c r="C812" s="138">
        <v>2017</v>
      </c>
      <c r="D812" s="138" t="str">
        <f t="shared" si="12"/>
        <v>Hanford 2017</v>
      </c>
    </row>
    <row r="813" spans="1:22" x14ac:dyDescent="0.3">
      <c r="A813" t="s">
        <v>1103</v>
      </c>
      <c r="B813" s="37"/>
      <c r="C813" s="138">
        <v>2013</v>
      </c>
      <c r="D813" s="138" t="str">
        <f t="shared" si="12"/>
        <v>Hawaiian Gardens 2013</v>
      </c>
    </row>
    <row r="814" spans="1:22" x14ac:dyDescent="0.3">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
      <c r="A815" t="s">
        <v>1103</v>
      </c>
      <c r="B815" s="37" t="str">
        <f>VLOOKUP(A815,'Planning Periods'!$E$2:$N$540,10,FALSE)</f>
        <v>10/15/2013 - 10/15/2021</v>
      </c>
      <c r="C815" s="138">
        <v>2015</v>
      </c>
      <c r="D815" s="138" t="str">
        <f t="shared" si="12"/>
        <v>Hawaiian Gardens 2015</v>
      </c>
    </row>
    <row r="816" spans="1:22" x14ac:dyDescent="0.3">
      <c r="A816" t="s">
        <v>1103</v>
      </c>
      <c r="B816" s="37" t="str">
        <f>VLOOKUP(A816,'Planning Periods'!$E$2:$N$540,10,FALSE)</f>
        <v>10/15/2013 - 10/15/2021</v>
      </c>
      <c r="C816" s="138">
        <v>2016</v>
      </c>
      <c r="D816" s="138" t="str">
        <f t="shared" si="12"/>
        <v>Hawaiian Gardens 2016</v>
      </c>
    </row>
    <row r="817" spans="1:22" x14ac:dyDescent="0.3">
      <c r="A817" t="s">
        <v>1103</v>
      </c>
      <c r="B817" s="37" t="str">
        <f>VLOOKUP(A817,'Planning Periods'!$E$2:$N$540,10,FALSE)</f>
        <v>10/15/2013 - 10/15/2021</v>
      </c>
      <c r="C817" s="138">
        <v>2017</v>
      </c>
      <c r="D817" s="138" t="str">
        <f t="shared" si="12"/>
        <v>Hawaiian Gardens 2017</v>
      </c>
    </row>
    <row r="818" spans="1:22" x14ac:dyDescent="0.3">
      <c r="A818" s="139" t="s">
        <v>1102</v>
      </c>
      <c r="B818" s="37"/>
      <c r="C818" s="138">
        <v>2013</v>
      </c>
      <c r="D818" s="138" t="str">
        <f t="shared" si="12"/>
        <v>Hawthorne 2013</v>
      </c>
    </row>
    <row r="819" spans="1:22" x14ac:dyDescent="0.3">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
      <c r="A842" t="s">
        <v>1101</v>
      </c>
      <c r="B842" s="37" t="str">
        <f>VLOOKUP(A842,'Planning Periods'!$E$2:$N$540,10,FALSE)</f>
        <v>10/15/2013 - 10/15/2021</v>
      </c>
      <c r="C842" s="138">
        <v>2015</v>
      </c>
      <c r="D842" s="138" t="str">
        <f t="shared" si="12"/>
        <v>Hermosa Beach 2015</v>
      </c>
    </row>
    <row r="843" spans="1:22" x14ac:dyDescent="0.3">
      <c r="A843" t="s">
        <v>1101</v>
      </c>
      <c r="B843" s="37" t="str">
        <f>VLOOKUP(A843,'Planning Periods'!$E$2:$N$540,10,FALSE)</f>
        <v>10/15/2013 - 10/15/2021</v>
      </c>
      <c r="C843" s="138">
        <v>2016</v>
      </c>
      <c r="D843" s="138" t="str">
        <f t="shared" si="12"/>
        <v>Hermosa Beach 2016</v>
      </c>
    </row>
    <row r="844" spans="1:22" x14ac:dyDescent="0.3">
      <c r="A844" t="s">
        <v>1101</v>
      </c>
      <c r="B844" s="37" t="str">
        <f>VLOOKUP(A844,'Planning Periods'!$E$2:$N$540,10,FALSE)</f>
        <v>10/15/2013 - 10/15/2021</v>
      </c>
      <c r="C844" s="138">
        <v>2017</v>
      </c>
      <c r="D844" s="138" t="str">
        <f t="shared" si="12"/>
        <v>Hermosa Beach 2017</v>
      </c>
    </row>
    <row r="845" spans="1:22" x14ac:dyDescent="0.3">
      <c r="A845" s="139" t="s">
        <v>918</v>
      </c>
      <c r="B845" s="37"/>
      <c r="C845" s="138">
        <v>2013</v>
      </c>
      <c r="D845" s="138" t="str">
        <f t="shared" si="12"/>
        <v>Hesperia 2013</v>
      </c>
    </row>
    <row r="846" spans="1:22" x14ac:dyDescent="0.3">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
      <c r="A852" t="s">
        <v>1100</v>
      </c>
      <c r="B852" s="37" t="str">
        <f>VLOOKUP(A852,'Planning Periods'!$E$2:$N$540,10,FALSE)</f>
        <v>10/15/2013 - 10/15/2021</v>
      </c>
      <c r="C852" s="138">
        <v>2015</v>
      </c>
      <c r="D852" s="138" t="str">
        <f t="shared" si="12"/>
        <v>Hidden Hills 2015</v>
      </c>
    </row>
    <row r="853" spans="1:22" x14ac:dyDescent="0.3">
      <c r="A853" t="s">
        <v>1100</v>
      </c>
      <c r="B853" s="37" t="str">
        <f>VLOOKUP(A853,'Planning Periods'!$E$2:$N$540,10,FALSE)</f>
        <v>10/15/2013 - 10/15/2021</v>
      </c>
      <c r="C853" s="138">
        <v>2016</v>
      </c>
      <c r="D853" s="138" t="str">
        <f t="shared" si="12"/>
        <v>Hidden Hills 2016</v>
      </c>
    </row>
    <row r="854" spans="1:22" x14ac:dyDescent="0.3">
      <c r="A854" t="s">
        <v>1100</v>
      </c>
      <c r="B854" s="37" t="str">
        <f>VLOOKUP(A854,'Planning Periods'!$E$2:$N$540,10,FALSE)</f>
        <v>10/15/2013 - 10/15/2021</v>
      </c>
      <c r="C854" s="138">
        <v>2017</v>
      </c>
      <c r="D854" s="138" t="str">
        <f t="shared" si="12"/>
        <v>Hidden Hills 2017</v>
      </c>
    </row>
    <row r="855" spans="1:22" x14ac:dyDescent="0.3">
      <c r="A855" s="139" t="s">
        <v>917</v>
      </c>
      <c r="B855" s="37"/>
      <c r="C855" s="138">
        <v>2013</v>
      </c>
      <c r="D855" s="138" t="str">
        <f t="shared" si="12"/>
        <v>Highland 2013</v>
      </c>
    </row>
    <row r="856" spans="1:22" x14ac:dyDescent="0.3">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
      <c r="A883" t="s">
        <v>992</v>
      </c>
      <c r="B883" s="37" t="str">
        <f>VLOOKUP(A883,'Planning Periods'!$E$2:$N$540,10,FALSE)</f>
        <v>10/15/2013 - 10/15/2021</v>
      </c>
      <c r="C883" s="138">
        <v>2015</v>
      </c>
      <c r="D883" s="138" t="str">
        <f t="shared" si="13"/>
        <v>Huntington Beach 2015</v>
      </c>
    </row>
    <row r="884" spans="1:22" x14ac:dyDescent="0.3">
      <c r="A884" t="s">
        <v>992</v>
      </c>
      <c r="B884" s="37" t="str">
        <f>VLOOKUP(A884,'Planning Periods'!$E$2:$N$540,10,FALSE)</f>
        <v>10/15/2013 - 10/15/2021</v>
      </c>
      <c r="C884" s="138">
        <v>2016</v>
      </c>
      <c r="D884" s="138" t="str">
        <f t="shared" si="13"/>
        <v>Huntington Beach 2016</v>
      </c>
    </row>
    <row r="885" spans="1:22" x14ac:dyDescent="0.3">
      <c r="A885" t="s">
        <v>992</v>
      </c>
      <c r="B885" s="37" t="str">
        <f>VLOOKUP(A885,'Planning Periods'!$E$2:$N$540,10,FALSE)</f>
        <v>10/15/2013 - 10/15/2021</v>
      </c>
      <c r="C885" s="138">
        <v>2017</v>
      </c>
      <c r="D885" s="138" t="str">
        <f t="shared" si="13"/>
        <v>Huntington Beach 2017</v>
      </c>
    </row>
    <row r="886" spans="1:22" x14ac:dyDescent="0.3">
      <c r="A886" t="s">
        <v>1099</v>
      </c>
      <c r="B886" s="37"/>
      <c r="C886" s="138">
        <v>2013</v>
      </c>
      <c r="D886" s="138" t="str">
        <f t="shared" si="13"/>
        <v>Huntington Park 2013</v>
      </c>
    </row>
    <row r="887" spans="1:22" x14ac:dyDescent="0.3">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
      <c r="A888" t="s">
        <v>1099</v>
      </c>
      <c r="B888" s="37" t="str">
        <f>VLOOKUP(A888,'Planning Periods'!$E$2:$N$540,10,FALSE)</f>
        <v>10/15/2013 - 10/15/2021</v>
      </c>
      <c r="C888" s="138">
        <v>2015</v>
      </c>
      <c r="D888" s="138" t="str">
        <f t="shared" si="13"/>
        <v>Huntington Park 2015</v>
      </c>
    </row>
    <row r="889" spans="1:22" x14ac:dyDescent="0.3">
      <c r="A889" t="s">
        <v>1099</v>
      </c>
      <c r="B889" s="37" t="str">
        <f>VLOOKUP(A889,'Planning Periods'!$E$2:$N$540,10,FALSE)</f>
        <v>10/15/2013 - 10/15/2021</v>
      </c>
      <c r="C889" s="138">
        <v>2016</v>
      </c>
      <c r="D889" s="138" t="str">
        <f t="shared" si="13"/>
        <v>Huntington Park 2016</v>
      </c>
    </row>
    <row r="890" spans="1:22" x14ac:dyDescent="0.3">
      <c r="A890" t="s">
        <v>1099</v>
      </c>
      <c r="B890" s="37" t="str">
        <f>VLOOKUP(A890,'Planning Periods'!$E$2:$N$540,10,FALSE)</f>
        <v>10/15/2013 - 10/15/2021</v>
      </c>
      <c r="C890" s="138">
        <v>2017</v>
      </c>
      <c r="D890" s="138" t="str">
        <f t="shared" si="13"/>
        <v>Huntington Park 2017</v>
      </c>
    </row>
    <row r="891" spans="1:22" x14ac:dyDescent="0.3">
      <c r="A891" s="139" t="s">
        <v>1186</v>
      </c>
      <c r="B891" s="37" t="str">
        <f>VLOOKUP(A891,'Planning Periods'!$E$2:$N$540,10,FALSE)</f>
        <v>12/31/2015 - 12/31/2023</v>
      </c>
      <c r="C891" s="138">
        <v>2013</v>
      </c>
      <c r="D891" s="138" t="str">
        <f t="shared" si="13"/>
        <v>Huron 2013</v>
      </c>
    </row>
    <row r="892" spans="1:22" x14ac:dyDescent="0.3">
      <c r="A892" s="139" t="s">
        <v>1186</v>
      </c>
      <c r="B892" s="37" t="str">
        <f>VLOOKUP(A892,'Planning Periods'!$E$2:$N$540,10,FALSE)</f>
        <v>12/31/2015 - 12/31/2023</v>
      </c>
      <c r="C892" s="138">
        <v>2014</v>
      </c>
      <c r="D892" s="138" t="str">
        <f t="shared" si="13"/>
        <v>Huron 2014</v>
      </c>
    </row>
    <row r="893" spans="1:22" x14ac:dyDescent="0.3">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
      <c r="A923" t="s">
        <v>1098</v>
      </c>
      <c r="B923" s="37" t="str">
        <f>VLOOKUP(A923,'Planning Periods'!$E$2:$N$540,10,FALSE)</f>
        <v>10/15/2013 - 10/15/2021</v>
      </c>
      <c r="C923" s="138">
        <v>2015</v>
      </c>
      <c r="D923" s="138" t="str">
        <f t="shared" si="13"/>
        <v>Industry 2015</v>
      </c>
    </row>
    <row r="924" spans="1:22" x14ac:dyDescent="0.3">
      <c r="A924" t="s">
        <v>1098</v>
      </c>
      <c r="B924" s="37" t="str">
        <f>VLOOKUP(A924,'Planning Periods'!$E$2:$N$540,10,FALSE)</f>
        <v>10/15/2013 - 10/15/2021</v>
      </c>
      <c r="C924" s="138">
        <v>2016</v>
      </c>
      <c r="D924" s="138" t="str">
        <f t="shared" si="13"/>
        <v>Industry 2016</v>
      </c>
    </row>
    <row r="925" spans="1:22" x14ac:dyDescent="0.3">
      <c r="A925" t="s">
        <v>1098</v>
      </c>
      <c r="B925" s="37" t="str">
        <f>VLOOKUP(A925,'Planning Periods'!$E$2:$N$540,10,FALSE)</f>
        <v>10/15/2013 - 10/15/2021</v>
      </c>
      <c r="C925" s="138">
        <v>2017</v>
      </c>
      <c r="D925" s="138" t="str">
        <f t="shared" si="13"/>
        <v>Industry 2017</v>
      </c>
    </row>
    <row r="926" spans="1:22" x14ac:dyDescent="0.3">
      <c r="A926" s="139" t="s">
        <v>1097</v>
      </c>
      <c r="B926" s="37"/>
      <c r="C926" s="138">
        <v>2013</v>
      </c>
      <c r="D926" s="138" t="str">
        <f t="shared" si="13"/>
        <v>Inglewood 2013</v>
      </c>
    </row>
    <row r="927" spans="1:22" x14ac:dyDescent="0.3">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
      <c r="A936" t="s">
        <v>1227</v>
      </c>
      <c r="B936" s="37" t="str">
        <f>VLOOKUP(A936,'Planning Periods'!$E$2:$N$540,10,FALSE)</f>
        <v>06/30/2014 - 06/30/2019</v>
      </c>
      <c r="C936" s="138">
        <v>2015</v>
      </c>
      <c r="D936" s="138" t="str">
        <f t="shared" si="13"/>
        <v>Ione 2015</v>
      </c>
    </row>
    <row r="937" spans="1:22" x14ac:dyDescent="0.3">
      <c r="A937" t="s">
        <v>1227</v>
      </c>
      <c r="B937" s="37" t="str">
        <f>VLOOKUP(A937,'Planning Periods'!$E$2:$N$540,10,FALSE)</f>
        <v>06/30/2014 - 06/30/2019</v>
      </c>
      <c r="C937" s="138">
        <v>2016</v>
      </c>
      <c r="D937" s="138" t="str">
        <f t="shared" si="13"/>
        <v>Ione 2016</v>
      </c>
    </row>
    <row r="938" spans="1:22" x14ac:dyDescent="0.3">
      <c r="A938" t="s">
        <v>1227</v>
      </c>
      <c r="B938" s="37" t="str">
        <f>VLOOKUP(A938,'Planning Periods'!$E$2:$N$540,10,FALSE)</f>
        <v>06/30/2014 - 06/30/2019</v>
      </c>
      <c r="C938" s="138">
        <v>2017</v>
      </c>
      <c r="D938" s="138" t="str">
        <f t="shared" si="13"/>
        <v>Ione 2017</v>
      </c>
    </row>
    <row r="939" spans="1:22" x14ac:dyDescent="0.3">
      <c r="A939" s="139" t="s">
        <v>991</v>
      </c>
      <c r="B939" s="37"/>
      <c r="C939" s="138">
        <v>2013</v>
      </c>
      <c r="D939" s="138" t="str">
        <f t="shared" si="13"/>
        <v>Irvine 2013</v>
      </c>
    </row>
    <row r="940" spans="1:22" x14ac:dyDescent="0.3">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
      <c r="A951" t="s">
        <v>932</v>
      </c>
      <c r="B951" s="37" t="str">
        <f>VLOOKUP(A951,'Planning Periods'!$E$2:$N$540,10,FALSE)</f>
        <v>10/31/2013 - 10/31/2021</v>
      </c>
      <c r="C951" s="138">
        <v>2015</v>
      </c>
      <c r="D951" s="138" t="str">
        <f t="shared" si="14"/>
        <v>Isleton 2015</v>
      </c>
    </row>
    <row r="952" spans="1:22" x14ac:dyDescent="0.3">
      <c r="A952" t="s">
        <v>932</v>
      </c>
      <c r="B952" s="37" t="str">
        <f>VLOOKUP(A952,'Planning Periods'!$E$2:$N$540,10,FALSE)</f>
        <v>10/31/2013 - 10/31/2021</v>
      </c>
      <c r="C952" s="138">
        <v>2016</v>
      </c>
      <c r="D952" s="138" t="str">
        <f t="shared" si="14"/>
        <v>Isleton 2016</v>
      </c>
    </row>
    <row r="953" spans="1:22" x14ac:dyDescent="0.3">
      <c r="A953" t="s">
        <v>932</v>
      </c>
      <c r="B953" s="37" t="str">
        <f>VLOOKUP(A953,'Planning Periods'!$E$2:$N$540,10,FALSE)</f>
        <v>10/31/2013 - 10/31/2021</v>
      </c>
      <c r="C953" s="138">
        <v>2017</v>
      </c>
      <c r="D953" s="138" t="str">
        <f t="shared" si="14"/>
        <v>Isleton 2017</v>
      </c>
    </row>
    <row r="954" spans="1:22" x14ac:dyDescent="0.3">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
      <c r="A960" t="s">
        <v>1350</v>
      </c>
      <c r="B960" s="37" t="str">
        <f>VLOOKUP(A960,'Planning Periods'!$E$2:$N$540,10,FALSE)</f>
        <v>10/15/2013 - 10/15/2021</v>
      </c>
      <c r="C960" s="138">
        <v>2015</v>
      </c>
      <c r="D960" s="138" t="str">
        <f t="shared" si="14"/>
        <v>Jurupa Valley 2015</v>
      </c>
    </row>
    <row r="961" spans="1:22" x14ac:dyDescent="0.3">
      <c r="A961" t="s">
        <v>1350</v>
      </c>
      <c r="B961" s="37" t="str">
        <f>VLOOKUP(A961,'Planning Periods'!$E$2:$N$540,10,FALSE)</f>
        <v>10/15/2013 - 10/15/2021</v>
      </c>
      <c r="C961" s="138">
        <v>2016</v>
      </c>
      <c r="D961" s="138" t="str">
        <f t="shared" si="14"/>
        <v>Jurupa Valley 2016</v>
      </c>
    </row>
    <row r="962" spans="1:22" x14ac:dyDescent="0.3">
      <c r="A962" t="s">
        <v>1350</v>
      </c>
      <c r="B962" s="37" t="str">
        <f>VLOOKUP(A962,'Planning Periods'!$E$2:$N$540,10,FALSE)</f>
        <v>10/15/2013 - 10/15/2021</v>
      </c>
      <c r="C962" s="138">
        <v>2017</v>
      </c>
      <c r="D962" s="138" t="str">
        <f t="shared" si="14"/>
        <v>Jurupa Valley 2017</v>
      </c>
    </row>
    <row r="963" spans="1:22" x14ac:dyDescent="0.3">
      <c r="A963" s="139" t="s">
        <v>1185</v>
      </c>
      <c r="B963" s="37" t="str">
        <f>VLOOKUP(A963,'Planning Periods'!$E$2:$N$540,10,FALSE)</f>
        <v>12/31/2015 - 12/31/2023</v>
      </c>
      <c r="C963" s="138">
        <v>2013</v>
      </c>
      <c r="D963" s="138" t="str">
        <f t="shared" si="14"/>
        <v>Kerman 2013</v>
      </c>
    </row>
    <row r="964" spans="1:22" x14ac:dyDescent="0.3">
      <c r="A964" s="139" t="s">
        <v>1185</v>
      </c>
      <c r="B964" s="37" t="str">
        <f>VLOOKUP(A964,'Planning Periods'!$E$2:$N$540,10,FALSE)</f>
        <v>12/31/2015 - 12/31/2023</v>
      </c>
      <c r="C964" s="138">
        <v>2014</v>
      </c>
      <c r="D964" s="138" t="str">
        <f t="shared" si="14"/>
        <v>Kerman 2014</v>
      </c>
    </row>
    <row r="965" spans="1:22" x14ac:dyDescent="0.3">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
      <c r="A983" t="s">
        <v>1184</v>
      </c>
      <c r="B983" s="37" t="str">
        <f>VLOOKUP(A983,'Planning Periods'!$E$2:$N$540,10,FALSE)</f>
        <v>12/31/2015 - 12/31/2023</v>
      </c>
      <c r="C983" s="138">
        <v>2015</v>
      </c>
      <c r="D983" s="138" t="str">
        <f t="shared" si="14"/>
        <v>Kingsburg 2015</v>
      </c>
    </row>
    <row r="984" spans="1:22" x14ac:dyDescent="0.3">
      <c r="A984" t="s">
        <v>1184</v>
      </c>
      <c r="B984" s="37" t="str">
        <f>VLOOKUP(A984,'Planning Periods'!$E$2:$N$540,10,FALSE)</f>
        <v>12/31/2015 - 12/31/2023</v>
      </c>
      <c r="C984" s="138">
        <v>2016</v>
      </c>
      <c r="D984" s="138" t="str">
        <f t="shared" si="14"/>
        <v>Kingsburg 2016</v>
      </c>
    </row>
    <row r="985" spans="1:22" x14ac:dyDescent="0.3">
      <c r="A985" t="s">
        <v>1184</v>
      </c>
      <c r="B985" s="37" t="str">
        <f>VLOOKUP(A985,'Planning Periods'!$E$2:$N$540,10,FALSE)</f>
        <v>12/31/2015 - 12/31/2023</v>
      </c>
      <c r="C985" s="138">
        <v>2017</v>
      </c>
      <c r="D985" s="138" t="str">
        <f t="shared" si="14"/>
        <v>Kingsburg 2017</v>
      </c>
    </row>
    <row r="986" spans="1:22" x14ac:dyDescent="0.3">
      <c r="A986" s="139" t="s">
        <v>1095</v>
      </c>
      <c r="B986" s="37"/>
      <c r="C986" s="138">
        <v>2013</v>
      </c>
      <c r="D986" s="138" t="str">
        <f t="shared" si="14"/>
        <v>La Canada Flintridge 2013</v>
      </c>
    </row>
    <row r="987" spans="1:22" x14ac:dyDescent="0.3">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
      <c r="A998" t="s">
        <v>1094</v>
      </c>
      <c r="B998" s="37" t="str">
        <f>VLOOKUP(A998,'Planning Periods'!$E$2:$N$540,10,FALSE)</f>
        <v>10/15/2013 - 10/15/2021</v>
      </c>
      <c r="C998" s="138">
        <v>2015</v>
      </c>
      <c r="D998" s="138" t="str">
        <f t="shared" si="14"/>
        <v>La Habra Heights 2015</v>
      </c>
    </row>
    <row r="999" spans="1:22" x14ac:dyDescent="0.3">
      <c r="A999" t="s">
        <v>1094</v>
      </c>
      <c r="B999" s="37" t="str">
        <f>VLOOKUP(A999,'Planning Periods'!$E$2:$N$540,10,FALSE)</f>
        <v>10/15/2013 - 10/15/2021</v>
      </c>
      <c r="C999" s="138">
        <v>2016</v>
      </c>
      <c r="D999" s="138" t="str">
        <f t="shared" si="14"/>
        <v>La Habra Heights 2016</v>
      </c>
    </row>
    <row r="1000" spans="1:22" x14ac:dyDescent="0.3">
      <c r="A1000" t="s">
        <v>1094</v>
      </c>
      <c r="B1000" s="37" t="str">
        <f>VLOOKUP(A1000,'Planning Periods'!$E$2:$N$540,10,FALSE)</f>
        <v>10/15/2013 - 10/15/2021</v>
      </c>
      <c r="C1000" s="138">
        <v>2017</v>
      </c>
      <c r="D1000" s="138" t="str">
        <f t="shared" si="14"/>
        <v>La Habra Heights 2017</v>
      </c>
    </row>
    <row r="1001" spans="1:22" x14ac:dyDescent="0.3">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
      <c r="A1018" t="s">
        <v>1092</v>
      </c>
      <c r="B1018" s="37" t="str">
        <f>VLOOKUP(A1018,'Planning Periods'!$E$2:$N$540,10,FALSE)</f>
        <v>10/15/2013 - 10/15/2021</v>
      </c>
      <c r="C1018" s="138">
        <v>2015</v>
      </c>
      <c r="D1018" s="138" t="str">
        <f t="shared" si="15"/>
        <v>La Puente 2015</v>
      </c>
    </row>
    <row r="1019" spans="1:22" x14ac:dyDescent="0.3">
      <c r="A1019" t="s">
        <v>1092</v>
      </c>
      <c r="B1019" s="37" t="str">
        <f>VLOOKUP(A1019,'Planning Periods'!$E$2:$N$540,10,FALSE)</f>
        <v>10/15/2013 - 10/15/2021</v>
      </c>
      <c r="C1019" s="138">
        <v>2016</v>
      </c>
      <c r="D1019" s="138" t="str">
        <f t="shared" si="15"/>
        <v>La Puente 2016</v>
      </c>
    </row>
    <row r="1020" spans="1:22" x14ac:dyDescent="0.3">
      <c r="A1020" t="s">
        <v>1092</v>
      </c>
      <c r="B1020" s="37" t="str">
        <f>VLOOKUP(A1020,'Planning Periods'!$E$2:$N$540,10,FALSE)</f>
        <v>10/15/2013 - 10/15/2021</v>
      </c>
      <c r="C1020" s="138">
        <v>2017</v>
      </c>
      <c r="D1020" s="138" t="str">
        <f t="shared" si="15"/>
        <v>La Puente 2017</v>
      </c>
    </row>
    <row r="1021" spans="1:22" x14ac:dyDescent="0.3">
      <c r="A1021" s="139" t="s">
        <v>949</v>
      </c>
      <c r="B1021" s="37"/>
      <c r="C1021" s="138">
        <v>2013</v>
      </c>
      <c r="D1021" s="138" t="str">
        <f t="shared" si="15"/>
        <v>La Quinta 2013</v>
      </c>
    </row>
    <row r="1022" spans="1:22" x14ac:dyDescent="0.3">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
      <c r="A1056" t="s">
        <v>611</v>
      </c>
      <c r="B1056" s="37" t="str">
        <f>VLOOKUP(A1056,'Planning Periods'!$E$2:$N$540,10,FALSE)</f>
        <v>06/30/2014 - 06/30/2019</v>
      </c>
      <c r="C1056" s="138">
        <v>2015</v>
      </c>
      <c r="D1056" s="138" t="str">
        <f t="shared" si="15"/>
        <v>Lake County - Unincorporated 2015</v>
      </c>
    </row>
    <row r="1057" spans="1:22" x14ac:dyDescent="0.3">
      <c r="A1057" t="s">
        <v>611</v>
      </c>
      <c r="B1057" s="37" t="str">
        <f>VLOOKUP(A1057,'Planning Periods'!$E$2:$N$540,10,FALSE)</f>
        <v>06/30/2014 - 06/30/2019</v>
      </c>
      <c r="C1057" s="138">
        <v>2016</v>
      </c>
      <c r="D1057" s="138" t="str">
        <f t="shared" si="15"/>
        <v>Lake County - Unincorporated 2016</v>
      </c>
    </row>
    <row r="1058" spans="1:22" x14ac:dyDescent="0.3">
      <c r="A1058" t="s">
        <v>611</v>
      </c>
      <c r="B1058" s="37" t="str">
        <f>VLOOKUP(A1058,'Planning Periods'!$E$2:$N$540,10,FALSE)</f>
        <v>06/30/2014 - 06/30/2019</v>
      </c>
      <c r="C1058" s="138">
        <v>2017</v>
      </c>
      <c r="D1058" s="138" t="str">
        <f t="shared" si="15"/>
        <v>Lake County - Unincorporated 2017</v>
      </c>
    </row>
    <row r="1059" spans="1:22" x14ac:dyDescent="0.3">
      <c r="A1059" s="139" t="s">
        <v>948</v>
      </c>
      <c r="B1059" s="37"/>
      <c r="C1059" s="138">
        <v>2013</v>
      </c>
      <c r="D1059" s="138" t="str">
        <f t="shared" si="15"/>
        <v>Lake Elsinore 2013</v>
      </c>
    </row>
    <row r="1060" spans="1:22" x14ac:dyDescent="0.3">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
      <c r="A1080" t="s">
        <v>1089</v>
      </c>
      <c r="B1080" s="37" t="str">
        <f>VLOOKUP(A1080,'Planning Periods'!$E$2:$N$540,10,FALSE)</f>
        <v>10/15/2013 - 10/15/2021</v>
      </c>
      <c r="C1080" s="138">
        <v>2015</v>
      </c>
      <c r="D1080" s="138" t="str">
        <f t="shared" si="15"/>
        <v>Lancaster 2015</v>
      </c>
    </row>
    <row r="1081" spans="1:22" x14ac:dyDescent="0.3">
      <c r="A1081" t="s">
        <v>1089</v>
      </c>
      <c r="B1081" s="37" t="str">
        <f>VLOOKUP(A1081,'Planning Periods'!$E$2:$N$540,10,FALSE)</f>
        <v>10/15/2013 - 10/15/2021</v>
      </c>
      <c r="C1081" s="138">
        <v>2016</v>
      </c>
      <c r="D1081" s="138" t="str">
        <f t="shared" si="15"/>
        <v>Lancaster 2016</v>
      </c>
    </row>
    <row r="1082" spans="1:22" x14ac:dyDescent="0.3">
      <c r="A1082" t="s">
        <v>1089</v>
      </c>
      <c r="B1082" s="37" t="str">
        <f>VLOOKUP(A1082,'Planning Periods'!$E$2:$N$540,10,FALSE)</f>
        <v>10/15/2013 - 10/15/2021</v>
      </c>
      <c r="C1082" s="138">
        <v>2017</v>
      </c>
      <c r="D1082" s="138" t="str">
        <f t="shared" si="15"/>
        <v>Lancaster 2017</v>
      </c>
    </row>
    <row r="1083" spans="1:22" x14ac:dyDescent="0.3">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
      <c r="A1088" t="s">
        <v>608</v>
      </c>
      <c r="B1088" s="37" t="str">
        <f>VLOOKUP(A1088,'Planning Periods'!$E$2:$N$540,10,FALSE)</f>
        <v>06/30/2014 - 06/30/2019</v>
      </c>
      <c r="C1088" s="138">
        <v>2015</v>
      </c>
      <c r="D1088" s="138" t="str">
        <f t="shared" si="15"/>
        <v>Lassen County - Unincorporated 2015</v>
      </c>
    </row>
    <row r="1089" spans="1:22" x14ac:dyDescent="0.3">
      <c r="A1089" t="s">
        <v>608</v>
      </c>
      <c r="B1089" s="37" t="str">
        <f>VLOOKUP(A1089,'Planning Periods'!$E$2:$N$540,10,FALSE)</f>
        <v>06/30/2014 - 06/30/2019</v>
      </c>
      <c r="C1089" s="138">
        <v>2016</v>
      </c>
      <c r="D1089" s="138" t="str">
        <f t="shared" si="15"/>
        <v>Lassen County - Unincorporated 2016</v>
      </c>
    </row>
    <row r="1090" spans="1:22" x14ac:dyDescent="0.3">
      <c r="A1090" t="s">
        <v>608</v>
      </c>
      <c r="B1090" s="37" t="str">
        <f>VLOOKUP(A1090,'Planning Periods'!$E$2:$N$540,10,FALSE)</f>
        <v>06/30/2014 - 06/30/2019</v>
      </c>
      <c r="C1090" s="138">
        <v>2017</v>
      </c>
      <c r="D1090" s="138" t="str">
        <f t="shared" ref="D1090:D1154" si="16">CONCATENATE(A1090," ",C1090)</f>
        <v>Lassen County - Unincorporated 2017</v>
      </c>
    </row>
    <row r="1091" spans="1:22" x14ac:dyDescent="0.3">
      <c r="A1091" s="139" t="s">
        <v>884</v>
      </c>
      <c r="B1091" s="37" t="str">
        <f>VLOOKUP(A1091,'Planning Periods'!$E$2:$N$540,10,FALSE)</f>
        <v>12/31/2015 - 12/31/2023</v>
      </c>
      <c r="C1091" s="138">
        <v>2014</v>
      </c>
      <c r="D1091" s="138" t="str">
        <f t="shared" si="16"/>
        <v>Lathrop 2014</v>
      </c>
    </row>
    <row r="1092" spans="1:22" x14ac:dyDescent="0.3">
      <c r="A1092" s="139" t="s">
        <v>884</v>
      </c>
      <c r="B1092" s="37" t="str">
        <f>VLOOKUP(A1092,'Planning Periods'!$E$2:$N$540,10,FALSE)</f>
        <v>12/31/2015 - 12/31/2023</v>
      </c>
      <c r="C1092" s="138">
        <v>2015</v>
      </c>
      <c r="D1092" s="138" t="str">
        <f t="shared" si="16"/>
        <v>Lathrop 2015</v>
      </c>
    </row>
    <row r="1093" spans="1:22" x14ac:dyDescent="0.3">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
      <c r="A1106" t="s">
        <v>1139</v>
      </c>
      <c r="B1106" s="37" t="str">
        <f>VLOOKUP(A1106,'Planning Periods'!$E$2:$N$540,10,FALSE)</f>
        <v>01/31/2016 - 01/31/2024</v>
      </c>
      <c r="C1106" s="138">
        <v>2015</v>
      </c>
      <c r="D1106" s="138" t="str">
        <f t="shared" si="16"/>
        <v>Lemoore 2015</v>
      </c>
    </row>
    <row r="1107" spans="1:22" x14ac:dyDescent="0.3">
      <c r="A1107" t="s">
        <v>1139</v>
      </c>
      <c r="B1107" s="37" t="str">
        <f>VLOOKUP(A1107,'Planning Periods'!$E$2:$N$540,10,FALSE)</f>
        <v>01/31/2016 - 01/31/2024</v>
      </c>
      <c r="C1107" s="138">
        <v>2016</v>
      </c>
      <c r="D1107" s="138" t="str">
        <f t="shared" si="16"/>
        <v>Lemoore 2016</v>
      </c>
    </row>
    <row r="1108" spans="1:22" x14ac:dyDescent="0.3">
      <c r="A1108" t="s">
        <v>1139</v>
      </c>
      <c r="B1108" s="37" t="str">
        <f>VLOOKUP(A1108,'Planning Periods'!$E$2:$N$540,10,FALSE)</f>
        <v>01/31/2016 - 01/31/2024</v>
      </c>
      <c r="C1108" s="138">
        <v>2017</v>
      </c>
      <c r="D1108" s="138" t="str">
        <f t="shared" si="16"/>
        <v>Lemoore 2017</v>
      </c>
    </row>
    <row r="1109" spans="1:22" x14ac:dyDescent="0.3">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
      <c r="A1137" t="s">
        <v>916</v>
      </c>
      <c r="B1137" s="37" t="str">
        <f>VLOOKUP(A1137,'Planning Periods'!$E$2:$N$540,10,FALSE)</f>
        <v>10/15/2013 - 10/15/2021</v>
      </c>
      <c r="C1137" s="138">
        <v>2015</v>
      </c>
      <c r="D1137" s="138" t="str">
        <f t="shared" si="16"/>
        <v>Loma Linda 2015</v>
      </c>
    </row>
    <row r="1138" spans="1:22" x14ac:dyDescent="0.3">
      <c r="A1138" t="s">
        <v>916</v>
      </c>
      <c r="B1138" s="37" t="str">
        <f>VLOOKUP(A1138,'Planning Periods'!$E$2:$N$540,10,FALSE)</f>
        <v>10/15/2013 - 10/15/2021</v>
      </c>
      <c r="C1138" s="138">
        <v>2016</v>
      </c>
      <c r="D1138" s="138" t="str">
        <f t="shared" si="16"/>
        <v>Loma Linda 2016</v>
      </c>
    </row>
    <row r="1139" spans="1:22" x14ac:dyDescent="0.3">
      <c r="A1139" t="s">
        <v>916</v>
      </c>
      <c r="B1139" s="37" t="str">
        <f>VLOOKUP(A1139,'Planning Periods'!$E$2:$N$540,10,FALSE)</f>
        <v>10/15/2013 - 10/15/2021</v>
      </c>
      <c r="C1139" s="138">
        <v>2017</v>
      </c>
      <c r="D1139" s="138" t="str">
        <f t="shared" si="16"/>
        <v>Loma Linda 2017</v>
      </c>
    </row>
    <row r="1140" spans="1:22" x14ac:dyDescent="0.3">
      <c r="A1140" s="139" t="s">
        <v>1087</v>
      </c>
      <c r="B1140" s="37"/>
      <c r="C1140" s="138">
        <v>2013</v>
      </c>
      <c r="D1140" s="138" t="str">
        <f t="shared" si="16"/>
        <v>Lomita 2013</v>
      </c>
    </row>
    <row r="1141" spans="1:22" x14ac:dyDescent="0.3">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
      <c r="A1191" t="s">
        <v>824</v>
      </c>
      <c r="B1191" s="37" t="str">
        <f>VLOOKUP(A1191,'Planning Periods'!$E$2:$N$540,10,FALSE)</f>
        <v>06/30/2014 - 06/30/2019</v>
      </c>
      <c r="C1191" s="138">
        <v>2015</v>
      </c>
      <c r="D1191" s="138" t="str">
        <f t="shared" si="17"/>
        <v>Loyalton 2015</v>
      </c>
    </row>
    <row r="1192" spans="1:22" x14ac:dyDescent="0.3">
      <c r="A1192" t="s">
        <v>824</v>
      </c>
      <c r="B1192" s="37" t="str">
        <f>VLOOKUP(A1192,'Planning Periods'!$E$2:$N$540,10,FALSE)</f>
        <v>06/30/2014 - 06/30/2019</v>
      </c>
      <c r="C1192" s="138">
        <v>2016</v>
      </c>
      <c r="D1192" s="138" t="str">
        <f t="shared" si="17"/>
        <v>Loyalton 2016</v>
      </c>
    </row>
    <row r="1193" spans="1:22" x14ac:dyDescent="0.3">
      <c r="A1193" t="s">
        <v>824</v>
      </c>
      <c r="B1193" s="37" t="str">
        <f>VLOOKUP(A1193,'Planning Periods'!$E$2:$N$540,10,FALSE)</f>
        <v>06/30/2014 - 06/30/2019</v>
      </c>
      <c r="C1193" s="138">
        <v>2017</v>
      </c>
      <c r="D1193" s="138" t="str">
        <f t="shared" si="17"/>
        <v>Loyalton 2017</v>
      </c>
    </row>
    <row r="1194" spans="1:22" x14ac:dyDescent="0.3">
      <c r="A1194" t="s">
        <v>1085</v>
      </c>
      <c r="B1194" s="37"/>
      <c r="C1194" s="138">
        <v>2013</v>
      </c>
      <c r="D1194" s="138" t="str">
        <f t="shared" si="17"/>
        <v>Lynwood 2013</v>
      </c>
    </row>
    <row r="1195" spans="1:22" x14ac:dyDescent="0.3">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
      <c r="A1196" t="s">
        <v>1085</v>
      </c>
      <c r="B1196" s="37" t="str">
        <f>VLOOKUP(A1196,'Planning Periods'!$E$2:$N$540,10,FALSE)</f>
        <v>10/15/2013 - 10/15/2021</v>
      </c>
      <c r="C1196" s="138">
        <v>2015</v>
      </c>
      <c r="D1196" s="138" t="str">
        <f t="shared" si="17"/>
        <v>Lynwood 2015</v>
      </c>
    </row>
    <row r="1197" spans="1:22" x14ac:dyDescent="0.3">
      <c r="A1197" t="s">
        <v>1085</v>
      </c>
      <c r="B1197" s="37" t="str">
        <f>VLOOKUP(A1197,'Planning Periods'!$E$2:$N$540,10,FALSE)</f>
        <v>10/15/2013 - 10/15/2021</v>
      </c>
      <c r="C1197" s="138">
        <v>2016</v>
      </c>
      <c r="D1197" s="138" t="str">
        <f t="shared" si="17"/>
        <v>Lynwood 2016</v>
      </c>
    </row>
    <row r="1198" spans="1:22" x14ac:dyDescent="0.3">
      <c r="A1198" t="s">
        <v>1085</v>
      </c>
      <c r="B1198" s="37" t="str">
        <f>VLOOKUP(A1198,'Planning Periods'!$E$2:$N$540,10,FALSE)</f>
        <v>10/15/2013 - 10/15/2021</v>
      </c>
      <c r="C1198" s="138">
        <v>2017</v>
      </c>
      <c r="D1198" s="138" t="str">
        <f t="shared" si="17"/>
        <v>Lynwood 2017</v>
      </c>
    </row>
    <row r="1199" spans="1:22" x14ac:dyDescent="0.3">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
      <c r="A1218" t="s">
        <v>1083</v>
      </c>
      <c r="B1218" s="37" t="str">
        <f>VLOOKUP(A1218,'Planning Periods'!$E$2:$N$540,10,FALSE)</f>
        <v>10/15/2013 - 10/15/2021</v>
      </c>
      <c r="C1218" s="138">
        <v>2015</v>
      </c>
      <c r="D1218" s="138" t="str">
        <f t="shared" si="17"/>
        <v>Manhattan Beach 2015</v>
      </c>
    </row>
    <row r="1219" spans="1:22" x14ac:dyDescent="0.3">
      <c r="A1219" t="s">
        <v>1083</v>
      </c>
      <c r="B1219" s="37" t="str">
        <f>VLOOKUP(A1219,'Planning Periods'!$E$2:$N$540,10,FALSE)</f>
        <v>10/15/2013 - 10/15/2021</v>
      </c>
      <c r="C1219" s="138">
        <v>2016</v>
      </c>
      <c r="D1219" s="138" t="str">
        <f t="shared" si="17"/>
        <v>Manhattan Beach 2016</v>
      </c>
    </row>
    <row r="1220" spans="1:22" x14ac:dyDescent="0.3">
      <c r="A1220" t="s">
        <v>1083</v>
      </c>
      <c r="B1220" s="37" t="str">
        <f>VLOOKUP(A1220,'Planning Periods'!$E$2:$N$540,10,FALSE)</f>
        <v>10/15/2013 - 10/15/2021</v>
      </c>
      <c r="C1220" s="138">
        <v>2017</v>
      </c>
      <c r="D1220" s="138" t="str">
        <f t="shared" si="17"/>
        <v>Manhattan Beach 2017</v>
      </c>
    </row>
    <row r="1221" spans="1:22" x14ac:dyDescent="0.3">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
      <c r="A1222" t="s">
        <v>882</v>
      </c>
      <c r="B1222" s="37" t="str">
        <f>VLOOKUP(A1222,'Planning Periods'!$E$2:$N$540,10,FALSE)</f>
        <v>12/31/2015 - 12/31/2023</v>
      </c>
      <c r="C1222" s="138">
        <v>2015</v>
      </c>
      <c r="D1222" s="138" t="str">
        <f t="shared" si="17"/>
        <v>Manteca 2015</v>
      </c>
    </row>
    <row r="1223" spans="1:22" x14ac:dyDescent="0.3">
      <c r="A1223" t="s">
        <v>882</v>
      </c>
      <c r="B1223" s="37" t="str">
        <f>VLOOKUP(A1223,'Planning Periods'!$E$2:$N$540,10,FALSE)</f>
        <v>12/31/2015 - 12/31/2023</v>
      </c>
      <c r="C1223" s="138">
        <v>2016</v>
      </c>
      <c r="D1223" s="138" t="str">
        <f t="shared" si="17"/>
        <v>Manteca 2016</v>
      </c>
    </row>
    <row r="1224" spans="1:22" x14ac:dyDescent="0.3">
      <c r="A1224" t="s">
        <v>882</v>
      </c>
      <c r="B1224" s="37" t="str">
        <f>VLOOKUP(A1224,'Planning Periods'!$E$2:$N$540,10,FALSE)</f>
        <v>12/31/2015 - 12/31/2023</v>
      </c>
      <c r="C1224" s="138">
        <v>2017</v>
      </c>
      <c r="D1224" s="138" t="str">
        <f t="shared" si="17"/>
        <v>Manteca 2017</v>
      </c>
    </row>
    <row r="1225" spans="1:22" x14ac:dyDescent="0.3">
      <c r="A1225" t="s">
        <v>1151</v>
      </c>
      <c r="B1225" s="37" t="str">
        <f>VLOOKUP(A1225,'Planning Periods'!$E$2:$N$540,10,FALSE)</f>
        <v>12/31/2015 - 12/31/2023</v>
      </c>
      <c r="C1225" s="138">
        <v>2013</v>
      </c>
      <c r="D1225" s="138" t="str">
        <f t="shared" ref="D1225:D1290" si="18">CONCATENATE(A1225," ",C1225)</f>
        <v>Maricopa 2013</v>
      </c>
    </row>
    <row r="1226" spans="1:22" x14ac:dyDescent="0.3">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
      <c r="A1227" t="s">
        <v>1151</v>
      </c>
      <c r="B1227" s="37" t="str">
        <f>VLOOKUP(A1227,'Planning Periods'!$E$2:$N$540,10,FALSE)</f>
        <v>12/31/2015 - 12/31/2023</v>
      </c>
      <c r="C1227" s="138">
        <v>2015</v>
      </c>
      <c r="D1227" s="138" t="str">
        <f t="shared" si="18"/>
        <v>Maricopa 2015</v>
      </c>
    </row>
    <row r="1228" spans="1:22" x14ac:dyDescent="0.3">
      <c r="A1228" t="s">
        <v>1151</v>
      </c>
      <c r="B1228" s="37" t="str">
        <f>VLOOKUP(A1228,'Planning Periods'!$E$2:$N$540,10,FALSE)</f>
        <v>12/31/2015 - 12/31/2023</v>
      </c>
      <c r="C1228" s="138">
        <v>2016</v>
      </c>
      <c r="D1228" s="138" t="str">
        <f t="shared" si="18"/>
        <v>Maricopa 2016</v>
      </c>
    </row>
    <row r="1229" spans="1:22" x14ac:dyDescent="0.3">
      <c r="A1229" t="s">
        <v>1151</v>
      </c>
      <c r="B1229" s="37" t="str">
        <f>VLOOKUP(A1229,'Planning Periods'!$E$2:$N$540,10,FALSE)</f>
        <v>12/31/2015 - 12/31/2023</v>
      </c>
      <c r="C1229" s="138">
        <v>2017</v>
      </c>
      <c r="D1229" s="138" t="str">
        <f t="shared" si="18"/>
        <v>Maricopa 2017</v>
      </c>
    </row>
    <row r="1230" spans="1:22" x14ac:dyDescent="0.3">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
      <c r="A1248" t="s">
        <v>755</v>
      </c>
      <c r="B1248" s="37" t="str">
        <f>VLOOKUP(A1248,'Planning Periods'!$E$2:$N$540,10,FALSE)</f>
        <v>10/31/2013 - 10/31/2021</v>
      </c>
      <c r="C1248" s="138">
        <v>2015</v>
      </c>
      <c r="D1248" s="138" t="str">
        <f t="shared" si="18"/>
        <v>Marysville 2015</v>
      </c>
    </row>
    <row r="1249" spans="1:22" x14ac:dyDescent="0.3">
      <c r="A1249" t="s">
        <v>755</v>
      </c>
      <c r="B1249" s="37" t="str">
        <f>VLOOKUP(A1249,'Planning Periods'!$E$2:$N$540,10,FALSE)</f>
        <v>10/31/2013 - 10/31/2021</v>
      </c>
      <c r="C1249" s="138">
        <v>2016</v>
      </c>
      <c r="D1249" s="138" t="str">
        <f t="shared" si="18"/>
        <v>Marysville 2016</v>
      </c>
    </row>
    <row r="1250" spans="1:22" x14ac:dyDescent="0.3">
      <c r="A1250" t="s">
        <v>755</v>
      </c>
      <c r="B1250" s="37" t="str">
        <f>VLOOKUP(A1250,'Planning Periods'!$E$2:$N$540,10,FALSE)</f>
        <v>10/31/2013 - 10/31/2021</v>
      </c>
      <c r="C1250" s="138">
        <v>2017</v>
      </c>
      <c r="D1250" s="138" t="str">
        <f t="shared" si="18"/>
        <v>Marysville 2017</v>
      </c>
    </row>
    <row r="1251" spans="1:22" x14ac:dyDescent="0.3">
      <c r="A1251" t="s">
        <v>1082</v>
      </c>
      <c r="B1251" s="37"/>
      <c r="C1251" s="138">
        <v>2013</v>
      </c>
      <c r="D1251" s="138" t="str">
        <f t="shared" si="18"/>
        <v>Maywood 2013</v>
      </c>
    </row>
    <row r="1252" spans="1:22" x14ac:dyDescent="0.3">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
      <c r="A1253" t="s">
        <v>1082</v>
      </c>
      <c r="B1253" s="37" t="str">
        <f>VLOOKUP(A1253,'Planning Periods'!$E$2:$N$540,10,FALSE)</f>
        <v>10/15/2013 - 10/15/2021</v>
      </c>
      <c r="C1253" s="138">
        <v>2015</v>
      </c>
      <c r="D1253" s="138" t="str">
        <f t="shared" si="18"/>
        <v>Maywood 2015</v>
      </c>
    </row>
    <row r="1254" spans="1:22" x14ac:dyDescent="0.3">
      <c r="A1254" t="s">
        <v>1082</v>
      </c>
      <c r="B1254" s="37" t="str">
        <f>VLOOKUP(A1254,'Planning Periods'!$E$2:$N$540,10,FALSE)</f>
        <v>10/15/2013 - 10/15/2021</v>
      </c>
      <c r="C1254" s="138">
        <v>2016</v>
      </c>
      <c r="D1254" s="138" t="str">
        <f t="shared" si="18"/>
        <v>Maywood 2016</v>
      </c>
    </row>
    <row r="1255" spans="1:22" x14ac:dyDescent="0.3">
      <c r="A1255" t="s">
        <v>1082</v>
      </c>
      <c r="B1255" s="37" t="str">
        <f>VLOOKUP(A1255,'Planning Periods'!$E$2:$N$540,10,FALSE)</f>
        <v>10/15/2013 - 10/15/2021</v>
      </c>
      <c r="C1255" s="138">
        <v>2017</v>
      </c>
      <c r="D1255" s="138" t="str">
        <f t="shared" si="18"/>
        <v>Maywood 2017</v>
      </c>
    </row>
    <row r="1256" spans="1:22" x14ac:dyDescent="0.3">
      <c r="A1256" s="139" t="s">
        <v>1318</v>
      </c>
      <c r="B1256" s="37" t="str">
        <f>VLOOKUP(A1256,'Planning Periods'!$E$2:$N$540,10,FALSE)</f>
        <v>12/31/2015 - 12/31/2023</v>
      </c>
      <c r="C1256" s="138">
        <v>2013</v>
      </c>
      <c r="D1256" s="138" t="str">
        <f t="shared" si="18"/>
        <v>Mcfarland 2013</v>
      </c>
    </row>
    <row r="1257" spans="1:22" x14ac:dyDescent="0.3">
      <c r="A1257" s="139" t="s">
        <v>1318</v>
      </c>
      <c r="B1257" s="37" t="str">
        <f>VLOOKUP(A1257,'Planning Periods'!$E$2:$N$540,10,FALSE)</f>
        <v>12/31/2015 - 12/31/2023</v>
      </c>
      <c r="C1257" s="138">
        <v>2014</v>
      </c>
      <c r="D1257" s="138" t="str">
        <f t="shared" si="18"/>
        <v>Mcfarland 2014</v>
      </c>
    </row>
    <row r="1258" spans="1:22" x14ac:dyDescent="0.3">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
      <c r="A1267" t="s">
        <v>1183</v>
      </c>
      <c r="B1267" s="37" t="str">
        <f>VLOOKUP(A1267,'Planning Periods'!$E$2:$N$540,10,FALSE)</f>
        <v>12/31/2015 - 12/31/2023</v>
      </c>
      <c r="C1267" s="138">
        <v>2015</v>
      </c>
      <c r="D1267" s="138" t="str">
        <f t="shared" si="18"/>
        <v>Mendota 2015</v>
      </c>
    </row>
    <row r="1268" spans="1:22" x14ac:dyDescent="0.3">
      <c r="A1268" t="s">
        <v>1183</v>
      </c>
      <c r="B1268" s="37" t="str">
        <f>VLOOKUP(A1268,'Planning Periods'!$E$2:$N$540,10,FALSE)</f>
        <v>12/31/2015 - 12/31/2023</v>
      </c>
      <c r="C1268" s="138">
        <v>2016</v>
      </c>
      <c r="D1268" s="138" t="str">
        <f t="shared" si="18"/>
        <v>Mendota 2016</v>
      </c>
    </row>
    <row r="1269" spans="1:22" x14ac:dyDescent="0.3">
      <c r="A1269" t="s">
        <v>1183</v>
      </c>
      <c r="B1269" s="37" t="str">
        <f>VLOOKUP(A1269,'Planning Periods'!$E$2:$N$540,10,FALSE)</f>
        <v>12/31/2015 - 12/31/2023</v>
      </c>
      <c r="C1269" s="138">
        <v>2017</v>
      </c>
      <c r="D1269" s="138" t="str">
        <f t="shared" si="18"/>
        <v>Mendota 2017</v>
      </c>
    </row>
    <row r="1270" spans="1:22" x14ac:dyDescent="0.3">
      <c r="A1270" s="139" t="s">
        <v>947</v>
      </c>
      <c r="B1270" s="37"/>
      <c r="C1270" s="138">
        <v>2013</v>
      </c>
      <c r="D1270" s="138" t="str">
        <f t="shared" si="18"/>
        <v>Menifee 2013</v>
      </c>
    </row>
    <row r="1271" spans="1:22" x14ac:dyDescent="0.3">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
      <c r="A1309" t="s">
        <v>481</v>
      </c>
      <c r="B1309" s="37" t="str">
        <f>VLOOKUP(A1309,'Planning Periods'!$E$2:$N$540,10,FALSE)</f>
        <v>06/30/2014 - 06/30/2019</v>
      </c>
      <c r="C1309" s="138">
        <v>2015</v>
      </c>
      <c r="D1309" s="138" t="str">
        <f t="shared" si="19"/>
        <v>Modoc County - Unincorporated 2015</v>
      </c>
    </row>
    <row r="1310" spans="1:22" x14ac:dyDescent="0.3">
      <c r="A1310" t="s">
        <v>481</v>
      </c>
      <c r="B1310" s="37" t="str">
        <f>VLOOKUP(A1310,'Planning Periods'!$E$2:$N$540,10,FALSE)</f>
        <v>06/30/2014 - 06/30/2019</v>
      </c>
      <c r="C1310" s="138">
        <v>2016</v>
      </c>
      <c r="D1310" s="138" t="str">
        <f t="shared" si="19"/>
        <v>Modoc County - Unincorporated 2016</v>
      </c>
    </row>
    <row r="1311" spans="1:22" x14ac:dyDescent="0.3">
      <c r="A1311" t="s">
        <v>481</v>
      </c>
      <c r="B1311" s="37" t="str">
        <f>VLOOKUP(A1311,'Planning Periods'!$E$2:$N$540,10,FALSE)</f>
        <v>06/30/2014 - 06/30/2019</v>
      </c>
      <c r="C1311" s="138">
        <v>2017</v>
      </c>
      <c r="D1311" s="138" t="str">
        <f t="shared" si="19"/>
        <v>Modoc County - Unincorporated 2017</v>
      </c>
    </row>
    <row r="1312" spans="1:22" x14ac:dyDescent="0.3">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
      <c r="A1327" t="s">
        <v>915</v>
      </c>
      <c r="B1327" s="37" t="str">
        <f>VLOOKUP(A1327,'Planning Periods'!$E$2:$N$540,10,FALSE)</f>
        <v>10/15/2013 - 10/15/2021</v>
      </c>
      <c r="C1327" s="138">
        <v>2015</v>
      </c>
      <c r="D1327" s="138" t="str">
        <f t="shared" si="19"/>
        <v>Montclair 2015</v>
      </c>
    </row>
    <row r="1328" spans="1:22" x14ac:dyDescent="0.3">
      <c r="A1328" t="s">
        <v>915</v>
      </c>
      <c r="B1328" s="37" t="str">
        <f>VLOOKUP(A1328,'Planning Periods'!$E$2:$N$540,10,FALSE)</f>
        <v>10/15/2013 - 10/15/2021</v>
      </c>
      <c r="C1328" s="138">
        <v>2016</v>
      </c>
      <c r="D1328" s="138" t="str">
        <f t="shared" si="19"/>
        <v>Montclair 2016</v>
      </c>
    </row>
    <row r="1329" spans="1:22" x14ac:dyDescent="0.3">
      <c r="A1329" t="s">
        <v>915</v>
      </c>
      <c r="B1329" s="37" t="str">
        <f>VLOOKUP(A1329,'Planning Periods'!$E$2:$N$540,10,FALSE)</f>
        <v>10/15/2013 - 10/15/2021</v>
      </c>
      <c r="C1329" s="138">
        <v>2017</v>
      </c>
      <c r="D1329" s="138" t="str">
        <f t="shared" si="19"/>
        <v>Montclair 2017</v>
      </c>
    </row>
    <row r="1330" spans="1:22" x14ac:dyDescent="0.3">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
      <c r="A1336" t="s">
        <v>1080</v>
      </c>
      <c r="B1336" s="37" t="str">
        <f>VLOOKUP(A1336,'Planning Periods'!$E$2:$N$540,10,FALSE)</f>
        <v>10/15/2013 - 10/15/2021</v>
      </c>
      <c r="C1336" s="138">
        <v>2015</v>
      </c>
      <c r="D1336" s="138" t="str">
        <f t="shared" si="19"/>
        <v>Montebello 2015</v>
      </c>
    </row>
    <row r="1337" spans="1:22" x14ac:dyDescent="0.3">
      <c r="A1337" t="s">
        <v>1080</v>
      </c>
      <c r="B1337" s="37" t="str">
        <f>VLOOKUP(A1337,'Planning Periods'!$E$2:$N$540,10,FALSE)</f>
        <v>10/15/2013 - 10/15/2021</v>
      </c>
      <c r="C1337" s="138">
        <v>2016</v>
      </c>
      <c r="D1337" s="138" t="str">
        <f t="shared" si="19"/>
        <v>Montebello 2016</v>
      </c>
    </row>
    <row r="1338" spans="1:22" x14ac:dyDescent="0.3">
      <c r="A1338" t="s">
        <v>1080</v>
      </c>
      <c r="B1338" s="37" t="str">
        <f>VLOOKUP(A1338,'Planning Periods'!$E$2:$N$540,10,FALSE)</f>
        <v>10/15/2013 - 10/15/2021</v>
      </c>
      <c r="C1338" s="138">
        <v>2017</v>
      </c>
      <c r="D1338" s="138" t="str">
        <f t="shared" si="19"/>
        <v>Montebello 2017</v>
      </c>
    </row>
    <row r="1339" spans="1:22" x14ac:dyDescent="0.3">
      <c r="A1339" s="139" t="s">
        <v>1012</v>
      </c>
      <c r="B1339" s="37" t="str">
        <f>VLOOKUP(A1339,'Planning Periods'!$E$2:$N$540,10,FALSE)</f>
        <v>12/31/2015 - 12/31/2023</v>
      </c>
      <c r="C1339" s="138">
        <v>2014</v>
      </c>
      <c r="D1339" s="138" t="str">
        <f t="shared" si="19"/>
        <v>Monterey 2014</v>
      </c>
    </row>
    <row r="1340" spans="1:22" x14ac:dyDescent="0.3">
      <c r="A1340" s="139" t="s">
        <v>1012</v>
      </c>
      <c r="B1340" s="37" t="str">
        <f>VLOOKUP(A1340,'Planning Periods'!$E$2:$N$540,10,FALSE)</f>
        <v>12/31/2015 - 12/31/2023</v>
      </c>
      <c r="C1340" s="138">
        <v>2015</v>
      </c>
      <c r="D1340" s="138" t="str">
        <f t="shared" si="19"/>
        <v>Monterey 2015</v>
      </c>
    </row>
    <row r="1341" spans="1:22" x14ac:dyDescent="0.3">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
      <c r="A1371" t="s">
        <v>873</v>
      </c>
      <c r="B1371" s="37" t="str">
        <f>VLOOKUP(A1371,'Planning Periods'!$E$2:$N$540,10,FALSE)</f>
        <v>06/30/2014 - 06/30/2019</v>
      </c>
      <c r="C1371" s="138">
        <v>2015</v>
      </c>
      <c r="D1371" s="138" t="str">
        <f t="shared" si="20"/>
        <v>Morro Bay 2015</v>
      </c>
    </row>
    <row r="1372" spans="1:22" x14ac:dyDescent="0.3">
      <c r="A1372" t="s">
        <v>873</v>
      </c>
      <c r="B1372" s="37" t="str">
        <f>VLOOKUP(A1372,'Planning Periods'!$E$2:$N$540,10,FALSE)</f>
        <v>06/30/2014 - 06/30/2019</v>
      </c>
      <c r="C1372" s="138">
        <v>2016</v>
      </c>
      <c r="D1372" s="138" t="str">
        <f t="shared" si="20"/>
        <v>Morro Bay 2016</v>
      </c>
    </row>
    <row r="1373" spans="1:22" x14ac:dyDescent="0.3">
      <c r="A1373" t="s">
        <v>873</v>
      </c>
      <c r="B1373" s="37" t="str">
        <f>VLOOKUP(A1373,'Planning Periods'!$E$2:$N$540,10,FALSE)</f>
        <v>06/30/2014 - 06/30/2019</v>
      </c>
      <c r="C1373" s="138">
        <v>2017</v>
      </c>
      <c r="D1373" s="138" t="str">
        <f t="shared" si="20"/>
        <v>Morro Bay 2017</v>
      </c>
    </row>
    <row r="1374" spans="1:22" x14ac:dyDescent="0.3">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
      <c r="A1406" t="s">
        <v>1005</v>
      </c>
      <c r="B1406" s="37" t="str">
        <f>VLOOKUP(A1406,'Planning Periods'!$E$2:$N$540,10,FALSE)</f>
        <v>06/30/2014 - 06/30/2019</v>
      </c>
      <c r="C1406" s="138">
        <v>2015</v>
      </c>
      <c r="D1406" s="138" t="str">
        <f t="shared" si="20"/>
        <v>Nevada City 2015</v>
      </c>
    </row>
    <row r="1407" spans="1:22" x14ac:dyDescent="0.3">
      <c r="A1407" t="s">
        <v>1005</v>
      </c>
      <c r="B1407" s="37" t="str">
        <f>VLOOKUP(A1407,'Planning Periods'!$E$2:$N$540,10,FALSE)</f>
        <v>06/30/2014 - 06/30/2019</v>
      </c>
      <c r="C1407" s="138">
        <v>2016</v>
      </c>
      <c r="D1407" s="138" t="str">
        <f t="shared" si="20"/>
        <v>Nevada City 2016</v>
      </c>
    </row>
    <row r="1408" spans="1:22" x14ac:dyDescent="0.3">
      <c r="A1408" t="s">
        <v>1005</v>
      </c>
      <c r="B1408" s="37" t="str">
        <f>VLOOKUP(A1408,'Planning Periods'!$E$2:$N$540,10,FALSE)</f>
        <v>06/30/2014 - 06/30/2019</v>
      </c>
      <c r="C1408" s="138">
        <v>2017</v>
      </c>
      <c r="D1408" s="138" t="str">
        <f t="shared" si="20"/>
        <v>Nevada City 2017</v>
      </c>
    </row>
    <row r="1409" spans="1:22" x14ac:dyDescent="0.3">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
      <c r="A1418" t="s">
        <v>794</v>
      </c>
      <c r="B1418" s="37" t="str">
        <f>VLOOKUP(A1418,'Planning Periods'!$E$2:$N$540,10,FALSE)</f>
        <v>12/31/2015 - 12/31/2023</v>
      </c>
      <c r="C1418" s="138">
        <v>2015</v>
      </c>
      <c r="D1418" s="138" t="str">
        <f t="shared" si="20"/>
        <v>Newman 2015</v>
      </c>
    </row>
    <row r="1419" spans="1:22" x14ac:dyDescent="0.3">
      <c r="A1419" t="s">
        <v>794</v>
      </c>
      <c r="B1419" s="37" t="str">
        <f>VLOOKUP(A1419,'Planning Periods'!$E$2:$N$540,10,FALSE)</f>
        <v>12/31/2015 - 12/31/2023</v>
      </c>
      <c r="C1419" s="138">
        <v>2016</v>
      </c>
      <c r="D1419" s="138" t="str">
        <f t="shared" si="20"/>
        <v>Newman 2016</v>
      </c>
    </row>
    <row r="1420" spans="1:22" x14ac:dyDescent="0.3">
      <c r="A1420" t="s">
        <v>794</v>
      </c>
      <c r="B1420" s="37" t="str">
        <f>VLOOKUP(A1420,'Planning Periods'!$E$2:$N$540,10,FALSE)</f>
        <v>12/31/2015 - 12/31/2023</v>
      </c>
      <c r="C1420" s="138">
        <v>2017</v>
      </c>
      <c r="D1420" s="138" t="str">
        <f t="shared" si="20"/>
        <v>Newman 2017</v>
      </c>
    </row>
    <row r="1421" spans="1:22" x14ac:dyDescent="0.3">
      <c r="A1421" s="139" t="s">
        <v>981</v>
      </c>
      <c r="B1421" s="37"/>
      <c r="C1421" s="138">
        <v>2013</v>
      </c>
      <c r="D1421" s="138" t="str">
        <f t="shared" si="20"/>
        <v>Newport Beach 2013</v>
      </c>
    </row>
    <row r="1422" spans="1:22" x14ac:dyDescent="0.3">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
      <c r="A1479" t="s">
        <v>1182</v>
      </c>
      <c r="B1479" s="37" t="str">
        <f>VLOOKUP(A1479,'Planning Periods'!$E$2:$N$540,10,FALSE)</f>
        <v>12/31/2015 - 12/31/2023</v>
      </c>
      <c r="C1479" s="138">
        <v>2015</v>
      </c>
      <c r="D1479" s="138" t="str">
        <f t="shared" si="21"/>
        <v>Orange Cove 2015</v>
      </c>
    </row>
    <row r="1480" spans="1:22" x14ac:dyDescent="0.3">
      <c r="A1480" t="s">
        <v>1182</v>
      </c>
      <c r="B1480" s="37" t="str">
        <f>VLOOKUP(A1480,'Planning Periods'!$E$2:$N$540,10,FALSE)</f>
        <v>12/31/2015 - 12/31/2023</v>
      </c>
      <c r="C1480" s="138">
        <v>2016</v>
      </c>
      <c r="D1480" s="138" t="str">
        <f t="shared" si="21"/>
        <v>Orange Cove 2016</v>
      </c>
    </row>
    <row r="1481" spans="1:22" x14ac:dyDescent="0.3">
      <c r="A1481" t="s">
        <v>1182</v>
      </c>
      <c r="B1481" s="37" t="str">
        <f>VLOOKUP(A1481,'Planning Periods'!$E$2:$N$540,10,FALSE)</f>
        <v>12/31/2015 - 12/31/2023</v>
      </c>
      <c r="C1481" s="138">
        <v>2017</v>
      </c>
      <c r="D1481" s="138" t="str">
        <f t="shared" si="21"/>
        <v>Orange Cove 2017</v>
      </c>
    </row>
    <row r="1482" spans="1:22" x14ac:dyDescent="0.3">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
      <c r="A1528" t="s">
        <v>1076</v>
      </c>
      <c r="B1528" s="37" t="str">
        <f>VLOOKUP(A1528,'Planning Periods'!$E$2:$N$540,10,FALSE)</f>
        <v>10/15/2013 - 10/15/2021</v>
      </c>
      <c r="C1528" s="138">
        <v>2015</v>
      </c>
      <c r="D1528" s="138" t="str">
        <f t="shared" si="22"/>
        <v>Palos Verdes Estates 2015</v>
      </c>
    </row>
    <row r="1529" spans="1:22" x14ac:dyDescent="0.3">
      <c r="A1529" t="s">
        <v>1076</v>
      </c>
      <c r="B1529" s="37" t="str">
        <f>VLOOKUP(A1529,'Planning Periods'!$E$2:$N$540,10,FALSE)</f>
        <v>10/15/2013 - 10/15/2021</v>
      </c>
      <c r="C1529" s="138">
        <v>2016</v>
      </c>
      <c r="D1529" s="138" t="str">
        <f t="shared" si="22"/>
        <v>Palos Verdes Estates 2016</v>
      </c>
    </row>
    <row r="1530" spans="1:22" x14ac:dyDescent="0.3">
      <c r="A1530" t="s">
        <v>1076</v>
      </c>
      <c r="B1530" s="37" t="str">
        <f>VLOOKUP(A1530,'Planning Periods'!$E$2:$N$540,10,FALSE)</f>
        <v>10/15/2013 - 10/15/2021</v>
      </c>
      <c r="C1530" s="138">
        <v>2017</v>
      </c>
      <c r="D1530" s="138" t="str">
        <f t="shared" si="22"/>
        <v>Palos Verdes Estates 2017</v>
      </c>
    </row>
    <row r="1531" spans="1:22" x14ac:dyDescent="0.3">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
      <c r="A1555" t="s">
        <v>792</v>
      </c>
      <c r="B1555" s="37" t="str">
        <f>VLOOKUP(A1555,'Planning Periods'!$E$2:$N$540,10,FALSE)</f>
        <v>12/31/2015 - 12/31/2023</v>
      </c>
      <c r="C1555" s="138">
        <v>2015</v>
      </c>
      <c r="D1555" s="138" t="str">
        <f t="shared" si="22"/>
        <v>Patterson 2015</v>
      </c>
    </row>
    <row r="1556" spans="1:22" x14ac:dyDescent="0.3">
      <c r="A1556" t="s">
        <v>792</v>
      </c>
      <c r="B1556" s="37" t="str">
        <f>VLOOKUP(A1556,'Planning Periods'!$E$2:$N$540,10,FALSE)</f>
        <v>12/31/2015 - 12/31/2023</v>
      </c>
      <c r="C1556" s="138">
        <v>2016</v>
      </c>
      <c r="D1556" s="138" t="str">
        <f t="shared" si="22"/>
        <v>Patterson 2016</v>
      </c>
    </row>
    <row r="1557" spans="1:22" x14ac:dyDescent="0.3">
      <c r="A1557" t="s">
        <v>792</v>
      </c>
      <c r="B1557" s="37" t="str">
        <f>VLOOKUP(A1557,'Planning Periods'!$E$2:$N$540,10,FALSE)</f>
        <v>12/31/2015 - 12/31/2023</v>
      </c>
      <c r="C1557" s="138">
        <v>2017</v>
      </c>
      <c r="D1557" s="138" t="str">
        <f t="shared" si="22"/>
        <v>Patterson 2017</v>
      </c>
    </row>
    <row r="1558" spans="1:22" x14ac:dyDescent="0.3">
      <c r="A1558" s="139" t="s">
        <v>941</v>
      </c>
      <c r="B1558" s="37"/>
      <c r="C1558" s="138">
        <v>2013</v>
      </c>
      <c r="D1558" s="138" t="str">
        <f t="shared" si="22"/>
        <v>Perris 2013</v>
      </c>
    </row>
    <row r="1559" spans="1:22" x14ac:dyDescent="0.3">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
      <c r="A1569" t="s">
        <v>1073</v>
      </c>
      <c r="B1569" s="37" t="str">
        <f>VLOOKUP(A1569,'Planning Periods'!$E$2:$N$540,10,FALSE)</f>
        <v>10/15/2013 - 10/15/2021</v>
      </c>
      <c r="C1569" s="138">
        <v>2015</v>
      </c>
      <c r="D1569" s="138" t="str">
        <f t="shared" si="23"/>
        <v>Pico Rivera 2015</v>
      </c>
    </row>
    <row r="1570" spans="1:22" x14ac:dyDescent="0.3">
      <c r="A1570" t="s">
        <v>1073</v>
      </c>
      <c r="B1570" s="37" t="str">
        <f>VLOOKUP(A1570,'Planning Periods'!$E$2:$N$540,10,FALSE)</f>
        <v>10/15/2013 - 10/15/2021</v>
      </c>
      <c r="C1570" s="138">
        <v>2016</v>
      </c>
      <c r="D1570" s="138" t="str">
        <f t="shared" si="23"/>
        <v>Pico Rivera 2016</v>
      </c>
    </row>
    <row r="1571" spans="1:22" x14ac:dyDescent="0.3">
      <c r="A1571" t="s">
        <v>1073</v>
      </c>
      <c r="B1571" s="37" t="str">
        <f>VLOOKUP(A1571,'Planning Periods'!$E$2:$N$540,10,FALSE)</f>
        <v>10/15/2013 - 10/15/2021</v>
      </c>
      <c r="C1571" s="138">
        <v>2017</v>
      </c>
      <c r="D1571" s="138" t="str">
        <f t="shared" si="23"/>
        <v>Pico Rivera 2017</v>
      </c>
    </row>
    <row r="1572" spans="1:22" x14ac:dyDescent="0.3">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
      <c r="A1581" t="s">
        <v>871</v>
      </c>
      <c r="B1581" s="37" t="str">
        <f>VLOOKUP(A1581,'Planning Periods'!$E$2:$N$540,10,FALSE)</f>
        <v>06/30/2014 - 06/30/2019</v>
      </c>
      <c r="C1581" s="138">
        <v>2015</v>
      </c>
      <c r="D1581" s="138" t="str">
        <f t="shared" si="23"/>
        <v>Pismo Beach 2015</v>
      </c>
    </row>
    <row r="1582" spans="1:22" x14ac:dyDescent="0.3">
      <c r="A1582" t="s">
        <v>871</v>
      </c>
      <c r="B1582" s="37" t="str">
        <f>VLOOKUP(A1582,'Planning Periods'!$E$2:$N$540,10,FALSE)</f>
        <v>06/30/2014 - 06/30/2019</v>
      </c>
      <c r="C1582" s="138">
        <v>2016</v>
      </c>
      <c r="D1582" s="138" t="str">
        <f t="shared" si="23"/>
        <v>Pismo Beach 2016</v>
      </c>
    </row>
    <row r="1583" spans="1:22" x14ac:dyDescent="0.3">
      <c r="A1583" t="s">
        <v>871</v>
      </c>
      <c r="B1583" s="37" t="str">
        <f>VLOOKUP(A1583,'Planning Periods'!$E$2:$N$540,10,FALSE)</f>
        <v>06/30/2014 - 06/30/2019</v>
      </c>
      <c r="C1583" s="138">
        <v>2017</v>
      </c>
      <c r="D1583" s="138" t="str">
        <f t="shared" si="23"/>
        <v>Pismo Beach 2017</v>
      </c>
    </row>
    <row r="1584" spans="1:22" x14ac:dyDescent="0.3">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
      <c r="A1625" t="s">
        <v>1072</v>
      </c>
      <c r="B1625" s="37" t="str">
        <f>VLOOKUP(A1625,'Planning Periods'!$E$2:$N$540,10,FALSE)</f>
        <v>10/15/2013 - 10/15/2021</v>
      </c>
      <c r="C1625" s="138">
        <v>2015</v>
      </c>
      <c r="D1625" s="138" t="str">
        <f t="shared" si="23"/>
        <v>Pomona 2015</v>
      </c>
    </row>
    <row r="1626" spans="1:22" x14ac:dyDescent="0.3">
      <c r="A1626" t="s">
        <v>1072</v>
      </c>
      <c r="B1626" s="37" t="str">
        <f>VLOOKUP(A1626,'Planning Periods'!$E$2:$N$540,10,FALSE)</f>
        <v>10/15/2013 - 10/15/2021</v>
      </c>
      <c r="C1626" s="138">
        <v>2016</v>
      </c>
      <c r="D1626" s="138" t="str">
        <f t="shared" si="23"/>
        <v>Pomona 2016</v>
      </c>
    </row>
    <row r="1627" spans="1:22" x14ac:dyDescent="0.3">
      <c r="A1627" t="s">
        <v>1072</v>
      </c>
      <c r="B1627" s="37" t="str">
        <f>VLOOKUP(A1627,'Planning Periods'!$E$2:$N$540,10,FALSE)</f>
        <v>10/15/2013 - 10/15/2021</v>
      </c>
      <c r="C1627" s="138">
        <v>2017</v>
      </c>
      <c r="D1627" s="138" t="str">
        <f t="shared" si="23"/>
        <v>Pomona 2017</v>
      </c>
    </row>
    <row r="1628" spans="1:22" x14ac:dyDescent="0.3">
      <c r="A1628" s="139" t="s">
        <v>766</v>
      </c>
      <c r="B1628" s="37"/>
      <c r="C1628" s="138">
        <v>2013</v>
      </c>
      <c r="D1628" s="138" t="str">
        <f t="shared" si="23"/>
        <v>Port Hueneme 2013</v>
      </c>
    </row>
    <row r="1629" spans="1:22" x14ac:dyDescent="0.3">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
      <c r="A1638" t="s">
        <v>961</v>
      </c>
      <c r="B1638" s="37" t="str">
        <f>VLOOKUP(A1638,'Planning Periods'!$E$2:$N$540,10,FALSE)</f>
        <v>06/30/2014 - 06/30/2019</v>
      </c>
      <c r="C1638" s="138">
        <v>2015</v>
      </c>
      <c r="D1638" s="138" t="str">
        <f t="shared" si="24"/>
        <v>Portola 2015</v>
      </c>
    </row>
    <row r="1639" spans="1:22" x14ac:dyDescent="0.3">
      <c r="A1639" t="s">
        <v>961</v>
      </c>
      <c r="B1639" s="37" t="str">
        <f>VLOOKUP(A1639,'Planning Periods'!$E$2:$N$540,10,FALSE)</f>
        <v>06/30/2014 - 06/30/2019</v>
      </c>
      <c r="C1639" s="138">
        <v>2016</v>
      </c>
      <c r="D1639" s="138" t="str">
        <f t="shared" si="24"/>
        <v>Portola 2016</v>
      </c>
    </row>
    <row r="1640" spans="1:22" x14ac:dyDescent="0.3">
      <c r="A1640" t="s">
        <v>961</v>
      </c>
      <c r="B1640" s="37" t="str">
        <f>VLOOKUP(A1640,'Planning Periods'!$E$2:$N$540,10,FALSE)</f>
        <v>06/30/2014 - 06/30/2019</v>
      </c>
      <c r="C1640" s="138">
        <v>2017</v>
      </c>
      <c r="D1640" s="138" t="str">
        <f t="shared" si="24"/>
        <v>Portola 2017</v>
      </c>
    </row>
    <row r="1641" spans="1:22" x14ac:dyDescent="0.3">
      <c r="A1641" s="139" t="s">
        <v>1334</v>
      </c>
      <c r="B1641" s="37" t="str">
        <f>VLOOKUP(A1641,'Planning Periods'!$E$2:$N$540,10,FALSE)</f>
        <v>01/31/2015 - 01/31/2023</v>
      </c>
      <c r="C1641" s="138">
        <v>2014</v>
      </c>
      <c r="D1641" s="138" t="str">
        <f t="shared" si="24"/>
        <v>Portola Valley 2014</v>
      </c>
    </row>
    <row r="1642" spans="1:22" x14ac:dyDescent="0.3">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
      <c r="A1713" t="s">
        <v>1149</v>
      </c>
      <c r="B1713" s="37" t="str">
        <f>VLOOKUP(A1713,'Planning Periods'!$E$2:$N$540,10,FALSE)</f>
        <v>12/31/2015 - 12/31/2023</v>
      </c>
      <c r="C1713" s="138">
        <v>2015</v>
      </c>
      <c r="D1713" s="138" t="str">
        <f t="shared" si="25"/>
        <v>Ridgecrest 2015</v>
      </c>
    </row>
    <row r="1714" spans="1:22" x14ac:dyDescent="0.3">
      <c r="A1714" t="s">
        <v>1149</v>
      </c>
      <c r="B1714" s="37" t="str">
        <f>VLOOKUP(A1714,'Planning Periods'!$E$2:$N$540,10,FALSE)</f>
        <v>12/31/2015 - 12/31/2023</v>
      </c>
      <c r="C1714" s="138">
        <v>2016</v>
      </c>
      <c r="D1714" s="138" t="str">
        <f t="shared" si="25"/>
        <v>Ridgecrest 2016</v>
      </c>
    </row>
    <row r="1715" spans="1:22" x14ac:dyDescent="0.3">
      <c r="A1715" t="s">
        <v>1149</v>
      </c>
      <c r="B1715" s="37" t="str">
        <f>VLOOKUP(A1715,'Planning Periods'!$E$2:$N$540,10,FALSE)</f>
        <v>12/31/2015 - 12/31/2023</v>
      </c>
      <c r="C1715" s="138">
        <v>2017</v>
      </c>
      <c r="D1715" s="138" t="str">
        <f t="shared" si="25"/>
        <v>Ridgecrest 2017</v>
      </c>
    </row>
    <row r="1716" spans="1:22" x14ac:dyDescent="0.3">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
      <c r="A1717" t="s">
        <v>1168</v>
      </c>
      <c r="B1717" s="37" t="str">
        <f>VLOOKUP(A1717,'Planning Periods'!$E$2:$N$540,10,FALSE)</f>
        <v>06/30/2014 - 06/30/2019</v>
      </c>
      <c r="C1717" s="138">
        <v>2015</v>
      </c>
      <c r="D1717" s="138" t="str">
        <f t="shared" si="25"/>
        <v>Rio Dell 2015</v>
      </c>
    </row>
    <row r="1718" spans="1:22" x14ac:dyDescent="0.3">
      <c r="A1718" t="s">
        <v>1168</v>
      </c>
      <c r="B1718" s="37" t="str">
        <f>VLOOKUP(A1718,'Planning Periods'!$E$2:$N$540,10,FALSE)</f>
        <v>06/30/2014 - 06/30/2019</v>
      </c>
      <c r="C1718" s="138">
        <v>2016</v>
      </c>
      <c r="D1718" s="138" t="str">
        <f t="shared" si="25"/>
        <v>Rio Dell 2016</v>
      </c>
    </row>
    <row r="1719" spans="1:22" x14ac:dyDescent="0.3">
      <c r="A1719" t="s">
        <v>1168</v>
      </c>
      <c r="B1719" s="37" t="str">
        <f>VLOOKUP(A1719,'Planning Periods'!$E$2:$N$540,10,FALSE)</f>
        <v>06/30/2014 - 06/30/2019</v>
      </c>
      <c r="C1719" s="138">
        <v>2017</v>
      </c>
      <c r="D1719" s="138" t="str">
        <f t="shared" si="25"/>
        <v>Rio Dell 2017</v>
      </c>
    </row>
    <row r="1720" spans="1:22" x14ac:dyDescent="0.3">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
      <c r="A1721" t="s">
        <v>810</v>
      </c>
      <c r="B1721" s="37" t="str">
        <f>VLOOKUP(A1721,'Planning Periods'!$E$2:$N$540,10,FALSE)</f>
        <v>01/31/2015 - 01/31/2023</v>
      </c>
      <c r="C1721" s="138">
        <v>2015</v>
      </c>
      <c r="D1721" s="138" t="str">
        <f t="shared" si="25"/>
        <v>Rio Vista 2015</v>
      </c>
    </row>
    <row r="1722" spans="1:22" x14ac:dyDescent="0.3">
      <c r="A1722" t="s">
        <v>810</v>
      </c>
      <c r="B1722" s="37" t="str">
        <f>VLOOKUP(A1722,'Planning Periods'!$E$2:$N$540,10,FALSE)</f>
        <v>01/31/2015 - 01/31/2023</v>
      </c>
      <c r="C1722" s="138">
        <v>2016</v>
      </c>
      <c r="D1722" s="138" t="str">
        <f t="shared" si="25"/>
        <v>Rio Vista 2016</v>
      </c>
    </row>
    <row r="1723" spans="1:22" x14ac:dyDescent="0.3">
      <c r="A1723" t="s">
        <v>810</v>
      </c>
      <c r="B1723" s="37" t="str">
        <f>VLOOKUP(A1723,'Planning Periods'!$E$2:$N$540,10,FALSE)</f>
        <v>01/31/2015 - 01/31/2023</v>
      </c>
      <c r="C1723" s="138">
        <v>2017</v>
      </c>
      <c r="D1723" s="138" t="str">
        <f t="shared" si="25"/>
        <v>Rio Vista 2017</v>
      </c>
    </row>
    <row r="1724" spans="1:22" x14ac:dyDescent="0.3">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
      <c r="A1725" t="s">
        <v>881</v>
      </c>
      <c r="B1725" s="37" t="str">
        <f>VLOOKUP(A1725,'Planning Periods'!$E$2:$N$540,10,FALSE)</f>
        <v>12/31/2015 - 12/31/2023</v>
      </c>
      <c r="C1725" s="138">
        <v>2015</v>
      </c>
      <c r="D1725" s="138" t="str">
        <f t="shared" si="25"/>
        <v>Ripon 2015</v>
      </c>
    </row>
    <row r="1726" spans="1:22" x14ac:dyDescent="0.3">
      <c r="A1726" t="s">
        <v>881</v>
      </c>
      <c r="B1726" s="37" t="str">
        <f>VLOOKUP(A1726,'Planning Periods'!$E$2:$N$540,10,FALSE)</f>
        <v>12/31/2015 - 12/31/2023</v>
      </c>
      <c r="C1726" s="138">
        <v>2016</v>
      </c>
      <c r="D1726" s="138" t="str">
        <f t="shared" si="25"/>
        <v>Ripon 2016</v>
      </c>
    </row>
    <row r="1727" spans="1:22" x14ac:dyDescent="0.3">
      <c r="A1727" t="s">
        <v>881</v>
      </c>
      <c r="B1727" s="37" t="str">
        <f>VLOOKUP(A1727,'Planning Periods'!$E$2:$N$540,10,FALSE)</f>
        <v>12/31/2015 - 12/31/2023</v>
      </c>
      <c r="C1727" s="138">
        <v>2017</v>
      </c>
      <c r="D1727" s="138" t="str">
        <f t="shared" si="25"/>
        <v>Ripon 2017</v>
      </c>
    </row>
    <row r="1728" spans="1:22" x14ac:dyDescent="0.3">
      <c r="A1728" s="139" t="s">
        <v>791</v>
      </c>
      <c r="B1728" s="37" t="str">
        <f>VLOOKUP(A1728,'Planning Periods'!$E$2:$N$540,10,FALSE)</f>
        <v>12/31/2015 - 12/31/2023</v>
      </c>
      <c r="C1728" s="138">
        <v>2014</v>
      </c>
      <c r="D1728" s="138" t="str">
        <f t="shared" si="25"/>
        <v>Riverbank 2014</v>
      </c>
    </row>
    <row r="1729" spans="1:22" x14ac:dyDescent="0.3">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
      <c r="A1753" t="s">
        <v>1069</v>
      </c>
      <c r="B1753" s="37" t="str">
        <f>VLOOKUP(A1753,'Planning Periods'!$E$2:$N$540,10,FALSE)</f>
        <v>10/15/2013 - 10/15/2021</v>
      </c>
      <c r="C1753" s="138">
        <v>2015</v>
      </c>
      <c r="D1753" s="138" t="str">
        <f t="shared" si="25"/>
        <v>Rolling Hills 2015</v>
      </c>
    </row>
    <row r="1754" spans="1:22" x14ac:dyDescent="0.3">
      <c r="A1754" t="s">
        <v>1069</v>
      </c>
      <c r="B1754" s="37" t="str">
        <f>VLOOKUP(A1754,'Planning Periods'!$E$2:$N$540,10,FALSE)</f>
        <v>10/15/2013 - 10/15/2021</v>
      </c>
      <c r="C1754" s="138">
        <v>2016</v>
      </c>
      <c r="D1754" s="138" t="str">
        <f t="shared" si="25"/>
        <v>Rolling Hills 2016</v>
      </c>
    </row>
    <row r="1755" spans="1:22" x14ac:dyDescent="0.3">
      <c r="A1755" t="s">
        <v>1069</v>
      </c>
      <c r="B1755" s="37" t="str">
        <f>VLOOKUP(A1755,'Planning Periods'!$E$2:$N$540,10,FALSE)</f>
        <v>10/15/2013 - 10/15/2021</v>
      </c>
      <c r="C1755" s="138">
        <v>2017</v>
      </c>
      <c r="D1755" s="138" t="str">
        <f t="shared" si="25"/>
        <v>Rolling Hills 2017</v>
      </c>
    </row>
    <row r="1756" spans="1:22" x14ac:dyDescent="0.3">
      <c r="A1756" s="139" t="s">
        <v>1068</v>
      </c>
      <c r="B1756" s="37"/>
      <c r="C1756" s="138">
        <v>2013</v>
      </c>
      <c r="D1756" s="138" t="str">
        <f t="shared" si="25"/>
        <v>Rolling Hills Estates 2013</v>
      </c>
    </row>
    <row r="1757" spans="1:22" x14ac:dyDescent="0.3">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
      <c r="A1861" t="s">
        <v>879</v>
      </c>
      <c r="B1861" s="37" t="str">
        <f>VLOOKUP(A1861,'Planning Periods'!$E$2:$N$540,10,FALSE)</f>
        <v>12/31/2015 - 12/31/2023</v>
      </c>
      <c r="C1861" s="138">
        <v>2015</v>
      </c>
      <c r="D1861" s="138" t="str">
        <f t="shared" si="27"/>
        <v>San Joaquin 2015</v>
      </c>
    </row>
    <row r="1862" spans="1:22" x14ac:dyDescent="0.3">
      <c r="A1862" t="s">
        <v>879</v>
      </c>
      <c r="B1862" s="37" t="str">
        <f>VLOOKUP(A1862,'Planning Periods'!$E$2:$N$540,10,FALSE)</f>
        <v>12/31/2015 - 12/31/2023</v>
      </c>
      <c r="C1862" s="138">
        <v>2016</v>
      </c>
      <c r="D1862" s="138" t="str">
        <f t="shared" si="27"/>
        <v>San Joaquin 2016</v>
      </c>
    </row>
    <row r="1863" spans="1:22" x14ac:dyDescent="0.3">
      <c r="A1863" t="s">
        <v>879</v>
      </c>
      <c r="B1863" s="37" t="str">
        <f>VLOOKUP(A1863,'Planning Periods'!$E$2:$N$540,10,FALSE)</f>
        <v>12/31/2015 - 12/31/2023</v>
      </c>
      <c r="C1863" s="138">
        <v>2017</v>
      </c>
      <c r="D1863" s="138" t="str">
        <f t="shared" si="27"/>
        <v>San Joaquin 2017</v>
      </c>
    </row>
    <row r="1864" spans="1:22" x14ac:dyDescent="0.3">
      <c r="A1864" s="139" t="s">
        <v>877</v>
      </c>
      <c r="B1864" s="37" t="str">
        <f>VLOOKUP(A1864,'Planning Periods'!$E$2:$N$540,10,FALSE)</f>
        <v>12/31/2015 - 12/31/2023</v>
      </c>
      <c r="C1864" s="138">
        <v>2014</v>
      </c>
      <c r="D1864" s="138" t="str">
        <f t="shared" si="27"/>
        <v>San Joaquin County - Unincorporated 2014</v>
      </c>
    </row>
    <row r="1865" spans="1:22" x14ac:dyDescent="0.3">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
      <c r="A1873" t="s">
        <v>927</v>
      </c>
      <c r="B1873" s="37" t="str">
        <f>VLOOKUP(A1873,'Planning Periods'!$E$2:$N$540,10,FALSE)</f>
        <v>12/31/2015 - 12/31/2023</v>
      </c>
      <c r="C1873" s="138">
        <v>2015</v>
      </c>
      <c r="D1873" s="138" t="str">
        <f t="shared" si="27"/>
        <v>San Juan Bautista 2015</v>
      </c>
    </row>
    <row r="1874" spans="1:22" x14ac:dyDescent="0.3">
      <c r="A1874" t="s">
        <v>927</v>
      </c>
      <c r="B1874" s="37" t="str">
        <f>VLOOKUP(A1874,'Planning Periods'!$E$2:$N$540,10,FALSE)</f>
        <v>12/31/2015 - 12/31/2023</v>
      </c>
      <c r="C1874" s="138">
        <v>2016</v>
      </c>
      <c r="D1874" s="138" t="str">
        <f t="shared" si="27"/>
        <v>San Juan Bautista 2016</v>
      </c>
    </row>
    <row r="1875" spans="1:22" x14ac:dyDescent="0.3">
      <c r="A1875" t="s">
        <v>927</v>
      </c>
      <c r="B1875" s="37" t="str">
        <f>VLOOKUP(A1875,'Planning Periods'!$E$2:$N$540,10,FALSE)</f>
        <v>12/31/2015 - 12/31/2023</v>
      </c>
      <c r="C1875" s="138">
        <v>2017</v>
      </c>
      <c r="D1875" s="138" t="str">
        <f t="shared" si="27"/>
        <v>San Juan Bautista 2017</v>
      </c>
    </row>
    <row r="1876" spans="1:22" x14ac:dyDescent="0.3">
      <c r="A1876" s="139" t="s">
        <v>977</v>
      </c>
      <c r="B1876" s="37"/>
      <c r="C1876" s="138">
        <v>2013</v>
      </c>
      <c r="D1876" s="138" t="str">
        <f t="shared" si="27"/>
        <v>San Juan Capistrano 2013</v>
      </c>
    </row>
    <row r="1877" spans="1:22" x14ac:dyDescent="0.3">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
      <c r="A1926" t="s">
        <v>1014</v>
      </c>
      <c r="B1926" s="37" t="str">
        <f>VLOOKUP(A1926,'Planning Periods'!$E$2:$N$540,10,FALSE)</f>
        <v>12/31/2015 - 12/31/2023</v>
      </c>
      <c r="C1926" s="138">
        <v>2015</v>
      </c>
      <c r="D1926" s="138" t="str">
        <f t="shared" si="28"/>
        <v>Sand City 2015</v>
      </c>
    </row>
    <row r="1927" spans="1:22" x14ac:dyDescent="0.3">
      <c r="A1927" t="s">
        <v>1014</v>
      </c>
      <c r="B1927" s="37" t="str">
        <f>VLOOKUP(A1927,'Planning Periods'!$E$2:$N$540,10,FALSE)</f>
        <v>12/31/2015 - 12/31/2023</v>
      </c>
      <c r="C1927" s="138">
        <v>2016</v>
      </c>
      <c r="D1927" s="138" t="str">
        <f t="shared" si="28"/>
        <v>Sand City 2016</v>
      </c>
    </row>
    <row r="1928" spans="1:22" x14ac:dyDescent="0.3">
      <c r="A1928" t="s">
        <v>1014</v>
      </c>
      <c r="B1928" s="37" t="str">
        <f>VLOOKUP(A1928,'Planning Periods'!$E$2:$N$540,10,FALSE)</f>
        <v>12/31/2015 - 12/31/2023</v>
      </c>
      <c r="C1928" s="138">
        <v>2017</v>
      </c>
      <c r="D1928" s="138" t="str">
        <f t="shared" si="28"/>
        <v>Sand City 2017</v>
      </c>
    </row>
    <row r="1929" spans="1:22" x14ac:dyDescent="0.3">
      <c r="A1929" s="139" t="s">
        <v>1179</v>
      </c>
      <c r="B1929" s="37" t="str">
        <f>VLOOKUP(A1929,'Planning Periods'!$E$2:$N$540,10,FALSE)</f>
        <v>12/31/2015 - 12/31/2023</v>
      </c>
      <c r="C1929" s="138">
        <v>2013</v>
      </c>
      <c r="D1929" s="138" t="str">
        <f t="shared" si="28"/>
        <v>Sanger 2013</v>
      </c>
    </row>
    <row r="1930" spans="1:22" x14ac:dyDescent="0.3">
      <c r="A1930" s="139" t="s">
        <v>1179</v>
      </c>
      <c r="B1930" s="37" t="str">
        <f>VLOOKUP(A1930,'Planning Periods'!$E$2:$N$540,10,FALSE)</f>
        <v>12/31/2015 - 12/31/2023</v>
      </c>
      <c r="C1930" s="138">
        <v>2014</v>
      </c>
      <c r="D1930" s="138" t="str">
        <f t="shared" si="28"/>
        <v>Sanger 2014</v>
      </c>
    </row>
    <row r="1931" spans="1:22" x14ac:dyDescent="0.3">
      <c r="A1931" s="139" t="s">
        <v>1179</v>
      </c>
      <c r="B1931" s="37" t="str">
        <f>VLOOKUP(A1931,'Planning Periods'!$E$2:$N$540,10,FALSE)</f>
        <v>12/31/2015 - 12/31/2023</v>
      </c>
      <c r="C1931" s="138">
        <v>2015</v>
      </c>
      <c r="D1931" s="138" t="str">
        <f t="shared" si="28"/>
        <v>Sanger 2015</v>
      </c>
    </row>
    <row r="1932" spans="1:22" x14ac:dyDescent="0.3">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
      <c r="A2005" t="s">
        <v>832</v>
      </c>
      <c r="B2005" s="37" t="str">
        <f>VLOOKUP(A2005,'Planning Periods'!$E$2:$N$540,10,FALSE)</f>
        <v>12/31/2015 - 12/31/2023</v>
      </c>
      <c r="C2005" s="138">
        <v>2015</v>
      </c>
      <c r="D2005" s="138" t="str">
        <f t="shared" si="29"/>
        <v>Scotts Valley 2015</v>
      </c>
    </row>
    <row r="2006" spans="1:22" x14ac:dyDescent="0.3">
      <c r="A2006" t="s">
        <v>832</v>
      </c>
      <c r="B2006" s="37" t="str">
        <f>VLOOKUP(A2006,'Planning Periods'!$E$2:$N$540,10,FALSE)</f>
        <v>12/31/2015 - 12/31/2023</v>
      </c>
      <c r="C2006" s="138">
        <v>2016</v>
      </c>
      <c r="D2006" s="138" t="str">
        <f t="shared" si="29"/>
        <v>Scotts Valley 2016</v>
      </c>
    </row>
    <row r="2007" spans="1:22" x14ac:dyDescent="0.3">
      <c r="A2007" t="s">
        <v>832</v>
      </c>
      <c r="B2007" s="37" t="str">
        <f>VLOOKUP(A2007,'Planning Periods'!$E$2:$N$540,10,FALSE)</f>
        <v>12/31/2015 - 12/31/2023</v>
      </c>
      <c r="C2007" s="138">
        <v>2017</v>
      </c>
      <c r="D2007" s="138" t="str">
        <f t="shared" si="29"/>
        <v>Scotts Valley 2017</v>
      </c>
    </row>
    <row r="2008" spans="1:22" x14ac:dyDescent="0.3">
      <c r="A2008" t="s">
        <v>975</v>
      </c>
      <c r="B2008" s="37"/>
      <c r="C2008" s="138">
        <v>2013</v>
      </c>
      <c r="D2008" s="138" t="str">
        <f t="shared" si="29"/>
        <v>Seal Beach 2013</v>
      </c>
    </row>
    <row r="2009" spans="1:22" x14ac:dyDescent="0.3">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
      <c r="A2010" t="s">
        <v>975</v>
      </c>
      <c r="B2010" s="37" t="str">
        <f>VLOOKUP(A2010,'Planning Periods'!$E$2:$N$540,10,FALSE)</f>
        <v>10/15/2013 - 10/15/2021</v>
      </c>
      <c r="C2010" s="138">
        <v>2015</v>
      </c>
      <c r="D2010" s="138" t="str">
        <f t="shared" si="29"/>
        <v>Seal Beach 2015</v>
      </c>
    </row>
    <row r="2011" spans="1:22" x14ac:dyDescent="0.3">
      <c r="A2011" t="s">
        <v>975</v>
      </c>
      <c r="B2011" s="37" t="str">
        <f>VLOOKUP(A2011,'Planning Periods'!$E$2:$N$540,10,FALSE)</f>
        <v>10/15/2013 - 10/15/2021</v>
      </c>
      <c r="C2011" s="138">
        <v>2016</v>
      </c>
      <c r="D2011" s="138" t="str">
        <f t="shared" si="29"/>
        <v>Seal Beach 2016</v>
      </c>
    </row>
    <row r="2012" spans="1:22" x14ac:dyDescent="0.3">
      <c r="A2012" t="s">
        <v>975</v>
      </c>
      <c r="B2012" s="37" t="str">
        <f>VLOOKUP(A2012,'Planning Periods'!$E$2:$N$540,10,FALSE)</f>
        <v>10/15/2013 - 10/15/2021</v>
      </c>
      <c r="C2012" s="138">
        <v>2017</v>
      </c>
      <c r="D2012" s="138" t="str">
        <f t="shared" si="29"/>
        <v>Seal Beach 2017</v>
      </c>
    </row>
    <row r="2013" spans="1:22" x14ac:dyDescent="0.3">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
      <c r="A2014" t="s">
        <v>1013</v>
      </c>
      <c r="B2014" s="37" t="str">
        <f>VLOOKUP(A2014,'Planning Periods'!$E$2:$N$540,10,FALSE)</f>
        <v>12/31/2015 - 12/31/2023</v>
      </c>
      <c r="C2014" s="138">
        <v>2015</v>
      </c>
      <c r="D2014" s="138" t="str">
        <f t="shared" si="29"/>
        <v>Seaside 2015</v>
      </c>
    </row>
    <row r="2015" spans="1:22" x14ac:dyDescent="0.3">
      <c r="A2015" t="s">
        <v>1013</v>
      </c>
      <c r="B2015" s="37" t="str">
        <f>VLOOKUP(A2015,'Planning Periods'!$E$2:$N$540,10,FALSE)</f>
        <v>12/31/2015 - 12/31/2023</v>
      </c>
      <c r="C2015" s="138">
        <v>2016</v>
      </c>
      <c r="D2015" s="138" t="str">
        <f t="shared" si="29"/>
        <v>Seaside 2016</v>
      </c>
    </row>
    <row r="2016" spans="1:22" x14ac:dyDescent="0.3">
      <c r="A2016" t="s">
        <v>1013</v>
      </c>
      <c r="B2016" s="37" t="str">
        <f>VLOOKUP(A2016,'Planning Periods'!$E$2:$N$540,10,FALSE)</f>
        <v>12/31/2015 - 12/31/2023</v>
      </c>
      <c r="C2016" s="138">
        <v>2017</v>
      </c>
      <c r="D2016" s="138" t="str">
        <f t="shared" si="29"/>
        <v>Seaside 2017</v>
      </c>
    </row>
    <row r="2017" spans="1:22" x14ac:dyDescent="0.3">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
      <c r="A2023" t="s">
        <v>1177</v>
      </c>
      <c r="B2023" s="37" t="str">
        <f>VLOOKUP(A2023,'Planning Periods'!$E$2:$N$540,10,FALSE)</f>
        <v>12/31/2015 - 12/31/2023</v>
      </c>
      <c r="C2023" s="138">
        <v>2015</v>
      </c>
      <c r="D2023" s="138" t="str">
        <f t="shared" si="29"/>
        <v>Selma 2015</v>
      </c>
    </row>
    <row r="2024" spans="1:22" x14ac:dyDescent="0.3">
      <c r="A2024" t="s">
        <v>1177</v>
      </c>
      <c r="B2024" s="37" t="str">
        <f>VLOOKUP(A2024,'Planning Periods'!$E$2:$N$540,10,FALSE)</f>
        <v>12/31/2015 - 12/31/2023</v>
      </c>
      <c r="C2024" s="138">
        <v>2016</v>
      </c>
      <c r="D2024" s="138" t="str">
        <f t="shared" si="29"/>
        <v>Selma 2016</v>
      </c>
    </row>
    <row r="2025" spans="1:22" x14ac:dyDescent="0.3">
      <c r="A2025" t="s">
        <v>1177</v>
      </c>
      <c r="B2025" s="37" t="str">
        <f>VLOOKUP(A2025,'Planning Periods'!$E$2:$N$540,10,FALSE)</f>
        <v>12/31/2015 - 12/31/2023</v>
      </c>
      <c r="C2025" s="138">
        <v>2017</v>
      </c>
      <c r="D2025" s="138" t="str">
        <f t="shared" si="29"/>
        <v>Selma 2017</v>
      </c>
    </row>
    <row r="2026" spans="1:22" x14ac:dyDescent="0.3">
      <c r="A2026" t="s">
        <v>1148</v>
      </c>
      <c r="B2026" s="37" t="str">
        <f>VLOOKUP(A2026,'Planning Periods'!$E$2:$N$540,10,FALSE)</f>
        <v>12/31/2015 - 12/31/2023</v>
      </c>
      <c r="C2026" s="138">
        <v>2013</v>
      </c>
      <c r="D2026" s="138" t="str">
        <f t="shared" si="29"/>
        <v>Shafter 2013</v>
      </c>
    </row>
    <row r="2027" spans="1:22" x14ac:dyDescent="0.3">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
      <c r="A2028" t="s">
        <v>1148</v>
      </c>
      <c r="B2028" s="37" t="str">
        <f>VLOOKUP(A2028,'Planning Periods'!$E$2:$N$540,10,FALSE)</f>
        <v>12/31/2015 - 12/31/2023</v>
      </c>
      <c r="C2028" s="138">
        <v>2015</v>
      </c>
      <c r="D2028" s="138" t="str">
        <f t="shared" si="29"/>
        <v>Shafter 2015</v>
      </c>
    </row>
    <row r="2029" spans="1:22" x14ac:dyDescent="0.3">
      <c r="A2029" t="s">
        <v>1148</v>
      </c>
      <c r="B2029" s="37" t="str">
        <f>VLOOKUP(A2029,'Planning Periods'!$E$2:$N$540,10,FALSE)</f>
        <v>12/31/2015 - 12/31/2023</v>
      </c>
      <c r="C2029" s="138">
        <v>2016</v>
      </c>
      <c r="D2029" s="138" t="str">
        <f t="shared" si="29"/>
        <v>Shafter 2016</v>
      </c>
    </row>
    <row r="2030" spans="1:22" x14ac:dyDescent="0.3">
      <c r="A2030" t="s">
        <v>1148</v>
      </c>
      <c r="B2030" s="37" t="str">
        <f>VLOOKUP(A2030,'Planning Periods'!$E$2:$N$540,10,FALSE)</f>
        <v>12/31/2015 - 12/31/2023</v>
      </c>
      <c r="C2030" s="138">
        <v>2017</v>
      </c>
      <c r="D2030" s="138" t="str">
        <f t="shared" si="29"/>
        <v>Shafter 2017</v>
      </c>
    </row>
    <row r="2031" spans="1:22" x14ac:dyDescent="0.3">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
      <c r="A2040" t="s">
        <v>232</v>
      </c>
      <c r="B2040" s="37" t="str">
        <f>VLOOKUP(A2040,'Planning Periods'!$E$2:$N$540,10,FALSE)</f>
        <v>06/30/2014 - 06/30/2019</v>
      </c>
      <c r="C2040" s="138">
        <v>2015</v>
      </c>
      <c r="D2040" s="138" t="str">
        <f t="shared" si="30"/>
        <v>Sierra County - Unincorporated 2015</v>
      </c>
    </row>
    <row r="2041" spans="1:22" x14ac:dyDescent="0.3">
      <c r="A2041" t="s">
        <v>232</v>
      </c>
      <c r="B2041" s="37" t="str">
        <f>VLOOKUP(A2041,'Planning Periods'!$E$2:$N$540,10,FALSE)</f>
        <v>06/30/2014 - 06/30/2019</v>
      </c>
      <c r="C2041" s="138">
        <v>2016</v>
      </c>
      <c r="D2041" s="138" t="str">
        <f t="shared" si="30"/>
        <v>Sierra County - Unincorporated 2016</v>
      </c>
    </row>
    <row r="2042" spans="1:22" x14ac:dyDescent="0.3">
      <c r="A2042" t="s">
        <v>232</v>
      </c>
      <c r="B2042" s="37" t="str">
        <f>VLOOKUP(A2042,'Planning Periods'!$E$2:$N$540,10,FALSE)</f>
        <v>06/30/2014 - 06/30/2019</v>
      </c>
      <c r="C2042" s="138">
        <v>2017</v>
      </c>
      <c r="D2042" s="138" t="str">
        <f t="shared" si="30"/>
        <v>Sierra County - Unincorporated 2017</v>
      </c>
    </row>
    <row r="2043" spans="1:22" x14ac:dyDescent="0.3">
      <c r="A2043" s="139" t="s">
        <v>1059</v>
      </c>
      <c r="B2043" s="37"/>
      <c r="C2043" s="138">
        <v>2013</v>
      </c>
      <c r="D2043" s="138" t="str">
        <f t="shared" si="30"/>
        <v>Sierra Madre 2013</v>
      </c>
    </row>
    <row r="2044" spans="1:22" x14ac:dyDescent="0.3">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
      <c r="A2059" t="s">
        <v>225</v>
      </c>
      <c r="B2059" s="37" t="str">
        <f>VLOOKUP(A2059,'Planning Periods'!$E$2:$N$540,10,FALSE)</f>
        <v>06/30/2014 - 06/30/2019</v>
      </c>
      <c r="C2059" s="138">
        <v>2015</v>
      </c>
      <c r="D2059" s="138" t="str">
        <f t="shared" si="30"/>
        <v>Siskiyou County - Unincorporated 2015</v>
      </c>
    </row>
    <row r="2060" spans="1:22" x14ac:dyDescent="0.3">
      <c r="A2060" t="s">
        <v>225</v>
      </c>
      <c r="B2060" s="37" t="str">
        <f>VLOOKUP(A2060,'Planning Periods'!$E$2:$N$540,10,FALSE)</f>
        <v>06/30/2014 - 06/30/2019</v>
      </c>
      <c r="C2060" s="138">
        <v>2016</v>
      </c>
      <c r="D2060" s="138" t="str">
        <f t="shared" si="30"/>
        <v>Siskiyou County - Unincorporated 2016</v>
      </c>
    </row>
    <row r="2061" spans="1:22" x14ac:dyDescent="0.3">
      <c r="A2061" t="s">
        <v>225</v>
      </c>
      <c r="B2061" s="37" t="str">
        <f>VLOOKUP(A2061,'Planning Periods'!$E$2:$N$540,10,FALSE)</f>
        <v>06/30/2014 - 06/30/2019</v>
      </c>
      <c r="C2061" s="138">
        <v>2017</v>
      </c>
      <c r="D2061" s="138" t="str">
        <f t="shared" si="30"/>
        <v>Siskiyou County - Unincorporated 2017</v>
      </c>
    </row>
    <row r="2062" spans="1:22" x14ac:dyDescent="0.3">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
      <c r="A2072" t="s">
        <v>1011</v>
      </c>
      <c r="B2072" s="37" t="str">
        <f>VLOOKUP(A2072,'Planning Periods'!$E$2:$N$540,10,FALSE)</f>
        <v>12/31/2015 - 12/31/2023</v>
      </c>
      <c r="C2072" s="138">
        <v>2015</v>
      </c>
      <c r="D2072" s="138" t="str">
        <f t="shared" si="30"/>
        <v>Soledad 2015</v>
      </c>
    </row>
    <row r="2073" spans="1:22" x14ac:dyDescent="0.3">
      <c r="A2073" t="s">
        <v>1011</v>
      </c>
      <c r="B2073" s="37" t="str">
        <f>VLOOKUP(A2073,'Planning Periods'!$E$2:$N$540,10,FALSE)</f>
        <v>12/31/2015 - 12/31/2023</v>
      </c>
      <c r="C2073" s="138">
        <v>2016</v>
      </c>
      <c r="D2073" s="138" t="str">
        <f t="shared" si="30"/>
        <v>Soledad 2016</v>
      </c>
    </row>
    <row r="2074" spans="1:22" x14ac:dyDescent="0.3">
      <c r="A2074" t="s">
        <v>1011</v>
      </c>
      <c r="B2074" s="37" t="str">
        <f>VLOOKUP(A2074,'Planning Periods'!$E$2:$N$540,10,FALSE)</f>
        <v>12/31/2015 - 12/31/2023</v>
      </c>
      <c r="C2074" s="138">
        <v>2017</v>
      </c>
      <c r="D2074" s="138" t="str">
        <f t="shared" si="30"/>
        <v>Soledad 2017</v>
      </c>
    </row>
    <row r="2075" spans="1:22" x14ac:dyDescent="0.3">
      <c r="A2075" s="139" t="s">
        <v>847</v>
      </c>
      <c r="B2075" s="37" t="str">
        <f>VLOOKUP(A2075,'Planning Periods'!$E$2:$N$540,10,FALSE)</f>
        <v>02/15/2015 - 02/15/2023</v>
      </c>
      <c r="C2075" s="138">
        <v>2014</v>
      </c>
      <c r="D2075" s="138" t="str">
        <f t="shared" si="30"/>
        <v>Solvang 2014</v>
      </c>
    </row>
    <row r="2076" spans="1:22" x14ac:dyDescent="0.3">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
      <c r="A2093" t="s">
        <v>1057</v>
      </c>
      <c r="B2093" s="37" t="str">
        <f>VLOOKUP(A2093,'Planning Periods'!$E$2:$N$540,10,FALSE)</f>
        <v>10/15/2013 - 10/15/2021</v>
      </c>
      <c r="C2093" s="138">
        <v>2015</v>
      </c>
      <c r="D2093" s="138" t="str">
        <f t="shared" si="30"/>
        <v>South El Monte 2015</v>
      </c>
    </row>
    <row r="2094" spans="1:22" x14ac:dyDescent="0.3">
      <c r="A2094" t="s">
        <v>1057</v>
      </c>
      <c r="B2094" s="37" t="str">
        <f>VLOOKUP(A2094,'Planning Periods'!$E$2:$N$540,10,FALSE)</f>
        <v>10/15/2013 - 10/15/2021</v>
      </c>
      <c r="C2094" s="138">
        <v>2016</v>
      </c>
      <c r="D2094" s="138" t="str">
        <f t="shared" si="30"/>
        <v>South El Monte 2016</v>
      </c>
    </row>
    <row r="2095" spans="1:22" x14ac:dyDescent="0.3">
      <c r="A2095" t="s">
        <v>1057</v>
      </c>
      <c r="B2095" s="37" t="str">
        <f>VLOOKUP(A2095,'Planning Periods'!$E$2:$N$540,10,FALSE)</f>
        <v>10/15/2013 - 10/15/2021</v>
      </c>
      <c r="C2095" s="138">
        <v>2017</v>
      </c>
      <c r="D2095" s="138" t="str">
        <f t="shared" si="30"/>
        <v>South El Monte 2017</v>
      </c>
    </row>
    <row r="2096" spans="1:22" x14ac:dyDescent="0.3">
      <c r="A2096" s="139" t="s">
        <v>1056</v>
      </c>
      <c r="B2096" s="37"/>
      <c r="C2096" s="138">
        <v>2013</v>
      </c>
      <c r="D2096" s="138" t="str">
        <f>CONCATENATE(A2096," ",C2096)</f>
        <v>South Gate 2013</v>
      </c>
    </row>
    <row r="2097" spans="1:22" x14ac:dyDescent="0.3">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
      <c r="A2141" t="s">
        <v>1134</v>
      </c>
      <c r="B2141" s="37" t="str">
        <f>VLOOKUP(A2141,'Planning Periods'!$E$2:$N$540,10,FALSE)</f>
        <v>06/30/2014 - 06/30/2019</v>
      </c>
      <c r="C2141" s="138">
        <v>2015</v>
      </c>
      <c r="D2141" s="138" t="str">
        <f t="shared" si="31"/>
        <v>Susanville 2015</v>
      </c>
    </row>
    <row r="2142" spans="1:22" x14ac:dyDescent="0.3">
      <c r="A2142" t="s">
        <v>1134</v>
      </c>
      <c r="B2142" s="37" t="str">
        <f>VLOOKUP(A2142,'Planning Periods'!$E$2:$N$540,10,FALSE)</f>
        <v>06/30/2014 - 06/30/2019</v>
      </c>
      <c r="C2142" s="138">
        <v>2016</v>
      </c>
      <c r="D2142" s="138" t="str">
        <f t="shared" si="31"/>
        <v>Susanville 2016</v>
      </c>
    </row>
    <row r="2143" spans="1:22" x14ac:dyDescent="0.3">
      <c r="A2143" t="s">
        <v>1134</v>
      </c>
      <c r="B2143" s="37" t="str">
        <f>VLOOKUP(A2143,'Planning Periods'!$E$2:$N$540,10,FALSE)</f>
        <v>06/30/2014 - 06/30/2019</v>
      </c>
      <c r="C2143" s="138">
        <v>2017</v>
      </c>
      <c r="D2143" s="138" t="str">
        <f t="shared" si="31"/>
        <v>Susanville 2017</v>
      </c>
    </row>
    <row r="2144" spans="1:22" x14ac:dyDescent="0.3">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
      <c r="A2160" t="s">
        <v>1146</v>
      </c>
      <c r="B2160" s="37" t="str">
        <f>VLOOKUP(A2160,'Planning Periods'!$E$2:$N$540,10,FALSE)</f>
        <v>12/31/2015 - 12/31/2023</v>
      </c>
      <c r="C2160" s="138">
        <v>2015</v>
      </c>
      <c r="D2160" s="138" t="str">
        <f t="shared" si="31"/>
        <v>Tehachapi 2015</v>
      </c>
    </row>
    <row r="2161" spans="1:22" x14ac:dyDescent="0.3">
      <c r="A2161" t="s">
        <v>1146</v>
      </c>
      <c r="B2161" s="37" t="str">
        <f>VLOOKUP(A2161,'Planning Periods'!$E$2:$N$540,10,FALSE)</f>
        <v>12/31/2015 - 12/31/2023</v>
      </c>
      <c r="C2161" s="138">
        <v>2016</v>
      </c>
      <c r="D2161" s="138" t="str">
        <f t="shared" si="31"/>
        <v>Tehachapi 2016</v>
      </c>
    </row>
    <row r="2162" spans="1:22" x14ac:dyDescent="0.3">
      <c r="A2162" t="s">
        <v>1146</v>
      </c>
      <c r="B2162" s="37" t="str">
        <f>VLOOKUP(A2162,'Planning Periods'!$E$2:$N$540,10,FALSE)</f>
        <v>12/31/2015 - 12/31/2023</v>
      </c>
      <c r="C2162" s="138">
        <v>2017</v>
      </c>
      <c r="D2162" s="138" t="str">
        <f t="shared" si="31"/>
        <v>Tehachapi 2017</v>
      </c>
    </row>
    <row r="2163" spans="1:22" x14ac:dyDescent="0.3">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
      <c r="A2200" t="s">
        <v>1166</v>
      </c>
      <c r="B2200" s="37" t="str">
        <f>VLOOKUP(A2200,'Planning Periods'!$E$2:$N$540,10,FALSE)</f>
        <v>06/30/2014 - 06/30/2019</v>
      </c>
      <c r="C2200" s="138">
        <v>2015</v>
      </c>
      <c r="D2200" s="138" t="str">
        <f t="shared" si="32"/>
        <v>Trinidad 2015</v>
      </c>
    </row>
    <row r="2201" spans="1:22" x14ac:dyDescent="0.3">
      <c r="A2201" t="s">
        <v>1166</v>
      </c>
      <c r="B2201" s="37" t="str">
        <f>VLOOKUP(A2201,'Planning Periods'!$E$2:$N$540,10,FALSE)</f>
        <v>06/30/2014 - 06/30/2019</v>
      </c>
      <c r="C2201" s="138">
        <v>2016</v>
      </c>
      <c r="D2201" s="138" t="str">
        <f t="shared" si="32"/>
        <v>Trinidad 2016</v>
      </c>
    </row>
    <row r="2202" spans="1:22" x14ac:dyDescent="0.3">
      <c r="A2202" t="s">
        <v>1166</v>
      </c>
      <c r="B2202" s="37" t="str">
        <f>VLOOKUP(A2202,'Planning Periods'!$E$2:$N$540,10,FALSE)</f>
        <v>06/30/2014 - 06/30/2019</v>
      </c>
      <c r="C2202" s="138">
        <v>2017</v>
      </c>
      <c r="D2202" s="138" t="str">
        <f t="shared" si="32"/>
        <v>Trinidad 2017</v>
      </c>
    </row>
    <row r="2203" spans="1:22" x14ac:dyDescent="0.3">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
      <c r="A2204" t="s">
        <v>1360</v>
      </c>
      <c r="B2204" s="37" t="str">
        <f>VLOOKUP(A2204,'Planning Periods'!$E$2:$N$540,10,FALSE)</f>
        <v>06/30/2014 - 06/30/2019</v>
      </c>
      <c r="C2204" s="138">
        <v>2015</v>
      </c>
      <c r="D2204" s="138" t="str">
        <f t="shared" si="32"/>
        <v>Trinity County - unincorporated 2015</v>
      </c>
    </row>
    <row r="2205" spans="1:22" x14ac:dyDescent="0.3">
      <c r="A2205" t="s">
        <v>1359</v>
      </c>
      <c r="B2205" s="37" t="str">
        <f>VLOOKUP(A2205,'Planning Periods'!$E$2:$N$540,10,FALSE)</f>
        <v>06/30/2014 - 06/30/2019</v>
      </c>
      <c r="C2205" s="138">
        <v>2016</v>
      </c>
      <c r="D2205" s="138" t="str">
        <f t="shared" si="32"/>
        <v>Trinity County - Unincorporated 2016</v>
      </c>
    </row>
    <row r="2206" spans="1:22" x14ac:dyDescent="0.3">
      <c r="A2206" t="s">
        <v>1359</v>
      </c>
      <c r="B2206" s="37" t="str">
        <f>VLOOKUP(A2206,'Planning Periods'!$E$2:$N$540,10,FALSE)</f>
        <v>06/30/2014 - 06/30/2019</v>
      </c>
      <c r="C2206" s="138">
        <v>2017</v>
      </c>
      <c r="D2206" s="138" t="str">
        <f t="shared" si="32"/>
        <v>Trinity County - Unincorporated 2017</v>
      </c>
    </row>
    <row r="2207" spans="1:22" x14ac:dyDescent="0.3">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
      <c r="A2220" t="s">
        <v>817</v>
      </c>
      <c r="B2220" s="37" t="str">
        <f>VLOOKUP(A2220,'Planning Periods'!$E$2:$N$540,10,FALSE)</f>
        <v>06/30/2014 - 06/30/2019</v>
      </c>
      <c r="C2220" s="138">
        <v>2015</v>
      </c>
      <c r="D2220" s="138" t="str">
        <f t="shared" si="32"/>
        <v>Tulelake 2015</v>
      </c>
    </row>
    <row r="2221" spans="1:22" x14ac:dyDescent="0.3">
      <c r="A2221" t="s">
        <v>817</v>
      </c>
      <c r="B2221" s="37" t="str">
        <f>VLOOKUP(A2221,'Planning Periods'!$E$2:$N$540,10,FALSE)</f>
        <v>06/30/2014 - 06/30/2019</v>
      </c>
      <c r="C2221" s="138">
        <v>2016</v>
      </c>
      <c r="D2221" s="138" t="str">
        <f t="shared" si="32"/>
        <v>Tulelake 2016</v>
      </c>
    </row>
    <row r="2222" spans="1:22" x14ac:dyDescent="0.3">
      <c r="A2222" t="s">
        <v>817</v>
      </c>
      <c r="B2222" s="37" t="str">
        <f>VLOOKUP(A2222,'Planning Periods'!$E$2:$N$540,10,FALSE)</f>
        <v>06/30/2014 - 06/30/2019</v>
      </c>
      <c r="C2222" s="138">
        <v>2017</v>
      </c>
      <c r="D2222" s="138" t="str">
        <f t="shared" si="32"/>
        <v>Tulelake 2017</v>
      </c>
    </row>
    <row r="2223" spans="1:22" x14ac:dyDescent="0.3">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
      <c r="A2269" t="s">
        <v>1052</v>
      </c>
      <c r="B2269" s="37" t="str">
        <f>VLOOKUP(A2269,'Planning Periods'!$E$2:$N$540,10,FALSE)</f>
        <v>10/15/2013 - 10/15/2021</v>
      </c>
      <c r="C2269" s="138">
        <v>2015</v>
      </c>
      <c r="D2269" s="138" t="str">
        <f t="shared" si="33"/>
        <v>Vernon 2015</v>
      </c>
    </row>
    <row r="2270" spans="1:22" x14ac:dyDescent="0.3">
      <c r="A2270" t="s">
        <v>1052</v>
      </c>
      <c r="B2270" s="37" t="str">
        <f>VLOOKUP(A2270,'Planning Periods'!$E$2:$N$540,10,FALSE)</f>
        <v>10/15/2013 - 10/15/2021</v>
      </c>
      <c r="C2270" s="138">
        <v>2016</v>
      </c>
      <c r="D2270" s="138" t="str">
        <f t="shared" si="33"/>
        <v>Vernon 2016</v>
      </c>
    </row>
    <row r="2271" spans="1:22" x14ac:dyDescent="0.3">
      <c r="A2271" t="s">
        <v>1052</v>
      </c>
      <c r="B2271" s="37" t="str">
        <f>VLOOKUP(A2271,'Planning Periods'!$E$2:$N$540,10,FALSE)</f>
        <v>10/15/2013 - 10/15/2021</v>
      </c>
      <c r="C2271" s="138">
        <v>2017</v>
      </c>
      <c r="D2271" s="138" t="str">
        <f t="shared" si="33"/>
        <v>Vernon 2017</v>
      </c>
    </row>
    <row r="2272" spans="1:22" x14ac:dyDescent="0.3">
      <c r="A2272" t="s">
        <v>907</v>
      </c>
      <c r="B2272" s="37"/>
      <c r="C2272" s="138">
        <v>2013</v>
      </c>
      <c r="D2272" s="138" t="str">
        <f t="shared" si="33"/>
        <v>Victorville 2013</v>
      </c>
    </row>
    <row r="2273" spans="1:22" x14ac:dyDescent="0.3">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
      <c r="A2274" t="s">
        <v>907</v>
      </c>
      <c r="B2274" s="37" t="str">
        <f>VLOOKUP(A2274,'Planning Periods'!$E$2:$N$540,10,FALSE)</f>
        <v>10/15/2013 - 10/15/2021</v>
      </c>
      <c r="C2274" s="138">
        <v>2015</v>
      </c>
      <c r="D2274" s="138" t="str">
        <f t="shared" si="33"/>
        <v>Victorville 2015</v>
      </c>
    </row>
    <row r="2275" spans="1:22" x14ac:dyDescent="0.3">
      <c r="A2275" t="s">
        <v>907</v>
      </c>
      <c r="B2275" s="37" t="str">
        <f>VLOOKUP(A2275,'Planning Periods'!$E$2:$N$540,10,FALSE)</f>
        <v>10/15/2013 - 10/15/2021</v>
      </c>
      <c r="C2275" s="138">
        <v>2016</v>
      </c>
      <c r="D2275" s="138" t="str">
        <f t="shared" si="33"/>
        <v>Victorville 2016</v>
      </c>
    </row>
    <row r="2276" spans="1:22" x14ac:dyDescent="0.3">
      <c r="A2276" t="s">
        <v>907</v>
      </c>
      <c r="B2276" s="37" t="str">
        <f>VLOOKUP(A2276,'Planning Periods'!$E$2:$N$540,10,FALSE)</f>
        <v>10/15/2013 - 10/15/2021</v>
      </c>
      <c r="C2276" s="138">
        <v>2017</v>
      </c>
      <c r="D2276" s="138" t="str">
        <f t="shared" si="33"/>
        <v>Victorville 2017</v>
      </c>
    </row>
    <row r="2277" spans="1:22" x14ac:dyDescent="0.3">
      <c r="A2277" s="139" t="s">
        <v>972</v>
      </c>
      <c r="B2277" s="37"/>
      <c r="C2277" s="138">
        <v>2013</v>
      </c>
      <c r="D2277" s="138" t="str">
        <f t="shared" si="33"/>
        <v>Villa Park 2013</v>
      </c>
    </row>
    <row r="2278" spans="1:22" x14ac:dyDescent="0.3">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
      <c r="A2306" t="s">
        <v>788</v>
      </c>
      <c r="B2306" s="37" t="str">
        <f>VLOOKUP(A2306,'Planning Periods'!$E$2:$N$540,10,FALSE)</f>
        <v>12/31/2015 - 12/31/2023</v>
      </c>
      <c r="C2306" s="138">
        <v>2015</v>
      </c>
      <c r="D2306" s="138" t="str">
        <f t="shared" si="34"/>
        <v>Waterford 2015</v>
      </c>
    </row>
    <row r="2307" spans="1:22" x14ac:dyDescent="0.3">
      <c r="A2307" t="s">
        <v>788</v>
      </c>
      <c r="B2307" s="37" t="str">
        <f>VLOOKUP(A2307,'Planning Periods'!$E$2:$N$540,10,FALSE)</f>
        <v>12/31/2015 - 12/31/2023</v>
      </c>
      <c r="C2307" s="138">
        <v>2016</v>
      </c>
      <c r="D2307" s="138" t="str">
        <f t="shared" si="34"/>
        <v>Waterford 2016</v>
      </c>
    </row>
    <row r="2308" spans="1:22" x14ac:dyDescent="0.3">
      <c r="A2308" t="s">
        <v>788</v>
      </c>
      <c r="B2308" s="37" t="str">
        <f>VLOOKUP(A2308,'Planning Periods'!$E$2:$N$540,10,FALSE)</f>
        <v>12/31/2015 - 12/31/2023</v>
      </c>
      <c r="C2308" s="138">
        <v>2017</v>
      </c>
      <c r="D2308" s="138" t="str">
        <f t="shared" si="34"/>
        <v>Waterford 2017</v>
      </c>
    </row>
    <row r="2309" spans="1:22" x14ac:dyDescent="0.3">
      <c r="A2309" s="139" t="s">
        <v>830</v>
      </c>
      <c r="B2309" s="37" t="str">
        <f>VLOOKUP(A2309,'Planning Periods'!$E$2:$N$540,10,FALSE)</f>
        <v>12/31/2015 - 12/31/2023</v>
      </c>
      <c r="C2309" s="138">
        <v>2014</v>
      </c>
      <c r="D2309" s="138" t="str">
        <f t="shared" si="34"/>
        <v>Watsonville 2014</v>
      </c>
    </row>
    <row r="2310" spans="1:22" x14ac:dyDescent="0.3">
      <c r="A2310" s="139" t="s">
        <v>830</v>
      </c>
      <c r="B2310" s="37" t="str">
        <f>VLOOKUP(A2310,'Planning Periods'!$E$2:$N$540,10,FALSE)</f>
        <v>12/31/2015 - 12/31/2023</v>
      </c>
      <c r="C2310" s="138">
        <v>2015</v>
      </c>
      <c r="D2310" s="138" t="str">
        <f t="shared" si="34"/>
        <v>Watsonville 2015</v>
      </c>
    </row>
    <row r="2311" spans="1:22" x14ac:dyDescent="0.3">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
      <c r="A2314" t="s">
        <v>816</v>
      </c>
      <c r="B2314" s="37" t="str">
        <f>VLOOKUP(A2314,'Planning Periods'!$E$2:$N$540,10,FALSE)</f>
        <v>06/30/2014 - 06/30/2019</v>
      </c>
      <c r="C2314" s="138">
        <v>2015</v>
      </c>
      <c r="D2314" s="138" t="str">
        <f t="shared" si="34"/>
        <v>Weed 2015</v>
      </c>
    </row>
    <row r="2315" spans="1:22" x14ac:dyDescent="0.3">
      <c r="A2315" t="s">
        <v>816</v>
      </c>
      <c r="B2315" s="37" t="str">
        <f>VLOOKUP(A2315,'Planning Periods'!$E$2:$N$540,10,FALSE)</f>
        <v>06/30/2014 - 06/30/2019</v>
      </c>
      <c r="C2315" s="138">
        <v>2016</v>
      </c>
      <c r="D2315" s="138" t="str">
        <f t="shared" si="34"/>
        <v>Weed 2016</v>
      </c>
    </row>
    <row r="2316" spans="1:22" x14ac:dyDescent="0.3">
      <c r="A2316" t="s">
        <v>816</v>
      </c>
      <c r="B2316" s="37" t="str">
        <f>VLOOKUP(A2316,'Planning Periods'!$E$2:$N$540,10,FALSE)</f>
        <v>06/30/2014 - 06/30/2019</v>
      </c>
      <c r="C2316" s="138">
        <v>2017</v>
      </c>
      <c r="D2316" s="138" t="str">
        <f t="shared" si="34"/>
        <v>Weed 2017</v>
      </c>
    </row>
    <row r="2317" spans="1:22" x14ac:dyDescent="0.3">
      <c r="A2317" s="139" t="s">
        <v>1050</v>
      </c>
      <c r="B2317" s="37"/>
      <c r="C2317" s="138">
        <v>2013</v>
      </c>
      <c r="D2317" s="138" t="str">
        <f t="shared" si="34"/>
        <v>West Covina 2013</v>
      </c>
    </row>
    <row r="2318" spans="1:22" x14ac:dyDescent="0.3">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
      <c r="A2363" t="s">
        <v>1215</v>
      </c>
      <c r="B2363" s="37" t="str">
        <f>VLOOKUP(A2363,'Planning Periods'!$E$2:$N$540,10,FALSE)</f>
        <v>06/30/2014 - 06/30/2019</v>
      </c>
      <c r="C2363" s="138">
        <v>2015</v>
      </c>
      <c r="D2363" s="138" t="str">
        <f t="shared" si="34"/>
        <v>Williams 2015</v>
      </c>
    </row>
    <row r="2364" spans="1:22" x14ac:dyDescent="0.3">
      <c r="A2364" t="s">
        <v>1215</v>
      </c>
      <c r="B2364" s="37" t="str">
        <f>VLOOKUP(A2364,'Planning Periods'!$E$2:$N$540,10,FALSE)</f>
        <v>06/30/2014 - 06/30/2019</v>
      </c>
      <c r="C2364" s="138">
        <v>2016</v>
      </c>
      <c r="D2364" s="138" t="str">
        <f t="shared" si="34"/>
        <v>Williams 2016</v>
      </c>
    </row>
    <row r="2365" spans="1:22" x14ac:dyDescent="0.3">
      <c r="A2365" t="s">
        <v>1215</v>
      </c>
      <c r="B2365" s="37" t="str">
        <f>VLOOKUP(A2365,'Planning Periods'!$E$2:$N$540,10,FALSE)</f>
        <v>06/30/2014 - 06/30/2019</v>
      </c>
      <c r="C2365" s="138">
        <v>2017</v>
      </c>
      <c r="D2365" s="138" t="str">
        <f t="shared" si="34"/>
        <v>Williams 2017</v>
      </c>
    </row>
    <row r="2366" spans="1:22" x14ac:dyDescent="0.3">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
      <c r="A2367" t="s">
        <v>1032</v>
      </c>
      <c r="B2367" s="37" t="str">
        <f>VLOOKUP(A2367,'Planning Periods'!$E$2:$N$540,10,FALSE)</f>
        <v>06/30/2014 - 06/30/2019</v>
      </c>
      <c r="C2367" s="138">
        <v>2015</v>
      </c>
      <c r="D2367" s="138" t="str">
        <f t="shared" si="34"/>
        <v>Willits 2015</v>
      </c>
    </row>
    <row r="2368" spans="1:22" x14ac:dyDescent="0.3">
      <c r="A2368" t="s">
        <v>1032</v>
      </c>
      <c r="B2368" s="37" t="str">
        <f>VLOOKUP(A2368,'Planning Periods'!$E$2:$N$540,10,FALSE)</f>
        <v>06/30/2014 - 06/30/2019</v>
      </c>
      <c r="C2368" s="138">
        <v>2016</v>
      </c>
      <c r="D2368" s="138" t="str">
        <f t="shared" si="34"/>
        <v>Willits 2016</v>
      </c>
    </row>
    <row r="2369" spans="1:22" x14ac:dyDescent="0.3">
      <c r="A2369" t="s">
        <v>1032</v>
      </c>
      <c r="B2369" s="37" t="str">
        <f>VLOOKUP(A2369,'Planning Periods'!$E$2:$N$540,10,FALSE)</f>
        <v>06/30/2014 - 06/30/2019</v>
      </c>
      <c r="C2369" s="138">
        <v>2017</v>
      </c>
      <c r="D2369" s="138" t="str">
        <f t="shared" si="34"/>
        <v>Willits 2017</v>
      </c>
    </row>
    <row r="2370" spans="1:22" x14ac:dyDescent="0.3">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
      <c r="A2384" t="s">
        <v>774</v>
      </c>
      <c r="B2384" s="37" t="str">
        <f>VLOOKUP(A2384,'Planning Periods'!$E$2:$N$540,10,FALSE)</f>
        <v>12/31/2015 - 12/31/2023</v>
      </c>
      <c r="C2384" s="138">
        <v>2015</v>
      </c>
      <c r="D2384" s="138" t="str">
        <f t="shared" si="35"/>
        <v>Woodlake 2015</v>
      </c>
    </row>
    <row r="2385" spans="1:22" x14ac:dyDescent="0.3">
      <c r="A2385" t="s">
        <v>774</v>
      </c>
      <c r="B2385" s="37" t="str">
        <f>VLOOKUP(A2385,'Planning Periods'!$E$2:$N$540,10,FALSE)</f>
        <v>12/31/2015 - 12/31/2023</v>
      </c>
      <c r="C2385" s="138">
        <v>2016</v>
      </c>
      <c r="D2385" s="138" t="str">
        <f t="shared" si="35"/>
        <v>Woodlake 2016</v>
      </c>
    </row>
    <row r="2386" spans="1:22" x14ac:dyDescent="0.3">
      <c r="A2386" t="s">
        <v>774</v>
      </c>
      <c r="B2386" s="37" t="str">
        <f>VLOOKUP(A2386,'Planning Periods'!$E$2:$N$540,10,FALSE)</f>
        <v>12/31/2015 - 12/31/2023</v>
      </c>
      <c r="C2386" s="138">
        <v>2017</v>
      </c>
      <c r="D2386" s="138" t="str">
        <f t="shared" si="35"/>
        <v>Woodlake 2017</v>
      </c>
    </row>
    <row r="2387" spans="1:22" x14ac:dyDescent="0.3">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8671875" defaultRowHeight="13.2" x14ac:dyDescent="0.25"/>
  <cols>
    <col min="1" max="1" width="21" style="45" customWidth="1"/>
    <col min="2" max="2" width="34.44140625" style="45" bestFit="1" customWidth="1"/>
    <col min="3" max="3" width="34.44140625" style="45" customWidth="1"/>
    <col min="4" max="257" width="8.88671875" style="45"/>
    <col min="258" max="258" width="21" style="45" customWidth="1"/>
    <col min="259" max="259" width="34.44140625" style="45" bestFit="1" customWidth="1"/>
    <col min="260" max="513" width="8.88671875" style="45"/>
    <col min="514" max="514" width="21" style="45" customWidth="1"/>
    <col min="515" max="515" width="34.44140625" style="45" bestFit="1" customWidth="1"/>
    <col min="516" max="769" width="8.88671875" style="45"/>
    <col min="770" max="770" width="21" style="45" customWidth="1"/>
    <col min="771" max="771" width="34.44140625" style="45" bestFit="1" customWidth="1"/>
    <col min="772" max="1025" width="8.88671875" style="45"/>
    <col min="1026" max="1026" width="21" style="45" customWidth="1"/>
    <col min="1027" max="1027" width="34.44140625" style="45" bestFit="1" customWidth="1"/>
    <col min="1028" max="1281" width="8.88671875" style="45"/>
    <col min="1282" max="1282" width="21" style="45" customWidth="1"/>
    <col min="1283" max="1283" width="34.44140625" style="45" bestFit="1" customWidth="1"/>
    <col min="1284" max="1537" width="8.88671875" style="45"/>
    <col min="1538" max="1538" width="21" style="45" customWidth="1"/>
    <col min="1539" max="1539" width="34.44140625" style="45" bestFit="1" customWidth="1"/>
    <col min="1540" max="1793" width="8.88671875" style="45"/>
    <col min="1794" max="1794" width="21" style="45" customWidth="1"/>
    <col min="1795" max="1795" width="34.44140625" style="45" bestFit="1" customWidth="1"/>
    <col min="1796" max="2049" width="8.88671875" style="45"/>
    <col min="2050" max="2050" width="21" style="45" customWidth="1"/>
    <col min="2051" max="2051" width="34.44140625" style="45" bestFit="1" customWidth="1"/>
    <col min="2052" max="2305" width="8.88671875" style="45"/>
    <col min="2306" max="2306" width="21" style="45" customWidth="1"/>
    <col min="2307" max="2307" width="34.44140625" style="45" bestFit="1" customWidth="1"/>
    <col min="2308" max="2561" width="8.88671875" style="45"/>
    <col min="2562" max="2562" width="21" style="45" customWidth="1"/>
    <col min="2563" max="2563" width="34.44140625" style="45" bestFit="1" customWidth="1"/>
    <col min="2564" max="2817" width="8.88671875" style="45"/>
    <col min="2818" max="2818" width="21" style="45" customWidth="1"/>
    <col min="2819" max="2819" width="34.44140625" style="45" bestFit="1" customWidth="1"/>
    <col min="2820" max="3073" width="8.88671875" style="45"/>
    <col min="3074" max="3074" width="21" style="45" customWidth="1"/>
    <col min="3075" max="3075" width="34.44140625" style="45" bestFit="1" customWidth="1"/>
    <col min="3076" max="3329" width="8.88671875" style="45"/>
    <col min="3330" max="3330" width="21" style="45" customWidth="1"/>
    <col min="3331" max="3331" width="34.44140625" style="45" bestFit="1" customWidth="1"/>
    <col min="3332" max="3585" width="8.88671875" style="45"/>
    <col min="3586" max="3586" width="21" style="45" customWidth="1"/>
    <col min="3587" max="3587" width="34.44140625" style="45" bestFit="1" customWidth="1"/>
    <col min="3588" max="3841" width="8.88671875" style="45"/>
    <col min="3842" max="3842" width="21" style="45" customWidth="1"/>
    <col min="3843" max="3843" width="34.44140625" style="45" bestFit="1" customWidth="1"/>
    <col min="3844" max="4097" width="8.88671875" style="45"/>
    <col min="4098" max="4098" width="21" style="45" customWidth="1"/>
    <col min="4099" max="4099" width="34.44140625" style="45" bestFit="1" customWidth="1"/>
    <col min="4100" max="4353" width="8.88671875" style="45"/>
    <col min="4354" max="4354" width="21" style="45" customWidth="1"/>
    <col min="4355" max="4355" width="34.44140625" style="45" bestFit="1" customWidth="1"/>
    <col min="4356" max="4609" width="8.88671875" style="45"/>
    <col min="4610" max="4610" width="21" style="45" customWidth="1"/>
    <col min="4611" max="4611" width="34.44140625" style="45" bestFit="1" customWidth="1"/>
    <col min="4612" max="4865" width="8.88671875" style="45"/>
    <col min="4866" max="4866" width="21" style="45" customWidth="1"/>
    <col min="4867" max="4867" width="34.44140625" style="45" bestFit="1" customWidth="1"/>
    <col min="4868" max="5121" width="8.88671875" style="45"/>
    <col min="5122" max="5122" width="21" style="45" customWidth="1"/>
    <col min="5123" max="5123" width="34.44140625" style="45" bestFit="1" customWidth="1"/>
    <col min="5124" max="5377" width="8.88671875" style="45"/>
    <col min="5378" max="5378" width="21" style="45" customWidth="1"/>
    <col min="5379" max="5379" width="34.44140625" style="45" bestFit="1" customWidth="1"/>
    <col min="5380" max="5633" width="8.88671875" style="45"/>
    <col min="5634" max="5634" width="21" style="45" customWidth="1"/>
    <col min="5635" max="5635" width="34.44140625" style="45" bestFit="1" customWidth="1"/>
    <col min="5636" max="5889" width="8.88671875" style="45"/>
    <col min="5890" max="5890" width="21" style="45" customWidth="1"/>
    <col min="5891" max="5891" width="34.44140625" style="45" bestFit="1" customWidth="1"/>
    <col min="5892" max="6145" width="8.88671875" style="45"/>
    <col min="6146" max="6146" width="21" style="45" customWidth="1"/>
    <col min="6147" max="6147" width="34.44140625" style="45" bestFit="1" customWidth="1"/>
    <col min="6148" max="6401" width="8.88671875" style="45"/>
    <col min="6402" max="6402" width="21" style="45" customWidth="1"/>
    <col min="6403" max="6403" width="34.44140625" style="45" bestFit="1" customWidth="1"/>
    <col min="6404" max="6657" width="8.88671875" style="45"/>
    <col min="6658" max="6658" width="21" style="45" customWidth="1"/>
    <col min="6659" max="6659" width="34.44140625" style="45" bestFit="1" customWidth="1"/>
    <col min="6660" max="6913" width="8.88671875" style="45"/>
    <col min="6914" max="6914" width="21" style="45" customWidth="1"/>
    <col min="6915" max="6915" width="34.44140625" style="45" bestFit="1" customWidth="1"/>
    <col min="6916" max="7169" width="8.88671875" style="45"/>
    <col min="7170" max="7170" width="21" style="45" customWidth="1"/>
    <col min="7171" max="7171" width="34.44140625" style="45" bestFit="1" customWidth="1"/>
    <col min="7172" max="7425" width="8.88671875" style="45"/>
    <col min="7426" max="7426" width="21" style="45" customWidth="1"/>
    <col min="7427" max="7427" width="34.44140625" style="45" bestFit="1" customWidth="1"/>
    <col min="7428" max="7681" width="8.88671875" style="45"/>
    <col min="7682" max="7682" width="21" style="45" customWidth="1"/>
    <col min="7683" max="7683" width="34.44140625" style="45" bestFit="1" customWidth="1"/>
    <col min="7684" max="7937" width="8.88671875" style="45"/>
    <col min="7938" max="7938" width="21" style="45" customWidth="1"/>
    <col min="7939" max="7939" width="34.44140625" style="45" bestFit="1" customWidth="1"/>
    <col min="7940" max="8193" width="8.88671875" style="45"/>
    <col min="8194" max="8194" width="21" style="45" customWidth="1"/>
    <col min="8195" max="8195" width="34.44140625" style="45" bestFit="1" customWidth="1"/>
    <col min="8196" max="8449" width="8.88671875" style="45"/>
    <col min="8450" max="8450" width="21" style="45" customWidth="1"/>
    <col min="8451" max="8451" width="34.44140625" style="45" bestFit="1" customWidth="1"/>
    <col min="8452" max="8705" width="8.88671875" style="45"/>
    <col min="8706" max="8706" width="21" style="45" customWidth="1"/>
    <col min="8707" max="8707" width="34.44140625" style="45" bestFit="1" customWidth="1"/>
    <col min="8708" max="8961" width="8.88671875" style="45"/>
    <col min="8962" max="8962" width="21" style="45" customWidth="1"/>
    <col min="8963" max="8963" width="34.44140625" style="45" bestFit="1" customWidth="1"/>
    <col min="8964" max="9217" width="8.88671875" style="45"/>
    <col min="9218" max="9218" width="21" style="45" customWidth="1"/>
    <col min="9219" max="9219" width="34.44140625" style="45" bestFit="1" customWidth="1"/>
    <col min="9220" max="9473" width="8.88671875" style="45"/>
    <col min="9474" max="9474" width="21" style="45" customWidth="1"/>
    <col min="9475" max="9475" width="34.44140625" style="45" bestFit="1" customWidth="1"/>
    <col min="9476" max="9729" width="8.88671875" style="45"/>
    <col min="9730" max="9730" width="21" style="45" customWidth="1"/>
    <col min="9731" max="9731" width="34.44140625" style="45" bestFit="1" customWidth="1"/>
    <col min="9732" max="9985" width="8.88671875" style="45"/>
    <col min="9986" max="9986" width="21" style="45" customWidth="1"/>
    <col min="9987" max="9987" width="34.44140625" style="45" bestFit="1" customWidth="1"/>
    <col min="9988" max="10241" width="8.88671875" style="45"/>
    <col min="10242" max="10242" width="21" style="45" customWidth="1"/>
    <col min="10243" max="10243" width="34.44140625" style="45" bestFit="1" customWidth="1"/>
    <col min="10244" max="10497" width="8.88671875" style="45"/>
    <col min="10498" max="10498" width="21" style="45" customWidth="1"/>
    <col min="10499" max="10499" width="34.44140625" style="45" bestFit="1" customWidth="1"/>
    <col min="10500" max="10753" width="8.88671875" style="45"/>
    <col min="10754" max="10754" width="21" style="45" customWidth="1"/>
    <col min="10755" max="10755" width="34.44140625" style="45" bestFit="1" customWidth="1"/>
    <col min="10756" max="11009" width="8.88671875" style="45"/>
    <col min="11010" max="11010" width="21" style="45" customWidth="1"/>
    <col min="11011" max="11011" width="34.44140625" style="45" bestFit="1" customWidth="1"/>
    <col min="11012" max="11265" width="8.88671875" style="45"/>
    <col min="11266" max="11266" width="21" style="45" customWidth="1"/>
    <col min="11267" max="11267" width="34.44140625" style="45" bestFit="1" customWidth="1"/>
    <col min="11268" max="11521" width="8.88671875" style="45"/>
    <col min="11522" max="11522" width="21" style="45" customWidth="1"/>
    <col min="11523" max="11523" width="34.44140625" style="45" bestFit="1" customWidth="1"/>
    <col min="11524" max="11777" width="8.88671875" style="45"/>
    <col min="11778" max="11778" width="21" style="45" customWidth="1"/>
    <col min="11779" max="11779" width="34.44140625" style="45" bestFit="1" customWidth="1"/>
    <col min="11780" max="12033" width="8.88671875" style="45"/>
    <col min="12034" max="12034" width="21" style="45" customWidth="1"/>
    <col min="12035" max="12035" width="34.44140625" style="45" bestFit="1" customWidth="1"/>
    <col min="12036" max="12289" width="8.88671875" style="45"/>
    <col min="12290" max="12290" width="21" style="45" customWidth="1"/>
    <col min="12291" max="12291" width="34.44140625" style="45" bestFit="1" customWidth="1"/>
    <col min="12292" max="12545" width="8.88671875" style="45"/>
    <col min="12546" max="12546" width="21" style="45" customWidth="1"/>
    <col min="12547" max="12547" width="34.44140625" style="45" bestFit="1" customWidth="1"/>
    <col min="12548" max="12801" width="8.88671875" style="45"/>
    <col min="12802" max="12802" width="21" style="45" customWidth="1"/>
    <col min="12803" max="12803" width="34.44140625" style="45" bestFit="1" customWidth="1"/>
    <col min="12804" max="13057" width="8.88671875" style="45"/>
    <col min="13058" max="13058" width="21" style="45" customWidth="1"/>
    <col min="13059" max="13059" width="34.44140625" style="45" bestFit="1" customWidth="1"/>
    <col min="13060" max="13313" width="8.88671875" style="45"/>
    <col min="13314" max="13314" width="21" style="45" customWidth="1"/>
    <col min="13315" max="13315" width="34.44140625" style="45" bestFit="1" customWidth="1"/>
    <col min="13316" max="13569" width="8.88671875" style="45"/>
    <col min="13570" max="13570" width="21" style="45" customWidth="1"/>
    <col min="13571" max="13571" width="34.44140625" style="45" bestFit="1" customWidth="1"/>
    <col min="13572" max="13825" width="8.88671875" style="45"/>
    <col min="13826" max="13826" width="21" style="45" customWidth="1"/>
    <col min="13827" max="13827" width="34.44140625" style="45" bestFit="1" customWidth="1"/>
    <col min="13828" max="14081" width="8.88671875" style="45"/>
    <col min="14082" max="14082" width="21" style="45" customWidth="1"/>
    <col min="14083" max="14083" width="34.44140625" style="45" bestFit="1" customWidth="1"/>
    <col min="14084" max="14337" width="8.88671875" style="45"/>
    <col min="14338" max="14338" width="21" style="45" customWidth="1"/>
    <col min="14339" max="14339" width="34.44140625" style="45" bestFit="1" customWidth="1"/>
    <col min="14340" max="14593" width="8.88671875" style="45"/>
    <col min="14594" max="14594" width="21" style="45" customWidth="1"/>
    <col min="14595" max="14595" width="34.44140625" style="45" bestFit="1" customWidth="1"/>
    <col min="14596" max="14849" width="8.88671875" style="45"/>
    <col min="14850" max="14850" width="21" style="45" customWidth="1"/>
    <col min="14851" max="14851" width="34.44140625" style="45" bestFit="1" customWidth="1"/>
    <col min="14852" max="15105" width="8.88671875" style="45"/>
    <col min="15106" max="15106" width="21" style="45" customWidth="1"/>
    <col min="15107" max="15107" width="34.44140625" style="45" bestFit="1" customWidth="1"/>
    <col min="15108" max="15361" width="8.88671875" style="45"/>
    <col min="15362" max="15362" width="21" style="45" customWidth="1"/>
    <col min="15363" max="15363" width="34.44140625" style="45" bestFit="1" customWidth="1"/>
    <col min="15364" max="15617" width="8.88671875" style="45"/>
    <col min="15618" max="15618" width="21" style="45" customWidth="1"/>
    <col min="15619" max="15619" width="34.44140625" style="45" bestFit="1" customWidth="1"/>
    <col min="15620" max="15873" width="8.88671875" style="45"/>
    <col min="15874" max="15874" width="21" style="45" customWidth="1"/>
    <col min="15875" max="15875" width="34.44140625" style="45" bestFit="1" customWidth="1"/>
    <col min="15876" max="16129" width="8.88671875" style="45"/>
    <col min="16130" max="16130" width="21" style="45" customWidth="1"/>
    <col min="16131" max="16131" width="34.44140625" style="45" bestFit="1" customWidth="1"/>
    <col min="16132" max="16384" width="8.88671875" style="45"/>
  </cols>
  <sheetData>
    <row r="1" spans="1:11" ht="24.6" thickBot="1" x14ac:dyDescent="0.3">
      <c r="A1" s="68" t="s">
        <v>1248</v>
      </c>
      <c r="B1" s="67" t="s">
        <v>1247</v>
      </c>
      <c r="C1" s="49" t="s">
        <v>1246</v>
      </c>
      <c r="D1" s="66" t="s">
        <v>16</v>
      </c>
      <c r="E1" s="66" t="s">
        <v>17</v>
      </c>
      <c r="F1" s="66" t="s">
        <v>1245</v>
      </c>
      <c r="G1" s="66" t="s">
        <v>1244</v>
      </c>
      <c r="H1" s="65" t="s">
        <v>1243</v>
      </c>
      <c r="I1" s="64"/>
      <c r="J1" s="63"/>
      <c r="K1" s="63"/>
    </row>
    <row r="2" spans="1:11" ht="13.8" thickTop="1" x14ac:dyDescent="0.25">
      <c r="A2" s="48" t="s">
        <v>905</v>
      </c>
      <c r="B2" s="48" t="s">
        <v>926</v>
      </c>
      <c r="C2" s="48" t="str">
        <f t="shared" ref="C2:C65" si="0">B2</f>
        <v>Adelanto</v>
      </c>
      <c r="D2" s="51">
        <v>633</v>
      </c>
      <c r="E2" s="51">
        <v>459</v>
      </c>
      <c r="F2" s="51">
        <v>513</v>
      </c>
      <c r="G2" s="51">
        <v>1236</v>
      </c>
      <c r="H2" s="50">
        <f t="shared" ref="H2:H65" si="1">SUM(D2:G2)</f>
        <v>2841</v>
      </c>
    </row>
    <row r="3" spans="1:11" x14ac:dyDescent="0.25">
      <c r="A3" s="48" t="s">
        <v>1047</v>
      </c>
      <c r="B3" s="48" t="s">
        <v>1133</v>
      </c>
      <c r="C3" s="48" t="str">
        <f t="shared" si="0"/>
        <v>Agoura Hills</v>
      </c>
      <c r="D3" s="51">
        <v>31</v>
      </c>
      <c r="E3" s="51">
        <v>19</v>
      </c>
      <c r="F3" s="51">
        <v>20</v>
      </c>
      <c r="G3" s="51">
        <v>45</v>
      </c>
      <c r="H3" s="50">
        <f t="shared" si="1"/>
        <v>115</v>
      </c>
    </row>
    <row r="4" spans="1:11" x14ac:dyDescent="0.25">
      <c r="A4" s="48" t="s">
        <v>1230</v>
      </c>
      <c r="B4" s="48" t="s">
        <v>1230</v>
      </c>
      <c r="C4" s="48" t="str">
        <f t="shared" si="0"/>
        <v>Alameda</v>
      </c>
      <c r="D4" s="51">
        <v>444</v>
      </c>
      <c r="E4" s="51">
        <v>248</v>
      </c>
      <c r="F4" s="51">
        <v>283</v>
      </c>
      <c r="G4" s="51">
        <v>748</v>
      </c>
      <c r="H4" s="50">
        <f t="shared" si="1"/>
        <v>1723</v>
      </c>
    </row>
    <row r="5" spans="1:11" x14ac:dyDescent="0.25">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1230</v>
      </c>
      <c r="B6" s="48" t="s">
        <v>1242</v>
      </c>
      <c r="C6" s="48" t="str">
        <f t="shared" si="0"/>
        <v>Albany</v>
      </c>
      <c r="D6" s="51">
        <v>80</v>
      </c>
      <c r="E6" s="51">
        <v>53</v>
      </c>
      <c r="F6" s="51">
        <v>57</v>
      </c>
      <c r="G6" s="51">
        <v>145</v>
      </c>
      <c r="H6" s="50">
        <f t="shared" si="1"/>
        <v>335</v>
      </c>
    </row>
    <row r="7" spans="1:11" x14ac:dyDescent="0.25">
      <c r="A7" s="48" t="s">
        <v>1047</v>
      </c>
      <c r="B7" s="48" t="s">
        <v>1132</v>
      </c>
      <c r="C7" s="48" t="str">
        <f t="shared" si="0"/>
        <v>Alhambra</v>
      </c>
      <c r="D7" s="51">
        <v>380</v>
      </c>
      <c r="E7" s="51">
        <v>224</v>
      </c>
      <c r="F7" s="51">
        <v>246</v>
      </c>
      <c r="G7" s="51">
        <v>642</v>
      </c>
      <c r="H7" s="50">
        <f t="shared" si="1"/>
        <v>1492</v>
      </c>
    </row>
    <row r="8" spans="1:11" x14ac:dyDescent="0.25">
      <c r="A8" s="48" t="s">
        <v>970</v>
      </c>
      <c r="B8" s="48" t="s">
        <v>1002</v>
      </c>
      <c r="C8" s="48" t="str">
        <f t="shared" si="0"/>
        <v>Aliso Viejo</v>
      </c>
      <c r="D8" s="51">
        <v>9</v>
      </c>
      <c r="E8" s="51">
        <v>7</v>
      </c>
      <c r="F8" s="51">
        <v>7</v>
      </c>
      <c r="G8" s="51">
        <v>16</v>
      </c>
      <c r="H8" s="50">
        <f t="shared" si="1"/>
        <v>39</v>
      </c>
    </row>
    <row r="9" spans="1:11" x14ac:dyDescent="0.25">
      <c r="A9" s="48" t="s">
        <v>1340</v>
      </c>
      <c r="B9" s="48" t="str">
        <f>A9</f>
        <v>Alpine County - Unincorporated</v>
      </c>
      <c r="C9" s="48" t="str">
        <f t="shared" si="0"/>
        <v>Alpine County - Unincorporated</v>
      </c>
      <c r="D9" s="51">
        <v>7</v>
      </c>
      <c r="E9" s="51">
        <v>6</v>
      </c>
      <c r="F9" s="51">
        <v>6</v>
      </c>
      <c r="G9" s="51">
        <v>11</v>
      </c>
      <c r="H9" s="46">
        <f t="shared" si="1"/>
        <v>30</v>
      </c>
    </row>
    <row r="10" spans="1:11" x14ac:dyDescent="0.25">
      <c r="A10" s="48" t="s">
        <v>1025</v>
      </c>
      <c r="B10" s="48" t="s">
        <v>1024</v>
      </c>
      <c r="C10" s="48" t="str">
        <f t="shared" si="0"/>
        <v>Alturas</v>
      </c>
      <c r="D10" s="51">
        <v>1</v>
      </c>
      <c r="E10" s="51">
        <v>1</v>
      </c>
      <c r="F10" s="51">
        <v>1</v>
      </c>
      <c r="G10" s="51">
        <v>2</v>
      </c>
      <c r="H10" s="50">
        <f t="shared" si="1"/>
        <v>5</v>
      </c>
    </row>
    <row r="11" spans="1:11" x14ac:dyDescent="0.25">
      <c r="A11" s="48" t="s">
        <v>1224</v>
      </c>
      <c r="B11" s="48" t="s">
        <v>1228</v>
      </c>
      <c r="C11" s="48" t="str">
        <f t="shared" si="0"/>
        <v>Amador City</v>
      </c>
      <c r="D11" s="51">
        <v>1</v>
      </c>
      <c r="E11" s="51">
        <v>1</v>
      </c>
      <c r="F11" s="51">
        <v>0</v>
      </c>
      <c r="G11" s="51">
        <v>0</v>
      </c>
      <c r="H11" s="50">
        <f t="shared" si="1"/>
        <v>2</v>
      </c>
    </row>
    <row r="12" spans="1:11" x14ac:dyDescent="0.25">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1007</v>
      </c>
      <c r="B13" s="48" t="s">
        <v>1010</v>
      </c>
      <c r="C13" s="48" t="str">
        <f t="shared" si="0"/>
        <v>American Canyon</v>
      </c>
      <c r="D13" s="51">
        <v>116</v>
      </c>
      <c r="E13" s="51">
        <v>54</v>
      </c>
      <c r="F13" s="51">
        <v>58</v>
      </c>
      <c r="G13" s="51">
        <v>164</v>
      </c>
      <c r="H13" s="50">
        <f t="shared" si="1"/>
        <v>392</v>
      </c>
    </row>
    <row r="14" spans="1:11" x14ac:dyDescent="0.25">
      <c r="A14" s="48" t="s">
        <v>970</v>
      </c>
      <c r="B14" s="48" t="s">
        <v>1001</v>
      </c>
      <c r="C14" s="48" t="str">
        <f t="shared" si="0"/>
        <v>Anaheim</v>
      </c>
      <c r="D14" s="51">
        <v>1256</v>
      </c>
      <c r="E14" s="51">
        <v>907</v>
      </c>
      <c r="F14" s="51">
        <v>1038</v>
      </c>
      <c r="G14" s="51">
        <v>2501</v>
      </c>
      <c r="H14" s="50">
        <f t="shared" si="1"/>
        <v>5702</v>
      </c>
    </row>
    <row r="15" spans="1:11" x14ac:dyDescent="0.25">
      <c r="A15" s="48" t="s">
        <v>827</v>
      </c>
      <c r="B15" s="48" t="s">
        <v>829</v>
      </c>
      <c r="C15" s="48" t="str">
        <f t="shared" si="0"/>
        <v>Anderson</v>
      </c>
      <c r="D15" s="51">
        <v>32</v>
      </c>
      <c r="E15" s="51">
        <v>21</v>
      </c>
      <c r="F15" s="51">
        <v>24</v>
      </c>
      <c r="G15" s="51">
        <v>59</v>
      </c>
      <c r="H15" s="50">
        <f t="shared" si="1"/>
        <v>136</v>
      </c>
    </row>
    <row r="16" spans="1:11" x14ac:dyDescent="0.25">
      <c r="A16" s="48" t="s">
        <v>1217</v>
      </c>
      <c r="B16" s="48" t="s">
        <v>1342</v>
      </c>
      <c r="C16" s="48" t="str">
        <f t="shared" si="0"/>
        <v>Angels Camp</v>
      </c>
      <c r="D16" s="51">
        <v>39</v>
      </c>
      <c r="E16" s="51">
        <v>25</v>
      </c>
      <c r="F16" s="51">
        <v>28</v>
      </c>
      <c r="G16" s="51">
        <v>69</v>
      </c>
      <c r="H16" s="50">
        <f t="shared" si="1"/>
        <v>161</v>
      </c>
    </row>
    <row r="17" spans="1:8" x14ac:dyDescent="0.25">
      <c r="A17" s="48" t="s">
        <v>1197</v>
      </c>
      <c r="B17" s="48" t="s">
        <v>1214</v>
      </c>
      <c r="C17" s="48" t="str">
        <f t="shared" si="0"/>
        <v>Antioch</v>
      </c>
      <c r="D17" s="51">
        <v>349</v>
      </c>
      <c r="E17" s="51">
        <v>205</v>
      </c>
      <c r="F17" s="51">
        <v>214</v>
      </c>
      <c r="G17" s="51">
        <v>680</v>
      </c>
      <c r="H17" s="50">
        <f t="shared" si="1"/>
        <v>1448</v>
      </c>
    </row>
    <row r="18" spans="1:8" x14ac:dyDescent="0.25">
      <c r="A18" s="48" t="s">
        <v>905</v>
      </c>
      <c r="B18" s="48" t="s">
        <v>1330</v>
      </c>
      <c r="C18" s="48" t="str">
        <f t="shared" si="0"/>
        <v>Apple Valley</v>
      </c>
      <c r="D18" s="51">
        <v>764</v>
      </c>
      <c r="E18" s="51">
        <v>541</v>
      </c>
      <c r="F18" s="51">
        <v>622</v>
      </c>
      <c r="G18" s="51">
        <v>1407</v>
      </c>
      <c r="H18" s="50">
        <f t="shared" si="1"/>
        <v>3334</v>
      </c>
    </row>
    <row r="19" spans="1:8" x14ac:dyDescent="0.25">
      <c r="A19" s="48" t="s">
        <v>1047</v>
      </c>
      <c r="B19" s="48" t="s">
        <v>1131</v>
      </c>
      <c r="C19" s="48" t="str">
        <f t="shared" si="0"/>
        <v>Arcadia</v>
      </c>
      <c r="D19" s="51">
        <v>276</v>
      </c>
      <c r="E19" s="51">
        <v>167</v>
      </c>
      <c r="F19" s="51">
        <v>177</v>
      </c>
      <c r="G19" s="51">
        <v>434</v>
      </c>
      <c r="H19" s="50">
        <f t="shared" si="1"/>
        <v>1054</v>
      </c>
    </row>
    <row r="20" spans="1:8" x14ac:dyDescent="0.25">
      <c r="A20" s="48" t="s">
        <v>1167</v>
      </c>
      <c r="B20" s="48" t="s">
        <v>1173</v>
      </c>
      <c r="C20" s="48" t="str">
        <f t="shared" si="0"/>
        <v>Arcata</v>
      </c>
      <c r="D20" s="51">
        <v>85</v>
      </c>
      <c r="E20" s="51">
        <v>56</v>
      </c>
      <c r="F20" s="51">
        <v>62</v>
      </c>
      <c r="G20" s="51">
        <v>160</v>
      </c>
      <c r="H20" s="50">
        <f t="shared" si="1"/>
        <v>363</v>
      </c>
    </row>
    <row r="21" spans="1:8" x14ac:dyDescent="0.25">
      <c r="A21" s="48" t="s">
        <v>870</v>
      </c>
      <c r="B21" s="48" t="s">
        <v>876</v>
      </c>
      <c r="C21" s="48" t="str">
        <f t="shared" si="0"/>
        <v>Arroyo Grande</v>
      </c>
      <c r="D21" s="51">
        <v>60</v>
      </c>
      <c r="E21" s="51">
        <v>38</v>
      </c>
      <c r="F21" s="51">
        <v>43</v>
      </c>
      <c r="G21" s="51">
        <v>101</v>
      </c>
      <c r="H21" s="50">
        <f t="shared" si="1"/>
        <v>242</v>
      </c>
    </row>
    <row r="22" spans="1:8" x14ac:dyDescent="0.25">
      <c r="A22" s="48" t="s">
        <v>1047</v>
      </c>
      <c r="B22" s="48" t="s">
        <v>1130</v>
      </c>
      <c r="C22" s="48" t="str">
        <f t="shared" si="0"/>
        <v>Artesia</v>
      </c>
      <c r="D22" s="51">
        <v>31</v>
      </c>
      <c r="E22" s="51">
        <v>18</v>
      </c>
      <c r="F22" s="51">
        <v>20</v>
      </c>
      <c r="G22" s="51">
        <v>51</v>
      </c>
      <c r="H22" s="50">
        <f t="shared" si="1"/>
        <v>120</v>
      </c>
    </row>
    <row r="23" spans="1:8" x14ac:dyDescent="0.25">
      <c r="A23" s="48" t="s">
        <v>1145</v>
      </c>
      <c r="B23" s="48" t="s">
        <v>1155</v>
      </c>
      <c r="C23" s="48" t="str">
        <f t="shared" si="0"/>
        <v>Arvin</v>
      </c>
      <c r="D23" s="58">
        <v>398</v>
      </c>
      <c r="E23" s="58">
        <v>239</v>
      </c>
      <c r="F23" s="58">
        <v>183</v>
      </c>
      <c r="G23" s="58">
        <v>349</v>
      </c>
      <c r="H23" s="50">
        <f t="shared" si="1"/>
        <v>1169</v>
      </c>
    </row>
    <row r="24" spans="1:8" x14ac:dyDescent="0.25">
      <c r="A24" s="48" t="s">
        <v>870</v>
      </c>
      <c r="B24" s="48" t="s">
        <v>875</v>
      </c>
      <c r="C24" s="48" t="str">
        <f t="shared" si="0"/>
        <v>Atascadero</v>
      </c>
      <c r="D24" s="51">
        <v>98</v>
      </c>
      <c r="E24" s="51">
        <v>62</v>
      </c>
      <c r="F24" s="51">
        <v>69</v>
      </c>
      <c r="G24" s="51">
        <v>164</v>
      </c>
      <c r="H24" s="50">
        <f t="shared" si="1"/>
        <v>393</v>
      </c>
    </row>
    <row r="25" spans="1:8" x14ac:dyDescent="0.25">
      <c r="A25" s="48" t="s">
        <v>855</v>
      </c>
      <c r="B25" s="48" t="s">
        <v>1331</v>
      </c>
      <c r="C25" s="48" t="str">
        <f t="shared" si="0"/>
        <v>Atherton</v>
      </c>
      <c r="D25" s="51">
        <v>35</v>
      </c>
      <c r="E25" s="51">
        <v>26</v>
      </c>
      <c r="F25" s="51">
        <v>29</v>
      </c>
      <c r="G25" s="51">
        <v>3</v>
      </c>
      <c r="H25" s="50">
        <f t="shared" si="1"/>
        <v>93</v>
      </c>
    </row>
    <row r="26" spans="1:8" x14ac:dyDescent="0.25">
      <c r="A26" s="48" t="s">
        <v>1026</v>
      </c>
      <c r="B26" s="48" t="s">
        <v>1031</v>
      </c>
      <c r="C26" s="48" t="str">
        <f t="shared" si="0"/>
        <v>Atwater</v>
      </c>
      <c r="D26" s="57">
        <v>429</v>
      </c>
      <c r="E26" s="57">
        <v>307</v>
      </c>
      <c r="F26" s="57">
        <v>281</v>
      </c>
      <c r="G26" s="57">
        <v>748</v>
      </c>
      <c r="H26" s="50">
        <f t="shared" si="1"/>
        <v>1765</v>
      </c>
    </row>
    <row r="27" spans="1:8" x14ac:dyDescent="0.25">
      <c r="A27" s="48" t="s">
        <v>964</v>
      </c>
      <c r="B27" s="48" t="s">
        <v>968</v>
      </c>
      <c r="C27" s="48" t="str">
        <f t="shared" si="0"/>
        <v>Auburn</v>
      </c>
      <c r="D27" s="51">
        <v>74</v>
      </c>
      <c r="E27" s="51">
        <v>52</v>
      </c>
      <c r="F27" s="51">
        <v>57</v>
      </c>
      <c r="G27" s="51">
        <v>125</v>
      </c>
      <c r="H27" s="50">
        <f t="shared" si="1"/>
        <v>308</v>
      </c>
    </row>
    <row r="28" spans="1:8" x14ac:dyDescent="0.25">
      <c r="A28" s="48" t="s">
        <v>1047</v>
      </c>
      <c r="B28" s="48" t="s">
        <v>1129</v>
      </c>
      <c r="C28" s="48" t="str">
        <f t="shared" si="0"/>
        <v>Avalon</v>
      </c>
      <c r="D28" s="51">
        <v>20</v>
      </c>
      <c r="E28" s="51">
        <v>12</v>
      </c>
      <c r="F28" s="51">
        <v>14</v>
      </c>
      <c r="G28" s="51">
        <v>34</v>
      </c>
      <c r="H28" s="50">
        <f t="shared" si="1"/>
        <v>80</v>
      </c>
    </row>
    <row r="29" spans="1:8" x14ac:dyDescent="0.25">
      <c r="A29" s="48" t="s">
        <v>1140</v>
      </c>
      <c r="B29" s="48" t="s">
        <v>1143</v>
      </c>
      <c r="C29" s="48" t="str">
        <f t="shared" si="0"/>
        <v>Avenal</v>
      </c>
      <c r="D29" s="58">
        <v>145</v>
      </c>
      <c r="E29" s="58">
        <v>108</v>
      </c>
      <c r="F29" s="58">
        <v>115</v>
      </c>
      <c r="G29" s="58">
        <v>271</v>
      </c>
      <c r="H29" s="50">
        <f t="shared" si="1"/>
        <v>639</v>
      </c>
    </row>
    <row r="30" spans="1:8" x14ac:dyDescent="0.25">
      <c r="A30" s="48" t="s">
        <v>1047</v>
      </c>
      <c r="B30" s="48" t="s">
        <v>1128</v>
      </c>
      <c r="C30" s="48" t="str">
        <f t="shared" si="0"/>
        <v>Azusa</v>
      </c>
      <c r="D30" s="51">
        <v>198</v>
      </c>
      <c r="E30" s="51">
        <v>118</v>
      </c>
      <c r="F30" s="51">
        <v>127</v>
      </c>
      <c r="G30" s="51">
        <v>336</v>
      </c>
      <c r="H30" s="50">
        <f t="shared" si="1"/>
        <v>779</v>
      </c>
    </row>
    <row r="31" spans="1:8" x14ac:dyDescent="0.25">
      <c r="A31" s="48" t="s">
        <v>1145</v>
      </c>
      <c r="B31" s="48" t="s">
        <v>1154</v>
      </c>
      <c r="C31" s="48" t="str">
        <f t="shared" si="0"/>
        <v>Bakersfield</v>
      </c>
      <c r="D31" s="58">
        <v>9706</v>
      </c>
      <c r="E31" s="58">
        <v>5800</v>
      </c>
      <c r="F31" s="58">
        <v>6453</v>
      </c>
      <c r="G31" s="58">
        <v>14331</v>
      </c>
      <c r="H31" s="50">
        <f t="shared" si="1"/>
        <v>36290</v>
      </c>
    </row>
    <row r="32" spans="1:8" x14ac:dyDescent="0.25">
      <c r="A32" s="48" t="s">
        <v>1047</v>
      </c>
      <c r="B32" s="48" t="s">
        <v>1127</v>
      </c>
      <c r="C32" s="48" t="str">
        <f t="shared" si="0"/>
        <v>Baldwin Park</v>
      </c>
      <c r="D32" s="51">
        <v>142</v>
      </c>
      <c r="E32" s="51">
        <v>83</v>
      </c>
      <c r="F32" s="51">
        <v>90</v>
      </c>
      <c r="G32" s="51">
        <v>242</v>
      </c>
      <c r="H32" s="50">
        <f t="shared" si="1"/>
        <v>557</v>
      </c>
    </row>
    <row r="33" spans="1:8" x14ac:dyDescent="0.25">
      <c r="A33" s="48" t="s">
        <v>937</v>
      </c>
      <c r="B33" s="48" t="s">
        <v>960</v>
      </c>
      <c r="C33" s="48" t="str">
        <f t="shared" si="0"/>
        <v>Banning</v>
      </c>
      <c r="D33" s="51">
        <v>872</v>
      </c>
      <c r="E33" s="51">
        <v>593</v>
      </c>
      <c r="F33" s="51">
        <v>685</v>
      </c>
      <c r="G33" s="51">
        <v>1642</v>
      </c>
      <c r="H33" s="50">
        <f t="shared" si="1"/>
        <v>3792</v>
      </c>
    </row>
    <row r="34" spans="1:8" x14ac:dyDescent="0.25">
      <c r="A34" s="48" t="s">
        <v>905</v>
      </c>
      <c r="B34" s="48" t="s">
        <v>925</v>
      </c>
      <c r="C34" s="48" t="str">
        <f t="shared" si="0"/>
        <v>Barstow</v>
      </c>
      <c r="D34" s="51">
        <v>188</v>
      </c>
      <c r="E34" s="51">
        <v>138</v>
      </c>
      <c r="F34" s="51">
        <v>154</v>
      </c>
      <c r="G34" s="51">
        <v>363</v>
      </c>
      <c r="H34" s="50">
        <f t="shared" si="1"/>
        <v>843</v>
      </c>
    </row>
    <row r="35" spans="1:8" x14ac:dyDescent="0.25">
      <c r="A35" s="48" t="s">
        <v>937</v>
      </c>
      <c r="B35" s="48" t="s">
        <v>959</v>
      </c>
      <c r="C35" s="48" t="str">
        <f t="shared" si="0"/>
        <v>Beaumont</v>
      </c>
      <c r="D35" s="51">
        <v>1267</v>
      </c>
      <c r="E35" s="51">
        <v>854</v>
      </c>
      <c r="F35" s="51">
        <v>969</v>
      </c>
      <c r="G35" s="51">
        <v>2160</v>
      </c>
      <c r="H35" s="50">
        <f t="shared" si="1"/>
        <v>5250</v>
      </c>
    </row>
    <row r="36" spans="1:8" x14ac:dyDescent="0.25">
      <c r="A36" s="48" t="s">
        <v>1047</v>
      </c>
      <c r="B36" s="48" t="s">
        <v>1126</v>
      </c>
      <c r="C36" s="48" t="str">
        <f t="shared" si="0"/>
        <v>Bell</v>
      </c>
      <c r="D36" s="51">
        <v>11</v>
      </c>
      <c r="E36" s="51">
        <v>7</v>
      </c>
      <c r="F36" s="51">
        <v>8</v>
      </c>
      <c r="G36" s="51">
        <v>21</v>
      </c>
      <c r="H36" s="50">
        <f t="shared" si="1"/>
        <v>47</v>
      </c>
    </row>
    <row r="37" spans="1:8" x14ac:dyDescent="0.25">
      <c r="A37" s="48" t="s">
        <v>1047</v>
      </c>
      <c r="B37" s="48" t="s">
        <v>1125</v>
      </c>
      <c r="C37" s="48" t="str">
        <f t="shared" si="0"/>
        <v>Bell Gardens</v>
      </c>
      <c r="D37" s="51">
        <v>11</v>
      </c>
      <c r="E37" s="51">
        <v>7</v>
      </c>
      <c r="F37" s="51">
        <v>8</v>
      </c>
      <c r="G37" s="51">
        <v>20</v>
      </c>
      <c r="H37" s="50">
        <f t="shared" si="1"/>
        <v>46</v>
      </c>
    </row>
    <row r="38" spans="1:8" x14ac:dyDescent="0.25">
      <c r="A38" s="48" t="s">
        <v>1047</v>
      </c>
      <c r="B38" s="48" t="s">
        <v>1124</v>
      </c>
      <c r="C38" s="48" t="str">
        <f t="shared" si="0"/>
        <v>Bellflower</v>
      </c>
      <c r="D38" s="51">
        <v>1</v>
      </c>
      <c r="E38" s="51">
        <v>1</v>
      </c>
      <c r="F38" s="51">
        <v>0</v>
      </c>
      <c r="G38" s="51">
        <v>0</v>
      </c>
      <c r="H38" s="50">
        <f t="shared" si="1"/>
        <v>2</v>
      </c>
    </row>
    <row r="39" spans="1:8" x14ac:dyDescent="0.25">
      <c r="A39" s="48" t="s">
        <v>855</v>
      </c>
      <c r="B39" s="48" t="s">
        <v>869</v>
      </c>
      <c r="C39" s="48" t="str">
        <f t="shared" si="0"/>
        <v>Belmont</v>
      </c>
      <c r="D39" s="51">
        <v>116</v>
      </c>
      <c r="E39" s="51">
        <v>63</v>
      </c>
      <c r="F39" s="51">
        <v>67</v>
      </c>
      <c r="G39" s="51">
        <v>222</v>
      </c>
      <c r="H39" s="50">
        <f t="shared" si="1"/>
        <v>468</v>
      </c>
    </row>
    <row r="40" spans="1:8" x14ac:dyDescent="0.25">
      <c r="A40" s="48" t="s">
        <v>1037</v>
      </c>
      <c r="B40" s="48" t="s">
        <v>1043</v>
      </c>
      <c r="C40" s="48" t="str">
        <f t="shared" si="0"/>
        <v>Belvedere</v>
      </c>
      <c r="D40" s="51">
        <v>4</v>
      </c>
      <c r="E40" s="51">
        <v>3</v>
      </c>
      <c r="F40" s="51">
        <v>4</v>
      </c>
      <c r="G40" s="51">
        <v>5</v>
      </c>
      <c r="H40" s="50">
        <f t="shared" si="1"/>
        <v>16</v>
      </c>
    </row>
    <row r="41" spans="1:8" x14ac:dyDescent="0.25">
      <c r="A41" s="48" t="s">
        <v>807</v>
      </c>
      <c r="B41" s="48" t="s">
        <v>813</v>
      </c>
      <c r="C41" s="48" t="str">
        <f t="shared" si="0"/>
        <v>Benicia</v>
      </c>
      <c r="D41" s="51">
        <v>94</v>
      </c>
      <c r="E41" s="51">
        <v>54</v>
      </c>
      <c r="F41" s="51">
        <v>56</v>
      </c>
      <c r="G41" s="51">
        <v>123</v>
      </c>
      <c r="H41" s="50">
        <f t="shared" si="1"/>
        <v>327</v>
      </c>
    </row>
    <row r="42" spans="1:8" x14ac:dyDescent="0.25">
      <c r="A42" s="48" t="s">
        <v>1230</v>
      </c>
      <c r="B42" s="48" t="s">
        <v>1241</v>
      </c>
      <c r="C42" s="48" t="str">
        <f t="shared" si="0"/>
        <v>Berkeley</v>
      </c>
      <c r="D42" s="51">
        <v>532</v>
      </c>
      <c r="E42" s="51">
        <v>442</v>
      </c>
      <c r="F42" s="51">
        <v>584</v>
      </c>
      <c r="G42" s="51">
        <v>1401</v>
      </c>
      <c r="H42" s="50">
        <f t="shared" si="1"/>
        <v>2959</v>
      </c>
    </row>
    <row r="43" spans="1:8" x14ac:dyDescent="0.25">
      <c r="A43" s="48" t="s">
        <v>1047</v>
      </c>
      <c r="B43" s="48" t="s">
        <v>1123</v>
      </c>
      <c r="C43" s="48" t="str">
        <f t="shared" si="0"/>
        <v>Beverly Hills</v>
      </c>
      <c r="D43" s="51">
        <v>1</v>
      </c>
      <c r="E43" s="51">
        <v>1</v>
      </c>
      <c r="F43" s="51">
        <v>1</v>
      </c>
      <c r="G43" s="51">
        <v>0</v>
      </c>
      <c r="H43" s="50">
        <f t="shared" si="1"/>
        <v>3</v>
      </c>
    </row>
    <row r="44" spans="1:8" x14ac:dyDescent="0.25">
      <c r="A44" s="48" t="s">
        <v>905</v>
      </c>
      <c r="B44" s="48" t="s">
        <v>924</v>
      </c>
      <c r="C44" s="48" t="str">
        <f t="shared" si="0"/>
        <v>Big Bear Lake</v>
      </c>
      <c r="D44" s="51">
        <v>1</v>
      </c>
      <c r="E44" s="51">
        <v>1</v>
      </c>
      <c r="F44" s="51">
        <v>0</v>
      </c>
      <c r="G44" s="51">
        <v>0</v>
      </c>
      <c r="H44" s="50">
        <f t="shared" si="1"/>
        <v>2</v>
      </c>
    </row>
    <row r="45" spans="1:8" x14ac:dyDescent="0.25">
      <c r="A45" s="48" t="s">
        <v>1218</v>
      </c>
      <c r="B45" s="48" t="s">
        <v>1222</v>
      </c>
      <c r="C45" s="48" t="str">
        <f t="shared" si="0"/>
        <v>Biggs</v>
      </c>
      <c r="D45" s="54">
        <v>48</v>
      </c>
      <c r="E45" s="54">
        <v>30</v>
      </c>
      <c r="F45" s="54">
        <v>24</v>
      </c>
      <c r="G45" s="54">
        <v>82</v>
      </c>
      <c r="H45" s="50">
        <f t="shared" si="1"/>
        <v>184</v>
      </c>
    </row>
    <row r="46" spans="1:8" x14ac:dyDescent="0.25">
      <c r="A46" s="48" t="s">
        <v>1158</v>
      </c>
      <c r="B46" s="48" t="s">
        <v>1157</v>
      </c>
      <c r="C46" s="48" t="str">
        <f t="shared" si="0"/>
        <v>Bishop</v>
      </c>
      <c r="D46" s="51">
        <v>15</v>
      </c>
      <c r="E46" s="51">
        <v>10</v>
      </c>
      <c r="F46" s="51">
        <v>12</v>
      </c>
      <c r="G46" s="51">
        <v>28</v>
      </c>
      <c r="H46" s="50">
        <f t="shared" si="1"/>
        <v>65</v>
      </c>
    </row>
    <row r="47" spans="1:8" x14ac:dyDescent="0.25">
      <c r="A47" s="48" t="s">
        <v>1167</v>
      </c>
      <c r="B47" s="48" t="s">
        <v>1172</v>
      </c>
      <c r="C47" s="48" t="str">
        <f t="shared" si="0"/>
        <v>Blue Lake</v>
      </c>
      <c r="D47" s="51">
        <v>4</v>
      </c>
      <c r="E47" s="51">
        <v>1</v>
      </c>
      <c r="F47" s="51">
        <v>2</v>
      </c>
      <c r="G47" s="51">
        <v>4</v>
      </c>
      <c r="H47" s="50">
        <f t="shared" si="1"/>
        <v>11</v>
      </c>
    </row>
    <row r="48" spans="1:8" x14ac:dyDescent="0.25">
      <c r="A48" s="48" t="s">
        <v>937</v>
      </c>
      <c r="B48" s="48" t="s">
        <v>958</v>
      </c>
      <c r="C48" s="48" t="str">
        <f t="shared" si="0"/>
        <v>Blythe</v>
      </c>
      <c r="D48" s="51">
        <v>91</v>
      </c>
      <c r="E48" s="51">
        <v>64</v>
      </c>
      <c r="F48" s="51">
        <v>75</v>
      </c>
      <c r="G48" s="51">
        <v>172</v>
      </c>
      <c r="H48" s="50">
        <f t="shared" si="1"/>
        <v>402</v>
      </c>
    </row>
    <row r="49" spans="1:8" x14ac:dyDescent="0.25">
      <c r="A49" s="48" t="s">
        <v>1047</v>
      </c>
      <c r="B49" s="48" t="s">
        <v>1122</v>
      </c>
      <c r="C49" s="48" t="str">
        <f t="shared" si="0"/>
        <v>Bradbury</v>
      </c>
      <c r="D49" s="51">
        <v>1</v>
      </c>
      <c r="E49" s="51">
        <v>1</v>
      </c>
      <c r="F49" s="51">
        <v>0</v>
      </c>
      <c r="G49" s="51">
        <v>0</v>
      </c>
      <c r="H49" s="50">
        <f t="shared" si="1"/>
        <v>2</v>
      </c>
    </row>
    <row r="50" spans="1:8" x14ac:dyDescent="0.25">
      <c r="A50" s="48" t="s">
        <v>1160</v>
      </c>
      <c r="B50" s="48" t="s">
        <v>1165</v>
      </c>
      <c r="C50" s="48" t="str">
        <f t="shared" si="0"/>
        <v>Brawley</v>
      </c>
      <c r="D50" s="51">
        <v>760</v>
      </c>
      <c r="E50" s="51">
        <v>470</v>
      </c>
      <c r="F50" s="51">
        <v>466</v>
      </c>
      <c r="G50" s="51">
        <v>1338</v>
      </c>
      <c r="H50" s="50">
        <f t="shared" si="1"/>
        <v>3034</v>
      </c>
    </row>
    <row r="51" spans="1:8" x14ac:dyDescent="0.25">
      <c r="A51" s="48" t="s">
        <v>970</v>
      </c>
      <c r="B51" s="48" t="s">
        <v>1000</v>
      </c>
      <c r="C51" s="48" t="str">
        <f t="shared" si="0"/>
        <v>Brea</v>
      </c>
      <c r="D51" s="51">
        <v>426</v>
      </c>
      <c r="E51" s="51">
        <v>305</v>
      </c>
      <c r="F51" s="51">
        <v>335</v>
      </c>
      <c r="G51" s="51">
        <v>785</v>
      </c>
      <c r="H51" s="50">
        <f t="shared" si="1"/>
        <v>1851</v>
      </c>
    </row>
    <row r="52" spans="1:8" x14ac:dyDescent="0.25">
      <c r="A52" s="48" t="s">
        <v>1197</v>
      </c>
      <c r="B52" s="48" t="s">
        <v>1213</v>
      </c>
      <c r="C52" s="48" t="str">
        <f t="shared" si="0"/>
        <v>Brentwood</v>
      </c>
      <c r="D52" s="51">
        <v>234</v>
      </c>
      <c r="E52" s="51">
        <v>124</v>
      </c>
      <c r="F52" s="51">
        <v>123</v>
      </c>
      <c r="G52" s="51">
        <v>279</v>
      </c>
      <c r="H52" s="50">
        <f t="shared" si="1"/>
        <v>760</v>
      </c>
    </row>
    <row r="53" spans="1:8" x14ac:dyDescent="0.25">
      <c r="A53" s="48" t="s">
        <v>855</v>
      </c>
      <c r="B53" s="48" t="s">
        <v>868</v>
      </c>
      <c r="C53" s="48" t="str">
        <f t="shared" si="0"/>
        <v>Brisbane</v>
      </c>
      <c r="D53" s="51">
        <v>25</v>
      </c>
      <c r="E53" s="51">
        <v>13</v>
      </c>
      <c r="F53" s="51">
        <v>15</v>
      </c>
      <c r="G53" s="51">
        <v>30</v>
      </c>
      <c r="H53" s="50">
        <f t="shared" si="1"/>
        <v>83</v>
      </c>
    </row>
    <row r="54" spans="1:8" x14ac:dyDescent="0.25">
      <c r="A54" s="48" t="s">
        <v>848</v>
      </c>
      <c r="B54" s="48" t="s">
        <v>854</v>
      </c>
      <c r="C54" s="48" t="str">
        <f t="shared" si="0"/>
        <v>Buellton</v>
      </c>
      <c r="D54" s="55">
        <v>66</v>
      </c>
      <c r="E54" s="55">
        <v>44</v>
      </c>
      <c r="F54" s="55">
        <v>41</v>
      </c>
      <c r="G54" s="55">
        <v>124</v>
      </c>
      <c r="H54" s="50">
        <f t="shared" si="1"/>
        <v>275</v>
      </c>
    </row>
    <row r="55" spans="1:8" x14ac:dyDescent="0.25">
      <c r="A55" s="48" t="s">
        <v>970</v>
      </c>
      <c r="B55" s="48" t="s">
        <v>999</v>
      </c>
      <c r="C55" s="48" t="str">
        <f t="shared" si="0"/>
        <v>Buena Park</v>
      </c>
      <c r="D55" s="51">
        <v>76</v>
      </c>
      <c r="E55" s="51">
        <v>53</v>
      </c>
      <c r="F55" s="51">
        <v>62</v>
      </c>
      <c r="G55" s="51">
        <v>148</v>
      </c>
      <c r="H55" s="50">
        <f t="shared" si="1"/>
        <v>339</v>
      </c>
    </row>
    <row r="56" spans="1:8" x14ac:dyDescent="0.25">
      <c r="A56" s="48" t="s">
        <v>1047</v>
      </c>
      <c r="B56" s="48" t="s">
        <v>1121</v>
      </c>
      <c r="C56" s="48" t="str">
        <f t="shared" si="0"/>
        <v>Burbank</v>
      </c>
      <c r="D56" s="51">
        <v>694</v>
      </c>
      <c r="E56" s="51">
        <v>413</v>
      </c>
      <c r="F56" s="51">
        <v>443</v>
      </c>
      <c r="G56" s="51">
        <v>1134</v>
      </c>
      <c r="H56" s="50">
        <f t="shared" si="1"/>
        <v>2684</v>
      </c>
    </row>
    <row r="57" spans="1:8" x14ac:dyDescent="0.25">
      <c r="A57" s="48" t="s">
        <v>855</v>
      </c>
      <c r="B57" s="48" t="s">
        <v>867</v>
      </c>
      <c r="C57" s="48" t="str">
        <f t="shared" si="0"/>
        <v>Burlingame</v>
      </c>
      <c r="D57" s="51">
        <v>276</v>
      </c>
      <c r="E57" s="51">
        <v>144</v>
      </c>
      <c r="F57" s="51">
        <v>155</v>
      </c>
      <c r="G57" s="51">
        <v>288</v>
      </c>
      <c r="H57" s="50">
        <f t="shared" si="1"/>
        <v>863</v>
      </c>
    </row>
    <row r="58" spans="1:8" x14ac:dyDescent="0.25">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1047</v>
      </c>
      <c r="B59" s="48" t="s">
        <v>1120</v>
      </c>
      <c r="C59" s="48" t="str">
        <f t="shared" si="0"/>
        <v>Calabasas</v>
      </c>
      <c r="D59" s="51">
        <v>88</v>
      </c>
      <c r="E59" s="51">
        <v>54</v>
      </c>
      <c r="F59" s="51">
        <v>57</v>
      </c>
      <c r="G59" s="51">
        <v>131</v>
      </c>
      <c r="H59" s="50">
        <f t="shared" si="1"/>
        <v>330</v>
      </c>
    </row>
    <row r="60" spans="1:8" x14ac:dyDescent="0.25">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1160</v>
      </c>
      <c r="B61" s="48" t="s">
        <v>1164</v>
      </c>
      <c r="C61" s="48" t="str">
        <f t="shared" si="0"/>
        <v>Calexico</v>
      </c>
      <c r="D61" s="51">
        <v>817</v>
      </c>
      <c r="E61" s="51">
        <v>489</v>
      </c>
      <c r="F61" s="51">
        <v>490</v>
      </c>
      <c r="G61" s="51">
        <v>1428</v>
      </c>
      <c r="H61" s="50">
        <f t="shared" si="1"/>
        <v>3224</v>
      </c>
    </row>
    <row r="62" spans="1:8" x14ac:dyDescent="0.25">
      <c r="A62" s="48" t="s">
        <v>1145</v>
      </c>
      <c r="B62" s="48" t="s">
        <v>1153</v>
      </c>
      <c r="C62" s="48" t="str">
        <f t="shared" si="0"/>
        <v>California City</v>
      </c>
      <c r="D62" s="58">
        <v>254</v>
      </c>
      <c r="E62" s="58">
        <v>131</v>
      </c>
      <c r="F62" s="58">
        <v>155</v>
      </c>
      <c r="G62" s="58">
        <v>726</v>
      </c>
      <c r="H62" s="50">
        <f t="shared" si="1"/>
        <v>1266</v>
      </c>
    </row>
    <row r="63" spans="1:8" x14ac:dyDescent="0.25">
      <c r="A63" s="48" t="s">
        <v>937</v>
      </c>
      <c r="B63" s="48" t="s">
        <v>957</v>
      </c>
      <c r="C63" s="48" t="str">
        <f t="shared" si="0"/>
        <v>Calimesa</v>
      </c>
      <c r="D63" s="51">
        <v>543</v>
      </c>
      <c r="E63" s="51">
        <v>383</v>
      </c>
      <c r="F63" s="51">
        <v>433</v>
      </c>
      <c r="G63" s="51">
        <v>982</v>
      </c>
      <c r="H63" s="50">
        <f t="shared" si="1"/>
        <v>2341</v>
      </c>
    </row>
    <row r="64" spans="1:8" x14ac:dyDescent="0.25">
      <c r="A64" s="48" t="s">
        <v>1160</v>
      </c>
      <c r="B64" s="48" t="s">
        <v>1163</v>
      </c>
      <c r="C64" s="48" t="str">
        <f t="shared" si="0"/>
        <v>Calipatria</v>
      </c>
      <c r="D64" s="51">
        <v>37</v>
      </c>
      <c r="E64" s="51">
        <v>22</v>
      </c>
      <c r="F64" s="51">
        <v>22</v>
      </c>
      <c r="G64" s="51">
        <v>63</v>
      </c>
      <c r="H64" s="50">
        <f t="shared" si="1"/>
        <v>144</v>
      </c>
    </row>
    <row r="65" spans="1:8" x14ac:dyDescent="0.25">
      <c r="A65" s="48" t="s">
        <v>1007</v>
      </c>
      <c r="B65" s="48" t="s">
        <v>1009</v>
      </c>
      <c r="C65" s="48" t="str">
        <f t="shared" si="0"/>
        <v>Calistoga</v>
      </c>
      <c r="D65" s="51">
        <v>6</v>
      </c>
      <c r="E65" s="51">
        <v>2</v>
      </c>
      <c r="F65" s="51">
        <v>4</v>
      </c>
      <c r="G65" s="51">
        <v>15</v>
      </c>
      <c r="H65" s="50">
        <f t="shared" si="1"/>
        <v>27</v>
      </c>
    </row>
    <row r="66" spans="1:8" x14ac:dyDescent="0.25">
      <c r="A66" s="48" t="s">
        <v>762</v>
      </c>
      <c r="B66" s="48" t="s">
        <v>771</v>
      </c>
      <c r="C66" s="48" t="str">
        <f t="shared" ref="C66:C129" si="2">B66</f>
        <v>Camarillo</v>
      </c>
      <c r="D66" s="51">
        <v>539</v>
      </c>
      <c r="E66" s="51">
        <v>366</v>
      </c>
      <c r="F66" s="51">
        <v>411</v>
      </c>
      <c r="G66" s="51">
        <v>908</v>
      </c>
      <c r="H66" s="50">
        <f t="shared" ref="H66:H129" si="3">SUM(D66:G66)</f>
        <v>2224</v>
      </c>
    </row>
    <row r="67" spans="1:8" x14ac:dyDescent="0.25">
      <c r="A67" s="48" t="s">
        <v>835</v>
      </c>
      <c r="B67" s="48" t="s">
        <v>846</v>
      </c>
      <c r="C67" s="48" t="str">
        <f t="shared" si="2"/>
        <v>Campbell</v>
      </c>
      <c r="D67" s="51">
        <v>253</v>
      </c>
      <c r="E67" s="51">
        <v>138</v>
      </c>
      <c r="F67" s="51">
        <v>151</v>
      </c>
      <c r="G67" s="51">
        <v>391</v>
      </c>
      <c r="H67" s="50">
        <f t="shared" si="3"/>
        <v>933</v>
      </c>
    </row>
    <row r="68" spans="1:8" x14ac:dyDescent="0.25">
      <c r="A68" s="48" t="s">
        <v>937</v>
      </c>
      <c r="B68" s="48" t="s">
        <v>956</v>
      </c>
      <c r="C68" s="48" t="str">
        <f t="shared" si="2"/>
        <v>Canyon Lake</v>
      </c>
      <c r="D68" s="51">
        <v>21</v>
      </c>
      <c r="E68" s="51">
        <v>14</v>
      </c>
      <c r="F68" s="51">
        <v>16</v>
      </c>
      <c r="G68" s="51">
        <v>32</v>
      </c>
      <c r="H68" s="50">
        <f t="shared" si="3"/>
        <v>83</v>
      </c>
    </row>
    <row r="69" spans="1:8" x14ac:dyDescent="0.25">
      <c r="A69" s="48" t="s">
        <v>831</v>
      </c>
      <c r="B69" s="48" t="s">
        <v>833</v>
      </c>
      <c r="C69" s="48" t="str">
        <f t="shared" si="2"/>
        <v>Capitola</v>
      </c>
      <c r="D69" s="54">
        <v>34</v>
      </c>
      <c r="E69" s="54">
        <v>23</v>
      </c>
      <c r="F69" s="54">
        <v>26</v>
      </c>
      <c r="G69" s="54">
        <v>60</v>
      </c>
      <c r="H69" s="50">
        <f t="shared" si="3"/>
        <v>143</v>
      </c>
    </row>
    <row r="70" spans="1:8" x14ac:dyDescent="0.25">
      <c r="A70" s="48" t="s">
        <v>887</v>
      </c>
      <c r="B70" s="48" t="s">
        <v>903</v>
      </c>
      <c r="C70" s="48" t="str">
        <f t="shared" si="2"/>
        <v>Carlsbad</v>
      </c>
      <c r="D70" s="51">
        <v>912</v>
      </c>
      <c r="E70" s="51">
        <v>693</v>
      </c>
      <c r="F70" s="51">
        <v>1062</v>
      </c>
      <c r="G70" s="51">
        <v>2332</v>
      </c>
      <c r="H70" s="50">
        <f t="shared" si="3"/>
        <v>4999</v>
      </c>
    </row>
    <row r="71" spans="1:8" x14ac:dyDescent="0.25">
      <c r="A71" s="48" t="s">
        <v>1012</v>
      </c>
      <c r="B71" s="48" t="s">
        <v>1022</v>
      </c>
      <c r="C71" s="48" t="str">
        <f t="shared" si="2"/>
        <v>Carmel-by-the-Sea</v>
      </c>
      <c r="D71" s="54">
        <v>7</v>
      </c>
      <c r="E71" s="54">
        <v>5</v>
      </c>
      <c r="F71" s="54">
        <v>6</v>
      </c>
      <c r="G71" s="54">
        <v>13</v>
      </c>
      <c r="H71" s="59">
        <f t="shared" si="3"/>
        <v>31</v>
      </c>
    </row>
    <row r="72" spans="1:8" x14ac:dyDescent="0.25">
      <c r="A72" s="48" t="s">
        <v>848</v>
      </c>
      <c r="B72" s="48" t="s">
        <v>853</v>
      </c>
      <c r="C72" s="48" t="str">
        <f t="shared" si="2"/>
        <v>Carpinteria</v>
      </c>
      <c r="D72" s="55">
        <v>39</v>
      </c>
      <c r="E72" s="55">
        <v>26</v>
      </c>
      <c r="F72" s="55">
        <v>34</v>
      </c>
      <c r="G72" s="55">
        <v>64</v>
      </c>
      <c r="H72" s="50">
        <f t="shared" si="3"/>
        <v>163</v>
      </c>
    </row>
    <row r="73" spans="1:8" x14ac:dyDescent="0.25">
      <c r="A73" s="48" t="s">
        <v>1047</v>
      </c>
      <c r="B73" s="48" t="s">
        <v>1119</v>
      </c>
      <c r="C73" s="48" t="str">
        <f t="shared" si="2"/>
        <v>Carson</v>
      </c>
      <c r="D73" s="51">
        <v>447</v>
      </c>
      <c r="E73" s="51">
        <v>263</v>
      </c>
      <c r="F73" s="51">
        <v>280</v>
      </c>
      <c r="G73" s="51">
        <v>708</v>
      </c>
      <c r="H73" s="50">
        <f t="shared" si="3"/>
        <v>1698</v>
      </c>
    </row>
    <row r="74" spans="1:8" x14ac:dyDescent="0.25">
      <c r="A74" s="48" t="s">
        <v>937</v>
      </c>
      <c r="B74" s="48" t="s">
        <v>1327</v>
      </c>
      <c r="C74" s="48" t="str">
        <f t="shared" si="2"/>
        <v>Cathedral</v>
      </c>
      <c r="D74" s="51">
        <v>141</v>
      </c>
      <c r="E74" s="51">
        <v>95</v>
      </c>
      <c r="F74" s="51">
        <v>110</v>
      </c>
      <c r="G74" s="51">
        <v>254</v>
      </c>
      <c r="H74" s="50">
        <f t="shared" si="3"/>
        <v>600</v>
      </c>
    </row>
    <row r="75" spans="1:8" x14ac:dyDescent="0.25">
      <c r="A75" s="48" t="s">
        <v>789</v>
      </c>
      <c r="B75" s="48" t="s">
        <v>797</v>
      </c>
      <c r="C75" s="48" t="str">
        <f t="shared" si="2"/>
        <v>Ceres</v>
      </c>
      <c r="D75" s="52">
        <v>622</v>
      </c>
      <c r="E75" s="52">
        <v>399</v>
      </c>
      <c r="F75" s="52">
        <v>446</v>
      </c>
      <c r="G75" s="52">
        <v>1104</v>
      </c>
      <c r="H75" s="50">
        <f t="shared" si="3"/>
        <v>2571</v>
      </c>
    </row>
    <row r="76" spans="1:8" x14ac:dyDescent="0.25">
      <c r="A76" s="48" t="s">
        <v>1047</v>
      </c>
      <c r="B76" s="48" t="s">
        <v>1118</v>
      </c>
      <c r="C76" s="48" t="str">
        <f t="shared" si="2"/>
        <v>Cerritos</v>
      </c>
      <c r="D76" s="51">
        <v>23</v>
      </c>
      <c r="E76" s="51">
        <v>14</v>
      </c>
      <c r="F76" s="51">
        <v>14</v>
      </c>
      <c r="G76" s="51">
        <v>35</v>
      </c>
      <c r="H76" s="50">
        <f t="shared" si="3"/>
        <v>86</v>
      </c>
    </row>
    <row r="77" spans="1:8" x14ac:dyDescent="0.25">
      <c r="A77" s="48" t="s">
        <v>1218</v>
      </c>
      <c r="B77" s="48" t="s">
        <v>1221</v>
      </c>
      <c r="C77" s="48" t="str">
        <f t="shared" si="2"/>
        <v>Chico</v>
      </c>
      <c r="D77" s="51">
        <v>974</v>
      </c>
      <c r="E77" s="51">
        <v>643</v>
      </c>
      <c r="F77" s="51">
        <v>708</v>
      </c>
      <c r="G77" s="51">
        <v>1638</v>
      </c>
      <c r="H77" s="50">
        <f t="shared" si="3"/>
        <v>3963</v>
      </c>
    </row>
    <row r="78" spans="1:8" x14ac:dyDescent="0.25">
      <c r="A78" s="48" t="s">
        <v>905</v>
      </c>
      <c r="B78" s="48" t="s">
        <v>923</v>
      </c>
      <c r="C78" s="48" t="str">
        <f t="shared" si="2"/>
        <v>Chino</v>
      </c>
      <c r="D78" s="51">
        <v>707</v>
      </c>
      <c r="E78" s="51">
        <v>478</v>
      </c>
      <c r="F78" s="51">
        <v>533</v>
      </c>
      <c r="G78" s="51">
        <v>1176</v>
      </c>
      <c r="H78" s="50">
        <f t="shared" si="3"/>
        <v>2894</v>
      </c>
    </row>
    <row r="79" spans="1:8" x14ac:dyDescent="0.25">
      <c r="A79" s="48" t="s">
        <v>905</v>
      </c>
      <c r="B79" s="48" t="s">
        <v>922</v>
      </c>
      <c r="C79" s="48" t="str">
        <f t="shared" si="2"/>
        <v>Chino Hills</v>
      </c>
      <c r="D79" s="51">
        <v>217</v>
      </c>
      <c r="E79" s="51">
        <v>148</v>
      </c>
      <c r="F79" s="51">
        <v>164</v>
      </c>
      <c r="G79" s="51">
        <v>333</v>
      </c>
      <c r="H79" s="50">
        <f t="shared" si="3"/>
        <v>862</v>
      </c>
    </row>
    <row r="80" spans="1:8" x14ac:dyDescent="0.25">
      <c r="A80" s="48" t="s">
        <v>1044</v>
      </c>
      <c r="B80" s="48" t="s">
        <v>1045</v>
      </c>
      <c r="C80" s="48" t="str">
        <f t="shared" si="2"/>
        <v>Chowchilla</v>
      </c>
      <c r="D80" s="61">
        <v>253</v>
      </c>
      <c r="E80" s="61">
        <v>190</v>
      </c>
      <c r="F80" s="61">
        <v>204</v>
      </c>
      <c r="G80" s="61">
        <v>467</v>
      </c>
      <c r="H80" s="50">
        <f t="shared" si="3"/>
        <v>1114</v>
      </c>
    </row>
    <row r="81" spans="1:8" x14ac:dyDescent="0.25">
      <c r="A81" s="48" t="s">
        <v>887</v>
      </c>
      <c r="B81" s="48" t="s">
        <v>902</v>
      </c>
      <c r="C81" s="48" t="str">
        <f t="shared" si="2"/>
        <v>Chula Vista</v>
      </c>
      <c r="D81" s="51">
        <v>3209</v>
      </c>
      <c r="E81" s="51">
        <v>2439</v>
      </c>
      <c r="F81" s="51">
        <v>2257</v>
      </c>
      <c r="G81" s="51">
        <v>4956</v>
      </c>
      <c r="H81" s="50">
        <f t="shared" si="3"/>
        <v>12861</v>
      </c>
    </row>
    <row r="82" spans="1:8" x14ac:dyDescent="0.25">
      <c r="A82" s="48" t="s">
        <v>930</v>
      </c>
      <c r="B82" s="48" t="s">
        <v>936</v>
      </c>
      <c r="C82" s="48" t="str">
        <f t="shared" si="2"/>
        <v>Citrus Heights</v>
      </c>
      <c r="D82" s="51">
        <v>146</v>
      </c>
      <c r="E82" s="51">
        <v>102</v>
      </c>
      <c r="F82" s="51">
        <v>130</v>
      </c>
      <c r="G82" s="51">
        <v>318</v>
      </c>
      <c r="H82" s="50">
        <f t="shared" si="3"/>
        <v>696</v>
      </c>
    </row>
    <row r="83" spans="1:8" x14ac:dyDescent="0.25">
      <c r="A83" s="48" t="s">
        <v>1047</v>
      </c>
      <c r="B83" s="48" t="s">
        <v>1117</v>
      </c>
      <c r="C83" s="48" t="str">
        <f t="shared" si="2"/>
        <v>Claremont</v>
      </c>
      <c r="D83" s="51">
        <v>98</v>
      </c>
      <c r="E83" s="51">
        <v>59</v>
      </c>
      <c r="F83" s="51">
        <v>64</v>
      </c>
      <c r="G83" s="51">
        <v>152</v>
      </c>
      <c r="H83" s="50">
        <f t="shared" si="3"/>
        <v>373</v>
      </c>
    </row>
    <row r="84" spans="1:8" x14ac:dyDescent="0.25">
      <c r="A84" s="48" t="s">
        <v>1197</v>
      </c>
      <c r="B84" s="48" t="s">
        <v>1212</v>
      </c>
      <c r="C84" s="48" t="str">
        <f t="shared" si="2"/>
        <v>Clayton</v>
      </c>
      <c r="D84" s="51">
        <v>51</v>
      </c>
      <c r="E84" s="51">
        <v>25</v>
      </c>
      <c r="F84" s="51">
        <v>31</v>
      </c>
      <c r="G84" s="51">
        <v>34</v>
      </c>
      <c r="H84" s="50">
        <f t="shared" si="3"/>
        <v>141</v>
      </c>
    </row>
    <row r="85" spans="1:8" x14ac:dyDescent="0.25">
      <c r="A85" s="48" t="s">
        <v>1137</v>
      </c>
      <c r="B85" s="48" t="s">
        <v>1138</v>
      </c>
      <c r="C85" s="48" t="str">
        <f t="shared" si="2"/>
        <v>Clearlake</v>
      </c>
      <c r="D85" s="51">
        <v>108</v>
      </c>
      <c r="E85" s="51">
        <v>67</v>
      </c>
      <c r="F85" s="51">
        <v>87</v>
      </c>
      <c r="G85" s="51">
        <v>205</v>
      </c>
      <c r="H85" s="50">
        <f t="shared" si="3"/>
        <v>467</v>
      </c>
    </row>
    <row r="86" spans="1:8" x14ac:dyDescent="0.25">
      <c r="A86" s="48" t="s">
        <v>798</v>
      </c>
      <c r="B86" s="48" t="s">
        <v>805</v>
      </c>
      <c r="C86" s="48" t="str">
        <f t="shared" si="2"/>
        <v>Cloverdale</v>
      </c>
      <c r="D86" s="51">
        <v>39</v>
      </c>
      <c r="E86" s="51">
        <v>29</v>
      </c>
      <c r="F86" s="51">
        <v>31</v>
      </c>
      <c r="G86" s="51">
        <v>112</v>
      </c>
      <c r="H86" s="50">
        <f t="shared" si="3"/>
        <v>211</v>
      </c>
    </row>
    <row r="87" spans="1:8" x14ac:dyDescent="0.25">
      <c r="A87" s="48" t="s">
        <v>1178</v>
      </c>
      <c r="B87" s="48" t="s">
        <v>1190</v>
      </c>
      <c r="C87" s="48" t="str">
        <f t="shared" si="2"/>
        <v>Clovis</v>
      </c>
      <c r="D87" s="58">
        <v>2321</v>
      </c>
      <c r="E87" s="58">
        <v>1145</v>
      </c>
      <c r="F87" s="58">
        <v>1018</v>
      </c>
      <c r="G87" s="58">
        <v>1844</v>
      </c>
      <c r="H87" s="50">
        <f t="shared" si="3"/>
        <v>6328</v>
      </c>
    </row>
    <row r="88" spans="1:8" x14ac:dyDescent="0.25">
      <c r="A88" s="48" t="s">
        <v>937</v>
      </c>
      <c r="B88" s="48" t="s">
        <v>955</v>
      </c>
      <c r="C88" s="48" t="str">
        <f t="shared" si="2"/>
        <v>Coachella</v>
      </c>
      <c r="D88" s="51">
        <v>1555</v>
      </c>
      <c r="E88" s="51">
        <v>1059</v>
      </c>
      <c r="F88" s="51">
        <v>1212</v>
      </c>
      <c r="G88" s="51">
        <v>2945</v>
      </c>
      <c r="H88" s="50">
        <f t="shared" si="3"/>
        <v>6771</v>
      </c>
    </row>
    <row r="89" spans="1:8" x14ac:dyDescent="0.25">
      <c r="A89" s="48" t="s">
        <v>1178</v>
      </c>
      <c r="B89" s="48" t="s">
        <v>1189</v>
      </c>
      <c r="C89" s="48" t="str">
        <f t="shared" si="2"/>
        <v>Coalinga</v>
      </c>
      <c r="D89" s="58">
        <v>150</v>
      </c>
      <c r="E89" s="58">
        <v>115</v>
      </c>
      <c r="F89" s="58">
        <v>123</v>
      </c>
      <c r="G89" s="58">
        <v>201</v>
      </c>
      <c r="H89" s="50">
        <f t="shared" si="3"/>
        <v>589</v>
      </c>
    </row>
    <row r="90" spans="1:8" x14ac:dyDescent="0.25">
      <c r="A90" s="48" t="s">
        <v>964</v>
      </c>
      <c r="B90" s="48" t="s">
        <v>967</v>
      </c>
      <c r="C90" s="48" t="str">
        <f t="shared" si="2"/>
        <v>Colfax</v>
      </c>
      <c r="D90" s="51">
        <v>10</v>
      </c>
      <c r="E90" s="51">
        <v>7</v>
      </c>
      <c r="F90" s="51">
        <v>10</v>
      </c>
      <c r="G90" s="51">
        <v>24</v>
      </c>
      <c r="H90" s="50">
        <f t="shared" si="3"/>
        <v>51</v>
      </c>
    </row>
    <row r="91" spans="1:8" x14ac:dyDescent="0.25">
      <c r="A91" s="48" t="s">
        <v>855</v>
      </c>
      <c r="B91" s="48" t="s">
        <v>1332</v>
      </c>
      <c r="C91" s="48" t="str">
        <f t="shared" si="2"/>
        <v>Colma</v>
      </c>
      <c r="D91" s="51">
        <v>20</v>
      </c>
      <c r="E91" s="51">
        <v>8</v>
      </c>
      <c r="F91" s="51">
        <v>9</v>
      </c>
      <c r="G91" s="51">
        <v>22</v>
      </c>
      <c r="H91" s="50">
        <f t="shared" si="3"/>
        <v>59</v>
      </c>
    </row>
    <row r="92" spans="1:8" x14ac:dyDescent="0.25">
      <c r="A92" s="48" t="s">
        <v>905</v>
      </c>
      <c r="B92" s="48" t="s">
        <v>921</v>
      </c>
      <c r="C92" s="48" t="str">
        <f t="shared" si="2"/>
        <v>Colton</v>
      </c>
      <c r="D92" s="51">
        <v>443</v>
      </c>
      <c r="E92" s="51">
        <v>302</v>
      </c>
      <c r="F92" s="51">
        <v>347</v>
      </c>
      <c r="G92" s="51">
        <v>831</v>
      </c>
      <c r="H92" s="50">
        <f t="shared" si="3"/>
        <v>1923</v>
      </c>
    </row>
    <row r="93" spans="1:8" x14ac:dyDescent="0.25">
      <c r="A93" s="48" t="s">
        <v>1216</v>
      </c>
      <c r="B93" s="48" t="s">
        <v>1216</v>
      </c>
      <c r="C93" s="48" t="str">
        <f t="shared" si="2"/>
        <v>Colusa</v>
      </c>
      <c r="D93" s="51">
        <v>79</v>
      </c>
      <c r="E93" s="51">
        <v>64</v>
      </c>
      <c r="F93" s="51">
        <v>61</v>
      </c>
      <c r="G93" s="51">
        <v>150</v>
      </c>
      <c r="H93" s="50">
        <f t="shared" si="3"/>
        <v>354</v>
      </c>
    </row>
    <row r="94" spans="1:8" x14ac:dyDescent="0.25">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1047</v>
      </c>
      <c r="B95" s="48" t="s">
        <v>1116</v>
      </c>
      <c r="C95" s="48" t="str">
        <f t="shared" si="2"/>
        <v>Commerce</v>
      </c>
      <c r="D95" s="51">
        <v>12</v>
      </c>
      <c r="E95" s="51">
        <v>7</v>
      </c>
      <c r="F95" s="51">
        <v>7</v>
      </c>
      <c r="G95" s="51">
        <v>20</v>
      </c>
      <c r="H95" s="50">
        <f t="shared" si="3"/>
        <v>46</v>
      </c>
    </row>
    <row r="96" spans="1:8" x14ac:dyDescent="0.25">
      <c r="A96" s="48" t="s">
        <v>1047</v>
      </c>
      <c r="B96" s="48" t="s">
        <v>1115</v>
      </c>
      <c r="C96" s="48" t="str">
        <f t="shared" si="2"/>
        <v>Compton</v>
      </c>
      <c r="D96" s="51">
        <v>1</v>
      </c>
      <c r="E96" s="51">
        <v>1</v>
      </c>
      <c r="F96" s="51">
        <v>0</v>
      </c>
      <c r="G96" s="51">
        <v>0</v>
      </c>
      <c r="H96" s="50">
        <f t="shared" si="3"/>
        <v>2</v>
      </c>
    </row>
    <row r="97" spans="1:8" x14ac:dyDescent="0.25">
      <c r="A97" s="48" t="s">
        <v>1197</v>
      </c>
      <c r="B97" s="48" t="s">
        <v>1211</v>
      </c>
      <c r="C97" s="48" t="str">
        <f t="shared" si="2"/>
        <v>Concord</v>
      </c>
      <c r="D97" s="51">
        <v>798</v>
      </c>
      <c r="E97" s="51">
        <v>444</v>
      </c>
      <c r="F97" s="51">
        <v>559</v>
      </c>
      <c r="G97" s="51">
        <v>1677</v>
      </c>
      <c r="H97" s="50">
        <f t="shared" si="3"/>
        <v>3478</v>
      </c>
    </row>
    <row r="98" spans="1:8" x14ac:dyDescent="0.25">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1140</v>
      </c>
      <c r="B99" s="48" t="s">
        <v>1142</v>
      </c>
      <c r="C99" s="48" t="str">
        <f t="shared" si="2"/>
        <v>Corcoran</v>
      </c>
      <c r="D99" s="58">
        <v>215</v>
      </c>
      <c r="E99" s="58">
        <v>161</v>
      </c>
      <c r="F99" s="58">
        <v>169</v>
      </c>
      <c r="G99" s="58">
        <v>401</v>
      </c>
      <c r="H99" s="50">
        <f t="shared" si="3"/>
        <v>946</v>
      </c>
    </row>
    <row r="100" spans="1:8" x14ac:dyDescent="0.25">
      <c r="A100" s="48" t="s">
        <v>782</v>
      </c>
      <c r="B100" s="48" t="s">
        <v>784</v>
      </c>
      <c r="C100" s="48" t="str">
        <f t="shared" si="2"/>
        <v>Corning</v>
      </c>
      <c r="D100" s="51">
        <v>38</v>
      </c>
      <c r="E100" s="51">
        <v>30</v>
      </c>
      <c r="F100" s="51">
        <v>33</v>
      </c>
      <c r="G100" s="51">
        <v>75</v>
      </c>
      <c r="H100" s="50">
        <f t="shared" si="3"/>
        <v>176</v>
      </c>
    </row>
    <row r="101" spans="1:8" x14ac:dyDescent="0.25">
      <c r="A101" s="48" t="s">
        <v>937</v>
      </c>
      <c r="B101" s="48" t="s">
        <v>954</v>
      </c>
      <c r="C101" s="48" t="str">
        <f t="shared" si="2"/>
        <v>Corona</v>
      </c>
      <c r="D101" s="51">
        <v>192</v>
      </c>
      <c r="E101" s="51">
        <v>128</v>
      </c>
      <c r="F101" s="51">
        <v>142</v>
      </c>
      <c r="G101" s="51">
        <v>308</v>
      </c>
      <c r="H101" s="50">
        <f t="shared" si="3"/>
        <v>770</v>
      </c>
    </row>
    <row r="102" spans="1:8" x14ac:dyDescent="0.25">
      <c r="A102" s="48" t="s">
        <v>887</v>
      </c>
      <c r="B102" s="48" t="s">
        <v>901</v>
      </c>
      <c r="C102" s="48" t="str">
        <f t="shared" si="2"/>
        <v>Coronado</v>
      </c>
      <c r="D102" s="51">
        <v>13</v>
      </c>
      <c r="E102" s="51">
        <v>9</v>
      </c>
      <c r="F102" s="51">
        <v>9</v>
      </c>
      <c r="G102" s="51">
        <v>19</v>
      </c>
      <c r="H102" s="50">
        <f t="shared" si="3"/>
        <v>50</v>
      </c>
    </row>
    <row r="103" spans="1:8" x14ac:dyDescent="0.25">
      <c r="A103" s="48" t="s">
        <v>1037</v>
      </c>
      <c r="B103" s="48" t="s">
        <v>1319</v>
      </c>
      <c r="C103" s="48" t="str">
        <f t="shared" si="2"/>
        <v>Corte Madera</v>
      </c>
      <c r="D103" s="51">
        <v>22</v>
      </c>
      <c r="E103" s="51">
        <v>13</v>
      </c>
      <c r="F103" s="51">
        <v>13</v>
      </c>
      <c r="G103" s="51">
        <v>24</v>
      </c>
      <c r="H103" s="50">
        <f t="shared" si="3"/>
        <v>72</v>
      </c>
    </row>
    <row r="104" spans="1:8" x14ac:dyDescent="0.25">
      <c r="A104" s="48" t="s">
        <v>970</v>
      </c>
      <c r="B104" s="48" t="s">
        <v>998</v>
      </c>
      <c r="C104" s="48" t="str">
        <f t="shared" si="2"/>
        <v>Costa Mesa</v>
      </c>
      <c r="D104" s="51">
        <v>1</v>
      </c>
      <c r="E104" s="51">
        <v>1</v>
      </c>
      <c r="F104" s="51">
        <v>0</v>
      </c>
      <c r="G104" s="51">
        <v>0</v>
      </c>
      <c r="H104" s="50">
        <f t="shared" si="3"/>
        <v>2</v>
      </c>
    </row>
    <row r="105" spans="1:8" x14ac:dyDescent="0.25">
      <c r="A105" s="48" t="s">
        <v>798</v>
      </c>
      <c r="B105" s="48" t="s">
        <v>804</v>
      </c>
      <c r="C105" s="48" t="str">
        <f t="shared" si="2"/>
        <v>Cotati</v>
      </c>
      <c r="D105" s="51">
        <v>35</v>
      </c>
      <c r="E105" s="51">
        <v>18</v>
      </c>
      <c r="F105" s="51">
        <v>18</v>
      </c>
      <c r="G105" s="51">
        <v>66</v>
      </c>
      <c r="H105" s="50">
        <f t="shared" si="3"/>
        <v>137</v>
      </c>
    </row>
    <row r="106" spans="1:8" x14ac:dyDescent="0.25">
      <c r="A106" s="48" t="s">
        <v>1047</v>
      </c>
      <c r="B106" s="48" t="s">
        <v>1114</v>
      </c>
      <c r="C106" s="48" t="str">
        <f t="shared" si="2"/>
        <v>Covina</v>
      </c>
      <c r="D106" s="51">
        <v>60</v>
      </c>
      <c r="E106" s="51">
        <v>35</v>
      </c>
      <c r="F106" s="51">
        <v>38</v>
      </c>
      <c r="G106" s="51">
        <v>97</v>
      </c>
      <c r="H106" s="50">
        <f t="shared" si="3"/>
        <v>230</v>
      </c>
    </row>
    <row r="107" spans="1:8" x14ac:dyDescent="0.25">
      <c r="A107" s="48" t="s">
        <v>1195</v>
      </c>
      <c r="B107" s="48" t="s">
        <v>1194</v>
      </c>
      <c r="C107" s="48" t="str">
        <f t="shared" si="2"/>
        <v>Crescent City</v>
      </c>
      <c r="D107" s="51">
        <v>20</v>
      </c>
      <c r="E107" s="51">
        <v>13</v>
      </c>
      <c r="F107" s="51">
        <v>10</v>
      </c>
      <c r="G107" s="51">
        <v>34</v>
      </c>
      <c r="H107" s="50">
        <f t="shared" si="3"/>
        <v>77</v>
      </c>
    </row>
    <row r="108" spans="1:8" x14ac:dyDescent="0.25">
      <c r="A108" s="48" t="s">
        <v>1047</v>
      </c>
      <c r="B108" s="48" t="s">
        <v>1113</v>
      </c>
      <c r="C108" s="48" t="str">
        <f t="shared" si="2"/>
        <v>Cudahy</v>
      </c>
      <c r="D108" s="51">
        <v>80</v>
      </c>
      <c r="E108" s="51">
        <v>46</v>
      </c>
      <c r="F108" s="51">
        <v>51</v>
      </c>
      <c r="G108" s="51">
        <v>141</v>
      </c>
      <c r="H108" s="50">
        <f t="shared" si="3"/>
        <v>318</v>
      </c>
    </row>
    <row r="109" spans="1:8" x14ac:dyDescent="0.25">
      <c r="A109" s="48" t="s">
        <v>1047</v>
      </c>
      <c r="B109" s="48" t="s">
        <v>1112</v>
      </c>
      <c r="C109" s="48" t="str">
        <f t="shared" si="2"/>
        <v>Culver City</v>
      </c>
      <c r="D109" s="51">
        <v>48</v>
      </c>
      <c r="E109" s="51">
        <v>29</v>
      </c>
      <c r="F109" s="51">
        <v>31</v>
      </c>
      <c r="G109" s="51">
        <v>77</v>
      </c>
      <c r="H109" s="50">
        <f t="shared" si="3"/>
        <v>185</v>
      </c>
    </row>
    <row r="110" spans="1:8" x14ac:dyDescent="0.25">
      <c r="A110" s="48" t="s">
        <v>835</v>
      </c>
      <c r="B110" s="48" t="s">
        <v>845</v>
      </c>
      <c r="C110" s="48" t="str">
        <f t="shared" si="2"/>
        <v>Cupertino</v>
      </c>
      <c r="D110" s="51">
        <v>356</v>
      </c>
      <c r="E110" s="51">
        <v>207</v>
      </c>
      <c r="F110" s="51">
        <v>231</v>
      </c>
      <c r="G110" s="51">
        <v>270</v>
      </c>
      <c r="H110" s="50">
        <f t="shared" si="3"/>
        <v>1064</v>
      </c>
    </row>
    <row r="111" spans="1:8" x14ac:dyDescent="0.25">
      <c r="A111" s="48" t="s">
        <v>970</v>
      </c>
      <c r="B111" s="48" t="s">
        <v>997</v>
      </c>
      <c r="C111" s="48" t="str">
        <f t="shared" si="2"/>
        <v>Cypress</v>
      </c>
      <c r="D111" s="51">
        <v>71</v>
      </c>
      <c r="E111" s="51">
        <v>50</v>
      </c>
      <c r="F111" s="51">
        <v>56</v>
      </c>
      <c r="G111" s="51">
        <v>131</v>
      </c>
      <c r="H111" s="50">
        <f t="shared" si="3"/>
        <v>308</v>
      </c>
    </row>
    <row r="112" spans="1:8" x14ac:dyDescent="0.25">
      <c r="A112" s="48" t="s">
        <v>855</v>
      </c>
      <c r="B112" s="48" t="s">
        <v>866</v>
      </c>
      <c r="C112" s="48" t="str">
        <f t="shared" si="2"/>
        <v>Daly City</v>
      </c>
      <c r="D112" s="51">
        <v>400</v>
      </c>
      <c r="E112" s="51">
        <v>188</v>
      </c>
      <c r="F112" s="51">
        <v>221</v>
      </c>
      <c r="G112" s="51">
        <v>541</v>
      </c>
      <c r="H112" s="50">
        <f t="shared" si="3"/>
        <v>1350</v>
      </c>
    </row>
    <row r="113" spans="1:8" x14ac:dyDescent="0.25">
      <c r="A113" s="48" t="s">
        <v>970</v>
      </c>
      <c r="B113" s="48" t="s">
        <v>996</v>
      </c>
      <c r="C113" s="48" t="str">
        <f t="shared" si="2"/>
        <v>Dana Point</v>
      </c>
      <c r="D113" s="51">
        <v>76</v>
      </c>
      <c r="E113" s="51">
        <v>53</v>
      </c>
      <c r="F113" s="51">
        <v>61</v>
      </c>
      <c r="G113" s="51">
        <v>137</v>
      </c>
      <c r="H113" s="50">
        <f t="shared" si="3"/>
        <v>327</v>
      </c>
    </row>
    <row r="114" spans="1:8" x14ac:dyDescent="0.25">
      <c r="A114" s="48" t="s">
        <v>1197</v>
      </c>
      <c r="B114" s="48" t="s">
        <v>1317</v>
      </c>
      <c r="C114" s="48" t="str">
        <f t="shared" si="2"/>
        <v>Danville</v>
      </c>
      <c r="D114" s="51">
        <v>196</v>
      </c>
      <c r="E114" s="51">
        <v>111</v>
      </c>
      <c r="F114" s="51">
        <v>124</v>
      </c>
      <c r="G114" s="51">
        <v>126</v>
      </c>
      <c r="H114" s="50">
        <f t="shared" si="3"/>
        <v>557</v>
      </c>
    </row>
    <row r="115" spans="1:8" x14ac:dyDescent="0.25">
      <c r="A115" s="48" t="s">
        <v>757</v>
      </c>
      <c r="B115" s="48" t="s">
        <v>760</v>
      </c>
      <c r="C115" s="48" t="str">
        <f t="shared" si="2"/>
        <v>Davis</v>
      </c>
      <c r="D115" s="51">
        <v>248</v>
      </c>
      <c r="E115" s="51">
        <v>174</v>
      </c>
      <c r="F115" s="51">
        <v>198</v>
      </c>
      <c r="G115" s="51">
        <v>446</v>
      </c>
      <c r="H115" s="50">
        <f t="shared" si="3"/>
        <v>1066</v>
      </c>
    </row>
    <row r="116" spans="1:8" x14ac:dyDescent="0.25">
      <c r="A116" s="48" t="s">
        <v>887</v>
      </c>
      <c r="B116" s="48" t="s">
        <v>900</v>
      </c>
      <c r="C116" s="48" t="str">
        <f t="shared" si="2"/>
        <v>Del Mar</v>
      </c>
      <c r="D116" s="51">
        <v>7</v>
      </c>
      <c r="E116" s="51">
        <v>5</v>
      </c>
      <c r="F116" s="51">
        <v>15</v>
      </c>
      <c r="G116" s="51">
        <v>34</v>
      </c>
      <c r="H116" s="50">
        <f t="shared" si="3"/>
        <v>61</v>
      </c>
    </row>
    <row r="117" spans="1:8" x14ac:dyDescent="0.25">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1012</v>
      </c>
      <c r="B118" s="48" t="s">
        <v>1021</v>
      </c>
      <c r="C118" s="48" t="str">
        <f t="shared" si="2"/>
        <v>Del Rey Oaks</v>
      </c>
      <c r="D118" s="54">
        <v>7</v>
      </c>
      <c r="E118" s="54">
        <v>4</v>
      </c>
      <c r="F118" s="54">
        <v>5</v>
      </c>
      <c r="G118" s="54">
        <v>11</v>
      </c>
      <c r="H118" s="59">
        <f t="shared" si="3"/>
        <v>27</v>
      </c>
    </row>
    <row r="119" spans="1:8" x14ac:dyDescent="0.25">
      <c r="A119" s="48" t="s">
        <v>1145</v>
      </c>
      <c r="B119" s="48" t="s">
        <v>1152</v>
      </c>
      <c r="C119" s="48" t="str">
        <f t="shared" si="2"/>
        <v>Delano</v>
      </c>
      <c r="D119" s="58">
        <v>396</v>
      </c>
      <c r="E119" s="58">
        <v>277</v>
      </c>
      <c r="F119" s="58">
        <v>243</v>
      </c>
      <c r="G119" s="58">
        <v>546</v>
      </c>
      <c r="H119" s="50">
        <f t="shared" si="3"/>
        <v>1462</v>
      </c>
    </row>
    <row r="120" spans="1:8" x14ac:dyDescent="0.25">
      <c r="A120" s="48" t="s">
        <v>937</v>
      </c>
      <c r="B120" s="48" t="s">
        <v>953</v>
      </c>
      <c r="C120" s="48" t="str">
        <f t="shared" si="2"/>
        <v>Desert Hot Springs</v>
      </c>
      <c r="D120" s="51">
        <v>946</v>
      </c>
      <c r="E120" s="51">
        <v>661</v>
      </c>
      <c r="F120" s="51">
        <v>772</v>
      </c>
      <c r="G120" s="51">
        <v>1817</v>
      </c>
      <c r="H120" s="50">
        <f t="shared" si="3"/>
        <v>4196</v>
      </c>
    </row>
    <row r="121" spans="1:8" x14ac:dyDescent="0.25">
      <c r="A121" s="48" t="s">
        <v>1047</v>
      </c>
      <c r="B121" s="48" t="s">
        <v>1111</v>
      </c>
      <c r="C121" s="48" t="str">
        <f t="shared" si="2"/>
        <v>Diamond Bar</v>
      </c>
      <c r="D121" s="51">
        <v>308</v>
      </c>
      <c r="E121" s="51">
        <v>182</v>
      </c>
      <c r="F121" s="51">
        <v>190</v>
      </c>
      <c r="G121" s="51">
        <v>466</v>
      </c>
      <c r="H121" s="50">
        <f t="shared" si="3"/>
        <v>1146</v>
      </c>
    </row>
    <row r="122" spans="1:8" x14ac:dyDescent="0.25">
      <c r="A122" s="48" t="s">
        <v>775</v>
      </c>
      <c r="B122" s="48" t="s">
        <v>781</v>
      </c>
      <c r="C122" s="48" t="str">
        <f t="shared" si="2"/>
        <v>Dinuba</v>
      </c>
      <c r="D122" s="52">
        <v>211</v>
      </c>
      <c r="E122" s="52">
        <v>163</v>
      </c>
      <c r="F122" s="52">
        <v>121</v>
      </c>
      <c r="G122" s="52">
        <v>470</v>
      </c>
      <c r="H122" s="50">
        <f t="shared" si="3"/>
        <v>965</v>
      </c>
    </row>
    <row r="123" spans="1:8" x14ac:dyDescent="0.25">
      <c r="A123" s="48" t="s">
        <v>807</v>
      </c>
      <c r="B123" s="48" t="s">
        <v>812</v>
      </c>
      <c r="C123" s="48" t="str">
        <f t="shared" si="2"/>
        <v>Dixon</v>
      </c>
      <c r="D123" s="51">
        <v>50</v>
      </c>
      <c r="E123" s="51">
        <v>24</v>
      </c>
      <c r="F123" s="51">
        <v>30</v>
      </c>
      <c r="G123" s="51">
        <v>93</v>
      </c>
      <c r="H123" s="50">
        <f t="shared" si="3"/>
        <v>197</v>
      </c>
    </row>
    <row r="124" spans="1:8" x14ac:dyDescent="0.25">
      <c r="A124" s="48" t="s">
        <v>815</v>
      </c>
      <c r="B124" s="48" t="s">
        <v>823</v>
      </c>
      <c r="C124" s="48" t="str">
        <f t="shared" si="2"/>
        <v>Dorris</v>
      </c>
      <c r="D124" s="51">
        <v>3</v>
      </c>
      <c r="E124" s="51">
        <v>2</v>
      </c>
      <c r="F124" s="51">
        <v>2</v>
      </c>
      <c r="G124" s="51">
        <v>5</v>
      </c>
      <c r="H124" s="50">
        <f t="shared" si="3"/>
        <v>12</v>
      </c>
    </row>
    <row r="125" spans="1:8" x14ac:dyDescent="0.25">
      <c r="A125" s="48" t="s">
        <v>1026</v>
      </c>
      <c r="B125" s="48" t="s">
        <v>1030</v>
      </c>
      <c r="C125" s="48" t="str">
        <f t="shared" si="2"/>
        <v>Dos Palos</v>
      </c>
      <c r="D125" s="57">
        <v>71</v>
      </c>
      <c r="E125" s="57">
        <v>27</v>
      </c>
      <c r="F125" s="57">
        <v>47</v>
      </c>
      <c r="G125" s="57">
        <v>124</v>
      </c>
      <c r="H125" s="50">
        <f t="shared" si="3"/>
        <v>269</v>
      </c>
    </row>
    <row r="126" spans="1:8" x14ac:dyDescent="0.25">
      <c r="A126" s="48" t="s">
        <v>1047</v>
      </c>
      <c r="B126" s="48" t="s">
        <v>1110</v>
      </c>
      <c r="C126" s="48" t="str">
        <f t="shared" si="2"/>
        <v>Downey</v>
      </c>
      <c r="D126" s="51">
        <v>210</v>
      </c>
      <c r="E126" s="51">
        <v>123</v>
      </c>
      <c r="F126" s="51">
        <v>135</v>
      </c>
      <c r="G126" s="51">
        <v>346</v>
      </c>
      <c r="H126" s="50">
        <f t="shared" si="3"/>
        <v>814</v>
      </c>
    </row>
    <row r="127" spans="1:8" x14ac:dyDescent="0.25">
      <c r="A127" s="48" t="s">
        <v>1047</v>
      </c>
      <c r="B127" s="48" t="s">
        <v>1109</v>
      </c>
      <c r="C127" s="48" t="str">
        <f t="shared" si="2"/>
        <v>Duarte</v>
      </c>
      <c r="D127" s="51">
        <v>87</v>
      </c>
      <c r="E127" s="51">
        <v>53</v>
      </c>
      <c r="F127" s="51">
        <v>55</v>
      </c>
      <c r="G127" s="51">
        <v>142</v>
      </c>
      <c r="H127" s="50">
        <f t="shared" si="3"/>
        <v>337</v>
      </c>
    </row>
    <row r="128" spans="1:8" x14ac:dyDescent="0.25">
      <c r="A128" s="48" t="s">
        <v>1230</v>
      </c>
      <c r="B128" s="48" t="s">
        <v>1240</v>
      </c>
      <c r="C128" s="48" t="str">
        <f t="shared" si="2"/>
        <v>Dublin</v>
      </c>
      <c r="D128" s="51">
        <v>796</v>
      </c>
      <c r="E128" s="51">
        <v>446</v>
      </c>
      <c r="F128" s="51">
        <v>425</v>
      </c>
      <c r="G128" s="51">
        <v>618</v>
      </c>
      <c r="H128" s="50">
        <f t="shared" si="3"/>
        <v>2285</v>
      </c>
    </row>
    <row r="129" spans="1:8" x14ac:dyDescent="0.25">
      <c r="A129" s="48" t="s">
        <v>815</v>
      </c>
      <c r="B129" s="48" t="s">
        <v>822</v>
      </c>
      <c r="C129" s="48" t="str">
        <f t="shared" si="2"/>
        <v>Dunsmuir</v>
      </c>
      <c r="D129" s="51">
        <v>6</v>
      </c>
      <c r="E129" s="51">
        <v>4</v>
      </c>
      <c r="F129" s="51">
        <v>4</v>
      </c>
      <c r="G129" s="51">
        <v>9</v>
      </c>
      <c r="H129" s="50">
        <f t="shared" si="3"/>
        <v>23</v>
      </c>
    </row>
    <row r="130" spans="1:8" x14ac:dyDescent="0.25">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5">
      <c r="A131" s="48" t="s">
        <v>937</v>
      </c>
      <c r="B131" s="56" t="s">
        <v>1328</v>
      </c>
      <c r="C131" s="48" t="str">
        <f t="shared" si="4"/>
        <v>Eastvale</v>
      </c>
      <c r="D131" s="51">
        <v>374</v>
      </c>
      <c r="E131" s="51">
        <v>250</v>
      </c>
      <c r="F131" s="51">
        <v>274</v>
      </c>
      <c r="G131" s="51">
        <v>565</v>
      </c>
      <c r="H131" s="50">
        <f t="shared" si="5"/>
        <v>1463</v>
      </c>
    </row>
    <row r="132" spans="1:8" x14ac:dyDescent="0.25">
      <c r="A132" s="48" t="s">
        <v>887</v>
      </c>
      <c r="B132" s="48" t="s">
        <v>899</v>
      </c>
      <c r="C132" s="48" t="str">
        <f t="shared" si="4"/>
        <v>El Cajon</v>
      </c>
      <c r="D132" s="51">
        <v>1448</v>
      </c>
      <c r="E132" s="51">
        <v>1101</v>
      </c>
      <c r="F132" s="51">
        <v>1019</v>
      </c>
      <c r="G132" s="51">
        <v>2237</v>
      </c>
      <c r="H132" s="50">
        <f t="shared" si="5"/>
        <v>5805</v>
      </c>
    </row>
    <row r="133" spans="1:8" x14ac:dyDescent="0.25">
      <c r="A133" s="48" t="s">
        <v>1160</v>
      </c>
      <c r="B133" s="48" t="s">
        <v>1162</v>
      </c>
      <c r="C133" s="48" t="str">
        <f t="shared" si="4"/>
        <v>El Centro</v>
      </c>
      <c r="D133" s="51">
        <v>487</v>
      </c>
      <c r="E133" s="51">
        <v>300</v>
      </c>
      <c r="F133" s="51">
        <v>297</v>
      </c>
      <c r="G133" s="51">
        <v>840</v>
      </c>
      <c r="H133" s="50">
        <f t="shared" si="5"/>
        <v>1924</v>
      </c>
    </row>
    <row r="134" spans="1:8" x14ac:dyDescent="0.25">
      <c r="A134" s="48" t="s">
        <v>1197</v>
      </c>
      <c r="B134" s="48" t="s">
        <v>1210</v>
      </c>
      <c r="C134" s="48" t="str">
        <f t="shared" si="4"/>
        <v>El Cerrito</v>
      </c>
      <c r="D134" s="51">
        <v>100</v>
      </c>
      <c r="E134" s="51">
        <v>63</v>
      </c>
      <c r="F134" s="51">
        <v>69</v>
      </c>
      <c r="G134" s="51">
        <v>166</v>
      </c>
      <c r="H134" s="50">
        <f t="shared" si="5"/>
        <v>398</v>
      </c>
    </row>
    <row r="135" spans="1:8" x14ac:dyDescent="0.25">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1047</v>
      </c>
      <c r="B136" s="48" t="s">
        <v>1108</v>
      </c>
      <c r="C136" s="48" t="str">
        <f t="shared" si="4"/>
        <v>El Monte</v>
      </c>
      <c r="D136" s="51">
        <v>529</v>
      </c>
      <c r="E136" s="51">
        <v>315</v>
      </c>
      <c r="F136" s="51">
        <v>352</v>
      </c>
      <c r="G136" s="51">
        <v>946</v>
      </c>
      <c r="H136" s="50">
        <f t="shared" si="5"/>
        <v>2142</v>
      </c>
    </row>
    <row r="137" spans="1:8" x14ac:dyDescent="0.25">
      <c r="A137" s="48" t="s">
        <v>1047</v>
      </c>
      <c r="B137" s="48" t="s">
        <v>1107</v>
      </c>
      <c r="C137" s="48" t="str">
        <f t="shared" si="4"/>
        <v>El Segundo</v>
      </c>
      <c r="D137" s="51">
        <v>18</v>
      </c>
      <c r="E137" s="51">
        <v>11</v>
      </c>
      <c r="F137" s="51">
        <v>12</v>
      </c>
      <c r="G137" s="51">
        <v>28</v>
      </c>
      <c r="H137" s="50">
        <f t="shared" si="5"/>
        <v>69</v>
      </c>
    </row>
    <row r="138" spans="1:8" x14ac:dyDescent="0.25">
      <c r="A138" s="48" t="s">
        <v>930</v>
      </c>
      <c r="B138" s="48" t="s">
        <v>935</v>
      </c>
      <c r="C138" s="48" t="str">
        <f t="shared" si="4"/>
        <v>Elk Grove</v>
      </c>
      <c r="D138" s="51">
        <v>2035</v>
      </c>
      <c r="E138" s="51">
        <v>1427</v>
      </c>
      <c r="F138" s="51">
        <v>1377</v>
      </c>
      <c r="G138" s="51">
        <v>2563</v>
      </c>
      <c r="H138" s="50">
        <f t="shared" si="5"/>
        <v>7402</v>
      </c>
    </row>
    <row r="139" spans="1:8" x14ac:dyDescent="0.25">
      <c r="A139" s="48" t="s">
        <v>1230</v>
      </c>
      <c r="B139" s="48" t="s">
        <v>1239</v>
      </c>
      <c r="C139" s="48" t="str">
        <f t="shared" si="4"/>
        <v>Emeryville</v>
      </c>
      <c r="D139" s="51">
        <v>276</v>
      </c>
      <c r="E139" s="51">
        <v>211</v>
      </c>
      <c r="F139" s="51">
        <v>259</v>
      </c>
      <c r="G139" s="51">
        <v>752</v>
      </c>
      <c r="H139" s="50">
        <f t="shared" si="5"/>
        <v>1498</v>
      </c>
    </row>
    <row r="140" spans="1:8" x14ac:dyDescent="0.25">
      <c r="A140" s="48" t="s">
        <v>887</v>
      </c>
      <c r="B140" s="48" t="s">
        <v>898</v>
      </c>
      <c r="C140" s="48" t="str">
        <f t="shared" si="4"/>
        <v>Encinitas</v>
      </c>
      <c r="D140" s="51">
        <v>587</v>
      </c>
      <c r="E140" s="51">
        <v>446</v>
      </c>
      <c r="F140" s="51">
        <v>413</v>
      </c>
      <c r="G140" s="51">
        <v>907</v>
      </c>
      <c r="H140" s="50">
        <f t="shared" si="5"/>
        <v>2353</v>
      </c>
    </row>
    <row r="141" spans="1:8" x14ac:dyDescent="0.25">
      <c r="A141" s="48" t="s">
        <v>879</v>
      </c>
      <c r="B141" s="48" t="s">
        <v>885</v>
      </c>
      <c r="C141" s="48" t="str">
        <f t="shared" si="4"/>
        <v>Escalon</v>
      </c>
      <c r="D141" s="57">
        <v>103</v>
      </c>
      <c r="E141" s="57">
        <v>66</v>
      </c>
      <c r="F141" s="57">
        <v>64</v>
      </c>
      <c r="G141" s="57">
        <v>192</v>
      </c>
      <c r="H141" s="50">
        <f t="shared" si="5"/>
        <v>425</v>
      </c>
    </row>
    <row r="142" spans="1:8" x14ac:dyDescent="0.25">
      <c r="A142" s="48" t="s">
        <v>887</v>
      </c>
      <c r="B142" s="48" t="s">
        <v>897</v>
      </c>
      <c r="C142" s="48" t="str">
        <f t="shared" si="4"/>
        <v>Escondido</v>
      </c>
      <c r="D142" s="51">
        <v>1042</v>
      </c>
      <c r="E142" s="51">
        <v>791</v>
      </c>
      <c r="F142" s="51">
        <v>733</v>
      </c>
      <c r="G142" s="51">
        <v>1609</v>
      </c>
      <c r="H142" s="50">
        <f t="shared" si="5"/>
        <v>4175</v>
      </c>
    </row>
    <row r="143" spans="1:8" x14ac:dyDescent="0.25">
      <c r="A143" s="48" t="s">
        <v>815</v>
      </c>
      <c r="B143" s="48" t="s">
        <v>821</v>
      </c>
      <c r="C143" s="48" t="str">
        <f t="shared" si="4"/>
        <v>Etna</v>
      </c>
      <c r="D143" s="51">
        <v>3</v>
      </c>
      <c r="E143" s="51">
        <v>2</v>
      </c>
      <c r="F143" s="51">
        <v>2</v>
      </c>
      <c r="G143" s="51">
        <v>3</v>
      </c>
      <c r="H143" s="50">
        <f t="shared" si="5"/>
        <v>10</v>
      </c>
    </row>
    <row r="144" spans="1:8" x14ac:dyDescent="0.25">
      <c r="A144" s="48" t="s">
        <v>1167</v>
      </c>
      <c r="B144" s="48" t="s">
        <v>1171</v>
      </c>
      <c r="C144" s="48" t="str">
        <f t="shared" si="4"/>
        <v>Eureka</v>
      </c>
      <c r="D144" s="51">
        <v>145</v>
      </c>
      <c r="E144" s="51">
        <v>96</v>
      </c>
      <c r="F144" s="51">
        <v>104</v>
      </c>
      <c r="G144" s="51">
        <v>264</v>
      </c>
      <c r="H144" s="50">
        <f t="shared" si="5"/>
        <v>609</v>
      </c>
    </row>
    <row r="145" spans="1:8" x14ac:dyDescent="0.25">
      <c r="A145" s="48" t="s">
        <v>775</v>
      </c>
      <c r="B145" s="48" t="s">
        <v>780</v>
      </c>
      <c r="C145" s="48" t="str">
        <f t="shared" si="4"/>
        <v>Exeter</v>
      </c>
      <c r="D145" s="52">
        <v>143</v>
      </c>
      <c r="E145" s="52">
        <v>125</v>
      </c>
      <c r="F145" s="52">
        <v>85</v>
      </c>
      <c r="G145" s="52">
        <v>272</v>
      </c>
      <c r="H145" s="50">
        <f t="shared" si="5"/>
        <v>625</v>
      </c>
    </row>
    <row r="146" spans="1:8" x14ac:dyDescent="0.25">
      <c r="A146" s="48" t="s">
        <v>1037</v>
      </c>
      <c r="B146" s="48" t="s">
        <v>1320</v>
      </c>
      <c r="C146" s="48" t="str">
        <f t="shared" si="4"/>
        <v>Fairfax</v>
      </c>
      <c r="D146" s="51">
        <v>16</v>
      </c>
      <c r="E146" s="51">
        <v>11</v>
      </c>
      <c r="F146" s="51">
        <v>11</v>
      </c>
      <c r="G146" s="51">
        <v>23</v>
      </c>
      <c r="H146" s="50">
        <f t="shared" si="5"/>
        <v>61</v>
      </c>
    </row>
    <row r="147" spans="1:8" x14ac:dyDescent="0.25">
      <c r="A147" s="48" t="s">
        <v>807</v>
      </c>
      <c r="B147" s="48" t="s">
        <v>811</v>
      </c>
      <c r="C147" s="48" t="str">
        <f t="shared" si="4"/>
        <v>Fairfield</v>
      </c>
      <c r="D147" s="51">
        <v>779</v>
      </c>
      <c r="E147" s="51">
        <v>404</v>
      </c>
      <c r="F147" s="51">
        <v>456</v>
      </c>
      <c r="G147" s="51">
        <v>1461</v>
      </c>
      <c r="H147" s="50">
        <f t="shared" si="5"/>
        <v>3100</v>
      </c>
    </row>
    <row r="148" spans="1:8" x14ac:dyDescent="0.25">
      <c r="A148" s="48" t="s">
        <v>775</v>
      </c>
      <c r="B148" s="48" t="s">
        <v>779</v>
      </c>
      <c r="C148" s="48" t="str">
        <f t="shared" si="4"/>
        <v>Farmersville</v>
      </c>
      <c r="D148" s="52">
        <v>74</v>
      </c>
      <c r="E148" s="52">
        <v>65</v>
      </c>
      <c r="F148" s="52">
        <v>68</v>
      </c>
      <c r="G148" s="52">
        <v>259</v>
      </c>
      <c r="H148" s="50">
        <f t="shared" si="5"/>
        <v>466</v>
      </c>
    </row>
    <row r="149" spans="1:8" x14ac:dyDescent="0.25">
      <c r="A149" s="48" t="s">
        <v>1167</v>
      </c>
      <c r="B149" s="48" t="s">
        <v>1170</v>
      </c>
      <c r="C149" s="48" t="str">
        <f t="shared" si="4"/>
        <v>Ferndale</v>
      </c>
      <c r="D149" s="51">
        <v>6</v>
      </c>
      <c r="E149" s="51">
        <v>3</v>
      </c>
      <c r="F149" s="51">
        <v>4</v>
      </c>
      <c r="G149" s="51">
        <v>8</v>
      </c>
      <c r="H149" s="50">
        <f t="shared" si="5"/>
        <v>21</v>
      </c>
    </row>
    <row r="150" spans="1:8" x14ac:dyDescent="0.25">
      <c r="A150" s="48" t="s">
        <v>762</v>
      </c>
      <c r="B150" s="48" t="s">
        <v>770</v>
      </c>
      <c r="C150" s="48" t="str">
        <f t="shared" si="4"/>
        <v>Fillmore</v>
      </c>
      <c r="D150" s="51">
        <v>160</v>
      </c>
      <c r="E150" s="51">
        <v>112</v>
      </c>
      <c r="F150" s="51">
        <v>128</v>
      </c>
      <c r="G150" s="51">
        <v>294</v>
      </c>
      <c r="H150" s="50">
        <f t="shared" si="5"/>
        <v>694</v>
      </c>
    </row>
    <row r="151" spans="1:8" x14ac:dyDescent="0.25">
      <c r="A151" s="48" t="s">
        <v>1178</v>
      </c>
      <c r="B151" s="48" t="s">
        <v>1188</v>
      </c>
      <c r="C151" s="48" t="str">
        <f t="shared" si="4"/>
        <v>Firebaugh</v>
      </c>
      <c r="D151" s="58">
        <v>128</v>
      </c>
      <c r="E151" s="58">
        <v>169</v>
      </c>
      <c r="F151" s="58">
        <v>204</v>
      </c>
      <c r="G151" s="58">
        <v>211</v>
      </c>
      <c r="H151" s="50">
        <f t="shared" si="5"/>
        <v>712</v>
      </c>
    </row>
    <row r="152" spans="1:8" x14ac:dyDescent="0.25">
      <c r="A152" s="48" t="s">
        <v>930</v>
      </c>
      <c r="B152" s="48" t="s">
        <v>934</v>
      </c>
      <c r="C152" s="48" t="str">
        <f t="shared" si="4"/>
        <v>Folsom</v>
      </c>
      <c r="D152" s="51">
        <v>1218</v>
      </c>
      <c r="E152" s="51">
        <v>854</v>
      </c>
      <c r="F152" s="51">
        <v>862</v>
      </c>
      <c r="G152" s="51">
        <v>1699</v>
      </c>
      <c r="H152" s="50">
        <f t="shared" si="5"/>
        <v>4633</v>
      </c>
    </row>
    <row r="153" spans="1:8" x14ac:dyDescent="0.25">
      <c r="A153" s="48" t="s">
        <v>905</v>
      </c>
      <c r="B153" s="48" t="s">
        <v>920</v>
      </c>
      <c r="C153" s="48" t="str">
        <f t="shared" si="4"/>
        <v>Fontana</v>
      </c>
      <c r="D153" s="51">
        <v>1442</v>
      </c>
      <c r="E153" s="51">
        <v>974</v>
      </c>
      <c r="F153" s="51">
        <v>1090</v>
      </c>
      <c r="G153" s="51">
        <v>2471</v>
      </c>
      <c r="H153" s="50">
        <f t="shared" si="5"/>
        <v>5977</v>
      </c>
    </row>
    <row r="154" spans="1:8" x14ac:dyDescent="0.25">
      <c r="A154" s="48" t="s">
        <v>1033</v>
      </c>
      <c r="B154" s="48" t="s">
        <v>1036</v>
      </c>
      <c r="C154" s="48" t="str">
        <f t="shared" si="4"/>
        <v>Fort Bragg</v>
      </c>
      <c r="D154" s="51">
        <v>5</v>
      </c>
      <c r="E154" s="51">
        <v>3</v>
      </c>
      <c r="F154" s="51">
        <v>3</v>
      </c>
      <c r="G154" s="51">
        <v>9</v>
      </c>
      <c r="H154" s="50">
        <f t="shared" si="5"/>
        <v>20</v>
      </c>
    </row>
    <row r="155" spans="1:8" x14ac:dyDescent="0.25">
      <c r="A155" s="48" t="s">
        <v>815</v>
      </c>
      <c r="B155" s="48" t="s">
        <v>820</v>
      </c>
      <c r="C155" s="48" t="str">
        <f t="shared" si="4"/>
        <v>Fort Jones</v>
      </c>
      <c r="D155" s="51">
        <v>2</v>
      </c>
      <c r="E155" s="51">
        <v>1</v>
      </c>
      <c r="F155" s="51">
        <v>2</v>
      </c>
      <c r="G155" s="51">
        <v>4</v>
      </c>
      <c r="H155" s="50">
        <f t="shared" si="5"/>
        <v>9</v>
      </c>
    </row>
    <row r="156" spans="1:8" x14ac:dyDescent="0.25">
      <c r="A156" s="48" t="s">
        <v>1167</v>
      </c>
      <c r="B156" s="48" t="s">
        <v>1169</v>
      </c>
      <c r="C156" s="48" t="str">
        <f t="shared" si="4"/>
        <v>Fortuna</v>
      </c>
      <c r="D156" s="51">
        <v>39</v>
      </c>
      <c r="E156" s="51">
        <v>24</v>
      </c>
      <c r="F156" s="51">
        <v>27</v>
      </c>
      <c r="G156" s="51">
        <v>71</v>
      </c>
      <c r="H156" s="50">
        <f t="shared" si="5"/>
        <v>161</v>
      </c>
    </row>
    <row r="157" spans="1:8" x14ac:dyDescent="0.25">
      <c r="A157" s="48" t="s">
        <v>855</v>
      </c>
      <c r="B157" s="48" t="s">
        <v>864</v>
      </c>
      <c r="C157" s="48" t="str">
        <f t="shared" si="4"/>
        <v>Foster City</v>
      </c>
      <c r="D157" s="51">
        <v>148</v>
      </c>
      <c r="E157" s="51">
        <v>87</v>
      </c>
      <c r="F157" s="51">
        <v>76</v>
      </c>
      <c r="G157" s="51">
        <v>119</v>
      </c>
      <c r="H157" s="50">
        <f t="shared" si="5"/>
        <v>430</v>
      </c>
    </row>
    <row r="158" spans="1:8" x14ac:dyDescent="0.25">
      <c r="A158" s="48" t="s">
        <v>970</v>
      </c>
      <c r="B158" s="48" t="s">
        <v>995</v>
      </c>
      <c r="C158" s="48" t="str">
        <f t="shared" si="4"/>
        <v>Fountain Valley</v>
      </c>
      <c r="D158" s="51">
        <v>83</v>
      </c>
      <c r="E158" s="51">
        <v>59</v>
      </c>
      <c r="F158" s="51">
        <v>65</v>
      </c>
      <c r="G158" s="51">
        <v>151</v>
      </c>
      <c r="H158" s="50">
        <f t="shared" si="5"/>
        <v>358</v>
      </c>
    </row>
    <row r="159" spans="1:8" x14ac:dyDescent="0.25">
      <c r="A159" s="48" t="s">
        <v>1178</v>
      </c>
      <c r="B159" s="48" t="s">
        <v>1187</v>
      </c>
      <c r="C159" s="48" t="str">
        <f t="shared" si="4"/>
        <v>Fowler</v>
      </c>
      <c r="D159" s="58">
        <v>123</v>
      </c>
      <c r="E159" s="58">
        <v>83</v>
      </c>
      <c r="F159" s="58">
        <v>75</v>
      </c>
      <c r="G159" s="58">
        <v>243</v>
      </c>
      <c r="H159" s="50">
        <f t="shared" si="5"/>
        <v>524</v>
      </c>
    </row>
    <row r="160" spans="1:8" x14ac:dyDescent="0.25">
      <c r="A160" s="48" t="s">
        <v>1230</v>
      </c>
      <c r="B160" s="48" t="s">
        <v>1238</v>
      </c>
      <c r="C160" s="48" t="str">
        <f t="shared" si="4"/>
        <v>Fremont</v>
      </c>
      <c r="D160" s="51">
        <v>1714</v>
      </c>
      <c r="E160" s="51">
        <v>926</v>
      </c>
      <c r="F160" s="51">
        <v>978</v>
      </c>
      <c r="G160" s="51">
        <v>1837</v>
      </c>
      <c r="H160" s="50">
        <f t="shared" si="5"/>
        <v>5455</v>
      </c>
    </row>
    <row r="161" spans="1:8" x14ac:dyDescent="0.25">
      <c r="A161" s="48" t="s">
        <v>1178</v>
      </c>
      <c r="B161" s="48" t="s">
        <v>1178</v>
      </c>
      <c r="C161" s="48" t="str">
        <f t="shared" si="4"/>
        <v>Fresno</v>
      </c>
      <c r="D161" s="58">
        <v>5666</v>
      </c>
      <c r="E161" s="58">
        <v>3289</v>
      </c>
      <c r="F161" s="58">
        <v>3571</v>
      </c>
      <c r="G161" s="58">
        <v>11039</v>
      </c>
      <c r="H161" s="50">
        <f t="shared" si="5"/>
        <v>23565</v>
      </c>
    </row>
    <row r="162" spans="1:8" x14ac:dyDescent="0.25">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970</v>
      </c>
      <c r="B163" s="48" t="s">
        <v>994</v>
      </c>
      <c r="C163" s="48" t="str">
        <f t="shared" si="4"/>
        <v>Fullerton</v>
      </c>
      <c r="D163" s="51">
        <v>411</v>
      </c>
      <c r="E163" s="51">
        <v>299</v>
      </c>
      <c r="F163" s="51">
        <v>337</v>
      </c>
      <c r="G163" s="51">
        <v>794</v>
      </c>
      <c r="H163" s="50">
        <f t="shared" si="5"/>
        <v>1841</v>
      </c>
    </row>
    <row r="164" spans="1:8" x14ac:dyDescent="0.25">
      <c r="A164" s="48" t="s">
        <v>930</v>
      </c>
      <c r="B164" s="48" t="s">
        <v>933</v>
      </c>
      <c r="C164" s="48" t="str">
        <f t="shared" si="4"/>
        <v>Galt</v>
      </c>
      <c r="D164" s="51">
        <v>131</v>
      </c>
      <c r="E164" s="51">
        <v>91</v>
      </c>
      <c r="F164" s="51">
        <v>126</v>
      </c>
      <c r="G164" s="51">
        <v>331</v>
      </c>
      <c r="H164" s="50">
        <f t="shared" si="5"/>
        <v>679</v>
      </c>
    </row>
    <row r="165" spans="1:8" x14ac:dyDescent="0.25">
      <c r="A165" s="48" t="s">
        <v>970</v>
      </c>
      <c r="B165" s="48" t="s">
        <v>993</v>
      </c>
      <c r="C165" s="48" t="str">
        <f t="shared" si="4"/>
        <v>Garden Grove</v>
      </c>
      <c r="D165" s="51">
        <v>164</v>
      </c>
      <c r="E165" s="51">
        <v>120</v>
      </c>
      <c r="F165" s="51">
        <v>135</v>
      </c>
      <c r="G165" s="51">
        <v>328</v>
      </c>
      <c r="H165" s="50">
        <f t="shared" si="5"/>
        <v>747</v>
      </c>
    </row>
    <row r="166" spans="1:8" x14ac:dyDescent="0.25">
      <c r="A166" s="48" t="s">
        <v>1047</v>
      </c>
      <c r="B166" s="48" t="s">
        <v>1106</v>
      </c>
      <c r="C166" s="48" t="str">
        <f t="shared" si="4"/>
        <v>Gardena</v>
      </c>
      <c r="D166" s="51">
        <v>98</v>
      </c>
      <c r="E166" s="51">
        <v>60</v>
      </c>
      <c r="F166" s="51">
        <v>66</v>
      </c>
      <c r="G166" s="51">
        <v>173</v>
      </c>
      <c r="H166" s="50">
        <f t="shared" si="5"/>
        <v>397</v>
      </c>
    </row>
    <row r="167" spans="1:8" x14ac:dyDescent="0.25">
      <c r="A167" s="48" t="s">
        <v>835</v>
      </c>
      <c r="B167" s="48" t="s">
        <v>844</v>
      </c>
      <c r="C167" s="48" t="str">
        <f t="shared" si="4"/>
        <v>Gilroy</v>
      </c>
      <c r="D167" s="51">
        <v>236</v>
      </c>
      <c r="E167" s="51">
        <v>160</v>
      </c>
      <c r="F167" s="51">
        <v>217</v>
      </c>
      <c r="G167" s="51">
        <v>475</v>
      </c>
      <c r="H167" s="50">
        <f t="shared" si="5"/>
        <v>1088</v>
      </c>
    </row>
    <row r="168" spans="1:8" x14ac:dyDescent="0.25">
      <c r="A168" s="48" t="s">
        <v>1047</v>
      </c>
      <c r="B168" s="48" t="s">
        <v>1105</v>
      </c>
      <c r="C168" s="48" t="str">
        <f t="shared" si="4"/>
        <v>Glendale</v>
      </c>
      <c r="D168" s="51">
        <v>508</v>
      </c>
      <c r="E168" s="51">
        <v>310</v>
      </c>
      <c r="F168" s="51">
        <v>337</v>
      </c>
      <c r="G168" s="51">
        <v>862</v>
      </c>
      <c r="H168" s="50">
        <f t="shared" si="5"/>
        <v>2017</v>
      </c>
    </row>
    <row r="169" spans="1:8" x14ac:dyDescent="0.25">
      <c r="A169" s="48" t="s">
        <v>1047</v>
      </c>
      <c r="B169" s="48" t="s">
        <v>1104</v>
      </c>
      <c r="C169" s="48" t="str">
        <f t="shared" si="4"/>
        <v>Glendora</v>
      </c>
      <c r="D169" s="51">
        <v>171</v>
      </c>
      <c r="E169" s="51">
        <v>100</v>
      </c>
      <c r="F169" s="51">
        <v>108</v>
      </c>
      <c r="G169" s="51">
        <v>267</v>
      </c>
      <c r="H169" s="50">
        <f t="shared" si="5"/>
        <v>646</v>
      </c>
    </row>
    <row r="170" spans="1:8" x14ac:dyDescent="0.25">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848</v>
      </c>
      <c r="B171" s="48" t="s">
        <v>852</v>
      </c>
      <c r="C171" s="48" t="str">
        <f t="shared" si="4"/>
        <v>Goleta</v>
      </c>
      <c r="D171" s="55">
        <v>235</v>
      </c>
      <c r="E171" s="55">
        <v>157</v>
      </c>
      <c r="F171" s="55">
        <v>174</v>
      </c>
      <c r="G171" s="55">
        <v>413</v>
      </c>
      <c r="H171" s="50">
        <f t="shared" si="5"/>
        <v>979</v>
      </c>
    </row>
    <row r="172" spans="1:8" x14ac:dyDescent="0.25">
      <c r="A172" s="48" t="s">
        <v>1012</v>
      </c>
      <c r="B172" s="48" t="s">
        <v>1020</v>
      </c>
      <c r="C172" s="48" t="str">
        <f t="shared" si="4"/>
        <v>Gonzales</v>
      </c>
      <c r="D172" s="54">
        <v>71</v>
      </c>
      <c r="E172" s="54">
        <v>46</v>
      </c>
      <c r="F172" s="54">
        <v>53</v>
      </c>
      <c r="G172" s="54">
        <v>123</v>
      </c>
      <c r="H172" s="59">
        <f t="shared" si="5"/>
        <v>293</v>
      </c>
    </row>
    <row r="173" spans="1:8" x14ac:dyDescent="0.25">
      <c r="A173" s="48" t="s">
        <v>905</v>
      </c>
      <c r="B173" s="48" t="s">
        <v>919</v>
      </c>
      <c r="C173" s="48" t="str">
        <f t="shared" si="4"/>
        <v>Grand Terrace</v>
      </c>
      <c r="D173" s="51">
        <v>28</v>
      </c>
      <c r="E173" s="51">
        <v>19</v>
      </c>
      <c r="F173" s="51">
        <v>22</v>
      </c>
      <c r="G173" s="51">
        <v>49</v>
      </c>
      <c r="H173" s="50">
        <f t="shared" si="5"/>
        <v>118</v>
      </c>
    </row>
    <row r="174" spans="1:8" x14ac:dyDescent="0.25">
      <c r="A174" s="48" t="s">
        <v>1004</v>
      </c>
      <c r="B174" s="48" t="s">
        <v>1006</v>
      </c>
      <c r="C174" s="48" t="str">
        <f t="shared" si="4"/>
        <v>Grass Valley</v>
      </c>
      <c r="D174" s="51">
        <v>122</v>
      </c>
      <c r="E174" s="51">
        <v>88</v>
      </c>
      <c r="F174" s="51">
        <v>100</v>
      </c>
      <c r="G174" s="51">
        <v>220</v>
      </c>
      <c r="H174" s="50">
        <f t="shared" si="5"/>
        <v>530</v>
      </c>
    </row>
    <row r="175" spans="1:8" x14ac:dyDescent="0.25">
      <c r="A175" s="48" t="s">
        <v>1012</v>
      </c>
      <c r="B175" s="48" t="s">
        <v>1019</v>
      </c>
      <c r="C175" s="48" t="str">
        <f t="shared" si="4"/>
        <v>Greenfield</v>
      </c>
      <c r="D175" s="54">
        <v>87</v>
      </c>
      <c r="E175" s="54">
        <v>57</v>
      </c>
      <c r="F175" s="54">
        <v>66</v>
      </c>
      <c r="G175" s="54">
        <v>153</v>
      </c>
      <c r="H175" s="59">
        <f t="shared" si="5"/>
        <v>363</v>
      </c>
    </row>
    <row r="176" spans="1:8" x14ac:dyDescent="0.25">
      <c r="A176" s="48" t="s">
        <v>1218</v>
      </c>
      <c r="B176" s="48" t="s">
        <v>1220</v>
      </c>
      <c r="C176" s="48" t="str">
        <f t="shared" si="4"/>
        <v>Gridley</v>
      </c>
      <c r="D176" s="51">
        <v>231</v>
      </c>
      <c r="E176" s="51">
        <v>118</v>
      </c>
      <c r="F176" s="51">
        <v>99</v>
      </c>
      <c r="G176" s="51">
        <v>321</v>
      </c>
      <c r="H176" s="50">
        <f t="shared" si="5"/>
        <v>769</v>
      </c>
    </row>
    <row r="177" spans="1:8" x14ac:dyDescent="0.25">
      <c r="A177" s="48" t="s">
        <v>870</v>
      </c>
      <c r="B177" s="48" t="s">
        <v>874</v>
      </c>
      <c r="C177" s="48" t="str">
        <f t="shared" si="4"/>
        <v>Grover Beach</v>
      </c>
      <c r="D177" s="51">
        <v>41</v>
      </c>
      <c r="E177" s="51">
        <v>26</v>
      </c>
      <c r="F177" s="51">
        <v>29</v>
      </c>
      <c r="G177" s="51">
        <v>69</v>
      </c>
      <c r="H177" s="50">
        <f t="shared" si="5"/>
        <v>165</v>
      </c>
    </row>
    <row r="178" spans="1:8" x14ac:dyDescent="0.25">
      <c r="A178" s="48" t="s">
        <v>848</v>
      </c>
      <c r="B178" s="48" t="s">
        <v>851</v>
      </c>
      <c r="C178" s="48" t="str">
        <f t="shared" si="4"/>
        <v>Guadalupe</v>
      </c>
      <c r="D178" s="55">
        <v>12</v>
      </c>
      <c r="E178" s="55">
        <v>8</v>
      </c>
      <c r="F178" s="55">
        <v>13</v>
      </c>
      <c r="G178" s="55">
        <v>16</v>
      </c>
      <c r="H178" s="50">
        <f t="shared" si="5"/>
        <v>49</v>
      </c>
    </row>
    <row r="179" spans="1:8" x14ac:dyDescent="0.25">
      <c r="A179" s="48" t="s">
        <v>1026</v>
      </c>
      <c r="B179" s="48" t="s">
        <v>1029</v>
      </c>
      <c r="C179" s="48" t="str">
        <f t="shared" si="4"/>
        <v>Gustine</v>
      </c>
      <c r="D179" s="57">
        <v>61</v>
      </c>
      <c r="E179" s="57">
        <v>56</v>
      </c>
      <c r="F179" s="57">
        <v>51</v>
      </c>
      <c r="G179" s="57">
        <v>136</v>
      </c>
      <c r="H179" s="50">
        <f t="shared" si="5"/>
        <v>304</v>
      </c>
    </row>
    <row r="180" spans="1:8" x14ac:dyDescent="0.25">
      <c r="A180" s="48" t="s">
        <v>855</v>
      </c>
      <c r="B180" s="48" t="s">
        <v>863</v>
      </c>
      <c r="C180" s="48" t="str">
        <f t="shared" si="4"/>
        <v>Half Moon Bay</v>
      </c>
      <c r="D180" s="51">
        <v>52</v>
      </c>
      <c r="E180" s="51">
        <v>31</v>
      </c>
      <c r="F180" s="51">
        <v>36</v>
      </c>
      <c r="G180" s="51">
        <v>121</v>
      </c>
      <c r="H180" s="50">
        <f t="shared" si="5"/>
        <v>240</v>
      </c>
    </row>
    <row r="181" spans="1:8" x14ac:dyDescent="0.25">
      <c r="A181" s="48" t="s">
        <v>1140</v>
      </c>
      <c r="B181" s="48" t="s">
        <v>1141</v>
      </c>
      <c r="C181" s="48" t="str">
        <f t="shared" si="4"/>
        <v>Hanford</v>
      </c>
      <c r="D181" s="62">
        <v>1097</v>
      </c>
      <c r="E181" s="58">
        <v>821</v>
      </c>
      <c r="F181" s="58">
        <v>865</v>
      </c>
      <c r="G181" s="62">
        <v>2049</v>
      </c>
      <c r="H181" s="50">
        <f t="shared" si="5"/>
        <v>4832</v>
      </c>
    </row>
    <row r="182" spans="1:8" x14ac:dyDescent="0.25">
      <c r="A182" s="48" t="s">
        <v>1047</v>
      </c>
      <c r="B182" s="48" t="s">
        <v>1103</v>
      </c>
      <c r="C182" s="48" t="str">
        <f t="shared" si="4"/>
        <v>Hawaiian Gardens</v>
      </c>
      <c r="D182" s="51">
        <v>32</v>
      </c>
      <c r="E182" s="51">
        <v>19</v>
      </c>
      <c r="F182" s="51">
        <v>21</v>
      </c>
      <c r="G182" s="51">
        <v>57</v>
      </c>
      <c r="H182" s="50">
        <f t="shared" si="5"/>
        <v>129</v>
      </c>
    </row>
    <row r="183" spans="1:8" x14ac:dyDescent="0.25">
      <c r="A183" s="48" t="s">
        <v>1047</v>
      </c>
      <c r="B183" s="48" t="s">
        <v>1102</v>
      </c>
      <c r="C183" s="48" t="str">
        <f t="shared" si="4"/>
        <v>Hawthorne</v>
      </c>
      <c r="D183" s="51">
        <v>170</v>
      </c>
      <c r="E183" s="51">
        <v>101</v>
      </c>
      <c r="F183" s="51">
        <v>112</v>
      </c>
      <c r="G183" s="51">
        <v>300</v>
      </c>
      <c r="H183" s="50">
        <f t="shared" si="5"/>
        <v>683</v>
      </c>
    </row>
    <row r="184" spans="1:8" x14ac:dyDescent="0.25">
      <c r="A184" s="48" t="s">
        <v>1230</v>
      </c>
      <c r="B184" s="48" t="s">
        <v>1237</v>
      </c>
      <c r="C184" s="48" t="str">
        <f t="shared" si="4"/>
        <v>Hayward</v>
      </c>
      <c r="D184" s="51">
        <v>851</v>
      </c>
      <c r="E184" s="51">
        <v>480</v>
      </c>
      <c r="F184" s="51">
        <v>608</v>
      </c>
      <c r="G184" s="51">
        <v>1981</v>
      </c>
      <c r="H184" s="50">
        <f t="shared" si="5"/>
        <v>3920</v>
      </c>
    </row>
    <row r="185" spans="1:8" x14ac:dyDescent="0.25">
      <c r="A185" s="48" t="s">
        <v>798</v>
      </c>
      <c r="B185" s="48" t="s">
        <v>803</v>
      </c>
      <c r="C185" s="48" t="str">
        <f t="shared" si="4"/>
        <v>Healdsburg</v>
      </c>
      <c r="D185" s="51">
        <v>31</v>
      </c>
      <c r="E185" s="51">
        <v>24</v>
      </c>
      <c r="F185" s="51">
        <v>26</v>
      </c>
      <c r="G185" s="51">
        <v>76</v>
      </c>
      <c r="H185" s="50">
        <f t="shared" si="5"/>
        <v>157</v>
      </c>
    </row>
    <row r="186" spans="1:8" x14ac:dyDescent="0.25">
      <c r="A186" s="48" t="s">
        <v>937</v>
      </c>
      <c r="B186" s="48" t="s">
        <v>952</v>
      </c>
      <c r="C186" s="48" t="str">
        <f t="shared" si="4"/>
        <v>Hemet</v>
      </c>
      <c r="D186" s="51">
        <v>134</v>
      </c>
      <c r="E186" s="51">
        <v>96</v>
      </c>
      <c r="F186" s="51">
        <v>112</v>
      </c>
      <c r="G186" s="51">
        <v>262</v>
      </c>
      <c r="H186" s="50">
        <f t="shared" si="5"/>
        <v>604</v>
      </c>
    </row>
    <row r="187" spans="1:8" x14ac:dyDescent="0.25">
      <c r="A187" s="48" t="s">
        <v>1197</v>
      </c>
      <c r="B187" s="48" t="s">
        <v>1209</v>
      </c>
      <c r="C187" s="48" t="str">
        <f t="shared" si="4"/>
        <v>Hercules</v>
      </c>
      <c r="D187" s="51">
        <v>220</v>
      </c>
      <c r="E187" s="51">
        <v>118</v>
      </c>
      <c r="F187" s="51">
        <v>100</v>
      </c>
      <c r="G187" s="51">
        <v>244</v>
      </c>
      <c r="H187" s="50">
        <f t="shared" si="5"/>
        <v>682</v>
      </c>
    </row>
    <row r="188" spans="1:8" x14ac:dyDescent="0.25">
      <c r="A188" s="48" t="s">
        <v>1047</v>
      </c>
      <c r="B188" s="48" t="s">
        <v>1101</v>
      </c>
      <c r="C188" s="48" t="str">
        <f t="shared" si="4"/>
        <v>Hermosa Beach</v>
      </c>
      <c r="D188" s="51">
        <v>1</v>
      </c>
      <c r="E188" s="51">
        <v>1</v>
      </c>
      <c r="F188" s="51">
        <v>0</v>
      </c>
      <c r="G188" s="51">
        <v>0</v>
      </c>
      <c r="H188" s="50">
        <f t="shared" si="5"/>
        <v>2</v>
      </c>
    </row>
    <row r="189" spans="1:8" x14ac:dyDescent="0.25">
      <c r="A189" s="48" t="s">
        <v>905</v>
      </c>
      <c r="B189" s="48" t="s">
        <v>918</v>
      </c>
      <c r="C189" s="48" t="str">
        <f t="shared" si="4"/>
        <v>Hesperia</v>
      </c>
      <c r="D189" s="51">
        <v>398</v>
      </c>
      <c r="E189" s="51">
        <v>274</v>
      </c>
      <c r="F189" s="51">
        <v>314</v>
      </c>
      <c r="G189" s="51">
        <v>729</v>
      </c>
      <c r="H189" s="50">
        <f t="shared" si="5"/>
        <v>1715</v>
      </c>
    </row>
    <row r="190" spans="1:8" x14ac:dyDescent="0.25">
      <c r="A190" s="48" t="s">
        <v>1047</v>
      </c>
      <c r="B190" s="48" t="s">
        <v>1100</v>
      </c>
      <c r="C190" s="48" t="str">
        <f t="shared" si="4"/>
        <v>Hidden Hills</v>
      </c>
      <c r="D190" s="51">
        <v>5</v>
      </c>
      <c r="E190" s="51">
        <v>3</v>
      </c>
      <c r="F190" s="51">
        <v>3</v>
      </c>
      <c r="G190" s="51">
        <v>7</v>
      </c>
      <c r="H190" s="50">
        <f t="shared" si="5"/>
        <v>18</v>
      </c>
    </row>
    <row r="191" spans="1:8" x14ac:dyDescent="0.25">
      <c r="A191" s="48" t="s">
        <v>905</v>
      </c>
      <c r="B191" s="48" t="s">
        <v>917</v>
      </c>
      <c r="C191" s="48" t="str">
        <f t="shared" si="4"/>
        <v>Highland</v>
      </c>
      <c r="D191" s="51">
        <v>349</v>
      </c>
      <c r="E191" s="51">
        <v>246</v>
      </c>
      <c r="F191" s="51">
        <v>280</v>
      </c>
      <c r="G191" s="51">
        <v>625</v>
      </c>
      <c r="H191" s="50">
        <f t="shared" si="5"/>
        <v>1500</v>
      </c>
    </row>
    <row r="192" spans="1:8" x14ac:dyDescent="0.25">
      <c r="A192" s="48" t="s">
        <v>855</v>
      </c>
      <c r="B192" s="48" t="s">
        <v>1333</v>
      </c>
      <c r="C192" s="48" t="str">
        <f t="shared" si="4"/>
        <v>Hillsborough</v>
      </c>
      <c r="D192" s="51">
        <v>32</v>
      </c>
      <c r="E192" s="51">
        <v>17</v>
      </c>
      <c r="F192" s="51">
        <v>21</v>
      </c>
      <c r="G192" s="51">
        <v>21</v>
      </c>
      <c r="H192" s="50">
        <f t="shared" si="5"/>
        <v>91</v>
      </c>
    </row>
    <row r="193" spans="1:8" x14ac:dyDescent="0.25">
      <c r="A193" s="48" t="s">
        <v>928</v>
      </c>
      <c r="B193" s="48" t="s">
        <v>929</v>
      </c>
      <c r="C193" s="48" t="str">
        <f t="shared" si="4"/>
        <v>Hollister</v>
      </c>
      <c r="D193" s="58">
        <v>312</v>
      </c>
      <c r="E193" s="58">
        <v>189</v>
      </c>
      <c r="F193" s="58">
        <v>258</v>
      </c>
      <c r="G193" s="58">
        <v>557</v>
      </c>
      <c r="H193" s="50">
        <f t="shared" si="5"/>
        <v>1316</v>
      </c>
    </row>
    <row r="194" spans="1:8" x14ac:dyDescent="0.25">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5">
      <c r="A195" s="48" t="s">
        <v>789</v>
      </c>
      <c r="B195" s="48" t="s">
        <v>796</v>
      </c>
      <c r="C195" s="48" t="str">
        <f t="shared" si="6"/>
        <v>Hughson</v>
      </c>
      <c r="D195" s="52">
        <v>53</v>
      </c>
      <c r="E195" s="52">
        <v>34</v>
      </c>
      <c r="F195" s="52">
        <v>38</v>
      </c>
      <c r="G195" s="52">
        <v>93</v>
      </c>
      <c r="H195" s="50">
        <f t="shared" si="7"/>
        <v>218</v>
      </c>
    </row>
    <row r="196" spans="1:8" x14ac:dyDescent="0.25">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970</v>
      </c>
      <c r="B197" s="48" t="s">
        <v>992</v>
      </c>
      <c r="C197" s="48" t="str">
        <f t="shared" si="6"/>
        <v>Huntington Beach</v>
      </c>
      <c r="D197" s="51">
        <v>313</v>
      </c>
      <c r="E197" s="51">
        <v>220</v>
      </c>
      <c r="F197" s="51">
        <v>248</v>
      </c>
      <c r="G197" s="51">
        <v>572</v>
      </c>
      <c r="H197" s="50">
        <f t="shared" si="7"/>
        <v>1353</v>
      </c>
    </row>
    <row r="198" spans="1:8" x14ac:dyDescent="0.25">
      <c r="A198" s="48" t="s">
        <v>1047</v>
      </c>
      <c r="B198" s="48" t="s">
        <v>1099</v>
      </c>
      <c r="C198" s="48" t="str">
        <f t="shared" si="6"/>
        <v>Huntington Park</v>
      </c>
      <c r="D198" s="51">
        <v>216</v>
      </c>
      <c r="E198" s="51">
        <v>128</v>
      </c>
      <c r="F198" s="51">
        <v>149</v>
      </c>
      <c r="G198" s="51">
        <v>402</v>
      </c>
      <c r="H198" s="50">
        <f t="shared" si="7"/>
        <v>895</v>
      </c>
    </row>
    <row r="199" spans="1:8" x14ac:dyDescent="0.25">
      <c r="A199" s="48" t="s">
        <v>1178</v>
      </c>
      <c r="B199" s="48" t="s">
        <v>1186</v>
      </c>
      <c r="C199" s="48" t="str">
        <f t="shared" si="6"/>
        <v>Huron</v>
      </c>
      <c r="D199" s="58">
        <v>87</v>
      </c>
      <c r="E199" s="58">
        <v>107</v>
      </c>
      <c r="F199" s="58">
        <v>106</v>
      </c>
      <c r="G199" s="58">
        <v>124</v>
      </c>
      <c r="H199" s="50">
        <f t="shared" si="7"/>
        <v>424</v>
      </c>
    </row>
    <row r="200" spans="1:8" x14ac:dyDescent="0.25">
      <c r="A200" s="48" t="s">
        <v>1160</v>
      </c>
      <c r="B200" s="48" t="s">
        <v>1160</v>
      </c>
      <c r="C200" s="48" t="str">
        <f t="shared" si="6"/>
        <v>Imperial</v>
      </c>
      <c r="D200" s="51">
        <v>349</v>
      </c>
      <c r="E200" s="51">
        <v>205</v>
      </c>
      <c r="F200" s="51">
        <v>202</v>
      </c>
      <c r="G200" s="51">
        <v>553</v>
      </c>
      <c r="H200" s="50">
        <f t="shared" si="7"/>
        <v>1309</v>
      </c>
    </row>
    <row r="201" spans="1:8" x14ac:dyDescent="0.25">
      <c r="A201" s="48" t="s">
        <v>887</v>
      </c>
      <c r="B201" s="48" t="s">
        <v>896</v>
      </c>
      <c r="C201" s="48" t="str">
        <f t="shared" si="6"/>
        <v>Imperial Beach</v>
      </c>
      <c r="D201" s="51">
        <v>63</v>
      </c>
      <c r="E201" s="51">
        <v>48</v>
      </c>
      <c r="F201" s="51">
        <v>45</v>
      </c>
      <c r="G201" s="51">
        <v>98</v>
      </c>
      <c r="H201" s="50">
        <f t="shared" si="7"/>
        <v>254</v>
      </c>
    </row>
    <row r="202" spans="1:8" x14ac:dyDescent="0.25">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937</v>
      </c>
      <c r="B203" s="48" t="s">
        <v>951</v>
      </c>
      <c r="C203" s="48" t="str">
        <f t="shared" si="6"/>
        <v>Indian Wells</v>
      </c>
      <c r="D203" s="51">
        <v>40</v>
      </c>
      <c r="E203" s="51">
        <v>27</v>
      </c>
      <c r="F203" s="51">
        <v>31</v>
      </c>
      <c r="G203" s="51">
        <v>62</v>
      </c>
      <c r="H203" s="50">
        <f t="shared" si="7"/>
        <v>160</v>
      </c>
    </row>
    <row r="204" spans="1:8" x14ac:dyDescent="0.25">
      <c r="A204" s="48" t="s">
        <v>937</v>
      </c>
      <c r="B204" s="48" t="s">
        <v>950</v>
      </c>
      <c r="C204" s="48" t="str">
        <f t="shared" si="6"/>
        <v>Indio</v>
      </c>
      <c r="D204" s="51">
        <v>714</v>
      </c>
      <c r="E204" s="51">
        <v>487</v>
      </c>
      <c r="F204" s="51">
        <v>553</v>
      </c>
      <c r="G204" s="51">
        <v>1271</v>
      </c>
      <c r="H204" s="50">
        <f t="shared" si="7"/>
        <v>3025</v>
      </c>
    </row>
    <row r="205" spans="1:8" x14ac:dyDescent="0.25">
      <c r="A205" s="48" t="s">
        <v>1047</v>
      </c>
      <c r="B205" s="48" t="s">
        <v>1098</v>
      </c>
      <c r="C205" s="48" t="str">
        <f t="shared" si="6"/>
        <v>Industry</v>
      </c>
      <c r="D205" s="51">
        <v>0</v>
      </c>
      <c r="E205" s="51">
        <v>0</v>
      </c>
      <c r="F205" s="51">
        <v>0</v>
      </c>
      <c r="G205" s="51">
        <v>0</v>
      </c>
      <c r="H205" s="50">
        <f t="shared" si="7"/>
        <v>0</v>
      </c>
    </row>
    <row r="206" spans="1:8" x14ac:dyDescent="0.25">
      <c r="A206" s="48" t="s">
        <v>1047</v>
      </c>
      <c r="B206" s="48" t="s">
        <v>1097</v>
      </c>
      <c r="C206" s="48" t="str">
        <f t="shared" si="6"/>
        <v>Inglewood</v>
      </c>
      <c r="D206" s="51">
        <v>250</v>
      </c>
      <c r="E206" s="51">
        <v>150</v>
      </c>
      <c r="F206" s="51">
        <v>167</v>
      </c>
      <c r="G206" s="51">
        <v>446</v>
      </c>
      <c r="H206" s="50">
        <f t="shared" si="7"/>
        <v>1013</v>
      </c>
    </row>
    <row r="207" spans="1:8" x14ac:dyDescent="0.25">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1224</v>
      </c>
      <c r="B208" s="48" t="s">
        <v>1227</v>
      </c>
      <c r="C208" s="48" t="str">
        <f t="shared" si="6"/>
        <v>Ione</v>
      </c>
      <c r="D208" s="51">
        <v>3</v>
      </c>
      <c r="E208" s="51">
        <v>3</v>
      </c>
      <c r="F208" s="51">
        <v>3</v>
      </c>
      <c r="G208" s="51">
        <v>7</v>
      </c>
      <c r="H208" s="50">
        <f t="shared" si="7"/>
        <v>16</v>
      </c>
    </row>
    <row r="209" spans="1:8" x14ac:dyDescent="0.25">
      <c r="A209" s="48" t="s">
        <v>970</v>
      </c>
      <c r="B209" s="48" t="s">
        <v>991</v>
      </c>
      <c r="C209" s="48" t="str">
        <f t="shared" si="6"/>
        <v>Irvine</v>
      </c>
      <c r="D209" s="51">
        <v>2817</v>
      </c>
      <c r="E209" s="51">
        <v>2034</v>
      </c>
      <c r="F209" s="51">
        <v>2239</v>
      </c>
      <c r="G209" s="51">
        <v>5059</v>
      </c>
      <c r="H209" s="50">
        <f t="shared" si="7"/>
        <v>12149</v>
      </c>
    </row>
    <row r="210" spans="1:8" x14ac:dyDescent="0.25">
      <c r="A210" s="48" t="s">
        <v>1047</v>
      </c>
      <c r="B210" s="48" t="s">
        <v>1096</v>
      </c>
      <c r="C210" s="48" t="str">
        <f t="shared" si="6"/>
        <v>Irwindale</v>
      </c>
      <c r="D210" s="51">
        <v>4</v>
      </c>
      <c r="E210" s="51">
        <v>2</v>
      </c>
      <c r="F210" s="51">
        <v>2</v>
      </c>
      <c r="G210" s="51">
        <v>7</v>
      </c>
      <c r="H210" s="50">
        <f t="shared" si="7"/>
        <v>15</v>
      </c>
    </row>
    <row r="211" spans="1:8" x14ac:dyDescent="0.25">
      <c r="A211" s="48" t="s">
        <v>930</v>
      </c>
      <c r="B211" s="48" t="s">
        <v>932</v>
      </c>
      <c r="C211" s="48" t="str">
        <f t="shared" si="6"/>
        <v>Isleton</v>
      </c>
      <c r="D211" s="51">
        <v>4</v>
      </c>
      <c r="E211" s="51">
        <v>3</v>
      </c>
      <c r="F211" s="51">
        <v>4</v>
      </c>
      <c r="G211" s="51">
        <v>12</v>
      </c>
      <c r="H211" s="50">
        <f t="shared" si="7"/>
        <v>23</v>
      </c>
    </row>
    <row r="212" spans="1:8" x14ac:dyDescent="0.25">
      <c r="A212" s="48" t="s">
        <v>1224</v>
      </c>
      <c r="B212" s="48" t="s">
        <v>1226</v>
      </c>
      <c r="C212" s="48" t="str">
        <f t="shared" si="6"/>
        <v>Jackson</v>
      </c>
      <c r="D212" s="51">
        <v>4</v>
      </c>
      <c r="E212" s="51">
        <v>3</v>
      </c>
      <c r="F212" s="51">
        <v>4</v>
      </c>
      <c r="G212" s="51">
        <v>8</v>
      </c>
      <c r="H212" s="50">
        <f t="shared" si="7"/>
        <v>19</v>
      </c>
    </row>
    <row r="213" spans="1:8" x14ac:dyDescent="0.25">
      <c r="A213" s="48" t="s">
        <v>937</v>
      </c>
      <c r="B213" s="48" t="s">
        <v>1350</v>
      </c>
      <c r="C213" s="48" t="str">
        <f t="shared" si="6"/>
        <v>Jurupa Valley</v>
      </c>
      <c r="D213" s="51">
        <v>409</v>
      </c>
      <c r="E213" s="51">
        <v>275</v>
      </c>
      <c r="F213" s="51">
        <v>307</v>
      </c>
      <c r="G213" s="51">
        <v>721</v>
      </c>
      <c r="H213" s="50">
        <f t="shared" si="7"/>
        <v>1712</v>
      </c>
    </row>
    <row r="214" spans="1:8" x14ac:dyDescent="0.25">
      <c r="A214" s="48" t="s">
        <v>1178</v>
      </c>
      <c r="B214" s="48" t="s">
        <v>1185</v>
      </c>
      <c r="C214" s="48" t="str">
        <f t="shared" si="6"/>
        <v>Kerman</v>
      </c>
      <c r="D214" s="58">
        <v>238</v>
      </c>
      <c r="E214" s="58">
        <v>211</v>
      </c>
      <c r="F214" s="58">
        <v>202</v>
      </c>
      <c r="G214" s="58">
        <v>258</v>
      </c>
      <c r="H214" s="50">
        <f t="shared" si="7"/>
        <v>909</v>
      </c>
    </row>
    <row r="215" spans="1:8" x14ac:dyDescent="0.25">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1012</v>
      </c>
      <c r="B216" s="48" t="s">
        <v>1018</v>
      </c>
      <c r="C216" s="48" t="str">
        <f t="shared" si="6"/>
        <v>King City</v>
      </c>
      <c r="D216" s="54">
        <v>43</v>
      </c>
      <c r="E216" s="54">
        <v>28</v>
      </c>
      <c r="F216" s="54">
        <v>33</v>
      </c>
      <c r="G216" s="54">
        <v>76</v>
      </c>
      <c r="H216" s="59">
        <f t="shared" si="7"/>
        <v>180</v>
      </c>
    </row>
    <row r="217" spans="1:8" x14ac:dyDescent="0.25">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1178</v>
      </c>
      <c r="B218" s="48" t="s">
        <v>1184</v>
      </c>
      <c r="C218" s="48" t="str">
        <f t="shared" si="6"/>
        <v>Kingsburg</v>
      </c>
      <c r="D218" s="58">
        <v>113</v>
      </c>
      <c r="E218" s="58">
        <v>70</v>
      </c>
      <c r="F218" s="58">
        <v>60</v>
      </c>
      <c r="G218" s="58">
        <v>131</v>
      </c>
      <c r="H218" s="50">
        <f t="shared" si="7"/>
        <v>374</v>
      </c>
    </row>
    <row r="219" spans="1:8" x14ac:dyDescent="0.25">
      <c r="A219" s="48" t="s">
        <v>1047</v>
      </c>
      <c r="B219" s="48" t="s">
        <v>1095</v>
      </c>
      <c r="C219" s="48" t="str">
        <f t="shared" si="6"/>
        <v>La Canada Flintridge</v>
      </c>
      <c r="D219" s="51">
        <v>30</v>
      </c>
      <c r="E219" s="51">
        <v>18</v>
      </c>
      <c r="F219" s="51">
        <v>20</v>
      </c>
      <c r="G219" s="51">
        <v>44</v>
      </c>
      <c r="H219" s="50">
        <f t="shared" si="7"/>
        <v>112</v>
      </c>
    </row>
    <row r="220" spans="1:8" x14ac:dyDescent="0.25">
      <c r="A220" s="48" t="s">
        <v>970</v>
      </c>
      <c r="B220" s="48" t="s">
        <v>990</v>
      </c>
      <c r="C220" s="48" t="str">
        <f t="shared" si="6"/>
        <v>La Habra</v>
      </c>
      <c r="D220" s="51">
        <v>1</v>
      </c>
      <c r="E220" s="51">
        <v>1</v>
      </c>
      <c r="F220" s="51">
        <v>1</v>
      </c>
      <c r="G220" s="51">
        <v>1</v>
      </c>
      <c r="H220" s="50">
        <f t="shared" si="7"/>
        <v>4</v>
      </c>
    </row>
    <row r="221" spans="1:8" x14ac:dyDescent="0.25">
      <c r="A221" s="48" t="s">
        <v>1047</v>
      </c>
      <c r="B221" s="48" t="s">
        <v>1094</v>
      </c>
      <c r="C221" s="48" t="str">
        <f t="shared" si="6"/>
        <v>La Habra Heights</v>
      </c>
      <c r="D221" s="51">
        <v>32</v>
      </c>
      <c r="E221" s="51">
        <v>19</v>
      </c>
      <c r="F221" s="51">
        <v>21</v>
      </c>
      <c r="G221" s="51">
        <v>47</v>
      </c>
      <c r="H221" s="50">
        <f t="shared" si="7"/>
        <v>119</v>
      </c>
    </row>
    <row r="222" spans="1:8" x14ac:dyDescent="0.25">
      <c r="A222" s="48" t="s">
        <v>887</v>
      </c>
      <c r="B222" s="48" t="s">
        <v>895</v>
      </c>
      <c r="C222" s="48" t="str">
        <f t="shared" si="6"/>
        <v>La Mesa</v>
      </c>
      <c r="D222" s="51">
        <v>430</v>
      </c>
      <c r="E222" s="51">
        <v>326</v>
      </c>
      <c r="F222" s="51">
        <v>302</v>
      </c>
      <c r="G222" s="51">
        <v>664</v>
      </c>
      <c r="H222" s="50">
        <f t="shared" si="7"/>
        <v>1722</v>
      </c>
    </row>
    <row r="223" spans="1:8" x14ac:dyDescent="0.25">
      <c r="A223" s="48" t="s">
        <v>1047</v>
      </c>
      <c r="B223" s="48" t="s">
        <v>1093</v>
      </c>
      <c r="C223" s="48" t="str">
        <f t="shared" si="6"/>
        <v>La Mirada</v>
      </c>
      <c r="D223" s="51">
        <v>62</v>
      </c>
      <c r="E223" s="51">
        <v>37</v>
      </c>
      <c r="F223" s="51">
        <v>40</v>
      </c>
      <c r="G223" s="51">
        <v>96</v>
      </c>
      <c r="H223" s="50">
        <f t="shared" si="7"/>
        <v>235</v>
      </c>
    </row>
    <row r="224" spans="1:8" x14ac:dyDescent="0.25">
      <c r="A224" s="48" t="s">
        <v>970</v>
      </c>
      <c r="B224" s="48" t="s">
        <v>989</v>
      </c>
      <c r="C224" s="48" t="str">
        <f t="shared" si="6"/>
        <v>La Palma</v>
      </c>
      <c r="D224" s="51">
        <v>2</v>
      </c>
      <c r="E224" s="51">
        <v>2</v>
      </c>
      <c r="F224" s="51">
        <v>2</v>
      </c>
      <c r="G224" s="51">
        <v>3</v>
      </c>
      <c r="H224" s="50">
        <f t="shared" si="7"/>
        <v>9</v>
      </c>
    </row>
    <row r="225" spans="1:8" x14ac:dyDescent="0.25">
      <c r="A225" s="48" t="s">
        <v>1047</v>
      </c>
      <c r="B225" s="48" t="s">
        <v>1092</v>
      </c>
      <c r="C225" s="48" t="str">
        <f t="shared" si="6"/>
        <v>La Puente</v>
      </c>
      <c r="D225" s="51">
        <v>208</v>
      </c>
      <c r="E225" s="51">
        <v>121</v>
      </c>
      <c r="F225" s="51">
        <v>135</v>
      </c>
      <c r="G225" s="51">
        <v>354</v>
      </c>
      <c r="H225" s="50">
        <f t="shared" si="7"/>
        <v>818</v>
      </c>
    </row>
    <row r="226" spans="1:8" x14ac:dyDescent="0.25">
      <c r="A226" s="48" t="s">
        <v>937</v>
      </c>
      <c r="B226" s="48" t="s">
        <v>949</v>
      </c>
      <c r="C226" s="48" t="str">
        <f t="shared" si="6"/>
        <v>La Quinta</v>
      </c>
      <c r="D226" s="51">
        <v>91</v>
      </c>
      <c r="E226" s="51">
        <v>61</v>
      </c>
      <c r="F226" s="51">
        <v>66</v>
      </c>
      <c r="G226" s="51">
        <v>146</v>
      </c>
      <c r="H226" s="50">
        <f t="shared" si="7"/>
        <v>364</v>
      </c>
    </row>
    <row r="227" spans="1:8" x14ac:dyDescent="0.25">
      <c r="A227" s="48" t="s">
        <v>1047</v>
      </c>
      <c r="B227" s="48" t="s">
        <v>1091</v>
      </c>
      <c r="C227" s="48" t="str">
        <f t="shared" si="6"/>
        <v>La Verne</v>
      </c>
      <c r="D227" s="51">
        <v>147</v>
      </c>
      <c r="E227" s="51">
        <v>88</v>
      </c>
      <c r="F227" s="51">
        <v>94</v>
      </c>
      <c r="G227" s="51">
        <v>233</v>
      </c>
      <c r="H227" s="50">
        <f t="shared" si="7"/>
        <v>562</v>
      </c>
    </row>
    <row r="228" spans="1:8" x14ac:dyDescent="0.25">
      <c r="A228" s="48" t="s">
        <v>1197</v>
      </c>
      <c r="B228" s="48" t="s">
        <v>1208</v>
      </c>
      <c r="C228" s="48" t="str">
        <f t="shared" si="6"/>
        <v>Lafayette</v>
      </c>
      <c r="D228" s="51">
        <v>138</v>
      </c>
      <c r="E228" s="51">
        <v>78</v>
      </c>
      <c r="F228" s="51">
        <v>85</v>
      </c>
      <c r="G228" s="51">
        <v>99</v>
      </c>
      <c r="H228" s="50">
        <f t="shared" si="7"/>
        <v>400</v>
      </c>
    </row>
    <row r="229" spans="1:8" x14ac:dyDescent="0.25">
      <c r="A229" s="48" t="s">
        <v>970</v>
      </c>
      <c r="B229" s="48" t="s">
        <v>988</v>
      </c>
      <c r="C229" s="48" t="str">
        <f t="shared" si="6"/>
        <v>Laguna Beach</v>
      </c>
      <c r="D229" s="51">
        <v>1</v>
      </c>
      <c r="E229" s="51">
        <v>1</v>
      </c>
      <c r="F229" s="51">
        <v>0</v>
      </c>
      <c r="G229" s="51">
        <v>0</v>
      </c>
      <c r="H229" s="50">
        <f t="shared" si="7"/>
        <v>2</v>
      </c>
    </row>
    <row r="230" spans="1:8" x14ac:dyDescent="0.25">
      <c r="A230" s="48" t="s">
        <v>970</v>
      </c>
      <c r="B230" s="48" t="s">
        <v>987</v>
      </c>
      <c r="C230" s="48" t="str">
        <f t="shared" si="6"/>
        <v>Laguna Hills</v>
      </c>
      <c r="D230" s="51">
        <v>1</v>
      </c>
      <c r="E230" s="51">
        <v>1</v>
      </c>
      <c r="F230" s="51">
        <v>0</v>
      </c>
      <c r="G230" s="51">
        <v>0</v>
      </c>
      <c r="H230" s="50">
        <f t="shared" si="7"/>
        <v>2</v>
      </c>
    </row>
    <row r="231" spans="1:8" x14ac:dyDescent="0.25">
      <c r="A231" s="48" t="s">
        <v>970</v>
      </c>
      <c r="B231" s="48" t="s">
        <v>986</v>
      </c>
      <c r="C231" s="48" t="str">
        <f t="shared" si="6"/>
        <v>Laguna Niguel</v>
      </c>
      <c r="D231" s="51">
        <v>43</v>
      </c>
      <c r="E231" s="51">
        <v>30</v>
      </c>
      <c r="F231" s="51">
        <v>34</v>
      </c>
      <c r="G231" s="51">
        <v>75</v>
      </c>
      <c r="H231" s="50">
        <f t="shared" si="7"/>
        <v>182</v>
      </c>
    </row>
    <row r="232" spans="1:8" x14ac:dyDescent="0.25">
      <c r="A232" s="48" t="s">
        <v>970</v>
      </c>
      <c r="B232" s="48" t="s">
        <v>985</v>
      </c>
      <c r="C232" s="48" t="str">
        <f t="shared" si="6"/>
        <v>Laguna Woods</v>
      </c>
      <c r="D232" s="51">
        <v>1</v>
      </c>
      <c r="E232" s="51">
        <v>1</v>
      </c>
      <c r="F232" s="51">
        <v>0</v>
      </c>
      <c r="G232" s="51">
        <v>0</v>
      </c>
      <c r="H232" s="50">
        <f t="shared" si="7"/>
        <v>2</v>
      </c>
    </row>
    <row r="233" spans="1:8" x14ac:dyDescent="0.25">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937</v>
      </c>
      <c r="B234" s="48" t="s">
        <v>948</v>
      </c>
      <c r="C234" s="48" t="str">
        <f t="shared" si="6"/>
        <v>Lake Elsinore</v>
      </c>
      <c r="D234" s="51">
        <v>1196</v>
      </c>
      <c r="E234" s="51">
        <v>801</v>
      </c>
      <c r="F234" s="51">
        <v>897</v>
      </c>
      <c r="G234" s="51">
        <v>2035</v>
      </c>
      <c r="H234" s="50">
        <f t="shared" si="7"/>
        <v>4929</v>
      </c>
    </row>
    <row r="235" spans="1:8" x14ac:dyDescent="0.25">
      <c r="A235" s="48" t="s">
        <v>970</v>
      </c>
      <c r="B235" s="48" t="s">
        <v>984</v>
      </c>
      <c r="C235" s="48" t="str">
        <f t="shared" si="6"/>
        <v>Lake Forest</v>
      </c>
      <c r="D235" s="51">
        <v>647</v>
      </c>
      <c r="E235" s="51">
        <v>450</v>
      </c>
      <c r="F235" s="51">
        <v>497</v>
      </c>
      <c r="G235" s="51">
        <v>1133</v>
      </c>
      <c r="H235" s="50">
        <f t="shared" si="7"/>
        <v>2727</v>
      </c>
    </row>
    <row r="236" spans="1:8" x14ac:dyDescent="0.25">
      <c r="A236" s="48" t="s">
        <v>1137</v>
      </c>
      <c r="B236" s="48" t="s">
        <v>1136</v>
      </c>
      <c r="C236" s="48" t="str">
        <f t="shared" si="6"/>
        <v>Lakeport</v>
      </c>
      <c r="D236" s="51">
        <v>34</v>
      </c>
      <c r="E236" s="51">
        <v>22</v>
      </c>
      <c r="F236" s="51">
        <v>27</v>
      </c>
      <c r="G236" s="51">
        <v>64</v>
      </c>
      <c r="H236" s="50">
        <f t="shared" si="7"/>
        <v>147</v>
      </c>
    </row>
    <row r="237" spans="1:8" x14ac:dyDescent="0.25">
      <c r="A237" s="48" t="s">
        <v>1047</v>
      </c>
      <c r="B237" s="48" t="s">
        <v>1090</v>
      </c>
      <c r="C237" s="48" t="str">
        <f t="shared" si="6"/>
        <v>Lakewood</v>
      </c>
      <c r="D237" s="51">
        <v>107</v>
      </c>
      <c r="E237" s="51">
        <v>63</v>
      </c>
      <c r="F237" s="51">
        <v>67</v>
      </c>
      <c r="G237" s="51">
        <v>166</v>
      </c>
      <c r="H237" s="50">
        <f t="shared" si="7"/>
        <v>403</v>
      </c>
    </row>
    <row r="238" spans="1:8" x14ac:dyDescent="0.25">
      <c r="A238" s="48" t="s">
        <v>1047</v>
      </c>
      <c r="B238" s="48" t="s">
        <v>1089</v>
      </c>
      <c r="C238" s="48" t="str">
        <f t="shared" si="6"/>
        <v>Lancaster</v>
      </c>
      <c r="D238" s="51">
        <v>627</v>
      </c>
      <c r="E238" s="51">
        <v>384</v>
      </c>
      <c r="F238" s="51">
        <v>413</v>
      </c>
      <c r="G238" s="51">
        <v>1086</v>
      </c>
      <c r="H238" s="50">
        <f t="shared" si="7"/>
        <v>2510</v>
      </c>
    </row>
    <row r="239" spans="1:8" x14ac:dyDescent="0.25">
      <c r="A239" s="48" t="s">
        <v>1037</v>
      </c>
      <c r="B239" s="48" t="s">
        <v>1042</v>
      </c>
      <c r="C239" s="48" t="str">
        <f t="shared" si="6"/>
        <v>Larkspur</v>
      </c>
      <c r="D239" s="51">
        <v>40</v>
      </c>
      <c r="E239" s="51">
        <v>20</v>
      </c>
      <c r="F239" s="51">
        <v>21</v>
      </c>
      <c r="G239" s="51">
        <v>51</v>
      </c>
      <c r="H239" s="50">
        <f t="shared" si="7"/>
        <v>132</v>
      </c>
    </row>
    <row r="240" spans="1:8" x14ac:dyDescent="0.25">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879</v>
      </c>
      <c r="B241" s="48" t="s">
        <v>884</v>
      </c>
      <c r="C241" s="48" t="str">
        <f t="shared" si="6"/>
        <v>Lathrop</v>
      </c>
      <c r="D241" s="57">
        <v>1019</v>
      </c>
      <c r="E241" s="57">
        <v>759</v>
      </c>
      <c r="F241" s="57">
        <v>957</v>
      </c>
      <c r="G241" s="57">
        <v>2421</v>
      </c>
      <c r="H241" s="50">
        <f t="shared" si="7"/>
        <v>5156</v>
      </c>
    </row>
    <row r="242" spans="1:8" x14ac:dyDescent="0.25">
      <c r="A242" s="48" t="s">
        <v>1047</v>
      </c>
      <c r="B242" s="48" t="s">
        <v>1088</v>
      </c>
      <c r="C242" s="48" t="str">
        <f t="shared" si="6"/>
        <v>Lawndale</v>
      </c>
      <c r="D242" s="51">
        <v>96</v>
      </c>
      <c r="E242" s="51">
        <v>57</v>
      </c>
      <c r="F242" s="51">
        <v>62</v>
      </c>
      <c r="G242" s="51">
        <v>166</v>
      </c>
      <c r="H242" s="50">
        <f t="shared" si="7"/>
        <v>381</v>
      </c>
    </row>
    <row r="243" spans="1:8" x14ac:dyDescent="0.25">
      <c r="A243" s="48" t="s">
        <v>887</v>
      </c>
      <c r="B243" s="48" t="s">
        <v>894</v>
      </c>
      <c r="C243" s="48" t="str">
        <f t="shared" si="6"/>
        <v>Lemon Grove</v>
      </c>
      <c r="D243" s="51">
        <v>77</v>
      </c>
      <c r="E243" s="51">
        <v>59</v>
      </c>
      <c r="F243" s="51">
        <v>54</v>
      </c>
      <c r="G243" s="51">
        <v>119</v>
      </c>
      <c r="H243" s="50">
        <f t="shared" si="7"/>
        <v>309</v>
      </c>
    </row>
    <row r="244" spans="1:8" x14ac:dyDescent="0.25">
      <c r="A244" s="48" t="s">
        <v>1140</v>
      </c>
      <c r="B244" s="48" t="s">
        <v>1139</v>
      </c>
      <c r="C244" s="48" t="str">
        <f t="shared" si="6"/>
        <v>Lemoore</v>
      </c>
      <c r="D244" s="58">
        <v>677</v>
      </c>
      <c r="E244" s="58">
        <v>507</v>
      </c>
      <c r="F244" s="58">
        <v>534</v>
      </c>
      <c r="G244" s="62">
        <v>1267</v>
      </c>
      <c r="H244" s="50">
        <f t="shared" si="7"/>
        <v>2985</v>
      </c>
    </row>
    <row r="245" spans="1:8" x14ac:dyDescent="0.25">
      <c r="A245" s="48" t="s">
        <v>964</v>
      </c>
      <c r="B245" s="48" t="s">
        <v>966</v>
      </c>
      <c r="C245" s="48" t="str">
        <f t="shared" si="6"/>
        <v>Lincoln</v>
      </c>
      <c r="D245" s="51">
        <v>953</v>
      </c>
      <c r="E245" s="51">
        <v>668</v>
      </c>
      <c r="F245" s="51">
        <v>705</v>
      </c>
      <c r="G245" s="51">
        <v>1464</v>
      </c>
      <c r="H245" s="50">
        <f t="shared" si="7"/>
        <v>3790</v>
      </c>
    </row>
    <row r="246" spans="1:8" x14ac:dyDescent="0.25">
      <c r="A246" s="48" t="s">
        <v>775</v>
      </c>
      <c r="B246" s="48" t="s">
        <v>778</v>
      </c>
      <c r="C246" s="48" t="str">
        <f t="shared" si="6"/>
        <v>Lindsay</v>
      </c>
      <c r="D246" s="52">
        <v>80</v>
      </c>
      <c r="E246" s="52">
        <v>80</v>
      </c>
      <c r="F246" s="52">
        <v>82</v>
      </c>
      <c r="G246" s="52">
        <v>348</v>
      </c>
      <c r="H246" s="50">
        <f t="shared" si="7"/>
        <v>590</v>
      </c>
    </row>
    <row r="247" spans="1:8" x14ac:dyDescent="0.25">
      <c r="A247" s="48" t="s">
        <v>786</v>
      </c>
      <c r="B247" s="48" t="s">
        <v>787</v>
      </c>
      <c r="C247" s="48" t="str">
        <f t="shared" si="6"/>
        <v>Live Oak</v>
      </c>
      <c r="D247" s="51">
        <v>104</v>
      </c>
      <c r="E247" s="51">
        <v>72</v>
      </c>
      <c r="F247" s="51">
        <v>83</v>
      </c>
      <c r="G247" s="51">
        <v>190</v>
      </c>
      <c r="H247" s="50">
        <f t="shared" si="7"/>
        <v>449</v>
      </c>
    </row>
    <row r="248" spans="1:8" x14ac:dyDescent="0.25">
      <c r="A248" s="48" t="s">
        <v>1230</v>
      </c>
      <c r="B248" s="48" t="s">
        <v>1236</v>
      </c>
      <c r="C248" s="48" t="str">
        <f t="shared" si="6"/>
        <v>Livermore</v>
      </c>
      <c r="D248" s="51">
        <v>839</v>
      </c>
      <c r="E248" s="51">
        <v>474</v>
      </c>
      <c r="F248" s="51">
        <v>496</v>
      </c>
      <c r="G248" s="51">
        <v>920</v>
      </c>
      <c r="H248" s="50">
        <f t="shared" si="7"/>
        <v>2729</v>
      </c>
    </row>
    <row r="249" spans="1:8" x14ac:dyDescent="0.25">
      <c r="A249" s="48" t="s">
        <v>1026</v>
      </c>
      <c r="B249" s="48" t="s">
        <v>1028</v>
      </c>
      <c r="C249" s="48" t="str">
        <f t="shared" si="6"/>
        <v>Livingston</v>
      </c>
      <c r="D249" s="57">
        <v>249</v>
      </c>
      <c r="E249" s="57">
        <v>178</v>
      </c>
      <c r="F249" s="57">
        <v>163</v>
      </c>
      <c r="G249" s="57">
        <v>435</v>
      </c>
      <c r="H249" s="50">
        <f t="shared" si="7"/>
        <v>1025</v>
      </c>
    </row>
    <row r="250" spans="1:8" x14ac:dyDescent="0.25">
      <c r="A250" s="48" t="s">
        <v>879</v>
      </c>
      <c r="B250" s="48" t="s">
        <v>883</v>
      </c>
      <c r="C250" s="48" t="str">
        <f t="shared" si="6"/>
        <v>Lodi</v>
      </c>
      <c r="D250" s="57">
        <v>497</v>
      </c>
      <c r="E250" s="57">
        <v>331</v>
      </c>
      <c r="F250" s="57">
        <v>333</v>
      </c>
      <c r="G250" s="57">
        <v>770</v>
      </c>
      <c r="H250" s="50">
        <f t="shared" si="7"/>
        <v>1931</v>
      </c>
    </row>
    <row r="251" spans="1:8" x14ac:dyDescent="0.25">
      <c r="A251" s="48" t="s">
        <v>905</v>
      </c>
      <c r="B251" s="48" t="s">
        <v>916</v>
      </c>
      <c r="C251" s="48" t="str">
        <f t="shared" si="6"/>
        <v>Loma Linda</v>
      </c>
      <c r="D251" s="51">
        <v>254</v>
      </c>
      <c r="E251" s="51">
        <v>177</v>
      </c>
      <c r="F251" s="51">
        <v>202</v>
      </c>
      <c r="G251" s="51">
        <v>462</v>
      </c>
      <c r="H251" s="50">
        <f t="shared" si="7"/>
        <v>1095</v>
      </c>
    </row>
    <row r="252" spans="1:8" x14ac:dyDescent="0.25">
      <c r="A252" s="48" t="s">
        <v>1047</v>
      </c>
      <c r="B252" s="48" t="s">
        <v>1087</v>
      </c>
      <c r="C252" s="48" t="str">
        <f t="shared" si="6"/>
        <v>Lomita</v>
      </c>
      <c r="D252" s="51">
        <v>12</v>
      </c>
      <c r="E252" s="51">
        <v>7</v>
      </c>
      <c r="F252" s="51">
        <v>8</v>
      </c>
      <c r="G252" s="51">
        <v>20</v>
      </c>
      <c r="H252" s="50">
        <f t="shared" si="7"/>
        <v>47</v>
      </c>
    </row>
    <row r="253" spans="1:8" x14ac:dyDescent="0.25">
      <c r="A253" s="48" t="s">
        <v>848</v>
      </c>
      <c r="B253" s="48" t="s">
        <v>850</v>
      </c>
      <c r="C253" s="48" t="str">
        <f t="shared" si="6"/>
        <v>Lompoc</v>
      </c>
      <c r="D253" s="55">
        <v>126</v>
      </c>
      <c r="E253" s="55">
        <v>84</v>
      </c>
      <c r="F253" s="55">
        <v>95</v>
      </c>
      <c r="G253" s="55">
        <v>221</v>
      </c>
      <c r="H253" s="50">
        <f t="shared" si="7"/>
        <v>526</v>
      </c>
    </row>
    <row r="254" spans="1:8" x14ac:dyDescent="0.25">
      <c r="A254" s="48" t="s">
        <v>1047</v>
      </c>
      <c r="B254" s="48" t="s">
        <v>1086</v>
      </c>
      <c r="C254" s="48" t="str">
        <f t="shared" si="6"/>
        <v>Long Beach</v>
      </c>
      <c r="D254" s="51">
        <v>1773</v>
      </c>
      <c r="E254" s="51">
        <v>1066</v>
      </c>
      <c r="F254" s="51">
        <v>1170</v>
      </c>
      <c r="G254" s="51">
        <v>3039</v>
      </c>
      <c r="H254" s="50">
        <f t="shared" si="7"/>
        <v>7048</v>
      </c>
    </row>
    <row r="255" spans="1:8" x14ac:dyDescent="0.25">
      <c r="A255" s="48" t="s">
        <v>964</v>
      </c>
      <c r="B255" s="48" t="s">
        <v>1326</v>
      </c>
      <c r="C255" s="48" t="str">
        <f t="shared" si="6"/>
        <v>Loomis</v>
      </c>
      <c r="D255" s="51">
        <v>39</v>
      </c>
      <c r="E255" s="51">
        <v>27</v>
      </c>
      <c r="F255" s="51">
        <v>29</v>
      </c>
      <c r="G255" s="51">
        <v>59</v>
      </c>
      <c r="H255" s="50">
        <f t="shared" si="7"/>
        <v>154</v>
      </c>
    </row>
    <row r="256" spans="1:8" x14ac:dyDescent="0.25">
      <c r="A256" s="48" t="s">
        <v>970</v>
      </c>
      <c r="B256" s="48" t="s">
        <v>983</v>
      </c>
      <c r="C256" s="48" t="str">
        <f t="shared" si="6"/>
        <v>Los Alamitos</v>
      </c>
      <c r="D256" s="51">
        <v>14</v>
      </c>
      <c r="E256" s="51">
        <v>10</v>
      </c>
      <c r="F256" s="51">
        <v>11</v>
      </c>
      <c r="G256" s="51">
        <v>26</v>
      </c>
      <c r="H256" s="50">
        <f t="shared" si="7"/>
        <v>61</v>
      </c>
    </row>
    <row r="257" spans="1:8" x14ac:dyDescent="0.25">
      <c r="A257" s="48" t="s">
        <v>835</v>
      </c>
      <c r="B257" s="48" t="s">
        <v>843</v>
      </c>
      <c r="C257" s="48" t="str">
        <f t="shared" si="6"/>
        <v>Los Altos</v>
      </c>
      <c r="D257" s="51">
        <v>169</v>
      </c>
      <c r="E257" s="51">
        <v>99</v>
      </c>
      <c r="F257" s="51">
        <v>112</v>
      </c>
      <c r="G257" s="51">
        <v>97</v>
      </c>
      <c r="H257" s="50">
        <f t="shared" si="7"/>
        <v>477</v>
      </c>
    </row>
    <row r="258" spans="1:8" x14ac:dyDescent="0.25">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5">
      <c r="A259" s="48" t="s">
        <v>1047</v>
      </c>
      <c r="B259" s="48" t="s">
        <v>1047</v>
      </c>
      <c r="C259" s="48" t="str">
        <f t="shared" si="8"/>
        <v>Los Angeles</v>
      </c>
      <c r="D259" s="51">
        <v>20427</v>
      </c>
      <c r="E259" s="51">
        <v>12435</v>
      </c>
      <c r="F259" s="51">
        <v>13728</v>
      </c>
      <c r="G259" s="51">
        <v>35412</v>
      </c>
      <c r="H259" s="50">
        <f>SUM(D259:G259)</f>
        <v>82002</v>
      </c>
    </row>
    <row r="260" spans="1:8" x14ac:dyDescent="0.25">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1026</v>
      </c>
      <c r="B261" s="48" t="s">
        <v>1027</v>
      </c>
      <c r="C261" s="48" t="str">
        <f t="shared" si="8"/>
        <v>Los Banos</v>
      </c>
      <c r="D261" s="57">
        <v>604</v>
      </c>
      <c r="E261" s="57">
        <v>431</v>
      </c>
      <c r="F261" s="57">
        <v>396</v>
      </c>
      <c r="G261" s="57">
        <v>1049</v>
      </c>
      <c r="H261" s="50">
        <f t="shared" si="9"/>
        <v>2480</v>
      </c>
    </row>
    <row r="262" spans="1:8" x14ac:dyDescent="0.25">
      <c r="A262" s="48" t="s">
        <v>835</v>
      </c>
      <c r="B262" s="48" t="s">
        <v>1337</v>
      </c>
      <c r="C262" s="48" t="str">
        <f t="shared" si="8"/>
        <v>Los Gatos</v>
      </c>
      <c r="D262" s="51">
        <v>201</v>
      </c>
      <c r="E262" s="51">
        <v>112</v>
      </c>
      <c r="F262" s="51">
        <v>132</v>
      </c>
      <c r="G262" s="51">
        <v>174</v>
      </c>
      <c r="H262" s="50">
        <f t="shared" si="9"/>
        <v>619</v>
      </c>
    </row>
    <row r="263" spans="1:8" x14ac:dyDescent="0.25">
      <c r="A263" s="48" t="s">
        <v>825</v>
      </c>
      <c r="B263" s="48" t="s">
        <v>824</v>
      </c>
      <c r="C263" s="48" t="str">
        <f t="shared" si="8"/>
        <v>Loyalton</v>
      </c>
      <c r="D263" s="51">
        <v>1</v>
      </c>
      <c r="E263" s="51">
        <v>1</v>
      </c>
      <c r="F263" s="51">
        <v>1</v>
      </c>
      <c r="G263" s="51">
        <v>1</v>
      </c>
      <c r="H263" s="50">
        <f t="shared" si="9"/>
        <v>4</v>
      </c>
    </row>
    <row r="264" spans="1:8" x14ac:dyDescent="0.25">
      <c r="A264" s="48" t="s">
        <v>1047</v>
      </c>
      <c r="B264" s="48" t="s">
        <v>1085</v>
      </c>
      <c r="C264" s="48" t="str">
        <f t="shared" si="8"/>
        <v>Lynwood</v>
      </c>
      <c r="D264" s="51">
        <v>123</v>
      </c>
      <c r="E264" s="51">
        <v>72</v>
      </c>
      <c r="F264" s="51">
        <v>81</v>
      </c>
      <c r="G264" s="51">
        <v>218</v>
      </c>
      <c r="H264" s="50">
        <f t="shared" si="9"/>
        <v>494</v>
      </c>
    </row>
    <row r="265" spans="1:8" x14ac:dyDescent="0.25">
      <c r="A265" s="48" t="s">
        <v>1044</v>
      </c>
      <c r="B265" s="48" t="s">
        <v>1044</v>
      </c>
      <c r="C265" s="48" t="str">
        <f t="shared" si="8"/>
        <v>Madera</v>
      </c>
      <c r="D265" s="60">
        <v>1352</v>
      </c>
      <c r="E265" s="60">
        <v>1056</v>
      </c>
      <c r="F265" s="60">
        <v>1091</v>
      </c>
      <c r="G265" s="60">
        <v>2600</v>
      </c>
      <c r="H265" s="50">
        <f t="shared" si="9"/>
        <v>6099</v>
      </c>
    </row>
    <row r="266" spans="1:8" x14ac:dyDescent="0.25">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1047</v>
      </c>
      <c r="B267" s="48" t="s">
        <v>1084</v>
      </c>
      <c r="C267" s="48" t="str">
        <f t="shared" si="8"/>
        <v>Malibu</v>
      </c>
      <c r="D267" s="51">
        <v>1</v>
      </c>
      <c r="E267" s="51">
        <v>1</v>
      </c>
      <c r="F267" s="51">
        <v>0</v>
      </c>
      <c r="G267" s="51">
        <v>0</v>
      </c>
      <c r="H267" s="50">
        <f t="shared" si="9"/>
        <v>2</v>
      </c>
    </row>
    <row r="268" spans="1:8" x14ac:dyDescent="0.25">
      <c r="A268" s="48" t="s">
        <v>1023</v>
      </c>
      <c r="B268" s="48" t="s">
        <v>1324</v>
      </c>
      <c r="C268" s="48" t="str">
        <f t="shared" si="8"/>
        <v>Mammoth Lakes</v>
      </c>
      <c r="D268" s="51">
        <v>17</v>
      </c>
      <c r="E268" s="51">
        <v>12</v>
      </c>
      <c r="F268" s="51">
        <v>14</v>
      </c>
      <c r="G268" s="51">
        <v>31</v>
      </c>
      <c r="H268" s="50">
        <f t="shared" si="9"/>
        <v>74</v>
      </c>
    </row>
    <row r="269" spans="1:8" x14ac:dyDescent="0.25">
      <c r="A269" s="48" t="s">
        <v>1047</v>
      </c>
      <c r="B269" s="48" t="s">
        <v>1083</v>
      </c>
      <c r="C269" s="48" t="str">
        <f t="shared" si="8"/>
        <v>Manhattan Beach</v>
      </c>
      <c r="D269" s="51">
        <v>10</v>
      </c>
      <c r="E269" s="51">
        <v>6</v>
      </c>
      <c r="F269" s="51">
        <v>7</v>
      </c>
      <c r="G269" s="51">
        <v>15</v>
      </c>
      <c r="H269" s="50">
        <f t="shared" si="9"/>
        <v>38</v>
      </c>
    </row>
    <row r="270" spans="1:8" x14ac:dyDescent="0.25">
      <c r="A270" s="48" t="s">
        <v>879</v>
      </c>
      <c r="B270" s="48" t="s">
        <v>882</v>
      </c>
      <c r="C270" s="48" t="str">
        <f t="shared" si="8"/>
        <v>Manteca</v>
      </c>
      <c r="D270" s="57">
        <v>925</v>
      </c>
      <c r="E270" s="57">
        <v>693</v>
      </c>
      <c r="F270" s="57">
        <v>825</v>
      </c>
      <c r="G270" s="57">
        <v>1958</v>
      </c>
      <c r="H270" s="50">
        <f t="shared" si="9"/>
        <v>4401</v>
      </c>
    </row>
    <row r="271" spans="1:8" x14ac:dyDescent="0.25">
      <c r="A271" s="48" t="s">
        <v>1145</v>
      </c>
      <c r="B271" s="48" t="s">
        <v>1151</v>
      </c>
      <c r="C271" s="48" t="str">
        <f t="shared" si="8"/>
        <v>Maricopa</v>
      </c>
      <c r="D271" s="58">
        <v>11</v>
      </c>
      <c r="E271" s="58">
        <v>5</v>
      </c>
      <c r="F271" s="58">
        <v>6</v>
      </c>
      <c r="G271" s="58">
        <v>14</v>
      </c>
      <c r="H271" s="50">
        <f t="shared" si="9"/>
        <v>36</v>
      </c>
    </row>
    <row r="272" spans="1:8" x14ac:dyDescent="0.25">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1012</v>
      </c>
      <c r="B273" s="48" t="s">
        <v>1017</v>
      </c>
      <c r="C273" s="48" t="str">
        <f t="shared" si="8"/>
        <v>Marina</v>
      </c>
      <c r="D273" s="54">
        <v>315</v>
      </c>
      <c r="E273" s="54">
        <v>206</v>
      </c>
      <c r="F273" s="54">
        <v>239</v>
      </c>
      <c r="G273" s="54">
        <v>548</v>
      </c>
      <c r="H273" s="59">
        <f t="shared" si="9"/>
        <v>1308</v>
      </c>
    </row>
    <row r="274" spans="1:8" x14ac:dyDescent="0.25">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1197</v>
      </c>
      <c r="B275" s="48" t="s">
        <v>1207</v>
      </c>
      <c r="C275" s="48" t="str">
        <f t="shared" si="8"/>
        <v>Martinez</v>
      </c>
      <c r="D275" s="51">
        <v>124</v>
      </c>
      <c r="E275" s="51">
        <v>72</v>
      </c>
      <c r="F275" s="51">
        <v>78</v>
      </c>
      <c r="G275" s="51">
        <v>195</v>
      </c>
      <c r="H275" s="50">
        <f t="shared" si="9"/>
        <v>469</v>
      </c>
    </row>
    <row r="276" spans="1:8" x14ac:dyDescent="0.25">
      <c r="A276" s="48" t="s">
        <v>754</v>
      </c>
      <c r="B276" s="48" t="s">
        <v>755</v>
      </c>
      <c r="C276" s="48" t="str">
        <f t="shared" si="8"/>
        <v>Marysville</v>
      </c>
      <c r="D276" s="51">
        <v>12</v>
      </c>
      <c r="E276" s="51">
        <v>8</v>
      </c>
      <c r="F276" s="51">
        <v>13</v>
      </c>
      <c r="G276" s="51">
        <v>39</v>
      </c>
      <c r="H276" s="50">
        <f t="shared" si="9"/>
        <v>72</v>
      </c>
    </row>
    <row r="277" spans="1:8" x14ac:dyDescent="0.25">
      <c r="A277" s="48" t="s">
        <v>1047</v>
      </c>
      <c r="B277" s="48" t="s">
        <v>1082</v>
      </c>
      <c r="C277" s="48" t="str">
        <f t="shared" si="8"/>
        <v>Maywood</v>
      </c>
      <c r="D277" s="51">
        <v>13</v>
      </c>
      <c r="E277" s="51">
        <v>8</v>
      </c>
      <c r="F277" s="51">
        <v>9</v>
      </c>
      <c r="G277" s="51">
        <v>23</v>
      </c>
      <c r="H277" s="50">
        <f t="shared" si="9"/>
        <v>53</v>
      </c>
    </row>
    <row r="278" spans="1:8" x14ac:dyDescent="0.25">
      <c r="A278" s="48" t="s">
        <v>1145</v>
      </c>
      <c r="B278" s="48" t="s">
        <v>1150</v>
      </c>
      <c r="C278" s="48" t="str">
        <f t="shared" si="8"/>
        <v>McFarland</v>
      </c>
      <c r="D278" s="58">
        <v>93</v>
      </c>
      <c r="E278" s="58">
        <v>73</v>
      </c>
      <c r="F278" s="58">
        <v>66</v>
      </c>
      <c r="G278" s="58">
        <v>79</v>
      </c>
      <c r="H278" s="50">
        <f t="shared" si="9"/>
        <v>311</v>
      </c>
    </row>
    <row r="279" spans="1:8" x14ac:dyDescent="0.25">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1178</v>
      </c>
      <c r="B280" s="48" t="s">
        <v>1183</v>
      </c>
      <c r="C280" s="48" t="str">
        <f t="shared" si="8"/>
        <v>Mendota</v>
      </c>
      <c r="D280" s="58">
        <v>80</v>
      </c>
      <c r="E280" s="58">
        <v>56</v>
      </c>
      <c r="F280" s="58">
        <v>77</v>
      </c>
      <c r="G280" s="58">
        <v>341</v>
      </c>
      <c r="H280" s="50">
        <f t="shared" si="9"/>
        <v>554</v>
      </c>
    </row>
    <row r="281" spans="1:8" x14ac:dyDescent="0.25">
      <c r="A281" s="48" t="s">
        <v>937</v>
      </c>
      <c r="B281" s="48" t="s">
        <v>947</v>
      </c>
      <c r="C281" s="48" t="str">
        <f t="shared" si="8"/>
        <v>Menifee</v>
      </c>
      <c r="D281" s="51">
        <v>1488</v>
      </c>
      <c r="E281" s="51">
        <v>1007</v>
      </c>
      <c r="F281" s="51">
        <v>1140</v>
      </c>
      <c r="G281" s="51">
        <v>2610</v>
      </c>
      <c r="H281" s="50">
        <f t="shared" si="9"/>
        <v>6245</v>
      </c>
    </row>
    <row r="282" spans="1:8" x14ac:dyDescent="0.25">
      <c r="A282" s="48" t="s">
        <v>855</v>
      </c>
      <c r="B282" s="48" t="s">
        <v>862</v>
      </c>
      <c r="C282" s="48" t="str">
        <f t="shared" si="8"/>
        <v>Menlo Park</v>
      </c>
      <c r="D282" s="51">
        <v>233</v>
      </c>
      <c r="E282" s="51">
        <v>129</v>
      </c>
      <c r="F282" s="51">
        <v>143</v>
      </c>
      <c r="G282" s="51">
        <v>150</v>
      </c>
      <c r="H282" s="50">
        <f t="shared" si="9"/>
        <v>655</v>
      </c>
    </row>
    <row r="283" spans="1:8" x14ac:dyDescent="0.25">
      <c r="A283" s="48" t="s">
        <v>1026</v>
      </c>
      <c r="B283" s="48" t="s">
        <v>1026</v>
      </c>
      <c r="C283" s="48" t="str">
        <f t="shared" si="8"/>
        <v>Merced</v>
      </c>
      <c r="D283" s="57">
        <v>1351</v>
      </c>
      <c r="E283" s="57">
        <v>966</v>
      </c>
      <c r="F283" s="57">
        <v>886</v>
      </c>
      <c r="G283" s="57">
        <v>2348</v>
      </c>
      <c r="H283" s="50">
        <f t="shared" si="9"/>
        <v>5551</v>
      </c>
    </row>
    <row r="284" spans="1:8" x14ac:dyDescent="0.25">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1037</v>
      </c>
      <c r="B285" s="48" t="s">
        <v>1041</v>
      </c>
      <c r="C285" s="48" t="str">
        <f t="shared" si="8"/>
        <v>Mill Valley</v>
      </c>
      <c r="D285" s="51">
        <v>41</v>
      </c>
      <c r="E285" s="51">
        <v>24</v>
      </c>
      <c r="F285" s="51">
        <v>26</v>
      </c>
      <c r="G285" s="51">
        <v>38</v>
      </c>
      <c r="H285" s="50">
        <f t="shared" si="9"/>
        <v>129</v>
      </c>
    </row>
    <row r="286" spans="1:8" x14ac:dyDescent="0.25">
      <c r="A286" s="48" t="s">
        <v>855</v>
      </c>
      <c r="B286" s="48" t="s">
        <v>861</v>
      </c>
      <c r="C286" s="48" t="str">
        <f t="shared" si="8"/>
        <v>Millbrae</v>
      </c>
      <c r="D286" s="51">
        <v>193</v>
      </c>
      <c r="E286" s="51">
        <v>101</v>
      </c>
      <c r="F286" s="51">
        <v>112</v>
      </c>
      <c r="G286" s="51">
        <v>257</v>
      </c>
      <c r="H286" s="50">
        <f t="shared" si="9"/>
        <v>663</v>
      </c>
    </row>
    <row r="287" spans="1:8" x14ac:dyDescent="0.25">
      <c r="A287" s="48" t="s">
        <v>835</v>
      </c>
      <c r="B287" s="48" t="s">
        <v>842</v>
      </c>
      <c r="C287" s="48" t="str">
        <f t="shared" si="8"/>
        <v>Milpitas</v>
      </c>
      <c r="D287" s="51">
        <v>1004</v>
      </c>
      <c r="E287" s="51">
        <v>570</v>
      </c>
      <c r="F287" s="51">
        <v>565</v>
      </c>
      <c r="G287" s="51">
        <v>1151</v>
      </c>
      <c r="H287" s="50">
        <f t="shared" si="9"/>
        <v>3290</v>
      </c>
    </row>
    <row r="288" spans="1:8" x14ac:dyDescent="0.25">
      <c r="A288" s="48" t="s">
        <v>970</v>
      </c>
      <c r="B288" s="48" t="s">
        <v>982</v>
      </c>
      <c r="C288" s="48" t="str">
        <f t="shared" si="8"/>
        <v>Mission Viejo</v>
      </c>
      <c r="D288" s="51">
        <v>42</v>
      </c>
      <c r="E288" s="51">
        <v>29</v>
      </c>
      <c r="F288" s="51">
        <v>33</v>
      </c>
      <c r="G288" s="51">
        <v>73</v>
      </c>
      <c r="H288" s="50">
        <f t="shared" si="9"/>
        <v>177</v>
      </c>
    </row>
    <row r="289" spans="1:8" x14ac:dyDescent="0.25">
      <c r="A289" s="48" t="s">
        <v>789</v>
      </c>
      <c r="B289" s="48" t="s">
        <v>795</v>
      </c>
      <c r="C289" s="48" t="str">
        <f t="shared" si="8"/>
        <v>Modesto</v>
      </c>
      <c r="D289" s="52">
        <v>1546</v>
      </c>
      <c r="E289" s="52">
        <v>991</v>
      </c>
      <c r="F289" s="52">
        <v>1100</v>
      </c>
      <c r="G289" s="52">
        <v>2724</v>
      </c>
      <c r="H289" s="50">
        <f t="shared" si="9"/>
        <v>6361</v>
      </c>
    </row>
    <row r="290" spans="1:8" x14ac:dyDescent="0.25">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1047</v>
      </c>
      <c r="B292" s="48" t="s">
        <v>1081</v>
      </c>
      <c r="C292" s="48" t="str">
        <f t="shared" si="8"/>
        <v>Monrovia</v>
      </c>
      <c r="D292" s="51">
        <v>101</v>
      </c>
      <c r="E292" s="51">
        <v>61</v>
      </c>
      <c r="F292" s="51">
        <v>65</v>
      </c>
      <c r="G292" s="51">
        <v>162</v>
      </c>
      <c r="H292" s="50">
        <f t="shared" si="9"/>
        <v>389</v>
      </c>
    </row>
    <row r="293" spans="1:8" x14ac:dyDescent="0.25">
      <c r="A293" s="48" t="s">
        <v>815</v>
      </c>
      <c r="B293" s="48" t="s">
        <v>819</v>
      </c>
      <c r="C293" s="48" t="str">
        <f t="shared" si="8"/>
        <v>Montague</v>
      </c>
      <c r="D293" s="51">
        <v>5</v>
      </c>
      <c r="E293" s="51">
        <v>3</v>
      </c>
      <c r="F293" s="51">
        <v>3</v>
      </c>
      <c r="G293" s="51">
        <v>8</v>
      </c>
      <c r="H293" s="50">
        <f t="shared" si="9"/>
        <v>19</v>
      </c>
    </row>
    <row r="294" spans="1:8" x14ac:dyDescent="0.25">
      <c r="A294" s="48" t="s">
        <v>905</v>
      </c>
      <c r="B294" s="48" t="s">
        <v>915</v>
      </c>
      <c r="C294" s="48" t="str">
        <f t="shared" si="8"/>
        <v>Montclair</v>
      </c>
      <c r="D294" s="51">
        <v>164</v>
      </c>
      <c r="E294" s="51">
        <v>114</v>
      </c>
      <c r="F294" s="51">
        <v>125</v>
      </c>
      <c r="G294" s="51">
        <v>294</v>
      </c>
      <c r="H294" s="50">
        <f t="shared" si="9"/>
        <v>697</v>
      </c>
    </row>
    <row r="295" spans="1:8" x14ac:dyDescent="0.25">
      <c r="A295" s="48" t="s">
        <v>835</v>
      </c>
      <c r="B295" s="48" t="s">
        <v>841</v>
      </c>
      <c r="C295" s="48" t="str">
        <f t="shared" si="8"/>
        <v>Monte Sereno</v>
      </c>
      <c r="D295" s="51">
        <v>23</v>
      </c>
      <c r="E295" s="51">
        <v>13</v>
      </c>
      <c r="F295" s="51">
        <v>13</v>
      </c>
      <c r="G295" s="51">
        <v>12</v>
      </c>
      <c r="H295" s="50">
        <f t="shared" si="9"/>
        <v>61</v>
      </c>
    </row>
    <row r="296" spans="1:8" x14ac:dyDescent="0.25">
      <c r="A296" s="48" t="s">
        <v>1047</v>
      </c>
      <c r="B296" s="48" t="s">
        <v>1080</v>
      </c>
      <c r="C296" s="48" t="str">
        <f t="shared" si="8"/>
        <v>Montebello</v>
      </c>
      <c r="D296" s="51">
        <v>269</v>
      </c>
      <c r="E296" s="51">
        <v>161</v>
      </c>
      <c r="F296" s="51">
        <v>175</v>
      </c>
      <c r="G296" s="51">
        <v>461</v>
      </c>
      <c r="H296" s="50">
        <f t="shared" si="9"/>
        <v>1066</v>
      </c>
    </row>
    <row r="297" spans="1:8" x14ac:dyDescent="0.25">
      <c r="A297" s="48" t="s">
        <v>1012</v>
      </c>
      <c r="B297" s="48" t="s">
        <v>1012</v>
      </c>
      <c r="C297" s="48" t="str">
        <f t="shared" si="8"/>
        <v>Monterey</v>
      </c>
      <c r="D297" s="54">
        <v>157</v>
      </c>
      <c r="E297" s="54">
        <v>102</v>
      </c>
      <c r="F297" s="54">
        <v>119</v>
      </c>
      <c r="G297" s="54">
        <v>272</v>
      </c>
      <c r="H297" s="59">
        <f t="shared" si="9"/>
        <v>650</v>
      </c>
    </row>
    <row r="298" spans="1:8" x14ac:dyDescent="0.25">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1047</v>
      </c>
      <c r="B299" s="48" t="s">
        <v>1079</v>
      </c>
      <c r="C299" s="48" t="str">
        <f t="shared" si="8"/>
        <v>Monterey Park</v>
      </c>
      <c r="D299" s="51">
        <v>205</v>
      </c>
      <c r="E299" s="51">
        <v>123</v>
      </c>
      <c r="F299" s="51">
        <v>137</v>
      </c>
      <c r="G299" s="51">
        <v>350</v>
      </c>
      <c r="H299" s="50">
        <f t="shared" si="9"/>
        <v>815</v>
      </c>
    </row>
    <row r="300" spans="1:8" x14ac:dyDescent="0.25">
      <c r="A300" s="48" t="s">
        <v>762</v>
      </c>
      <c r="B300" s="48" t="s">
        <v>769</v>
      </c>
      <c r="C300" s="48" t="str">
        <f t="shared" si="8"/>
        <v>Moorpark</v>
      </c>
      <c r="D300" s="51">
        <v>289</v>
      </c>
      <c r="E300" s="51">
        <v>197</v>
      </c>
      <c r="F300" s="51">
        <v>216</v>
      </c>
      <c r="G300" s="51">
        <v>462</v>
      </c>
      <c r="H300" s="50">
        <f t="shared" si="9"/>
        <v>1164</v>
      </c>
    </row>
    <row r="301" spans="1:8" x14ac:dyDescent="0.25">
      <c r="A301" s="48" t="s">
        <v>1197</v>
      </c>
      <c r="B301" s="48" t="s">
        <v>1206</v>
      </c>
      <c r="C301" s="48" t="str">
        <f t="shared" si="8"/>
        <v>Moraga</v>
      </c>
      <c r="D301" s="51">
        <v>75</v>
      </c>
      <c r="E301" s="51">
        <v>44</v>
      </c>
      <c r="F301" s="51">
        <v>50</v>
      </c>
      <c r="G301" s="51">
        <v>60</v>
      </c>
      <c r="H301" s="50">
        <f t="shared" si="9"/>
        <v>229</v>
      </c>
    </row>
    <row r="302" spans="1:8" x14ac:dyDescent="0.25">
      <c r="A302" s="48" t="s">
        <v>937</v>
      </c>
      <c r="B302" s="48" t="s">
        <v>946</v>
      </c>
      <c r="C302" s="48" t="str">
        <f t="shared" si="8"/>
        <v>Moreno Valley</v>
      </c>
      <c r="D302" s="51">
        <v>1500</v>
      </c>
      <c r="E302" s="51">
        <v>993</v>
      </c>
      <c r="F302" s="51">
        <v>1112</v>
      </c>
      <c r="G302" s="51">
        <v>2564</v>
      </c>
      <c r="H302" s="50">
        <f t="shared" si="9"/>
        <v>6169</v>
      </c>
    </row>
    <row r="303" spans="1:8" x14ac:dyDescent="0.25">
      <c r="A303" s="48" t="s">
        <v>835</v>
      </c>
      <c r="B303" s="48" t="s">
        <v>840</v>
      </c>
      <c r="C303" s="48" t="str">
        <f t="shared" si="8"/>
        <v>Morgan Hill</v>
      </c>
      <c r="D303" s="51">
        <v>273</v>
      </c>
      <c r="E303" s="51">
        <v>154</v>
      </c>
      <c r="F303" s="51">
        <v>185</v>
      </c>
      <c r="G303" s="51">
        <v>316</v>
      </c>
      <c r="H303" s="50">
        <f t="shared" si="9"/>
        <v>928</v>
      </c>
    </row>
    <row r="304" spans="1:8" x14ac:dyDescent="0.25">
      <c r="A304" s="48" t="s">
        <v>870</v>
      </c>
      <c r="B304" s="48" t="s">
        <v>873</v>
      </c>
      <c r="C304" s="48" t="str">
        <f t="shared" si="8"/>
        <v>Morro Bay</v>
      </c>
      <c r="D304" s="51">
        <v>39</v>
      </c>
      <c r="E304" s="51">
        <v>24</v>
      </c>
      <c r="F304" s="51">
        <v>27</v>
      </c>
      <c r="G304" s="51">
        <v>65</v>
      </c>
      <c r="H304" s="50">
        <f t="shared" si="9"/>
        <v>155</v>
      </c>
    </row>
    <row r="305" spans="1:8" x14ac:dyDescent="0.25">
      <c r="A305" s="48" t="s">
        <v>815</v>
      </c>
      <c r="B305" s="48" t="s">
        <v>818</v>
      </c>
      <c r="C305" s="48" t="str">
        <f t="shared" si="8"/>
        <v>Mount Shasta</v>
      </c>
      <c r="D305" s="51">
        <v>11</v>
      </c>
      <c r="E305" s="51">
        <v>7</v>
      </c>
      <c r="F305" s="51">
        <v>8</v>
      </c>
      <c r="G305" s="51">
        <v>19</v>
      </c>
      <c r="H305" s="50">
        <f t="shared" si="9"/>
        <v>45</v>
      </c>
    </row>
    <row r="306" spans="1:8" x14ac:dyDescent="0.25">
      <c r="A306" s="48" t="s">
        <v>835</v>
      </c>
      <c r="B306" s="48" t="s">
        <v>839</v>
      </c>
      <c r="C306" s="48" t="str">
        <f t="shared" si="8"/>
        <v>Mountain View</v>
      </c>
      <c r="D306" s="51">
        <v>814</v>
      </c>
      <c r="E306" s="51">
        <v>492</v>
      </c>
      <c r="F306" s="51">
        <v>527</v>
      </c>
      <c r="G306" s="51">
        <v>1093</v>
      </c>
      <c r="H306" s="50">
        <f t="shared" si="9"/>
        <v>2926</v>
      </c>
    </row>
    <row r="307" spans="1:8" x14ac:dyDescent="0.25">
      <c r="A307" s="48" t="s">
        <v>937</v>
      </c>
      <c r="B307" s="48" t="s">
        <v>945</v>
      </c>
      <c r="C307" s="48" t="str">
        <f t="shared" si="8"/>
        <v>Murrieta</v>
      </c>
      <c r="D307" s="51">
        <v>395</v>
      </c>
      <c r="E307" s="51">
        <v>262</v>
      </c>
      <c r="F307" s="51">
        <v>289</v>
      </c>
      <c r="G307" s="51">
        <v>627</v>
      </c>
      <c r="H307" s="50">
        <f t="shared" si="9"/>
        <v>1573</v>
      </c>
    </row>
    <row r="308" spans="1:8" x14ac:dyDescent="0.25">
      <c r="A308" s="48" t="s">
        <v>1007</v>
      </c>
      <c r="B308" s="48" t="s">
        <v>1007</v>
      </c>
      <c r="C308" s="48" t="str">
        <f t="shared" si="8"/>
        <v>Napa</v>
      </c>
      <c r="D308" s="51">
        <v>185</v>
      </c>
      <c r="E308" s="51">
        <v>106</v>
      </c>
      <c r="F308" s="51">
        <v>141</v>
      </c>
      <c r="G308" s="51">
        <v>403</v>
      </c>
      <c r="H308" s="50">
        <f t="shared" si="9"/>
        <v>835</v>
      </c>
    </row>
    <row r="309" spans="1:8" x14ac:dyDescent="0.25">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887</v>
      </c>
      <c r="B310" s="48" t="s">
        <v>893</v>
      </c>
      <c r="C310" s="48" t="str">
        <f t="shared" si="8"/>
        <v>National City</v>
      </c>
      <c r="D310" s="51">
        <v>465</v>
      </c>
      <c r="E310" s="51">
        <v>353</v>
      </c>
      <c r="F310" s="51">
        <v>327</v>
      </c>
      <c r="G310" s="51">
        <v>718</v>
      </c>
      <c r="H310" s="50">
        <f t="shared" si="9"/>
        <v>1863</v>
      </c>
    </row>
    <row r="311" spans="1:8" x14ac:dyDescent="0.25">
      <c r="A311" s="48" t="s">
        <v>905</v>
      </c>
      <c r="B311" s="48" t="s">
        <v>914</v>
      </c>
      <c r="C311" s="48" t="str">
        <f t="shared" si="8"/>
        <v>Needles</v>
      </c>
      <c r="D311" s="51">
        <v>38</v>
      </c>
      <c r="E311" s="51">
        <v>29</v>
      </c>
      <c r="F311" s="51">
        <v>34</v>
      </c>
      <c r="G311" s="51">
        <v>80</v>
      </c>
      <c r="H311" s="50">
        <f t="shared" si="9"/>
        <v>181</v>
      </c>
    </row>
    <row r="312" spans="1:8" x14ac:dyDescent="0.25">
      <c r="A312" s="48" t="s">
        <v>1004</v>
      </c>
      <c r="B312" s="48" t="s">
        <v>1005</v>
      </c>
      <c r="C312" s="48" t="str">
        <f t="shared" si="8"/>
        <v>Nevada City</v>
      </c>
      <c r="D312" s="51">
        <v>19</v>
      </c>
      <c r="E312" s="51">
        <v>14</v>
      </c>
      <c r="F312" s="51">
        <v>16</v>
      </c>
      <c r="G312" s="51">
        <v>36</v>
      </c>
      <c r="H312" s="50">
        <f t="shared" si="9"/>
        <v>85</v>
      </c>
    </row>
    <row r="313" spans="1:8" x14ac:dyDescent="0.25">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1230</v>
      </c>
      <c r="B314" s="48" t="s">
        <v>1235</v>
      </c>
      <c r="C314" s="48" t="str">
        <f t="shared" si="8"/>
        <v>Newark</v>
      </c>
      <c r="D314" s="51">
        <v>330</v>
      </c>
      <c r="E314" s="51">
        <v>167</v>
      </c>
      <c r="F314" s="51">
        <v>158</v>
      </c>
      <c r="G314" s="51">
        <v>423</v>
      </c>
      <c r="H314" s="50">
        <f t="shared" si="9"/>
        <v>1078</v>
      </c>
    </row>
    <row r="315" spans="1:8" x14ac:dyDescent="0.25">
      <c r="A315" s="48" t="s">
        <v>789</v>
      </c>
      <c r="B315" s="48" t="s">
        <v>794</v>
      </c>
      <c r="C315" s="48" t="str">
        <f t="shared" si="8"/>
        <v>Newman</v>
      </c>
      <c r="D315" s="52">
        <v>186</v>
      </c>
      <c r="E315" s="52">
        <v>119</v>
      </c>
      <c r="F315" s="52">
        <v>136</v>
      </c>
      <c r="G315" s="52">
        <v>337</v>
      </c>
      <c r="H315" s="50">
        <f t="shared" si="9"/>
        <v>778</v>
      </c>
    </row>
    <row r="316" spans="1:8" x14ac:dyDescent="0.25">
      <c r="A316" s="48" t="s">
        <v>970</v>
      </c>
      <c r="B316" s="48" t="s">
        <v>981</v>
      </c>
      <c r="C316" s="48" t="str">
        <f t="shared" si="8"/>
        <v>Newport Beach</v>
      </c>
      <c r="D316" s="51">
        <v>1</v>
      </c>
      <c r="E316" s="51">
        <v>1</v>
      </c>
      <c r="F316" s="51">
        <v>1</v>
      </c>
      <c r="G316" s="51">
        <v>2</v>
      </c>
      <c r="H316" s="50">
        <f t="shared" si="9"/>
        <v>5</v>
      </c>
    </row>
    <row r="317" spans="1:8" x14ac:dyDescent="0.25">
      <c r="A317" s="48" t="s">
        <v>937</v>
      </c>
      <c r="B317" s="48" t="s">
        <v>944</v>
      </c>
      <c r="C317" s="48" t="str">
        <f t="shared" si="8"/>
        <v>Norco</v>
      </c>
      <c r="D317" s="51">
        <v>205</v>
      </c>
      <c r="E317" s="51">
        <v>136</v>
      </c>
      <c r="F317" s="51">
        <v>151</v>
      </c>
      <c r="G317" s="51">
        <v>326</v>
      </c>
      <c r="H317" s="50">
        <f t="shared" si="9"/>
        <v>818</v>
      </c>
    </row>
    <row r="318" spans="1:8" x14ac:dyDescent="0.25">
      <c r="A318" s="48" t="s">
        <v>1047</v>
      </c>
      <c r="B318" s="48" t="s">
        <v>1078</v>
      </c>
      <c r="C318" s="48" t="str">
        <f t="shared" si="8"/>
        <v>Norwalk</v>
      </c>
      <c r="D318" s="51">
        <v>52</v>
      </c>
      <c r="E318" s="51">
        <v>31</v>
      </c>
      <c r="F318" s="51">
        <v>33</v>
      </c>
      <c r="G318" s="51">
        <v>85</v>
      </c>
      <c r="H318" s="50">
        <f t="shared" si="9"/>
        <v>201</v>
      </c>
    </row>
    <row r="319" spans="1:8" x14ac:dyDescent="0.25">
      <c r="A319" s="48" t="s">
        <v>1037</v>
      </c>
      <c r="B319" s="48" t="s">
        <v>1040</v>
      </c>
      <c r="C319" s="48" t="str">
        <f t="shared" si="8"/>
        <v>Novato</v>
      </c>
      <c r="D319" s="51">
        <v>111</v>
      </c>
      <c r="E319" s="51">
        <v>65</v>
      </c>
      <c r="F319" s="51">
        <v>72</v>
      </c>
      <c r="G319" s="51">
        <v>167</v>
      </c>
      <c r="H319" s="50">
        <f t="shared" si="9"/>
        <v>415</v>
      </c>
    </row>
    <row r="320" spans="1:8" x14ac:dyDescent="0.25">
      <c r="A320" s="48" t="s">
        <v>789</v>
      </c>
      <c r="B320" s="48" t="s">
        <v>793</v>
      </c>
      <c r="C320" s="48" t="str">
        <f t="shared" si="8"/>
        <v>Oakdale</v>
      </c>
      <c r="D320" s="52">
        <v>315</v>
      </c>
      <c r="E320" s="52">
        <v>202</v>
      </c>
      <c r="F320" s="52">
        <v>210</v>
      </c>
      <c r="G320" s="52">
        <v>520</v>
      </c>
      <c r="H320" s="50">
        <f t="shared" si="9"/>
        <v>1247</v>
      </c>
    </row>
    <row r="321" spans="1:8" x14ac:dyDescent="0.25">
      <c r="A321" s="48" t="s">
        <v>1230</v>
      </c>
      <c r="B321" s="48" t="s">
        <v>1234</v>
      </c>
      <c r="C321" s="48" t="str">
        <f t="shared" si="8"/>
        <v>Oakland</v>
      </c>
      <c r="D321" s="51">
        <v>2059</v>
      </c>
      <c r="E321" s="51">
        <v>2075</v>
      </c>
      <c r="F321" s="51">
        <v>2815</v>
      </c>
      <c r="G321" s="51">
        <v>7816</v>
      </c>
      <c r="H321" s="50">
        <f t="shared" si="9"/>
        <v>14765</v>
      </c>
    </row>
    <row r="322" spans="1:8" x14ac:dyDescent="0.25">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5">
      <c r="A323" s="48" t="s">
        <v>887</v>
      </c>
      <c r="B323" s="48" t="s">
        <v>892</v>
      </c>
      <c r="C323" s="48" t="str">
        <f t="shared" si="10"/>
        <v>Oceanside</v>
      </c>
      <c r="D323" s="51">
        <v>1549</v>
      </c>
      <c r="E323" s="51">
        <v>1178</v>
      </c>
      <c r="F323" s="51">
        <v>1090</v>
      </c>
      <c r="G323" s="51">
        <v>2393</v>
      </c>
      <c r="H323" s="50">
        <f t="shared" si="11"/>
        <v>6210</v>
      </c>
    </row>
    <row r="324" spans="1:8" x14ac:dyDescent="0.25">
      <c r="A324" s="48" t="s">
        <v>762</v>
      </c>
      <c r="B324" s="48" t="s">
        <v>768</v>
      </c>
      <c r="C324" s="48" t="str">
        <f t="shared" si="10"/>
        <v>Ojai</v>
      </c>
      <c r="D324" s="51">
        <v>87</v>
      </c>
      <c r="E324" s="51">
        <v>59</v>
      </c>
      <c r="F324" s="51">
        <v>70</v>
      </c>
      <c r="G324" s="51">
        <v>155</v>
      </c>
      <c r="H324" s="50">
        <f t="shared" si="11"/>
        <v>371</v>
      </c>
    </row>
    <row r="325" spans="1:8" x14ac:dyDescent="0.25">
      <c r="A325" s="48" t="s">
        <v>905</v>
      </c>
      <c r="B325" s="48" t="s">
        <v>913</v>
      </c>
      <c r="C325" s="48" t="str">
        <f t="shared" si="10"/>
        <v>Ontario</v>
      </c>
      <c r="D325" s="51">
        <v>2592</v>
      </c>
      <c r="E325" s="51">
        <v>1745</v>
      </c>
      <c r="F325" s="51">
        <v>1977</v>
      </c>
      <c r="G325" s="51">
        <v>4547</v>
      </c>
      <c r="H325" s="50">
        <f t="shared" si="11"/>
        <v>10861</v>
      </c>
    </row>
    <row r="326" spans="1:8" x14ac:dyDescent="0.25">
      <c r="A326" s="48" t="s">
        <v>970</v>
      </c>
      <c r="B326" s="48" t="s">
        <v>970</v>
      </c>
      <c r="C326" s="48" t="str">
        <f t="shared" si="10"/>
        <v>Orange</v>
      </c>
      <c r="D326" s="51">
        <v>83</v>
      </c>
      <c r="E326" s="51">
        <v>59</v>
      </c>
      <c r="F326" s="51">
        <v>66</v>
      </c>
      <c r="G326" s="51">
        <v>155</v>
      </c>
      <c r="H326" s="50">
        <f t="shared" si="11"/>
        <v>363</v>
      </c>
    </row>
    <row r="327" spans="1:8" x14ac:dyDescent="0.25">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1178</v>
      </c>
      <c r="B328" s="48" t="s">
        <v>1182</v>
      </c>
      <c r="C328" s="48" t="str">
        <f t="shared" si="10"/>
        <v>Orange Cove</v>
      </c>
      <c r="D328" s="58">
        <v>111</v>
      </c>
      <c r="E328" s="58">
        <v>86</v>
      </c>
      <c r="F328" s="58">
        <v>105</v>
      </c>
      <c r="G328" s="58">
        <v>367</v>
      </c>
      <c r="H328" s="50">
        <f t="shared" si="11"/>
        <v>669</v>
      </c>
    </row>
    <row r="329" spans="1:8" x14ac:dyDescent="0.25">
      <c r="A329" s="48" t="s">
        <v>1197</v>
      </c>
      <c r="B329" s="48" t="s">
        <v>1204</v>
      </c>
      <c r="C329" s="48" t="str">
        <f t="shared" si="10"/>
        <v>Orinda</v>
      </c>
      <c r="D329" s="51">
        <v>84</v>
      </c>
      <c r="E329" s="51">
        <v>47</v>
      </c>
      <c r="F329" s="51">
        <v>54</v>
      </c>
      <c r="G329" s="51">
        <v>42</v>
      </c>
      <c r="H329" s="50">
        <f t="shared" si="11"/>
        <v>227</v>
      </c>
    </row>
    <row r="330" spans="1:8" x14ac:dyDescent="0.25">
      <c r="A330" s="48" t="s">
        <v>1175</v>
      </c>
      <c r="B330" s="48" t="s">
        <v>1176</v>
      </c>
      <c r="C330" s="48" t="str">
        <f t="shared" si="10"/>
        <v>Orland</v>
      </c>
      <c r="D330" s="51">
        <v>20</v>
      </c>
      <c r="E330" s="51">
        <v>10</v>
      </c>
      <c r="F330" s="51">
        <v>14</v>
      </c>
      <c r="G330" s="51">
        <v>36</v>
      </c>
      <c r="H330" s="50">
        <f t="shared" si="11"/>
        <v>80</v>
      </c>
    </row>
    <row r="331" spans="1:8" x14ac:dyDescent="0.25">
      <c r="A331" s="48" t="s">
        <v>1218</v>
      </c>
      <c r="B331" s="48" t="s">
        <v>1219</v>
      </c>
      <c r="C331" s="48" t="str">
        <f t="shared" si="10"/>
        <v>Oroville</v>
      </c>
      <c r="D331" s="51">
        <v>419</v>
      </c>
      <c r="E331" s="51">
        <v>284</v>
      </c>
      <c r="F331" s="51">
        <v>306</v>
      </c>
      <c r="G331" s="51">
        <v>784</v>
      </c>
      <c r="H331" s="50">
        <f t="shared" si="11"/>
        <v>1793</v>
      </c>
    </row>
    <row r="332" spans="1:8" x14ac:dyDescent="0.25">
      <c r="A332" s="48" t="s">
        <v>762</v>
      </c>
      <c r="B332" s="48" t="s">
        <v>767</v>
      </c>
      <c r="C332" s="48" t="str">
        <f t="shared" si="10"/>
        <v>Oxnard</v>
      </c>
      <c r="D332" s="51">
        <v>1688</v>
      </c>
      <c r="E332" s="51">
        <v>1160</v>
      </c>
      <c r="F332" s="51">
        <v>1351</v>
      </c>
      <c r="G332" s="51">
        <v>3102</v>
      </c>
      <c r="H332" s="50">
        <f t="shared" si="11"/>
        <v>7301</v>
      </c>
    </row>
    <row r="333" spans="1:8" x14ac:dyDescent="0.25">
      <c r="A333" s="48" t="s">
        <v>1012</v>
      </c>
      <c r="B333" s="48" t="s">
        <v>1016</v>
      </c>
      <c r="C333" s="48" t="str">
        <f t="shared" si="10"/>
        <v>Pacific Grove</v>
      </c>
      <c r="D333" s="54">
        <v>28</v>
      </c>
      <c r="E333" s="54">
        <v>18</v>
      </c>
      <c r="F333" s="54">
        <v>21</v>
      </c>
      <c r="G333" s="54">
        <v>48</v>
      </c>
      <c r="H333" s="59">
        <f t="shared" si="11"/>
        <v>115</v>
      </c>
    </row>
    <row r="334" spans="1:8" x14ac:dyDescent="0.25">
      <c r="A334" s="48" t="s">
        <v>855</v>
      </c>
      <c r="B334" s="48" t="s">
        <v>860</v>
      </c>
      <c r="C334" s="48" t="str">
        <f t="shared" si="10"/>
        <v>Pacifica</v>
      </c>
      <c r="D334" s="51">
        <v>121</v>
      </c>
      <c r="E334" s="51">
        <v>68</v>
      </c>
      <c r="F334" s="51">
        <v>70</v>
      </c>
      <c r="G334" s="51">
        <v>154</v>
      </c>
      <c r="H334" s="50">
        <f t="shared" si="11"/>
        <v>413</v>
      </c>
    </row>
    <row r="335" spans="1:8" x14ac:dyDescent="0.25">
      <c r="A335" s="48" t="s">
        <v>937</v>
      </c>
      <c r="B335" s="48" t="s">
        <v>943</v>
      </c>
      <c r="C335" s="48" t="str">
        <f t="shared" si="10"/>
        <v>Palm Desert</v>
      </c>
      <c r="D335" s="51">
        <v>98</v>
      </c>
      <c r="E335" s="51">
        <v>67</v>
      </c>
      <c r="F335" s="51">
        <v>76</v>
      </c>
      <c r="G335" s="51">
        <v>172</v>
      </c>
      <c r="H335" s="50">
        <f t="shared" si="11"/>
        <v>413</v>
      </c>
    </row>
    <row r="336" spans="1:8" x14ac:dyDescent="0.25">
      <c r="A336" s="48" t="s">
        <v>937</v>
      </c>
      <c r="B336" s="48" t="s">
        <v>942</v>
      </c>
      <c r="C336" s="48" t="str">
        <f t="shared" si="10"/>
        <v>Palm Springs</v>
      </c>
      <c r="D336" s="51">
        <v>63</v>
      </c>
      <c r="E336" s="51">
        <v>43</v>
      </c>
      <c r="F336" s="51">
        <v>50</v>
      </c>
      <c r="G336" s="51">
        <v>116</v>
      </c>
      <c r="H336" s="50">
        <f t="shared" si="11"/>
        <v>272</v>
      </c>
    </row>
    <row r="337" spans="1:8" x14ac:dyDescent="0.25">
      <c r="A337" s="48" t="s">
        <v>1047</v>
      </c>
      <c r="B337" s="48" t="s">
        <v>1077</v>
      </c>
      <c r="C337" s="48" t="str">
        <f t="shared" si="10"/>
        <v>Palmdale</v>
      </c>
      <c r="D337" s="51">
        <v>1395</v>
      </c>
      <c r="E337" s="51">
        <v>827</v>
      </c>
      <c r="F337" s="51">
        <v>898</v>
      </c>
      <c r="G337" s="51">
        <v>2332</v>
      </c>
      <c r="H337" s="50">
        <f t="shared" si="11"/>
        <v>5452</v>
      </c>
    </row>
    <row r="338" spans="1:8" x14ac:dyDescent="0.25">
      <c r="A338" s="48" t="s">
        <v>835</v>
      </c>
      <c r="B338" s="48" t="s">
        <v>838</v>
      </c>
      <c r="C338" s="48" t="str">
        <f t="shared" si="10"/>
        <v>Palo Alto</v>
      </c>
      <c r="D338" s="51">
        <v>691</v>
      </c>
      <c r="E338" s="51">
        <v>432</v>
      </c>
      <c r="F338" s="51">
        <v>278</v>
      </c>
      <c r="G338" s="51">
        <v>587</v>
      </c>
      <c r="H338" s="50">
        <f t="shared" si="11"/>
        <v>1988</v>
      </c>
    </row>
    <row r="339" spans="1:8" x14ac:dyDescent="0.25">
      <c r="A339" s="48" t="s">
        <v>1047</v>
      </c>
      <c r="B339" s="48" t="s">
        <v>1076</v>
      </c>
      <c r="C339" s="48" t="str">
        <f t="shared" si="10"/>
        <v>Palos Verdes Estates</v>
      </c>
      <c r="D339" s="51">
        <v>4</v>
      </c>
      <c r="E339" s="51">
        <v>3</v>
      </c>
      <c r="F339" s="51">
        <v>3</v>
      </c>
      <c r="G339" s="51">
        <v>6</v>
      </c>
      <c r="H339" s="50">
        <f t="shared" si="11"/>
        <v>16</v>
      </c>
    </row>
    <row r="340" spans="1:8" x14ac:dyDescent="0.25">
      <c r="A340" s="48" t="s">
        <v>1218</v>
      </c>
      <c r="B340" s="48" t="s">
        <v>1316</v>
      </c>
      <c r="C340" s="48" t="str">
        <f t="shared" si="10"/>
        <v>Paradise</v>
      </c>
      <c r="D340" s="51">
        <v>141</v>
      </c>
      <c r="E340" s="51">
        <v>100</v>
      </c>
      <c r="F340" s="51">
        <v>93</v>
      </c>
      <c r="G340" s="51">
        <v>303</v>
      </c>
      <c r="H340" s="50">
        <f t="shared" si="11"/>
        <v>637</v>
      </c>
    </row>
    <row r="341" spans="1:8" x14ac:dyDescent="0.25">
      <c r="A341" s="48" t="s">
        <v>1047</v>
      </c>
      <c r="B341" s="48" t="s">
        <v>1075</v>
      </c>
      <c r="C341" s="48" t="str">
        <f t="shared" si="10"/>
        <v>Paramount</v>
      </c>
      <c r="D341" s="51">
        <v>26</v>
      </c>
      <c r="E341" s="51">
        <v>16</v>
      </c>
      <c r="F341" s="51">
        <v>17</v>
      </c>
      <c r="G341" s="51">
        <v>46</v>
      </c>
      <c r="H341" s="50">
        <f t="shared" si="11"/>
        <v>105</v>
      </c>
    </row>
    <row r="342" spans="1:8" x14ac:dyDescent="0.25">
      <c r="A342" s="48" t="s">
        <v>1178</v>
      </c>
      <c r="B342" s="48" t="s">
        <v>1181</v>
      </c>
      <c r="C342" s="48" t="str">
        <f t="shared" si="10"/>
        <v>Parlier</v>
      </c>
      <c r="D342" s="58">
        <v>110</v>
      </c>
      <c r="E342" s="58">
        <v>82</v>
      </c>
      <c r="F342" s="58">
        <v>77</v>
      </c>
      <c r="G342" s="58">
        <v>319</v>
      </c>
      <c r="H342" s="50">
        <f t="shared" si="11"/>
        <v>588</v>
      </c>
    </row>
    <row r="343" spans="1:8" x14ac:dyDescent="0.25">
      <c r="A343" s="48" t="s">
        <v>1047</v>
      </c>
      <c r="B343" s="48" t="s">
        <v>1074</v>
      </c>
      <c r="C343" s="48" t="str">
        <f t="shared" si="10"/>
        <v>Pasadena</v>
      </c>
      <c r="D343" s="51">
        <v>340</v>
      </c>
      <c r="E343" s="51">
        <v>207</v>
      </c>
      <c r="F343" s="51">
        <v>224</v>
      </c>
      <c r="G343" s="51">
        <v>561</v>
      </c>
      <c r="H343" s="50">
        <f t="shared" si="11"/>
        <v>1332</v>
      </c>
    </row>
    <row r="344" spans="1:8" x14ac:dyDescent="0.25">
      <c r="A344" s="48" t="s">
        <v>870</v>
      </c>
      <c r="B344" s="48" t="s">
        <v>872</v>
      </c>
      <c r="C344" s="48" t="str">
        <f t="shared" si="10"/>
        <v>Paso Robles</v>
      </c>
      <c r="D344" s="51">
        <v>123</v>
      </c>
      <c r="E344" s="51">
        <v>77</v>
      </c>
      <c r="F344" s="51">
        <v>87</v>
      </c>
      <c r="G344" s="51">
        <v>206</v>
      </c>
      <c r="H344" s="50">
        <f t="shared" si="11"/>
        <v>493</v>
      </c>
    </row>
    <row r="345" spans="1:8" x14ac:dyDescent="0.25">
      <c r="A345" s="48" t="s">
        <v>789</v>
      </c>
      <c r="B345" s="48" t="s">
        <v>792</v>
      </c>
      <c r="C345" s="48" t="str">
        <f t="shared" si="10"/>
        <v>Patterson</v>
      </c>
      <c r="D345" s="52">
        <v>636</v>
      </c>
      <c r="E345" s="52">
        <v>408</v>
      </c>
      <c r="F345" s="52">
        <v>416</v>
      </c>
      <c r="G345" s="52">
        <v>1031</v>
      </c>
      <c r="H345" s="50">
        <f t="shared" si="11"/>
        <v>2491</v>
      </c>
    </row>
    <row r="346" spans="1:8" x14ac:dyDescent="0.25">
      <c r="A346" s="48" t="s">
        <v>937</v>
      </c>
      <c r="B346" s="48" t="s">
        <v>941</v>
      </c>
      <c r="C346" s="48" t="str">
        <f t="shared" si="10"/>
        <v>Perris</v>
      </c>
      <c r="D346" s="51">
        <v>1026</v>
      </c>
      <c r="E346" s="51">
        <v>681</v>
      </c>
      <c r="F346" s="51">
        <v>759</v>
      </c>
      <c r="G346" s="51">
        <v>1814</v>
      </c>
      <c r="H346" s="50">
        <f t="shared" si="11"/>
        <v>4280</v>
      </c>
    </row>
    <row r="347" spans="1:8" x14ac:dyDescent="0.25">
      <c r="A347" s="48" t="s">
        <v>798</v>
      </c>
      <c r="B347" s="48" t="s">
        <v>802</v>
      </c>
      <c r="C347" s="48" t="str">
        <f t="shared" si="10"/>
        <v>Petaluma</v>
      </c>
      <c r="D347" s="51">
        <v>199</v>
      </c>
      <c r="E347" s="51">
        <v>103</v>
      </c>
      <c r="F347" s="51">
        <v>121</v>
      </c>
      <c r="G347" s="51">
        <v>322</v>
      </c>
      <c r="H347" s="50">
        <f t="shared" si="11"/>
        <v>745</v>
      </c>
    </row>
    <row r="348" spans="1:8" x14ac:dyDescent="0.25">
      <c r="A348" s="48" t="s">
        <v>1047</v>
      </c>
      <c r="B348" s="48" t="s">
        <v>1073</v>
      </c>
      <c r="C348" s="48" t="str">
        <f t="shared" si="10"/>
        <v>Pico Rivera</v>
      </c>
      <c r="D348" s="51">
        <v>217</v>
      </c>
      <c r="E348" s="51">
        <v>131</v>
      </c>
      <c r="F348" s="51">
        <v>140</v>
      </c>
      <c r="G348" s="51">
        <v>362</v>
      </c>
      <c r="H348" s="50">
        <f t="shared" si="11"/>
        <v>850</v>
      </c>
    </row>
    <row r="349" spans="1:8" x14ac:dyDescent="0.25">
      <c r="A349" s="48" t="s">
        <v>1230</v>
      </c>
      <c r="B349" s="48" t="s">
        <v>1233</v>
      </c>
      <c r="C349" s="48" t="str">
        <f t="shared" si="10"/>
        <v>Piedmont</v>
      </c>
      <c r="D349" s="51">
        <v>24</v>
      </c>
      <c r="E349" s="51">
        <v>14</v>
      </c>
      <c r="F349" s="51">
        <v>15</v>
      </c>
      <c r="G349" s="51">
        <v>7</v>
      </c>
      <c r="H349" s="50">
        <f t="shared" si="11"/>
        <v>60</v>
      </c>
    </row>
    <row r="350" spans="1:8" x14ac:dyDescent="0.25">
      <c r="A350" s="48" t="s">
        <v>1197</v>
      </c>
      <c r="B350" s="48" t="s">
        <v>1203</v>
      </c>
      <c r="C350" s="48" t="str">
        <f t="shared" si="10"/>
        <v>Pinole</v>
      </c>
      <c r="D350" s="51">
        <v>80</v>
      </c>
      <c r="E350" s="51">
        <v>48</v>
      </c>
      <c r="F350" s="51">
        <v>43</v>
      </c>
      <c r="G350" s="51">
        <v>126</v>
      </c>
      <c r="H350" s="50">
        <f t="shared" si="11"/>
        <v>297</v>
      </c>
    </row>
    <row r="351" spans="1:8" x14ac:dyDescent="0.25">
      <c r="A351" s="48" t="s">
        <v>870</v>
      </c>
      <c r="B351" s="48" t="s">
        <v>871</v>
      </c>
      <c r="C351" s="48" t="str">
        <f t="shared" si="10"/>
        <v>Pismo Beach</v>
      </c>
      <c r="D351" s="51">
        <v>38</v>
      </c>
      <c r="E351" s="51">
        <v>24</v>
      </c>
      <c r="F351" s="51">
        <v>27</v>
      </c>
      <c r="G351" s="51">
        <v>64</v>
      </c>
      <c r="H351" s="50">
        <f t="shared" si="11"/>
        <v>153</v>
      </c>
    </row>
    <row r="352" spans="1:8" x14ac:dyDescent="0.25">
      <c r="A352" s="48" t="s">
        <v>1197</v>
      </c>
      <c r="B352" s="48" t="s">
        <v>1202</v>
      </c>
      <c r="C352" s="48" t="str">
        <f t="shared" si="10"/>
        <v>Pittsburg</v>
      </c>
      <c r="D352" s="51">
        <v>392</v>
      </c>
      <c r="E352" s="51">
        <v>254</v>
      </c>
      <c r="F352" s="51">
        <v>316</v>
      </c>
      <c r="G352" s="51">
        <v>1063</v>
      </c>
      <c r="H352" s="50">
        <f t="shared" si="11"/>
        <v>2025</v>
      </c>
    </row>
    <row r="353" spans="1:8" x14ac:dyDescent="0.25">
      <c r="A353" s="48" t="s">
        <v>970</v>
      </c>
      <c r="B353" s="48" t="s">
        <v>980</v>
      </c>
      <c r="C353" s="48" t="str">
        <f t="shared" si="10"/>
        <v>Placentia</v>
      </c>
      <c r="D353" s="51">
        <v>112</v>
      </c>
      <c r="E353" s="51">
        <v>81</v>
      </c>
      <c r="F353" s="51">
        <v>90</v>
      </c>
      <c r="G353" s="51">
        <v>209</v>
      </c>
      <c r="H353" s="50">
        <f t="shared" si="11"/>
        <v>492</v>
      </c>
    </row>
    <row r="354" spans="1:8" x14ac:dyDescent="0.25">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1192</v>
      </c>
      <c r="B355" s="48" t="s">
        <v>1193</v>
      </c>
      <c r="C355" s="48" t="str">
        <f t="shared" si="10"/>
        <v>Placerville</v>
      </c>
      <c r="D355" s="51">
        <v>78</v>
      </c>
      <c r="E355" s="51">
        <v>55</v>
      </c>
      <c r="F355" s="51">
        <v>69</v>
      </c>
      <c r="G355" s="51">
        <v>170</v>
      </c>
      <c r="H355" s="50">
        <f t="shared" si="11"/>
        <v>372</v>
      </c>
    </row>
    <row r="356" spans="1:8" x14ac:dyDescent="0.25">
      <c r="A356" s="48" t="s">
        <v>1197</v>
      </c>
      <c r="B356" s="48" t="s">
        <v>1201</v>
      </c>
      <c r="C356" s="48" t="str">
        <f t="shared" si="10"/>
        <v>Pleasant Hill</v>
      </c>
      <c r="D356" s="51">
        <v>118</v>
      </c>
      <c r="E356" s="51">
        <v>69</v>
      </c>
      <c r="F356" s="51">
        <v>84</v>
      </c>
      <c r="G356" s="51">
        <v>177</v>
      </c>
      <c r="H356" s="50">
        <f t="shared" si="11"/>
        <v>448</v>
      </c>
    </row>
    <row r="357" spans="1:8" x14ac:dyDescent="0.25">
      <c r="A357" s="48" t="s">
        <v>1230</v>
      </c>
      <c r="B357" s="48" t="s">
        <v>1232</v>
      </c>
      <c r="C357" s="48" t="str">
        <f t="shared" si="10"/>
        <v>Pleasanton</v>
      </c>
      <c r="D357" s="51">
        <v>716</v>
      </c>
      <c r="E357" s="51">
        <v>391</v>
      </c>
      <c r="F357" s="51">
        <v>407</v>
      </c>
      <c r="G357" s="51">
        <v>553</v>
      </c>
      <c r="H357" s="50">
        <f t="shared" si="11"/>
        <v>2067</v>
      </c>
    </row>
    <row r="358" spans="1:8" x14ac:dyDescent="0.25">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1224</v>
      </c>
      <c r="B359" s="48" t="s">
        <v>1225</v>
      </c>
      <c r="C359" s="48" t="str">
        <f t="shared" si="10"/>
        <v>Plymouth</v>
      </c>
      <c r="D359" s="51">
        <v>1</v>
      </c>
      <c r="E359" s="51">
        <v>1</v>
      </c>
      <c r="F359" s="51">
        <v>1</v>
      </c>
      <c r="G359" s="51">
        <v>1</v>
      </c>
      <c r="H359" s="50">
        <f t="shared" si="11"/>
        <v>4</v>
      </c>
    </row>
    <row r="360" spans="1:8" x14ac:dyDescent="0.25">
      <c r="A360" s="48" t="s">
        <v>1033</v>
      </c>
      <c r="B360" s="48" t="s">
        <v>1035</v>
      </c>
      <c r="C360" s="48" t="str">
        <f t="shared" si="10"/>
        <v>Point Arena</v>
      </c>
      <c r="D360" s="51">
        <v>1</v>
      </c>
      <c r="E360" s="51">
        <v>1</v>
      </c>
      <c r="F360" s="51">
        <v>1</v>
      </c>
      <c r="G360" s="51">
        <v>1</v>
      </c>
      <c r="H360" s="50">
        <f t="shared" si="11"/>
        <v>4</v>
      </c>
    </row>
    <row r="361" spans="1:8" x14ac:dyDescent="0.25">
      <c r="A361" s="48" t="s">
        <v>1047</v>
      </c>
      <c r="B361" s="48" t="s">
        <v>1072</v>
      </c>
      <c r="C361" s="48" t="str">
        <f t="shared" si="10"/>
        <v>Pomona</v>
      </c>
      <c r="D361" s="51">
        <v>919</v>
      </c>
      <c r="E361" s="51">
        <v>543</v>
      </c>
      <c r="F361" s="51">
        <v>592</v>
      </c>
      <c r="G361" s="51">
        <v>1572</v>
      </c>
      <c r="H361" s="50">
        <f t="shared" si="11"/>
        <v>3626</v>
      </c>
    </row>
    <row r="362" spans="1:8" x14ac:dyDescent="0.25">
      <c r="A362" s="48" t="s">
        <v>762</v>
      </c>
      <c r="B362" s="48" t="s">
        <v>766</v>
      </c>
      <c r="C362" s="48" t="str">
        <f t="shared" si="10"/>
        <v>Port Hueneme</v>
      </c>
      <c r="D362" s="51">
        <v>1</v>
      </c>
      <c r="E362" s="51">
        <v>1</v>
      </c>
      <c r="F362" s="51">
        <v>0</v>
      </c>
      <c r="G362" s="51">
        <v>0</v>
      </c>
      <c r="H362" s="50">
        <f t="shared" si="11"/>
        <v>2</v>
      </c>
    </row>
    <row r="363" spans="1:8" x14ac:dyDescent="0.25">
      <c r="A363" s="48" t="s">
        <v>775</v>
      </c>
      <c r="B363" s="48" t="s">
        <v>777</v>
      </c>
      <c r="C363" s="48" t="str">
        <f t="shared" si="10"/>
        <v>Porterville</v>
      </c>
      <c r="D363" s="52">
        <v>623</v>
      </c>
      <c r="E363" s="52">
        <v>576</v>
      </c>
      <c r="F363" s="52">
        <v>566</v>
      </c>
      <c r="G363" s="52">
        <v>1431</v>
      </c>
      <c r="H363" s="50">
        <f t="shared" si="11"/>
        <v>3196</v>
      </c>
    </row>
    <row r="364" spans="1:8" x14ac:dyDescent="0.25">
      <c r="A364" s="48" t="s">
        <v>962</v>
      </c>
      <c r="B364" s="48" t="s">
        <v>961</v>
      </c>
      <c r="C364" s="48" t="str">
        <f t="shared" si="10"/>
        <v>Portola</v>
      </c>
      <c r="D364" s="51">
        <v>3</v>
      </c>
      <c r="E364" s="51">
        <v>2</v>
      </c>
      <c r="F364" s="51">
        <v>3</v>
      </c>
      <c r="G364" s="51">
        <v>5</v>
      </c>
      <c r="H364" s="50">
        <f t="shared" si="11"/>
        <v>13</v>
      </c>
    </row>
    <row r="365" spans="1:8" x14ac:dyDescent="0.25">
      <c r="A365" s="48" t="s">
        <v>855</v>
      </c>
      <c r="B365" s="48" t="s">
        <v>1334</v>
      </c>
      <c r="C365" s="48" t="str">
        <f t="shared" si="10"/>
        <v>Portola Valley</v>
      </c>
      <c r="D365" s="51">
        <v>21</v>
      </c>
      <c r="E365" s="51">
        <v>15</v>
      </c>
      <c r="F365" s="51">
        <v>15</v>
      </c>
      <c r="G365" s="51">
        <v>13</v>
      </c>
      <c r="H365" s="50">
        <f t="shared" si="11"/>
        <v>64</v>
      </c>
    </row>
    <row r="366" spans="1:8" x14ac:dyDescent="0.25">
      <c r="A366" s="48" t="s">
        <v>887</v>
      </c>
      <c r="B366" s="48" t="s">
        <v>891</v>
      </c>
      <c r="C366" s="48" t="str">
        <f t="shared" si="10"/>
        <v>Poway</v>
      </c>
      <c r="D366" s="51">
        <v>201</v>
      </c>
      <c r="E366" s="51">
        <v>152</v>
      </c>
      <c r="F366" s="51">
        <v>282</v>
      </c>
      <c r="G366" s="51">
        <v>618</v>
      </c>
      <c r="H366" s="50">
        <f t="shared" si="11"/>
        <v>1253</v>
      </c>
    </row>
    <row r="367" spans="1:8" x14ac:dyDescent="0.25">
      <c r="A367" s="48" t="s">
        <v>930</v>
      </c>
      <c r="B367" s="48" t="s">
        <v>931</v>
      </c>
      <c r="C367" s="48" t="str">
        <f t="shared" si="10"/>
        <v>Rancho Cordova</v>
      </c>
      <c r="D367" s="51">
        <v>1539</v>
      </c>
      <c r="E367" s="51">
        <v>1079</v>
      </c>
      <c r="F367" s="51">
        <v>1303</v>
      </c>
      <c r="G367" s="51">
        <v>3087</v>
      </c>
      <c r="H367" s="50">
        <f t="shared" si="11"/>
        <v>7008</v>
      </c>
    </row>
    <row r="368" spans="1:8" x14ac:dyDescent="0.25">
      <c r="A368" s="48" t="s">
        <v>905</v>
      </c>
      <c r="B368" s="48" t="s">
        <v>912</v>
      </c>
      <c r="C368" s="48" t="str">
        <f t="shared" si="10"/>
        <v>Rancho Cucamonga</v>
      </c>
      <c r="D368" s="51">
        <v>209</v>
      </c>
      <c r="E368" s="51">
        <v>141</v>
      </c>
      <c r="F368" s="51">
        <v>158</v>
      </c>
      <c r="G368" s="51">
        <v>340</v>
      </c>
      <c r="H368" s="50">
        <f t="shared" si="11"/>
        <v>848</v>
      </c>
    </row>
    <row r="369" spans="1:8" x14ac:dyDescent="0.25">
      <c r="A369" s="48" t="s">
        <v>937</v>
      </c>
      <c r="B369" s="48" t="s">
        <v>940</v>
      </c>
      <c r="C369" s="48" t="str">
        <f t="shared" si="10"/>
        <v>Rancho Mirage</v>
      </c>
      <c r="D369" s="51">
        <v>23</v>
      </c>
      <c r="E369" s="51">
        <v>15</v>
      </c>
      <c r="F369" s="51">
        <v>18</v>
      </c>
      <c r="G369" s="51">
        <v>39</v>
      </c>
      <c r="H369" s="50">
        <f t="shared" si="11"/>
        <v>95</v>
      </c>
    </row>
    <row r="370" spans="1:8" x14ac:dyDescent="0.25">
      <c r="A370" s="48" t="s">
        <v>1047</v>
      </c>
      <c r="B370" s="48" t="s">
        <v>1071</v>
      </c>
      <c r="C370" s="48" t="str">
        <f t="shared" si="10"/>
        <v>Rancho Palos Verdes</v>
      </c>
      <c r="D370" s="51">
        <v>8</v>
      </c>
      <c r="E370" s="51">
        <v>5</v>
      </c>
      <c r="F370" s="51">
        <v>5</v>
      </c>
      <c r="G370" s="51">
        <v>13</v>
      </c>
      <c r="H370" s="50">
        <f t="shared" si="11"/>
        <v>31</v>
      </c>
    </row>
    <row r="371" spans="1:8" x14ac:dyDescent="0.25">
      <c r="A371" s="48" t="s">
        <v>970</v>
      </c>
      <c r="B371" s="48" t="s">
        <v>979</v>
      </c>
      <c r="C371" s="48" t="str">
        <f t="shared" si="10"/>
        <v>Rancho Santa Margarita</v>
      </c>
      <c r="D371" s="51">
        <v>1</v>
      </c>
      <c r="E371" s="51">
        <v>1</v>
      </c>
      <c r="F371" s="51">
        <v>0</v>
      </c>
      <c r="G371" s="51">
        <v>0</v>
      </c>
      <c r="H371" s="50">
        <f t="shared" si="11"/>
        <v>2</v>
      </c>
    </row>
    <row r="372" spans="1:8" x14ac:dyDescent="0.25">
      <c r="A372" s="48" t="s">
        <v>782</v>
      </c>
      <c r="B372" s="48" t="s">
        <v>783</v>
      </c>
      <c r="C372" s="48" t="str">
        <f t="shared" si="10"/>
        <v>Red Bluff</v>
      </c>
      <c r="D372" s="51">
        <v>73</v>
      </c>
      <c r="E372" s="51">
        <v>52</v>
      </c>
      <c r="F372" s="51">
        <v>61</v>
      </c>
      <c r="G372" s="51">
        <v>137</v>
      </c>
      <c r="H372" s="50">
        <f t="shared" si="11"/>
        <v>323</v>
      </c>
    </row>
    <row r="373" spans="1:8" x14ac:dyDescent="0.25">
      <c r="A373" s="48" t="s">
        <v>827</v>
      </c>
      <c r="B373" s="48" t="s">
        <v>828</v>
      </c>
      <c r="C373" s="48" t="str">
        <f t="shared" si="10"/>
        <v>Redding</v>
      </c>
      <c r="D373" s="51">
        <v>287</v>
      </c>
      <c r="E373" s="51">
        <v>181</v>
      </c>
      <c r="F373" s="51">
        <v>205</v>
      </c>
      <c r="G373" s="51">
        <v>502</v>
      </c>
      <c r="H373" s="50">
        <f t="shared" si="11"/>
        <v>1175</v>
      </c>
    </row>
    <row r="374" spans="1:8" x14ac:dyDescent="0.25">
      <c r="A374" s="48" t="s">
        <v>905</v>
      </c>
      <c r="B374" s="48" t="s">
        <v>911</v>
      </c>
      <c r="C374" s="48" t="str">
        <f t="shared" si="10"/>
        <v>Redlands</v>
      </c>
      <c r="D374" s="51">
        <v>579</v>
      </c>
      <c r="E374" s="51">
        <v>396</v>
      </c>
      <c r="F374" s="51">
        <v>453</v>
      </c>
      <c r="G374" s="51">
        <v>1001</v>
      </c>
      <c r="H374" s="50">
        <f t="shared" si="11"/>
        <v>2429</v>
      </c>
    </row>
    <row r="375" spans="1:8" x14ac:dyDescent="0.25">
      <c r="A375" s="48" t="s">
        <v>1047</v>
      </c>
      <c r="B375" s="48" t="s">
        <v>1070</v>
      </c>
      <c r="C375" s="48" t="str">
        <f t="shared" si="10"/>
        <v>Redondo Beach</v>
      </c>
      <c r="D375" s="51">
        <v>372</v>
      </c>
      <c r="E375" s="51">
        <v>223</v>
      </c>
      <c r="F375" s="51">
        <v>238</v>
      </c>
      <c r="G375" s="51">
        <v>564</v>
      </c>
      <c r="H375" s="50">
        <f t="shared" si="11"/>
        <v>1397</v>
      </c>
    </row>
    <row r="376" spans="1:8" x14ac:dyDescent="0.25">
      <c r="A376" s="48" t="s">
        <v>855</v>
      </c>
      <c r="B376" s="48" t="s">
        <v>859</v>
      </c>
      <c r="C376" s="48" t="str">
        <f t="shared" si="10"/>
        <v>Redwood City</v>
      </c>
      <c r="D376" s="51">
        <v>706</v>
      </c>
      <c r="E376" s="51">
        <v>429</v>
      </c>
      <c r="F376" s="51">
        <v>502</v>
      </c>
      <c r="G376" s="51">
        <v>1152</v>
      </c>
      <c r="H376" s="50">
        <f t="shared" si="11"/>
        <v>2789</v>
      </c>
    </row>
    <row r="377" spans="1:8" x14ac:dyDescent="0.25">
      <c r="A377" s="48" t="s">
        <v>1178</v>
      </c>
      <c r="B377" s="48" t="s">
        <v>1180</v>
      </c>
      <c r="C377" s="48" t="str">
        <f t="shared" si="10"/>
        <v>Reedley</v>
      </c>
      <c r="D377" s="58">
        <v>393</v>
      </c>
      <c r="E377" s="58">
        <v>204</v>
      </c>
      <c r="F377" s="58">
        <v>161</v>
      </c>
      <c r="G377" s="58">
        <v>553</v>
      </c>
      <c r="H377" s="50">
        <f t="shared" si="11"/>
        <v>1311</v>
      </c>
    </row>
    <row r="378" spans="1:8" x14ac:dyDescent="0.25">
      <c r="A378" s="48" t="s">
        <v>905</v>
      </c>
      <c r="B378" s="48" t="s">
        <v>910</v>
      </c>
      <c r="C378" s="48" t="str">
        <f t="shared" si="10"/>
        <v>Rialto</v>
      </c>
      <c r="D378" s="51">
        <v>636</v>
      </c>
      <c r="E378" s="51">
        <v>432</v>
      </c>
      <c r="F378" s="51">
        <v>496</v>
      </c>
      <c r="G378" s="51">
        <v>1151</v>
      </c>
      <c r="H378" s="50">
        <f t="shared" si="11"/>
        <v>2715</v>
      </c>
    </row>
    <row r="379" spans="1:8" x14ac:dyDescent="0.25">
      <c r="A379" s="48" t="s">
        <v>1197</v>
      </c>
      <c r="B379" s="48" t="s">
        <v>1200</v>
      </c>
      <c r="C379" s="48" t="str">
        <f t="shared" si="10"/>
        <v>Richmond</v>
      </c>
      <c r="D379" s="51">
        <v>438</v>
      </c>
      <c r="E379" s="51">
        <v>305</v>
      </c>
      <c r="F379" s="51">
        <v>410</v>
      </c>
      <c r="G379" s="51">
        <v>1282</v>
      </c>
      <c r="H379" s="50">
        <f t="shared" si="11"/>
        <v>2435</v>
      </c>
    </row>
    <row r="380" spans="1:8" x14ac:dyDescent="0.25">
      <c r="A380" s="48" t="s">
        <v>1145</v>
      </c>
      <c r="B380" s="48" t="s">
        <v>1149</v>
      </c>
      <c r="C380" s="48" t="str">
        <f t="shared" si="10"/>
        <v>Ridgecrest</v>
      </c>
      <c r="D380" s="58">
        <v>159</v>
      </c>
      <c r="E380" s="58">
        <v>131</v>
      </c>
      <c r="F380" s="58">
        <v>207</v>
      </c>
      <c r="G380" s="58">
        <v>848</v>
      </c>
      <c r="H380" s="50">
        <f t="shared" si="11"/>
        <v>1345</v>
      </c>
    </row>
    <row r="381" spans="1:8" x14ac:dyDescent="0.25">
      <c r="A381" s="48" t="s">
        <v>1167</v>
      </c>
      <c r="B381" s="48" t="s">
        <v>1168</v>
      </c>
      <c r="C381" s="48" t="str">
        <f t="shared" si="10"/>
        <v>Rio Dell</v>
      </c>
      <c r="D381" s="51">
        <v>8</v>
      </c>
      <c r="E381" s="51">
        <v>4</v>
      </c>
      <c r="F381" s="51">
        <v>4</v>
      </c>
      <c r="G381" s="51">
        <v>15</v>
      </c>
      <c r="H381" s="50">
        <f t="shared" si="11"/>
        <v>31</v>
      </c>
    </row>
    <row r="382" spans="1:8" x14ac:dyDescent="0.25">
      <c r="A382" s="48" t="s">
        <v>807</v>
      </c>
      <c r="B382" s="48" t="s">
        <v>810</v>
      </c>
      <c r="C382" s="48" t="str">
        <f t="shared" si="10"/>
        <v>Rio Vista</v>
      </c>
      <c r="D382" s="51">
        <v>45</v>
      </c>
      <c r="E382" s="51">
        <v>36</v>
      </c>
      <c r="F382" s="51">
        <v>48</v>
      </c>
      <c r="G382" s="51">
        <v>170</v>
      </c>
      <c r="H382" s="50">
        <f t="shared" si="11"/>
        <v>299</v>
      </c>
    </row>
    <row r="383" spans="1:8" x14ac:dyDescent="0.25">
      <c r="A383" s="48" t="s">
        <v>879</v>
      </c>
      <c r="B383" s="48" t="s">
        <v>881</v>
      </c>
      <c r="C383" s="48" t="str">
        <f t="shared" si="10"/>
        <v>Ripon</v>
      </c>
      <c r="D383" s="57">
        <v>308</v>
      </c>
      <c r="E383" s="57">
        <v>215</v>
      </c>
      <c r="F383" s="57">
        <v>231</v>
      </c>
      <c r="G383" s="57">
        <v>726</v>
      </c>
      <c r="H383" s="50">
        <f t="shared" si="11"/>
        <v>1480</v>
      </c>
    </row>
    <row r="384" spans="1:8" x14ac:dyDescent="0.25">
      <c r="A384" s="48" t="s">
        <v>789</v>
      </c>
      <c r="B384" s="48" t="s">
        <v>791</v>
      </c>
      <c r="C384" s="48" t="str">
        <f t="shared" si="10"/>
        <v>Riverbank</v>
      </c>
      <c r="D384" s="52">
        <v>321</v>
      </c>
      <c r="E384" s="52">
        <v>206</v>
      </c>
      <c r="F384" s="52">
        <v>217</v>
      </c>
      <c r="G384" s="52">
        <v>536</v>
      </c>
      <c r="H384" s="50">
        <f t="shared" si="11"/>
        <v>1280</v>
      </c>
    </row>
    <row r="385" spans="1:8" x14ac:dyDescent="0.25">
      <c r="A385" s="48" t="s">
        <v>937</v>
      </c>
      <c r="B385" s="48" t="s">
        <v>937</v>
      </c>
      <c r="C385" s="48" t="str">
        <f t="shared" si="10"/>
        <v>Riverside</v>
      </c>
      <c r="D385" s="51">
        <v>2002</v>
      </c>
      <c r="E385" s="51">
        <v>1336</v>
      </c>
      <c r="F385" s="51">
        <v>1503</v>
      </c>
      <c r="G385" s="51">
        <v>3442</v>
      </c>
      <c r="H385" s="50">
        <f t="shared" si="11"/>
        <v>8283</v>
      </c>
    </row>
    <row r="386" spans="1:8" x14ac:dyDescent="0.25">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964</v>
      </c>
      <c r="B387" s="48" t="s">
        <v>965</v>
      </c>
      <c r="C387" s="48" t="str">
        <f t="shared" si="12"/>
        <v>Rocklin</v>
      </c>
      <c r="D387" s="51">
        <v>1040</v>
      </c>
      <c r="E387" s="51">
        <v>729</v>
      </c>
      <c r="F387" s="51">
        <v>709</v>
      </c>
      <c r="G387" s="51">
        <v>1335</v>
      </c>
      <c r="H387" s="50">
        <f t="shared" si="13"/>
        <v>3813</v>
      </c>
    </row>
    <row r="388" spans="1:8" x14ac:dyDescent="0.25">
      <c r="A388" s="48" t="s">
        <v>798</v>
      </c>
      <c r="B388" s="48" t="s">
        <v>801</v>
      </c>
      <c r="C388" s="48" t="str">
        <f t="shared" si="12"/>
        <v>Rohnert Park</v>
      </c>
      <c r="D388" s="51">
        <v>181</v>
      </c>
      <c r="E388" s="51">
        <v>107</v>
      </c>
      <c r="F388" s="51">
        <v>127</v>
      </c>
      <c r="G388" s="51">
        <v>484</v>
      </c>
      <c r="H388" s="50">
        <f t="shared" si="13"/>
        <v>899</v>
      </c>
    </row>
    <row r="389" spans="1:8" x14ac:dyDescent="0.25">
      <c r="A389" s="48" t="s">
        <v>1047</v>
      </c>
      <c r="B389" s="48" t="s">
        <v>1069</v>
      </c>
      <c r="C389" s="48" t="str">
        <f t="shared" si="12"/>
        <v>Rolling Hills</v>
      </c>
      <c r="D389" s="51">
        <v>2</v>
      </c>
      <c r="E389" s="51">
        <v>1</v>
      </c>
      <c r="F389" s="51">
        <v>1</v>
      </c>
      <c r="G389" s="51">
        <v>2</v>
      </c>
      <c r="H389" s="50">
        <f t="shared" si="13"/>
        <v>6</v>
      </c>
    </row>
    <row r="390" spans="1:8" x14ac:dyDescent="0.25">
      <c r="A390" s="48" t="s">
        <v>1047</v>
      </c>
      <c r="B390" s="48" t="s">
        <v>1068</v>
      </c>
      <c r="C390" s="48" t="str">
        <f t="shared" si="12"/>
        <v>Rolling Hills Estates</v>
      </c>
      <c r="D390" s="51">
        <v>1</v>
      </c>
      <c r="E390" s="51">
        <v>1</v>
      </c>
      <c r="F390" s="51">
        <v>1</v>
      </c>
      <c r="G390" s="51">
        <v>2</v>
      </c>
      <c r="H390" s="50">
        <f t="shared" si="13"/>
        <v>5</v>
      </c>
    </row>
    <row r="391" spans="1:8" x14ac:dyDescent="0.25">
      <c r="A391" s="48" t="s">
        <v>1047</v>
      </c>
      <c r="B391" s="48" t="s">
        <v>1067</v>
      </c>
      <c r="C391" s="48" t="str">
        <f t="shared" si="12"/>
        <v>Rosemead</v>
      </c>
      <c r="D391" s="51">
        <v>153</v>
      </c>
      <c r="E391" s="51">
        <v>88</v>
      </c>
      <c r="F391" s="51">
        <v>99</v>
      </c>
      <c r="G391" s="51">
        <v>262</v>
      </c>
      <c r="H391" s="50">
        <f t="shared" si="13"/>
        <v>602</v>
      </c>
    </row>
    <row r="392" spans="1:8" x14ac:dyDescent="0.25">
      <c r="A392" s="48" t="s">
        <v>964</v>
      </c>
      <c r="B392" s="48" t="s">
        <v>963</v>
      </c>
      <c r="C392" s="48" t="str">
        <f t="shared" si="12"/>
        <v>Roseville</v>
      </c>
      <c r="D392" s="51">
        <v>2268</v>
      </c>
      <c r="E392" s="51">
        <v>1590</v>
      </c>
      <c r="F392" s="51">
        <v>1577</v>
      </c>
      <c r="G392" s="51">
        <v>3043</v>
      </c>
      <c r="H392" s="50">
        <f t="shared" si="13"/>
        <v>8478</v>
      </c>
    </row>
    <row r="393" spans="1:8" x14ac:dyDescent="0.25">
      <c r="A393" s="48" t="s">
        <v>1037</v>
      </c>
      <c r="B393" s="48" t="s">
        <v>1321</v>
      </c>
      <c r="C393" s="48" t="str">
        <f t="shared" si="12"/>
        <v>Ross</v>
      </c>
      <c r="D393" s="51">
        <v>6</v>
      </c>
      <c r="E393" s="51">
        <v>4</v>
      </c>
      <c r="F393" s="51">
        <v>4</v>
      </c>
      <c r="G393" s="51">
        <v>4</v>
      </c>
      <c r="H393" s="50">
        <f t="shared" si="13"/>
        <v>18</v>
      </c>
    </row>
    <row r="394" spans="1:8" x14ac:dyDescent="0.25">
      <c r="A394" s="48" t="s">
        <v>930</v>
      </c>
      <c r="B394" s="48" t="s">
        <v>930</v>
      </c>
      <c r="C394" s="48" t="str">
        <f t="shared" si="12"/>
        <v>Sacramento</v>
      </c>
      <c r="D394" s="51">
        <v>4944</v>
      </c>
      <c r="E394" s="51">
        <v>3467</v>
      </c>
      <c r="F394" s="51">
        <v>4482</v>
      </c>
      <c r="G394" s="51">
        <v>11208</v>
      </c>
      <c r="H394" s="50">
        <f t="shared" si="13"/>
        <v>24101</v>
      </c>
    </row>
    <row r="395" spans="1:8" x14ac:dyDescent="0.25">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1012</v>
      </c>
      <c r="B396" s="48" t="s">
        <v>1015</v>
      </c>
      <c r="C396" s="48" t="str">
        <f t="shared" si="12"/>
        <v>Salinas</v>
      </c>
      <c r="D396" s="54">
        <v>537</v>
      </c>
      <c r="E396" s="54">
        <v>351</v>
      </c>
      <c r="F396" s="54">
        <v>407</v>
      </c>
      <c r="G396" s="54">
        <v>934</v>
      </c>
      <c r="H396" s="59">
        <f t="shared" si="13"/>
        <v>2229</v>
      </c>
    </row>
    <row r="397" spans="1:8" x14ac:dyDescent="0.25">
      <c r="A397" s="48" t="s">
        <v>1037</v>
      </c>
      <c r="B397" s="48" t="s">
        <v>1322</v>
      </c>
      <c r="C397" s="48" t="str">
        <f t="shared" si="12"/>
        <v>San Anselmo</v>
      </c>
      <c r="D397" s="51">
        <v>33</v>
      </c>
      <c r="E397" s="51">
        <v>17</v>
      </c>
      <c r="F397" s="51">
        <v>19</v>
      </c>
      <c r="G397" s="51">
        <v>37</v>
      </c>
      <c r="H397" s="50">
        <f t="shared" si="13"/>
        <v>106</v>
      </c>
    </row>
    <row r="398" spans="1:8" x14ac:dyDescent="0.25">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905</v>
      </c>
      <c r="B399" s="48" t="s">
        <v>905</v>
      </c>
      <c r="C399" s="48" t="str">
        <f t="shared" si="12"/>
        <v>San Bernardino</v>
      </c>
      <c r="D399" s="51">
        <v>980</v>
      </c>
      <c r="E399" s="51">
        <v>696</v>
      </c>
      <c r="F399" s="51">
        <v>808</v>
      </c>
      <c r="G399" s="51">
        <v>1900</v>
      </c>
      <c r="H399" s="50">
        <f t="shared" si="13"/>
        <v>4384</v>
      </c>
    </row>
    <row r="400" spans="1:8" x14ac:dyDescent="0.25">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855</v>
      </c>
      <c r="B401" s="48" t="s">
        <v>858</v>
      </c>
      <c r="C401" s="48" t="str">
        <f t="shared" si="12"/>
        <v>San Bruno</v>
      </c>
      <c r="D401" s="51">
        <v>358</v>
      </c>
      <c r="E401" s="51">
        <v>161</v>
      </c>
      <c r="F401" s="51">
        <v>205</v>
      </c>
      <c r="G401" s="51">
        <v>431</v>
      </c>
      <c r="H401" s="50">
        <f t="shared" si="13"/>
        <v>1155</v>
      </c>
    </row>
    <row r="402" spans="1:8" x14ac:dyDescent="0.25">
      <c r="A402" s="48" t="s">
        <v>762</v>
      </c>
      <c r="B402" s="48" t="s">
        <v>765</v>
      </c>
      <c r="C402" s="48" t="str">
        <f t="shared" si="12"/>
        <v>San Buenaventura</v>
      </c>
      <c r="D402" s="51">
        <v>861</v>
      </c>
      <c r="E402" s="51">
        <v>591</v>
      </c>
      <c r="F402" s="51">
        <v>673</v>
      </c>
      <c r="G402" s="51">
        <v>1529</v>
      </c>
      <c r="H402" s="50">
        <f t="shared" si="13"/>
        <v>3654</v>
      </c>
    </row>
    <row r="403" spans="1:8" x14ac:dyDescent="0.25">
      <c r="A403" s="48" t="s">
        <v>855</v>
      </c>
      <c r="B403" s="48" t="s">
        <v>857</v>
      </c>
      <c r="C403" s="48" t="str">
        <f t="shared" si="12"/>
        <v>San Carlos</v>
      </c>
      <c r="D403" s="51">
        <v>195</v>
      </c>
      <c r="E403" s="51">
        <v>107</v>
      </c>
      <c r="F403" s="51">
        <v>111</v>
      </c>
      <c r="G403" s="51">
        <v>183</v>
      </c>
      <c r="H403" s="50">
        <f t="shared" si="13"/>
        <v>596</v>
      </c>
    </row>
    <row r="404" spans="1:8" x14ac:dyDescent="0.25">
      <c r="A404" s="48" t="s">
        <v>970</v>
      </c>
      <c r="B404" s="48" t="s">
        <v>978</v>
      </c>
      <c r="C404" s="48" t="str">
        <f t="shared" si="12"/>
        <v>San Clemente</v>
      </c>
      <c r="D404" s="51">
        <v>134</v>
      </c>
      <c r="E404" s="51">
        <v>95</v>
      </c>
      <c r="F404" s="51">
        <v>108</v>
      </c>
      <c r="G404" s="51">
        <v>244</v>
      </c>
      <c r="H404" s="50">
        <f t="shared" si="13"/>
        <v>581</v>
      </c>
    </row>
    <row r="405" spans="1:8" x14ac:dyDescent="0.25">
      <c r="A405" s="48" t="s">
        <v>887</v>
      </c>
      <c r="B405" s="48" t="s">
        <v>887</v>
      </c>
      <c r="C405" s="48" t="str">
        <f t="shared" si="12"/>
        <v>San Diego</v>
      </c>
      <c r="D405" s="51">
        <v>21977</v>
      </c>
      <c r="E405" s="51">
        <v>16703</v>
      </c>
      <c r="F405" s="51">
        <v>15462</v>
      </c>
      <c r="G405" s="51">
        <v>33954</v>
      </c>
      <c r="H405" s="50">
        <f t="shared" si="13"/>
        <v>88096</v>
      </c>
    </row>
    <row r="406" spans="1:8" x14ac:dyDescent="0.25">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1047</v>
      </c>
      <c r="B407" s="48" t="s">
        <v>1066</v>
      </c>
      <c r="C407" s="48" t="str">
        <f t="shared" si="12"/>
        <v>San Dimas</v>
      </c>
      <c r="D407" s="51">
        <v>121</v>
      </c>
      <c r="E407" s="51">
        <v>72</v>
      </c>
      <c r="F407" s="51">
        <v>77</v>
      </c>
      <c r="G407" s="51">
        <v>193</v>
      </c>
      <c r="H407" s="50">
        <f t="shared" si="13"/>
        <v>463</v>
      </c>
    </row>
    <row r="408" spans="1:8" x14ac:dyDescent="0.25">
      <c r="A408" s="48" t="s">
        <v>1047</v>
      </c>
      <c r="B408" s="48" t="s">
        <v>1065</v>
      </c>
      <c r="C408" s="48" t="str">
        <f t="shared" si="12"/>
        <v>San Fernando</v>
      </c>
      <c r="D408" s="51">
        <v>55</v>
      </c>
      <c r="E408" s="51">
        <v>32</v>
      </c>
      <c r="F408" s="51">
        <v>35</v>
      </c>
      <c r="G408" s="51">
        <v>95</v>
      </c>
      <c r="H408" s="50">
        <f t="shared" si="13"/>
        <v>217</v>
      </c>
    </row>
    <row r="409" spans="1:8" x14ac:dyDescent="0.25">
      <c r="A409" s="45" t="s">
        <v>751</v>
      </c>
      <c r="B409" s="49" t="s">
        <v>751</v>
      </c>
      <c r="C409" s="48" t="str">
        <f t="shared" si="12"/>
        <v>San Francisco</v>
      </c>
      <c r="D409" s="47">
        <v>6234</v>
      </c>
      <c r="E409" s="47">
        <v>4639</v>
      </c>
      <c r="F409" s="47">
        <v>5460</v>
      </c>
      <c r="G409" s="47">
        <v>12536</v>
      </c>
      <c r="H409" s="46">
        <f t="shared" si="13"/>
        <v>28869</v>
      </c>
    </row>
    <row r="410" spans="1:8" x14ac:dyDescent="0.25">
      <c r="A410" s="48" t="s">
        <v>1047</v>
      </c>
      <c r="B410" s="48" t="s">
        <v>1064</v>
      </c>
      <c r="C410" s="48" t="str">
        <f t="shared" si="12"/>
        <v>San Gabriel</v>
      </c>
      <c r="D410" s="51">
        <v>236</v>
      </c>
      <c r="E410" s="51">
        <v>142</v>
      </c>
      <c r="F410" s="51">
        <v>154</v>
      </c>
      <c r="G410" s="51">
        <v>398</v>
      </c>
      <c r="H410" s="50">
        <f t="shared" si="13"/>
        <v>930</v>
      </c>
    </row>
    <row r="411" spans="1:8" x14ac:dyDescent="0.25">
      <c r="A411" s="48" t="s">
        <v>937</v>
      </c>
      <c r="B411" s="48" t="s">
        <v>939</v>
      </c>
      <c r="C411" s="48" t="str">
        <f t="shared" si="12"/>
        <v>San Jacinto</v>
      </c>
      <c r="D411" s="51">
        <v>562</v>
      </c>
      <c r="E411" s="51">
        <v>394</v>
      </c>
      <c r="F411" s="51">
        <v>441</v>
      </c>
      <c r="G411" s="51">
        <v>1036</v>
      </c>
      <c r="H411" s="50">
        <f t="shared" si="13"/>
        <v>2433</v>
      </c>
    </row>
    <row r="412" spans="1:8" x14ac:dyDescent="0.25">
      <c r="A412" s="48" t="s">
        <v>1178</v>
      </c>
      <c r="B412" s="48" t="s">
        <v>879</v>
      </c>
      <c r="C412" s="48" t="str">
        <f t="shared" si="12"/>
        <v>San Joaquin</v>
      </c>
      <c r="D412" s="58">
        <v>103</v>
      </c>
      <c r="E412" s="58">
        <v>36</v>
      </c>
      <c r="F412" s="58">
        <v>35</v>
      </c>
      <c r="G412" s="58">
        <v>204</v>
      </c>
      <c r="H412" s="50">
        <f t="shared" si="13"/>
        <v>378</v>
      </c>
    </row>
    <row r="413" spans="1:8" x14ac:dyDescent="0.25">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835</v>
      </c>
      <c r="B414" s="48" t="s">
        <v>837</v>
      </c>
      <c r="C414" s="48" t="str">
        <f t="shared" si="12"/>
        <v>San Jose</v>
      </c>
      <c r="D414" s="51">
        <v>9233</v>
      </c>
      <c r="E414" s="51">
        <v>5428</v>
      </c>
      <c r="F414" s="51">
        <v>6188</v>
      </c>
      <c r="G414" s="51">
        <v>14231</v>
      </c>
      <c r="H414" s="50">
        <f t="shared" si="13"/>
        <v>35080</v>
      </c>
    </row>
    <row r="415" spans="1:8" x14ac:dyDescent="0.25">
      <c r="A415" s="48" t="s">
        <v>928</v>
      </c>
      <c r="B415" s="48" t="s">
        <v>927</v>
      </c>
      <c r="C415" s="48" t="str">
        <f t="shared" si="12"/>
        <v>San Juan Bautista</v>
      </c>
      <c r="D415" s="58">
        <v>10</v>
      </c>
      <c r="E415" s="58">
        <v>6</v>
      </c>
      <c r="F415" s="58">
        <v>8</v>
      </c>
      <c r="G415" s="58">
        <v>17</v>
      </c>
      <c r="H415" s="50">
        <f t="shared" si="13"/>
        <v>41</v>
      </c>
    </row>
    <row r="416" spans="1:8" x14ac:dyDescent="0.25">
      <c r="A416" s="48" t="s">
        <v>970</v>
      </c>
      <c r="B416" s="48" t="s">
        <v>977</v>
      </c>
      <c r="C416" s="48" t="str">
        <f t="shared" si="12"/>
        <v>San Juan Capistrano</v>
      </c>
      <c r="D416" s="51">
        <v>147</v>
      </c>
      <c r="E416" s="51">
        <v>104</v>
      </c>
      <c r="F416" s="51">
        <v>120</v>
      </c>
      <c r="G416" s="51">
        <v>267</v>
      </c>
      <c r="H416" s="50">
        <f t="shared" si="13"/>
        <v>638</v>
      </c>
    </row>
    <row r="417" spans="1:8" x14ac:dyDescent="0.25">
      <c r="A417" s="48" t="s">
        <v>1230</v>
      </c>
      <c r="B417" s="48" t="s">
        <v>1231</v>
      </c>
      <c r="C417" s="48" t="str">
        <f t="shared" si="12"/>
        <v>San Leandro</v>
      </c>
      <c r="D417" s="51">
        <v>504</v>
      </c>
      <c r="E417" s="51">
        <v>270</v>
      </c>
      <c r="F417" s="51">
        <v>352</v>
      </c>
      <c r="G417" s="51">
        <v>1161</v>
      </c>
      <c r="H417" s="50">
        <f t="shared" si="13"/>
        <v>2287</v>
      </c>
    </row>
    <row r="418" spans="1:8" x14ac:dyDescent="0.25">
      <c r="A418" s="48" t="s">
        <v>870</v>
      </c>
      <c r="B418" s="48" t="s">
        <v>870</v>
      </c>
      <c r="C418" s="48" t="str">
        <f t="shared" si="12"/>
        <v>San Luis Obispo</v>
      </c>
      <c r="D418" s="51">
        <v>285</v>
      </c>
      <c r="E418" s="51">
        <v>179</v>
      </c>
      <c r="F418" s="51">
        <v>201</v>
      </c>
      <c r="G418" s="51">
        <v>478</v>
      </c>
      <c r="H418" s="50">
        <f t="shared" si="13"/>
        <v>1143</v>
      </c>
    </row>
    <row r="419" spans="1:8" x14ac:dyDescent="0.25">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887</v>
      </c>
      <c r="B420" s="48" t="s">
        <v>890</v>
      </c>
      <c r="C420" s="48" t="str">
        <f t="shared" si="12"/>
        <v>San Marcos</v>
      </c>
      <c r="D420" s="51">
        <v>1043</v>
      </c>
      <c r="E420" s="51">
        <v>793</v>
      </c>
      <c r="F420" s="51">
        <v>734</v>
      </c>
      <c r="G420" s="51">
        <v>1613</v>
      </c>
      <c r="H420" s="50">
        <f t="shared" si="13"/>
        <v>4183</v>
      </c>
    </row>
    <row r="421" spans="1:8" x14ac:dyDescent="0.25">
      <c r="A421" s="48" t="s">
        <v>1047</v>
      </c>
      <c r="B421" s="48" t="s">
        <v>1063</v>
      </c>
      <c r="C421" s="48" t="str">
        <f t="shared" si="12"/>
        <v>San Marino</v>
      </c>
      <c r="D421" s="51">
        <v>1</v>
      </c>
      <c r="E421" s="51">
        <v>1</v>
      </c>
      <c r="F421" s="51">
        <v>0</v>
      </c>
      <c r="G421" s="51">
        <v>0</v>
      </c>
      <c r="H421" s="50">
        <f t="shared" si="13"/>
        <v>2</v>
      </c>
    </row>
    <row r="422" spans="1:8" x14ac:dyDescent="0.25">
      <c r="A422" s="48" t="s">
        <v>855</v>
      </c>
      <c r="B422" s="48" t="s">
        <v>855</v>
      </c>
      <c r="C422" s="48" t="str">
        <f t="shared" si="12"/>
        <v>San Mateo</v>
      </c>
      <c r="D422" s="51">
        <v>859</v>
      </c>
      <c r="E422" s="51">
        <v>469</v>
      </c>
      <c r="F422" s="51">
        <v>530</v>
      </c>
      <c r="G422" s="51">
        <v>1242</v>
      </c>
      <c r="H422" s="50">
        <f t="shared" si="13"/>
        <v>3100</v>
      </c>
    </row>
    <row r="423" spans="1:8" x14ac:dyDescent="0.25">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1197</v>
      </c>
      <c r="B424" s="48" t="s">
        <v>1199</v>
      </c>
      <c r="C424" s="48" t="str">
        <f t="shared" si="12"/>
        <v>San Pablo</v>
      </c>
      <c r="D424" s="51">
        <v>56</v>
      </c>
      <c r="E424" s="51">
        <v>53</v>
      </c>
      <c r="F424" s="51">
        <v>75</v>
      </c>
      <c r="G424" s="51">
        <v>265</v>
      </c>
      <c r="H424" s="50">
        <f t="shared" si="13"/>
        <v>449</v>
      </c>
    </row>
    <row r="425" spans="1:8" x14ac:dyDescent="0.25">
      <c r="A425" s="48" t="s">
        <v>1037</v>
      </c>
      <c r="B425" s="48" t="s">
        <v>1039</v>
      </c>
      <c r="C425" s="48" t="str">
        <f t="shared" si="12"/>
        <v>San Rafael</v>
      </c>
      <c r="D425" s="51">
        <v>240</v>
      </c>
      <c r="E425" s="51">
        <v>148</v>
      </c>
      <c r="F425" s="51">
        <v>181</v>
      </c>
      <c r="G425" s="51">
        <v>438</v>
      </c>
      <c r="H425" s="50">
        <f t="shared" si="13"/>
        <v>1007</v>
      </c>
    </row>
    <row r="426" spans="1:8" x14ac:dyDescent="0.25">
      <c r="A426" s="48" t="s">
        <v>1197</v>
      </c>
      <c r="B426" s="48" t="s">
        <v>1198</v>
      </c>
      <c r="C426" s="48" t="str">
        <f t="shared" si="12"/>
        <v>San Ramon</v>
      </c>
      <c r="D426" s="51">
        <v>516</v>
      </c>
      <c r="E426" s="51">
        <v>279</v>
      </c>
      <c r="F426" s="51">
        <v>282</v>
      </c>
      <c r="G426" s="51">
        <v>340</v>
      </c>
      <c r="H426" s="50">
        <f t="shared" si="13"/>
        <v>1417</v>
      </c>
    </row>
    <row r="427" spans="1:8" x14ac:dyDescent="0.25">
      <c r="A427" s="48" t="s">
        <v>1012</v>
      </c>
      <c r="B427" s="48" t="s">
        <v>1014</v>
      </c>
      <c r="C427" s="48" t="str">
        <f t="shared" si="12"/>
        <v>Sand City</v>
      </c>
      <c r="D427" s="54">
        <v>13</v>
      </c>
      <c r="E427" s="54">
        <v>9</v>
      </c>
      <c r="F427" s="54">
        <v>10</v>
      </c>
      <c r="G427" s="54">
        <v>23</v>
      </c>
      <c r="H427" s="59">
        <f t="shared" si="13"/>
        <v>55</v>
      </c>
    </row>
    <row r="428" spans="1:8" x14ac:dyDescent="0.25">
      <c r="A428" s="48" t="s">
        <v>1178</v>
      </c>
      <c r="B428" s="48" t="s">
        <v>1179</v>
      </c>
      <c r="C428" s="48" t="str">
        <f t="shared" si="12"/>
        <v>Sanger</v>
      </c>
      <c r="D428" s="58">
        <v>312</v>
      </c>
      <c r="E428" s="58">
        <v>175</v>
      </c>
      <c r="F428" s="58">
        <v>163</v>
      </c>
      <c r="G428" s="58">
        <v>568</v>
      </c>
      <c r="H428" s="50">
        <f t="shared" si="13"/>
        <v>1218</v>
      </c>
    </row>
    <row r="429" spans="1:8" x14ac:dyDescent="0.25">
      <c r="A429" s="48" t="s">
        <v>970</v>
      </c>
      <c r="B429" s="48" t="s">
        <v>976</v>
      </c>
      <c r="C429" s="48" t="str">
        <f t="shared" si="12"/>
        <v>Santa Ana</v>
      </c>
      <c r="D429" s="51">
        <v>45</v>
      </c>
      <c r="E429" s="51">
        <v>32</v>
      </c>
      <c r="F429" s="51">
        <v>37</v>
      </c>
      <c r="G429" s="51">
        <v>90</v>
      </c>
      <c r="H429" s="50">
        <f t="shared" si="13"/>
        <v>204</v>
      </c>
    </row>
    <row r="430" spans="1:8" x14ac:dyDescent="0.25">
      <c r="A430" s="48" t="s">
        <v>848</v>
      </c>
      <c r="B430" s="48" t="s">
        <v>848</v>
      </c>
      <c r="C430" s="48" t="str">
        <f t="shared" si="12"/>
        <v>Santa Barbara</v>
      </c>
      <c r="D430" s="55">
        <v>962</v>
      </c>
      <c r="E430" s="55">
        <v>701</v>
      </c>
      <c r="F430" s="55">
        <v>820</v>
      </c>
      <c r="G430" s="55">
        <v>1617</v>
      </c>
      <c r="H430" s="50">
        <f t="shared" si="13"/>
        <v>4100</v>
      </c>
    </row>
    <row r="431" spans="1:8" x14ac:dyDescent="0.25">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835</v>
      </c>
      <c r="B432" s="48" t="s">
        <v>835</v>
      </c>
      <c r="C432" s="48" t="str">
        <f t="shared" si="12"/>
        <v>Santa Clara</v>
      </c>
      <c r="D432" s="51">
        <v>1050</v>
      </c>
      <c r="E432" s="51">
        <v>695</v>
      </c>
      <c r="F432" s="51">
        <v>755</v>
      </c>
      <c r="G432" s="51">
        <v>1593</v>
      </c>
      <c r="H432" s="50">
        <f t="shared" si="13"/>
        <v>4093</v>
      </c>
    </row>
    <row r="433" spans="1:8" x14ac:dyDescent="0.25">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1047</v>
      </c>
      <c r="B434" s="48" t="s">
        <v>1062</v>
      </c>
      <c r="C434" s="48" t="str">
        <f t="shared" si="12"/>
        <v>Santa Clarita</v>
      </c>
      <c r="D434" s="51">
        <v>2645</v>
      </c>
      <c r="E434" s="51">
        <v>1678</v>
      </c>
      <c r="F434" s="51">
        <v>1532</v>
      </c>
      <c r="G434" s="51">
        <v>5127</v>
      </c>
      <c r="H434" s="50">
        <f t="shared" si="13"/>
        <v>10982</v>
      </c>
    </row>
    <row r="435" spans="1:8" x14ac:dyDescent="0.25">
      <c r="A435" s="48" t="s">
        <v>831</v>
      </c>
      <c r="B435" s="48" t="s">
        <v>831</v>
      </c>
      <c r="C435" s="48" t="str">
        <f t="shared" si="12"/>
        <v>Santa Cruz</v>
      </c>
      <c r="D435" s="54">
        <v>180</v>
      </c>
      <c r="E435" s="54">
        <v>118</v>
      </c>
      <c r="F435" s="54">
        <v>136</v>
      </c>
      <c r="G435" s="54">
        <v>313</v>
      </c>
      <c r="H435" s="50">
        <f t="shared" si="13"/>
        <v>747</v>
      </c>
    </row>
    <row r="436" spans="1:8" x14ac:dyDescent="0.25">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1047</v>
      </c>
      <c r="B437" s="48" t="s">
        <v>1061</v>
      </c>
      <c r="C437" s="48" t="str">
        <f t="shared" si="12"/>
        <v>Santa Fe Springs</v>
      </c>
      <c r="D437" s="51">
        <v>82</v>
      </c>
      <c r="E437" s="51">
        <v>50</v>
      </c>
      <c r="F437" s="51">
        <v>53</v>
      </c>
      <c r="G437" s="51">
        <v>139</v>
      </c>
      <c r="H437" s="50">
        <f t="shared" si="13"/>
        <v>324</v>
      </c>
    </row>
    <row r="438" spans="1:8" x14ac:dyDescent="0.25">
      <c r="A438" s="48" t="s">
        <v>848</v>
      </c>
      <c r="B438" s="48" t="s">
        <v>849</v>
      </c>
      <c r="C438" s="48" t="str">
        <f t="shared" si="12"/>
        <v>Santa Maria</v>
      </c>
      <c r="D438" s="55">
        <v>985</v>
      </c>
      <c r="E438" s="55">
        <v>656</v>
      </c>
      <c r="F438" s="55">
        <v>730</v>
      </c>
      <c r="G438" s="55">
        <v>1731</v>
      </c>
      <c r="H438" s="50">
        <f t="shared" si="13"/>
        <v>4102</v>
      </c>
    </row>
    <row r="439" spans="1:8" x14ac:dyDescent="0.25">
      <c r="A439" s="48" t="s">
        <v>1047</v>
      </c>
      <c r="B439" s="48" t="s">
        <v>1060</v>
      </c>
      <c r="C439" s="48" t="str">
        <f t="shared" si="12"/>
        <v>Santa Monica</v>
      </c>
      <c r="D439" s="51">
        <v>428</v>
      </c>
      <c r="E439" s="51">
        <v>263</v>
      </c>
      <c r="F439" s="51">
        <v>283</v>
      </c>
      <c r="G439" s="51">
        <v>700</v>
      </c>
      <c r="H439" s="50">
        <f t="shared" si="13"/>
        <v>1674</v>
      </c>
    </row>
    <row r="440" spans="1:8" x14ac:dyDescent="0.25">
      <c r="A440" s="48" t="s">
        <v>762</v>
      </c>
      <c r="B440" s="48" t="s">
        <v>764</v>
      </c>
      <c r="C440" s="48" t="str">
        <f t="shared" si="12"/>
        <v>Santa Paula</v>
      </c>
      <c r="D440" s="51">
        <v>288</v>
      </c>
      <c r="E440" s="51">
        <v>201</v>
      </c>
      <c r="F440" s="51">
        <v>241</v>
      </c>
      <c r="G440" s="51">
        <v>555</v>
      </c>
      <c r="H440" s="50">
        <f t="shared" si="13"/>
        <v>1285</v>
      </c>
    </row>
    <row r="441" spans="1:8" x14ac:dyDescent="0.25">
      <c r="A441" s="48" t="s">
        <v>798</v>
      </c>
      <c r="B441" s="48" t="s">
        <v>800</v>
      </c>
      <c r="C441" s="48" t="str">
        <f t="shared" si="12"/>
        <v>Santa Rosa</v>
      </c>
      <c r="D441" s="51">
        <f>947+94</f>
        <v>1041</v>
      </c>
      <c r="E441" s="51">
        <f>581+90</f>
        <v>671</v>
      </c>
      <c r="F441" s="51">
        <v>759</v>
      </c>
      <c r="G441" s="51">
        <f>2375+237</f>
        <v>2612</v>
      </c>
      <c r="H441" s="50">
        <f t="shared" si="13"/>
        <v>5083</v>
      </c>
    </row>
    <row r="442" spans="1:8" x14ac:dyDescent="0.25">
      <c r="A442" s="48" t="s">
        <v>887</v>
      </c>
      <c r="B442" s="48" t="s">
        <v>889</v>
      </c>
      <c r="C442" s="48" t="str">
        <f t="shared" si="12"/>
        <v>Santee</v>
      </c>
      <c r="D442" s="51">
        <v>914</v>
      </c>
      <c r="E442" s="51">
        <v>694</v>
      </c>
      <c r="F442" s="51">
        <v>642</v>
      </c>
      <c r="G442" s="51">
        <v>1410</v>
      </c>
      <c r="H442" s="50">
        <f t="shared" si="13"/>
        <v>3660</v>
      </c>
    </row>
    <row r="443" spans="1:8" x14ac:dyDescent="0.25">
      <c r="A443" s="48" t="s">
        <v>835</v>
      </c>
      <c r="B443" s="48" t="s">
        <v>836</v>
      </c>
      <c r="C443" s="48" t="str">
        <f t="shared" si="12"/>
        <v>Saratoga</v>
      </c>
      <c r="D443" s="51">
        <v>147</v>
      </c>
      <c r="E443" s="51">
        <v>95</v>
      </c>
      <c r="F443" s="51">
        <v>104</v>
      </c>
      <c r="G443" s="51">
        <v>93</v>
      </c>
      <c r="H443" s="50">
        <f t="shared" si="13"/>
        <v>439</v>
      </c>
    </row>
    <row r="444" spans="1:8" x14ac:dyDescent="0.25">
      <c r="A444" s="48" t="s">
        <v>1037</v>
      </c>
      <c r="B444" s="48" t="s">
        <v>1038</v>
      </c>
      <c r="C444" s="48" t="str">
        <f t="shared" si="12"/>
        <v>Sausalito</v>
      </c>
      <c r="D444" s="51">
        <v>26</v>
      </c>
      <c r="E444" s="51">
        <v>14</v>
      </c>
      <c r="F444" s="51">
        <v>16</v>
      </c>
      <c r="G444" s="51">
        <v>23</v>
      </c>
      <c r="H444" s="50">
        <f t="shared" si="13"/>
        <v>79</v>
      </c>
    </row>
    <row r="445" spans="1:8" x14ac:dyDescent="0.25">
      <c r="A445" s="48" t="s">
        <v>831</v>
      </c>
      <c r="B445" s="48" t="s">
        <v>832</v>
      </c>
      <c r="C445" s="48" t="str">
        <f t="shared" si="12"/>
        <v>Scotts Valley</v>
      </c>
      <c r="D445" s="54">
        <v>34</v>
      </c>
      <c r="E445" s="54">
        <v>22</v>
      </c>
      <c r="F445" s="54">
        <v>26</v>
      </c>
      <c r="G445" s="54">
        <v>58</v>
      </c>
      <c r="H445" s="50">
        <f t="shared" si="13"/>
        <v>140</v>
      </c>
    </row>
    <row r="446" spans="1:8" x14ac:dyDescent="0.25">
      <c r="A446" s="48" t="s">
        <v>970</v>
      </c>
      <c r="B446" s="48" t="s">
        <v>975</v>
      </c>
      <c r="C446" s="48" t="str">
        <f t="shared" si="12"/>
        <v>Seal Beach</v>
      </c>
      <c r="D446" s="51">
        <v>1</v>
      </c>
      <c r="E446" s="51">
        <v>1</v>
      </c>
      <c r="F446" s="51">
        <v>0</v>
      </c>
      <c r="G446" s="51">
        <v>0</v>
      </c>
      <c r="H446" s="50">
        <f t="shared" si="13"/>
        <v>2</v>
      </c>
    </row>
    <row r="447" spans="1:8" x14ac:dyDescent="0.25">
      <c r="A447" s="48" t="s">
        <v>1012</v>
      </c>
      <c r="B447" s="48" t="s">
        <v>1013</v>
      </c>
      <c r="C447" s="48" t="str">
        <f t="shared" si="12"/>
        <v>Seaside</v>
      </c>
      <c r="D447" s="54">
        <v>95</v>
      </c>
      <c r="E447" s="54">
        <v>62</v>
      </c>
      <c r="F447" s="54">
        <v>72</v>
      </c>
      <c r="G447" s="54">
        <v>164</v>
      </c>
      <c r="H447" s="59">
        <f t="shared" si="13"/>
        <v>393</v>
      </c>
    </row>
    <row r="448" spans="1:8" x14ac:dyDescent="0.25">
      <c r="A448" s="48" t="s">
        <v>798</v>
      </c>
      <c r="B448" s="48" t="s">
        <v>799</v>
      </c>
      <c r="C448" s="48" t="str">
        <f t="shared" si="12"/>
        <v>Sebastopol</v>
      </c>
      <c r="D448" s="51">
        <v>22</v>
      </c>
      <c r="E448" s="51">
        <v>17</v>
      </c>
      <c r="F448" s="51">
        <v>19</v>
      </c>
      <c r="G448" s="51">
        <v>62</v>
      </c>
      <c r="H448" s="50">
        <f t="shared" si="13"/>
        <v>120</v>
      </c>
    </row>
    <row r="449" spans="1:8" x14ac:dyDescent="0.25">
      <c r="A449" s="48" t="s">
        <v>1178</v>
      </c>
      <c r="B449" s="48" t="s">
        <v>1177</v>
      </c>
      <c r="C449" s="48" t="str">
        <f t="shared" si="12"/>
        <v>Selma</v>
      </c>
      <c r="D449" s="58">
        <v>140</v>
      </c>
      <c r="E449" s="58">
        <v>115</v>
      </c>
      <c r="F449" s="58">
        <v>69</v>
      </c>
      <c r="G449" s="58">
        <v>281</v>
      </c>
      <c r="H449" s="50">
        <f t="shared" si="13"/>
        <v>605</v>
      </c>
    </row>
    <row r="450" spans="1:8" x14ac:dyDescent="0.25">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5">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827</v>
      </c>
      <c r="B452" s="48" t="s">
        <v>826</v>
      </c>
      <c r="C452" s="48" t="str">
        <f t="shared" si="14"/>
        <v>Shasta Lake</v>
      </c>
      <c r="D452" s="51">
        <v>32</v>
      </c>
      <c r="E452" s="51">
        <v>21</v>
      </c>
      <c r="F452" s="51">
        <v>23</v>
      </c>
      <c r="G452" s="51">
        <v>58</v>
      </c>
      <c r="H452" s="50">
        <f t="shared" si="15"/>
        <v>134</v>
      </c>
    </row>
    <row r="453" spans="1:8" x14ac:dyDescent="0.25">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1047</v>
      </c>
      <c r="B454" s="48" t="s">
        <v>1059</v>
      </c>
      <c r="C454" s="48" t="str">
        <f t="shared" si="14"/>
        <v>Sierra Madre</v>
      </c>
      <c r="D454" s="51">
        <v>14</v>
      </c>
      <c r="E454" s="51">
        <v>9</v>
      </c>
      <c r="F454" s="51">
        <v>9</v>
      </c>
      <c r="G454" s="51">
        <v>23</v>
      </c>
      <c r="H454" s="50">
        <f t="shared" si="15"/>
        <v>55</v>
      </c>
    </row>
    <row r="455" spans="1:8" x14ac:dyDescent="0.25">
      <c r="A455" s="48" t="s">
        <v>1047</v>
      </c>
      <c r="B455" s="48" t="s">
        <v>1058</v>
      </c>
      <c r="C455" s="48" t="str">
        <f t="shared" si="14"/>
        <v>Signal Hill</v>
      </c>
      <c r="D455" s="51">
        <v>44</v>
      </c>
      <c r="E455" s="51">
        <v>27</v>
      </c>
      <c r="F455" s="51">
        <v>28</v>
      </c>
      <c r="G455" s="51">
        <v>70</v>
      </c>
      <c r="H455" s="50">
        <f t="shared" si="15"/>
        <v>169</v>
      </c>
    </row>
    <row r="456" spans="1:8" x14ac:dyDescent="0.25">
      <c r="A456" s="48" t="s">
        <v>762</v>
      </c>
      <c r="B456" s="48" t="s">
        <v>763</v>
      </c>
      <c r="C456" s="48" t="str">
        <f t="shared" si="14"/>
        <v>Simi Valley</v>
      </c>
      <c r="D456" s="51">
        <v>310</v>
      </c>
      <c r="E456" s="51">
        <v>208</v>
      </c>
      <c r="F456" s="51">
        <v>229</v>
      </c>
      <c r="G456" s="51">
        <v>509</v>
      </c>
      <c r="H456" s="50">
        <f t="shared" si="15"/>
        <v>1256</v>
      </c>
    </row>
    <row r="457" spans="1:8" x14ac:dyDescent="0.25">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887</v>
      </c>
      <c r="B458" s="48" t="s">
        <v>888</v>
      </c>
      <c r="C458" s="48" t="str">
        <f t="shared" si="14"/>
        <v>Solana Beach</v>
      </c>
      <c r="D458" s="51">
        <v>85</v>
      </c>
      <c r="E458" s="51">
        <v>65</v>
      </c>
      <c r="F458" s="51">
        <v>59</v>
      </c>
      <c r="G458" s="51">
        <v>131</v>
      </c>
      <c r="H458" s="50">
        <f t="shared" si="15"/>
        <v>340</v>
      </c>
    </row>
    <row r="459" spans="1:8" x14ac:dyDescent="0.25">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1012</v>
      </c>
      <c r="B460" s="48" t="s">
        <v>1011</v>
      </c>
      <c r="C460" s="48" t="str">
        <f t="shared" si="14"/>
        <v>Soledad</v>
      </c>
      <c r="D460" s="54">
        <v>46</v>
      </c>
      <c r="E460" s="54">
        <v>30</v>
      </c>
      <c r="F460" s="54">
        <v>35</v>
      </c>
      <c r="G460" s="54">
        <v>80</v>
      </c>
      <c r="H460" s="59">
        <f t="shared" si="15"/>
        <v>191</v>
      </c>
    </row>
    <row r="461" spans="1:8" x14ac:dyDescent="0.25">
      <c r="A461" s="56" t="s">
        <v>848</v>
      </c>
      <c r="B461" s="48" t="s">
        <v>847</v>
      </c>
      <c r="C461" s="48" t="str">
        <f t="shared" si="14"/>
        <v>Solvang</v>
      </c>
      <c r="D461" s="55">
        <v>42</v>
      </c>
      <c r="E461" s="55">
        <v>28</v>
      </c>
      <c r="F461" s="55">
        <v>30</v>
      </c>
      <c r="G461" s="55">
        <v>75</v>
      </c>
      <c r="H461" s="50">
        <f t="shared" si="15"/>
        <v>175</v>
      </c>
    </row>
    <row r="462" spans="1:8" x14ac:dyDescent="0.25">
      <c r="A462" s="48" t="s">
        <v>798</v>
      </c>
      <c r="B462" s="48" t="s">
        <v>798</v>
      </c>
      <c r="C462" s="48" t="str">
        <f t="shared" si="14"/>
        <v>Sonoma</v>
      </c>
      <c r="D462" s="51">
        <v>24</v>
      </c>
      <c r="E462" s="51">
        <v>23</v>
      </c>
      <c r="F462" s="51">
        <v>27</v>
      </c>
      <c r="G462" s="51">
        <v>63</v>
      </c>
      <c r="H462" s="50">
        <f t="shared" si="15"/>
        <v>137</v>
      </c>
    </row>
    <row r="463" spans="1:8" x14ac:dyDescent="0.25">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773</v>
      </c>
      <c r="B464" s="48" t="s">
        <v>772</v>
      </c>
      <c r="C464" s="48" t="str">
        <f t="shared" si="14"/>
        <v>Sonora</v>
      </c>
      <c r="D464" s="51">
        <v>23</v>
      </c>
      <c r="E464" s="51">
        <v>16</v>
      </c>
      <c r="F464" s="51">
        <v>19</v>
      </c>
      <c r="G464" s="51">
        <v>42</v>
      </c>
      <c r="H464" s="50">
        <f t="shared" si="15"/>
        <v>100</v>
      </c>
    </row>
    <row r="465" spans="1:8" x14ac:dyDescent="0.25">
      <c r="A465" s="48" t="s">
        <v>1047</v>
      </c>
      <c r="B465" s="48" t="s">
        <v>1057</v>
      </c>
      <c r="C465" s="48" t="str">
        <f t="shared" si="14"/>
        <v>South El Monte</v>
      </c>
      <c r="D465" s="51">
        <v>43</v>
      </c>
      <c r="E465" s="51">
        <v>25</v>
      </c>
      <c r="F465" s="51">
        <v>28</v>
      </c>
      <c r="G465" s="51">
        <v>76</v>
      </c>
      <c r="H465" s="50">
        <f t="shared" si="15"/>
        <v>172</v>
      </c>
    </row>
    <row r="466" spans="1:8" x14ac:dyDescent="0.25">
      <c r="A466" s="48" t="s">
        <v>1047</v>
      </c>
      <c r="B466" s="48" t="s">
        <v>1056</v>
      </c>
      <c r="C466" s="48" t="str">
        <f t="shared" si="14"/>
        <v>South Gate</v>
      </c>
      <c r="D466" s="51">
        <v>314</v>
      </c>
      <c r="E466" s="51">
        <v>185</v>
      </c>
      <c r="F466" s="51">
        <v>205</v>
      </c>
      <c r="G466" s="51">
        <v>558</v>
      </c>
      <c r="H466" s="50">
        <f t="shared" si="15"/>
        <v>1262</v>
      </c>
    </row>
    <row r="467" spans="1:8" x14ac:dyDescent="0.25">
      <c r="A467" s="48" t="s">
        <v>1192</v>
      </c>
      <c r="B467" s="48" t="s">
        <v>1191</v>
      </c>
      <c r="C467" s="48" t="str">
        <f t="shared" si="14"/>
        <v>South Lake Tahoe</v>
      </c>
      <c r="D467" s="51">
        <v>54</v>
      </c>
      <c r="E467" s="51">
        <v>38</v>
      </c>
      <c r="F467" s="51">
        <v>63</v>
      </c>
      <c r="G467" s="51">
        <v>181</v>
      </c>
      <c r="H467" s="50">
        <f t="shared" si="15"/>
        <v>336</v>
      </c>
    </row>
    <row r="468" spans="1:8" x14ac:dyDescent="0.25">
      <c r="A468" s="48" t="s">
        <v>1047</v>
      </c>
      <c r="B468" s="48" t="s">
        <v>1055</v>
      </c>
      <c r="C468" s="48" t="str">
        <f t="shared" si="14"/>
        <v>South Pasadena</v>
      </c>
      <c r="D468" s="51">
        <v>17</v>
      </c>
      <c r="E468" s="51">
        <v>10</v>
      </c>
      <c r="F468" s="51">
        <v>11</v>
      </c>
      <c r="G468" s="51">
        <v>25</v>
      </c>
      <c r="H468" s="50">
        <f t="shared" si="15"/>
        <v>63</v>
      </c>
    </row>
    <row r="469" spans="1:8" x14ac:dyDescent="0.25">
      <c r="A469" s="48" t="s">
        <v>855</v>
      </c>
      <c r="B469" s="48" t="s">
        <v>856</v>
      </c>
      <c r="C469" s="48" t="str">
        <f t="shared" si="14"/>
        <v>South San Francisco</v>
      </c>
      <c r="D469" s="51">
        <v>565</v>
      </c>
      <c r="E469" s="51">
        <v>281</v>
      </c>
      <c r="F469" s="51">
        <v>313</v>
      </c>
      <c r="G469" s="51">
        <v>705</v>
      </c>
      <c r="H469" s="50">
        <f t="shared" si="15"/>
        <v>1864</v>
      </c>
    </row>
    <row r="470" spans="1:8" x14ac:dyDescent="0.25">
      <c r="A470" s="48" t="s">
        <v>1007</v>
      </c>
      <c r="B470" s="48" t="s">
        <v>1008</v>
      </c>
      <c r="C470" s="48" t="str">
        <f t="shared" si="14"/>
        <v>St. Helena</v>
      </c>
      <c r="D470" s="51">
        <v>8</v>
      </c>
      <c r="E470" s="51">
        <v>5</v>
      </c>
      <c r="F470" s="51">
        <v>5</v>
      </c>
      <c r="G470" s="51">
        <v>13</v>
      </c>
      <c r="H470" s="50">
        <f t="shared" si="15"/>
        <v>31</v>
      </c>
    </row>
    <row r="471" spans="1:8" x14ac:dyDescent="0.25">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970</v>
      </c>
      <c r="B472" s="48" t="s">
        <v>974</v>
      </c>
      <c r="C472" s="48" t="str">
        <f t="shared" si="14"/>
        <v>Stanton</v>
      </c>
      <c r="D472" s="51">
        <v>68</v>
      </c>
      <c r="E472" s="51">
        <v>49</v>
      </c>
      <c r="F472" s="51">
        <v>56</v>
      </c>
      <c r="G472" s="51">
        <v>140</v>
      </c>
      <c r="H472" s="50">
        <f t="shared" si="15"/>
        <v>313</v>
      </c>
    </row>
    <row r="473" spans="1:8" x14ac:dyDescent="0.25">
      <c r="A473" s="48" t="s">
        <v>879</v>
      </c>
      <c r="B473" s="48" t="s">
        <v>880</v>
      </c>
      <c r="C473" s="48" t="str">
        <f t="shared" si="14"/>
        <v>Stockton</v>
      </c>
      <c r="D473" s="57">
        <v>3157</v>
      </c>
      <c r="E473" s="57">
        <v>2004</v>
      </c>
      <c r="F473" s="57">
        <v>2103</v>
      </c>
      <c r="G473" s="57">
        <v>4560</v>
      </c>
      <c r="H473" s="50">
        <f t="shared" si="15"/>
        <v>11824</v>
      </c>
    </row>
    <row r="474" spans="1:8" x14ac:dyDescent="0.25">
      <c r="A474" s="48" t="s">
        <v>807</v>
      </c>
      <c r="B474" s="48" t="s">
        <v>809</v>
      </c>
      <c r="C474" s="48" t="str">
        <f t="shared" si="14"/>
        <v>Suisun City</v>
      </c>
      <c r="D474" s="51">
        <v>147</v>
      </c>
      <c r="E474" s="51">
        <v>57</v>
      </c>
      <c r="F474" s="51">
        <v>60</v>
      </c>
      <c r="G474" s="51">
        <v>241</v>
      </c>
      <c r="H474" s="50">
        <f t="shared" si="15"/>
        <v>505</v>
      </c>
    </row>
    <row r="475" spans="1:8" x14ac:dyDescent="0.25">
      <c r="A475" s="48" t="s">
        <v>835</v>
      </c>
      <c r="B475" s="48" t="s">
        <v>834</v>
      </c>
      <c r="C475" s="48" t="str">
        <f t="shared" si="14"/>
        <v>Sunnyvale</v>
      </c>
      <c r="D475" s="51">
        <v>1640</v>
      </c>
      <c r="E475" s="51">
        <v>906</v>
      </c>
      <c r="F475" s="51">
        <v>932</v>
      </c>
      <c r="G475" s="51">
        <v>1974</v>
      </c>
      <c r="H475" s="50">
        <f t="shared" si="15"/>
        <v>5452</v>
      </c>
    </row>
    <row r="476" spans="1:8" x14ac:dyDescent="0.25">
      <c r="A476" s="48" t="s">
        <v>1135</v>
      </c>
      <c r="B476" s="48" t="s">
        <v>1134</v>
      </c>
      <c r="C476" s="48" t="str">
        <f t="shared" si="14"/>
        <v>Susanville</v>
      </c>
      <c r="D476" s="51">
        <v>8</v>
      </c>
      <c r="E476" s="51">
        <v>4</v>
      </c>
      <c r="F476" s="51">
        <v>6</v>
      </c>
      <c r="G476" s="51">
        <v>12</v>
      </c>
      <c r="H476" s="50">
        <f t="shared" si="15"/>
        <v>30</v>
      </c>
    </row>
    <row r="477" spans="1:8" x14ac:dyDescent="0.25">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1224</v>
      </c>
      <c r="B478" s="48" t="s">
        <v>1223</v>
      </c>
      <c r="C478" s="48" t="str">
        <f t="shared" si="14"/>
        <v>Sutter Creek</v>
      </c>
      <c r="D478" s="51">
        <v>2</v>
      </c>
      <c r="E478" s="51">
        <v>2</v>
      </c>
      <c r="F478" s="51">
        <v>2</v>
      </c>
      <c r="G478" s="51">
        <v>4</v>
      </c>
      <c r="H478" s="50">
        <f t="shared" si="15"/>
        <v>10</v>
      </c>
    </row>
    <row r="479" spans="1:8" x14ac:dyDescent="0.25">
      <c r="A479" s="48" t="s">
        <v>1145</v>
      </c>
      <c r="B479" s="48" t="s">
        <v>1147</v>
      </c>
      <c r="C479" s="48" t="str">
        <f t="shared" si="14"/>
        <v>Taft</v>
      </c>
      <c r="D479" s="58">
        <v>52</v>
      </c>
      <c r="E479" s="58">
        <v>26</v>
      </c>
      <c r="F479" s="58">
        <v>30</v>
      </c>
      <c r="G479" s="58">
        <v>146</v>
      </c>
      <c r="H479" s="50">
        <f t="shared" si="15"/>
        <v>254</v>
      </c>
    </row>
    <row r="480" spans="1:8" x14ac:dyDescent="0.25">
      <c r="A480" s="48" t="s">
        <v>1145</v>
      </c>
      <c r="B480" s="48" t="s">
        <v>1146</v>
      </c>
      <c r="C480" s="48" t="str">
        <f t="shared" si="14"/>
        <v>Tehachapi</v>
      </c>
      <c r="D480" s="58">
        <v>127</v>
      </c>
      <c r="E480" s="58">
        <v>64</v>
      </c>
      <c r="F480" s="58">
        <v>88</v>
      </c>
      <c r="G480" s="58">
        <v>216</v>
      </c>
      <c r="H480" s="50">
        <f t="shared" si="15"/>
        <v>495</v>
      </c>
    </row>
    <row r="481" spans="1:8" x14ac:dyDescent="0.25">
      <c r="A481" s="48" t="s">
        <v>782</v>
      </c>
      <c r="B481" s="48" t="s">
        <v>782</v>
      </c>
      <c r="C481" s="48" t="str">
        <f t="shared" si="14"/>
        <v>Tehama</v>
      </c>
      <c r="D481" s="51">
        <v>2</v>
      </c>
      <c r="E481" s="51">
        <v>2</v>
      </c>
      <c r="F481" s="51">
        <v>2</v>
      </c>
      <c r="G481" s="51">
        <v>4</v>
      </c>
      <c r="H481" s="50">
        <f t="shared" si="15"/>
        <v>10</v>
      </c>
    </row>
    <row r="482" spans="1:8" x14ac:dyDescent="0.25">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937</v>
      </c>
      <c r="B483" s="48" t="s">
        <v>938</v>
      </c>
      <c r="C483" s="48" t="str">
        <f t="shared" si="14"/>
        <v>Temecula</v>
      </c>
      <c r="D483" s="51">
        <v>375</v>
      </c>
      <c r="E483" s="51">
        <v>251</v>
      </c>
      <c r="F483" s="51">
        <v>271</v>
      </c>
      <c r="G483" s="51">
        <v>596</v>
      </c>
      <c r="H483" s="50">
        <f t="shared" si="15"/>
        <v>1493</v>
      </c>
    </row>
    <row r="484" spans="1:8" x14ac:dyDescent="0.25">
      <c r="A484" s="48" t="s">
        <v>1047</v>
      </c>
      <c r="B484" s="48" t="s">
        <v>1054</v>
      </c>
      <c r="C484" s="48" t="str">
        <f t="shared" si="14"/>
        <v>Temple City</v>
      </c>
      <c r="D484" s="51">
        <v>159</v>
      </c>
      <c r="E484" s="51">
        <v>93</v>
      </c>
      <c r="F484" s="51">
        <v>99</v>
      </c>
      <c r="G484" s="51">
        <v>252</v>
      </c>
      <c r="H484" s="50">
        <f t="shared" si="15"/>
        <v>603</v>
      </c>
    </row>
    <row r="485" spans="1:8" x14ac:dyDescent="0.25">
      <c r="A485" s="48" t="s">
        <v>762</v>
      </c>
      <c r="B485" s="48" t="s">
        <v>761</v>
      </c>
      <c r="C485" s="48" t="str">
        <f t="shared" si="14"/>
        <v>Thousand Oaks</v>
      </c>
      <c r="D485" s="51">
        <v>47</v>
      </c>
      <c r="E485" s="51">
        <v>32</v>
      </c>
      <c r="F485" s="51">
        <v>36</v>
      </c>
      <c r="G485" s="51">
        <v>77</v>
      </c>
      <c r="H485" s="50">
        <f t="shared" si="15"/>
        <v>192</v>
      </c>
    </row>
    <row r="486" spans="1:8" x14ac:dyDescent="0.25">
      <c r="A486" s="48" t="s">
        <v>1037</v>
      </c>
      <c r="B486" s="48" t="s">
        <v>1323</v>
      </c>
      <c r="C486" s="48" t="str">
        <f t="shared" si="14"/>
        <v>Tiburon</v>
      </c>
      <c r="D486" s="51">
        <v>24</v>
      </c>
      <c r="E486" s="51">
        <v>16</v>
      </c>
      <c r="F486" s="51">
        <v>19</v>
      </c>
      <c r="G486" s="51">
        <v>19</v>
      </c>
      <c r="H486" s="50">
        <f t="shared" si="15"/>
        <v>78</v>
      </c>
    </row>
    <row r="487" spans="1:8" x14ac:dyDescent="0.25">
      <c r="A487" s="48" t="s">
        <v>1047</v>
      </c>
      <c r="B487" s="48" t="s">
        <v>1053</v>
      </c>
      <c r="C487" s="48" t="str">
        <f t="shared" si="14"/>
        <v>Torrance</v>
      </c>
      <c r="D487" s="51">
        <v>380</v>
      </c>
      <c r="E487" s="51">
        <v>227</v>
      </c>
      <c r="F487" s="51">
        <v>243</v>
      </c>
      <c r="G487" s="51">
        <v>600</v>
      </c>
      <c r="H487" s="50">
        <f t="shared" si="15"/>
        <v>1450</v>
      </c>
    </row>
    <row r="488" spans="1:8" x14ac:dyDescent="0.25">
      <c r="A488" s="48" t="s">
        <v>879</v>
      </c>
      <c r="B488" s="48" t="s">
        <v>878</v>
      </c>
      <c r="C488" s="48" t="str">
        <f t="shared" si="14"/>
        <v>Tracy</v>
      </c>
      <c r="D488" s="57">
        <v>980</v>
      </c>
      <c r="E488" s="57">
        <v>705</v>
      </c>
      <c r="F488" s="57">
        <v>828</v>
      </c>
      <c r="G488" s="57">
        <v>2463</v>
      </c>
      <c r="H488" s="50">
        <f t="shared" si="15"/>
        <v>4976</v>
      </c>
    </row>
    <row r="489" spans="1:8" x14ac:dyDescent="0.25">
      <c r="A489" s="48" t="s">
        <v>1167</v>
      </c>
      <c r="B489" s="48" t="s">
        <v>1166</v>
      </c>
      <c r="C489" s="48" t="str">
        <f t="shared" si="14"/>
        <v>Trinidad</v>
      </c>
      <c r="D489" s="51">
        <v>1</v>
      </c>
      <c r="E489" s="51">
        <v>1</v>
      </c>
      <c r="F489" s="51">
        <v>1</v>
      </c>
      <c r="G489" s="51">
        <v>2</v>
      </c>
      <c r="H489" s="50">
        <f t="shared" si="15"/>
        <v>5</v>
      </c>
    </row>
    <row r="490" spans="1:8" x14ac:dyDescent="0.25">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1004</v>
      </c>
      <c r="B491" s="48" t="s">
        <v>1003</v>
      </c>
      <c r="C491" s="48" t="str">
        <f t="shared" si="14"/>
        <v>Truckee</v>
      </c>
      <c r="D491" s="51">
        <v>108</v>
      </c>
      <c r="E491" s="51">
        <v>75</v>
      </c>
      <c r="F491" s="51">
        <v>78</v>
      </c>
      <c r="G491" s="51">
        <v>199</v>
      </c>
      <c r="H491" s="50">
        <f t="shared" si="15"/>
        <v>460</v>
      </c>
    </row>
    <row r="492" spans="1:8" x14ac:dyDescent="0.25">
      <c r="A492" s="48" t="s">
        <v>775</v>
      </c>
      <c r="B492" s="48" t="s">
        <v>775</v>
      </c>
      <c r="C492" s="48" t="str">
        <f t="shared" si="14"/>
        <v>Tulare</v>
      </c>
      <c r="D492" s="52">
        <v>920</v>
      </c>
      <c r="E492" s="52">
        <v>609</v>
      </c>
      <c r="F492" s="52">
        <v>613</v>
      </c>
      <c r="G492" s="52">
        <v>1452</v>
      </c>
      <c r="H492" s="50">
        <f t="shared" si="15"/>
        <v>3594</v>
      </c>
    </row>
    <row r="493" spans="1:8" x14ac:dyDescent="0.25">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815</v>
      </c>
      <c r="B494" s="48" t="s">
        <v>817</v>
      </c>
      <c r="C494" s="48" t="str">
        <f t="shared" si="14"/>
        <v>Tulelake</v>
      </c>
      <c r="D494" s="51">
        <v>3</v>
      </c>
      <c r="E494" s="51">
        <v>2</v>
      </c>
      <c r="F494" s="51">
        <v>2</v>
      </c>
      <c r="G494" s="51">
        <v>6</v>
      </c>
      <c r="H494" s="50">
        <f t="shared" si="15"/>
        <v>13</v>
      </c>
    </row>
    <row r="495" spans="1:8" x14ac:dyDescent="0.25">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789</v>
      </c>
      <c r="B496" s="48" t="s">
        <v>790</v>
      </c>
      <c r="C496" s="48" t="str">
        <f t="shared" si="14"/>
        <v>Turlock</v>
      </c>
      <c r="D496" s="52">
        <v>877</v>
      </c>
      <c r="E496" s="52">
        <v>562</v>
      </c>
      <c r="F496" s="52">
        <v>627</v>
      </c>
      <c r="G496" s="52">
        <v>1552</v>
      </c>
      <c r="H496" s="50">
        <f t="shared" si="15"/>
        <v>3618</v>
      </c>
    </row>
    <row r="497" spans="1:8" x14ac:dyDescent="0.25">
      <c r="A497" s="48" t="s">
        <v>970</v>
      </c>
      <c r="B497" s="48" t="s">
        <v>973</v>
      </c>
      <c r="C497" s="48" t="str">
        <f t="shared" si="14"/>
        <v>Tustin</v>
      </c>
      <c r="D497" s="51">
        <v>283</v>
      </c>
      <c r="E497" s="51">
        <v>195</v>
      </c>
      <c r="F497" s="51">
        <v>224</v>
      </c>
      <c r="G497" s="51">
        <v>525</v>
      </c>
      <c r="H497" s="50">
        <f t="shared" si="15"/>
        <v>1227</v>
      </c>
    </row>
    <row r="498" spans="1:8" x14ac:dyDescent="0.25">
      <c r="A498" s="48" t="s">
        <v>905</v>
      </c>
      <c r="B498" s="48" t="s">
        <v>909</v>
      </c>
      <c r="C498" s="48" t="str">
        <f t="shared" si="14"/>
        <v>Twentynine Palms</v>
      </c>
      <c r="D498" s="51">
        <v>103</v>
      </c>
      <c r="E498" s="51">
        <v>72</v>
      </c>
      <c r="F498" s="51">
        <v>84</v>
      </c>
      <c r="G498" s="51">
        <v>195</v>
      </c>
      <c r="H498" s="50">
        <f t="shared" si="15"/>
        <v>454</v>
      </c>
    </row>
    <row r="499" spans="1:8" x14ac:dyDescent="0.25">
      <c r="A499" s="48" t="s">
        <v>1033</v>
      </c>
      <c r="B499" s="48" t="s">
        <v>1034</v>
      </c>
      <c r="C499" s="48" t="str">
        <f t="shared" si="14"/>
        <v>Ukiah</v>
      </c>
      <c r="D499" s="51">
        <v>11</v>
      </c>
      <c r="E499" s="51">
        <v>7</v>
      </c>
      <c r="F499" s="51">
        <v>7</v>
      </c>
      <c r="G499" s="51">
        <v>20</v>
      </c>
      <c r="H499" s="50">
        <f t="shared" si="15"/>
        <v>45</v>
      </c>
    </row>
    <row r="500" spans="1:8" x14ac:dyDescent="0.25">
      <c r="A500" s="48" t="s">
        <v>1230</v>
      </c>
      <c r="B500" s="48" t="s">
        <v>1229</v>
      </c>
      <c r="C500" s="48" t="str">
        <f t="shared" si="14"/>
        <v>Union City</v>
      </c>
      <c r="D500" s="51">
        <v>317</v>
      </c>
      <c r="E500" s="51">
        <v>180</v>
      </c>
      <c r="F500" s="51">
        <v>192</v>
      </c>
      <c r="G500" s="51">
        <v>417</v>
      </c>
      <c r="H500" s="50">
        <f t="shared" si="15"/>
        <v>1106</v>
      </c>
    </row>
    <row r="501" spans="1:8" x14ac:dyDescent="0.25">
      <c r="A501" s="48" t="s">
        <v>905</v>
      </c>
      <c r="B501" s="48" t="s">
        <v>908</v>
      </c>
      <c r="C501" s="48" t="str">
        <f t="shared" si="14"/>
        <v>Upland</v>
      </c>
      <c r="D501" s="51">
        <v>382</v>
      </c>
      <c r="E501" s="51">
        <v>260</v>
      </c>
      <c r="F501" s="51">
        <v>294</v>
      </c>
      <c r="G501" s="51">
        <v>653</v>
      </c>
      <c r="H501" s="50">
        <f t="shared" si="15"/>
        <v>1589</v>
      </c>
    </row>
    <row r="502" spans="1:8" x14ac:dyDescent="0.25">
      <c r="A502" s="48" t="s">
        <v>807</v>
      </c>
      <c r="B502" s="48" t="s">
        <v>808</v>
      </c>
      <c r="C502" s="48" t="str">
        <f t="shared" si="14"/>
        <v>Vacaville</v>
      </c>
      <c r="D502" s="51">
        <v>287</v>
      </c>
      <c r="E502" s="51">
        <v>134</v>
      </c>
      <c r="F502" s="51">
        <v>173</v>
      </c>
      <c r="G502" s="51">
        <v>490</v>
      </c>
      <c r="H502" s="50">
        <f t="shared" si="15"/>
        <v>1084</v>
      </c>
    </row>
    <row r="503" spans="1:8" x14ac:dyDescent="0.25">
      <c r="A503" s="48" t="s">
        <v>807</v>
      </c>
      <c r="B503" s="48" t="s">
        <v>806</v>
      </c>
      <c r="C503" s="48" t="str">
        <f t="shared" si="14"/>
        <v>Vallejo</v>
      </c>
      <c r="D503" s="51">
        <v>283</v>
      </c>
      <c r="E503" s="51">
        <v>178</v>
      </c>
      <c r="F503" s="51">
        <v>211</v>
      </c>
      <c r="G503" s="51">
        <v>690</v>
      </c>
      <c r="H503" s="50">
        <f t="shared" si="15"/>
        <v>1362</v>
      </c>
    </row>
    <row r="504" spans="1:8" x14ac:dyDescent="0.25">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1047</v>
      </c>
      <c r="B505" s="48" t="s">
        <v>1052</v>
      </c>
      <c r="C505" s="48" t="str">
        <f t="shared" si="14"/>
        <v>Vernon</v>
      </c>
      <c r="D505" s="51">
        <v>1</v>
      </c>
      <c r="E505" s="51">
        <v>1</v>
      </c>
      <c r="F505" s="51">
        <v>0</v>
      </c>
      <c r="G505" s="51">
        <v>0</v>
      </c>
      <c r="H505" s="50">
        <f t="shared" si="15"/>
        <v>2</v>
      </c>
    </row>
    <row r="506" spans="1:8" x14ac:dyDescent="0.25">
      <c r="A506" s="48" t="s">
        <v>905</v>
      </c>
      <c r="B506" s="48" t="s">
        <v>907</v>
      </c>
      <c r="C506" s="48" t="str">
        <f t="shared" si="14"/>
        <v>Victorville</v>
      </c>
      <c r="D506" s="51">
        <v>1698</v>
      </c>
      <c r="E506" s="51">
        <v>1207</v>
      </c>
      <c r="F506" s="51">
        <v>1342</v>
      </c>
      <c r="G506" s="51">
        <v>3124</v>
      </c>
      <c r="H506" s="50">
        <f t="shared" si="15"/>
        <v>7371</v>
      </c>
    </row>
    <row r="507" spans="1:8" x14ac:dyDescent="0.25">
      <c r="A507" s="48" t="s">
        <v>970</v>
      </c>
      <c r="B507" s="48" t="s">
        <v>972</v>
      </c>
      <c r="C507" s="48" t="str">
        <f t="shared" si="14"/>
        <v>Villa Park</v>
      </c>
      <c r="D507" s="51">
        <v>3</v>
      </c>
      <c r="E507" s="51">
        <v>2</v>
      </c>
      <c r="F507" s="51">
        <v>3</v>
      </c>
      <c r="G507" s="51">
        <v>6</v>
      </c>
      <c r="H507" s="50">
        <f t="shared" si="15"/>
        <v>14</v>
      </c>
    </row>
    <row r="508" spans="1:8" x14ac:dyDescent="0.25">
      <c r="A508" s="48" t="s">
        <v>775</v>
      </c>
      <c r="B508" s="48" t="s">
        <v>776</v>
      </c>
      <c r="C508" s="48" t="str">
        <f t="shared" si="14"/>
        <v>Visalia</v>
      </c>
      <c r="D508" s="52">
        <v>2616</v>
      </c>
      <c r="E508" s="52">
        <v>1931</v>
      </c>
      <c r="F508" s="52">
        <v>1802</v>
      </c>
      <c r="G508" s="52">
        <v>3672</v>
      </c>
      <c r="H508" s="50">
        <f t="shared" si="15"/>
        <v>10021</v>
      </c>
    </row>
    <row r="509" spans="1:8" x14ac:dyDescent="0.25">
      <c r="A509" s="48" t="s">
        <v>887</v>
      </c>
      <c r="B509" s="48" t="s">
        <v>886</v>
      </c>
      <c r="C509" s="48" t="str">
        <f t="shared" si="14"/>
        <v>Vista</v>
      </c>
      <c r="D509" s="51">
        <v>343</v>
      </c>
      <c r="E509" s="51">
        <v>260</v>
      </c>
      <c r="F509" s="51">
        <v>241</v>
      </c>
      <c r="G509" s="51">
        <v>530</v>
      </c>
      <c r="H509" s="50">
        <f t="shared" si="15"/>
        <v>1374</v>
      </c>
    </row>
    <row r="510" spans="1:8" x14ac:dyDescent="0.25">
      <c r="A510" s="48" t="s">
        <v>1047</v>
      </c>
      <c r="B510" s="48" t="s">
        <v>1051</v>
      </c>
      <c r="C510" s="48" t="str">
        <f t="shared" si="14"/>
        <v>Walnut</v>
      </c>
      <c r="D510" s="51">
        <v>246</v>
      </c>
      <c r="E510" s="51">
        <v>144</v>
      </c>
      <c r="F510" s="51">
        <v>155</v>
      </c>
      <c r="G510" s="51">
        <v>363</v>
      </c>
      <c r="H510" s="50">
        <f t="shared" si="15"/>
        <v>908</v>
      </c>
    </row>
    <row r="511" spans="1:8" x14ac:dyDescent="0.25">
      <c r="A511" s="48" t="s">
        <v>1197</v>
      </c>
      <c r="B511" s="48" t="s">
        <v>1196</v>
      </c>
      <c r="C511" s="48" t="str">
        <f t="shared" si="14"/>
        <v>Walnut Creek</v>
      </c>
      <c r="D511" s="51">
        <v>604</v>
      </c>
      <c r="E511" s="51">
        <v>355</v>
      </c>
      <c r="F511" s="51">
        <v>381</v>
      </c>
      <c r="G511" s="51">
        <v>895</v>
      </c>
      <c r="H511" s="50">
        <f t="shared" si="15"/>
        <v>2235</v>
      </c>
    </row>
    <row r="512" spans="1:8" x14ac:dyDescent="0.25">
      <c r="A512" s="48" t="s">
        <v>1145</v>
      </c>
      <c r="B512" s="48" t="s">
        <v>1144</v>
      </c>
      <c r="C512" s="48" t="str">
        <f t="shared" si="14"/>
        <v>Wasco</v>
      </c>
      <c r="D512" s="58">
        <v>350</v>
      </c>
      <c r="E512" s="58">
        <v>275</v>
      </c>
      <c r="F512" s="58">
        <v>280</v>
      </c>
      <c r="G512" s="58">
        <v>521</v>
      </c>
      <c r="H512" s="50">
        <f t="shared" si="15"/>
        <v>1426</v>
      </c>
    </row>
    <row r="513" spans="1:8" x14ac:dyDescent="0.25">
      <c r="A513" s="48" t="s">
        <v>789</v>
      </c>
      <c r="B513" s="48" t="s">
        <v>788</v>
      </c>
      <c r="C513" s="48" t="str">
        <f t="shared" si="14"/>
        <v>Waterford</v>
      </c>
      <c r="D513" s="52">
        <v>131</v>
      </c>
      <c r="E513" s="52">
        <v>84</v>
      </c>
      <c r="F513" s="52">
        <v>89</v>
      </c>
      <c r="G513" s="52">
        <v>221</v>
      </c>
      <c r="H513" s="50">
        <f t="shared" si="15"/>
        <v>525</v>
      </c>
    </row>
    <row r="514" spans="1:8" x14ac:dyDescent="0.25">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5">
      <c r="A515" s="48" t="s">
        <v>815</v>
      </c>
      <c r="B515" s="48" t="s">
        <v>816</v>
      </c>
      <c r="C515" s="48" t="str">
        <f t="shared" si="16"/>
        <v>Weed</v>
      </c>
      <c r="D515" s="51">
        <v>10</v>
      </c>
      <c r="E515" s="51">
        <v>6</v>
      </c>
      <c r="F515" s="51">
        <v>6</v>
      </c>
      <c r="G515" s="51">
        <v>16</v>
      </c>
      <c r="H515" s="50">
        <f t="shared" si="17"/>
        <v>38</v>
      </c>
    </row>
    <row r="516" spans="1:8" x14ac:dyDescent="0.25">
      <c r="A516" s="48" t="s">
        <v>1047</v>
      </c>
      <c r="B516" s="48" t="s">
        <v>1050</v>
      </c>
      <c r="C516" s="48" t="str">
        <f t="shared" si="16"/>
        <v>West Covina</v>
      </c>
      <c r="D516" s="51">
        <v>217</v>
      </c>
      <c r="E516" s="51">
        <v>129</v>
      </c>
      <c r="F516" s="51">
        <v>138</v>
      </c>
      <c r="G516" s="51">
        <v>347</v>
      </c>
      <c r="H516" s="50">
        <f t="shared" si="17"/>
        <v>831</v>
      </c>
    </row>
    <row r="517" spans="1:8" x14ac:dyDescent="0.25">
      <c r="A517" s="48" t="s">
        <v>1047</v>
      </c>
      <c r="B517" s="48" t="s">
        <v>1049</v>
      </c>
      <c r="C517" s="48" t="str">
        <f>B517</f>
        <v>West Hollywood</v>
      </c>
      <c r="D517" s="51">
        <v>19</v>
      </c>
      <c r="E517" s="51">
        <v>12</v>
      </c>
      <c r="F517" s="51">
        <v>13</v>
      </c>
      <c r="G517" s="51">
        <v>33</v>
      </c>
      <c r="H517" s="50">
        <f t="shared" si="17"/>
        <v>77</v>
      </c>
    </row>
    <row r="518" spans="1:8" x14ac:dyDescent="0.25">
      <c r="A518" s="48" t="s">
        <v>757</v>
      </c>
      <c r="B518" s="48" t="s">
        <v>759</v>
      </c>
      <c r="C518" s="48" t="str">
        <f t="shared" si="16"/>
        <v>West Sacramento</v>
      </c>
      <c r="D518" s="51">
        <v>1316</v>
      </c>
      <c r="E518" s="51">
        <v>923</v>
      </c>
      <c r="F518" s="51">
        <v>1111</v>
      </c>
      <c r="G518" s="51">
        <v>2627</v>
      </c>
      <c r="H518" s="50">
        <f t="shared" si="17"/>
        <v>5977</v>
      </c>
    </row>
    <row r="519" spans="1:8" x14ac:dyDescent="0.25">
      <c r="A519" s="48" t="s">
        <v>1047</v>
      </c>
      <c r="B519" s="48" t="s">
        <v>1048</v>
      </c>
      <c r="C519" s="48" t="str">
        <f t="shared" si="16"/>
        <v>Westlake Village</v>
      </c>
      <c r="D519" s="51">
        <v>12</v>
      </c>
      <c r="E519" s="51">
        <v>7</v>
      </c>
      <c r="F519" s="51">
        <v>8</v>
      </c>
      <c r="G519" s="51">
        <v>18</v>
      </c>
      <c r="H519" s="50">
        <f t="shared" si="17"/>
        <v>45</v>
      </c>
    </row>
    <row r="520" spans="1:8" x14ac:dyDescent="0.25">
      <c r="A520" s="48" t="s">
        <v>970</v>
      </c>
      <c r="B520" s="48" t="s">
        <v>971</v>
      </c>
      <c r="C520" s="48" t="str">
        <f t="shared" si="16"/>
        <v>Westminster</v>
      </c>
      <c r="D520" s="51">
        <v>1</v>
      </c>
      <c r="E520" s="51">
        <v>1</v>
      </c>
      <c r="F520" s="51">
        <v>0</v>
      </c>
      <c r="G520" s="51">
        <v>0</v>
      </c>
      <c r="H520" s="50">
        <f t="shared" si="17"/>
        <v>2</v>
      </c>
    </row>
    <row r="521" spans="1:8" x14ac:dyDescent="0.25">
      <c r="A521" s="48" t="s">
        <v>1160</v>
      </c>
      <c r="B521" s="48" t="s">
        <v>1159</v>
      </c>
      <c r="C521" s="48" t="str">
        <f t="shared" si="16"/>
        <v>Westmorland</v>
      </c>
      <c r="D521" s="51">
        <v>57</v>
      </c>
      <c r="E521" s="51">
        <v>35</v>
      </c>
      <c r="F521" s="51">
        <v>36</v>
      </c>
      <c r="G521" s="51">
        <v>105</v>
      </c>
      <c r="H521" s="50">
        <f t="shared" si="17"/>
        <v>233</v>
      </c>
    </row>
    <row r="522" spans="1:8" x14ac:dyDescent="0.25">
      <c r="A522" s="48" t="s">
        <v>754</v>
      </c>
      <c r="B522" s="48" t="s">
        <v>753</v>
      </c>
      <c r="C522" s="48" t="str">
        <f t="shared" si="16"/>
        <v>Wheatland</v>
      </c>
      <c r="D522" s="51">
        <v>109</v>
      </c>
      <c r="E522" s="51">
        <v>76</v>
      </c>
      <c r="F522" s="51">
        <v>90</v>
      </c>
      <c r="G522" s="51">
        <v>208</v>
      </c>
      <c r="H522" s="50">
        <f t="shared" si="17"/>
        <v>483</v>
      </c>
    </row>
    <row r="523" spans="1:8" x14ac:dyDescent="0.25">
      <c r="A523" s="48" t="s">
        <v>1047</v>
      </c>
      <c r="B523" s="48" t="s">
        <v>1046</v>
      </c>
      <c r="C523" s="48" t="str">
        <f t="shared" si="16"/>
        <v>Whittier</v>
      </c>
      <c r="D523" s="51">
        <v>228</v>
      </c>
      <c r="E523" s="51">
        <v>135</v>
      </c>
      <c r="F523" s="51">
        <v>146</v>
      </c>
      <c r="G523" s="51">
        <v>369</v>
      </c>
      <c r="H523" s="50">
        <f t="shared" si="17"/>
        <v>878</v>
      </c>
    </row>
    <row r="524" spans="1:8" x14ac:dyDescent="0.25">
      <c r="A524" s="48" t="s">
        <v>937</v>
      </c>
      <c r="B524" s="48" t="s">
        <v>1329</v>
      </c>
      <c r="C524" s="48" t="str">
        <f>B524</f>
        <v>Wildomar</v>
      </c>
      <c r="D524" s="51">
        <v>621</v>
      </c>
      <c r="E524" s="51">
        <v>415</v>
      </c>
      <c r="F524" s="51">
        <v>461</v>
      </c>
      <c r="G524" s="51">
        <v>1038</v>
      </c>
      <c r="H524" s="50">
        <f t="shared" si="17"/>
        <v>2535</v>
      </c>
    </row>
    <row r="525" spans="1:8" x14ac:dyDescent="0.25">
      <c r="A525" s="48" t="s">
        <v>1216</v>
      </c>
      <c r="B525" s="48" t="s">
        <v>1215</v>
      </c>
      <c r="C525" s="48" t="str">
        <f t="shared" si="16"/>
        <v>Williams</v>
      </c>
      <c r="D525" s="51">
        <v>69</v>
      </c>
      <c r="E525" s="51">
        <v>50</v>
      </c>
      <c r="F525" s="51">
        <v>58</v>
      </c>
      <c r="G525" s="51">
        <v>130</v>
      </c>
      <c r="H525" s="50">
        <f t="shared" si="17"/>
        <v>307</v>
      </c>
    </row>
    <row r="526" spans="1:8" x14ac:dyDescent="0.25">
      <c r="A526" s="48" t="s">
        <v>1033</v>
      </c>
      <c r="B526" s="48" t="s">
        <v>1032</v>
      </c>
      <c r="C526" s="48" t="str">
        <f t="shared" si="16"/>
        <v>Willits</v>
      </c>
      <c r="D526" s="51">
        <v>3</v>
      </c>
      <c r="E526" s="51">
        <v>2</v>
      </c>
      <c r="F526" s="51">
        <v>2</v>
      </c>
      <c r="G526" s="51">
        <v>6</v>
      </c>
      <c r="H526" s="50">
        <f t="shared" si="17"/>
        <v>13</v>
      </c>
    </row>
    <row r="527" spans="1:8" x14ac:dyDescent="0.25">
      <c r="A527" s="48" t="s">
        <v>1175</v>
      </c>
      <c r="B527" s="48" t="s">
        <v>1174</v>
      </c>
      <c r="C527" s="48" t="str">
        <f t="shared" si="16"/>
        <v>Willows</v>
      </c>
      <c r="D527" s="51">
        <v>15</v>
      </c>
      <c r="E527" s="51">
        <v>11</v>
      </c>
      <c r="F527" s="51">
        <v>11</v>
      </c>
      <c r="G527" s="51">
        <v>26</v>
      </c>
      <c r="H527" s="50">
        <f t="shared" si="17"/>
        <v>63</v>
      </c>
    </row>
    <row r="528" spans="1:8" x14ac:dyDescent="0.25">
      <c r="A528" s="48" t="s">
        <v>798</v>
      </c>
      <c r="B528" s="48" t="s">
        <v>1338</v>
      </c>
      <c r="C528" s="48" t="str">
        <f t="shared" si="16"/>
        <v>Windsor</v>
      </c>
      <c r="D528" s="51">
        <v>120</v>
      </c>
      <c r="E528" s="51">
        <v>65</v>
      </c>
      <c r="F528" s="51">
        <v>67</v>
      </c>
      <c r="G528" s="51">
        <v>188</v>
      </c>
      <c r="H528" s="50">
        <f t="shared" si="17"/>
        <v>440</v>
      </c>
    </row>
    <row r="529" spans="1:8" x14ac:dyDescent="0.25">
      <c r="A529" s="48" t="s">
        <v>757</v>
      </c>
      <c r="B529" s="48" t="s">
        <v>758</v>
      </c>
      <c r="C529" s="48" t="str">
        <f t="shared" si="16"/>
        <v>Winters</v>
      </c>
      <c r="D529" s="51">
        <v>76</v>
      </c>
      <c r="E529" s="51">
        <v>54</v>
      </c>
      <c r="F529" s="51">
        <v>59</v>
      </c>
      <c r="G529" s="51">
        <v>130</v>
      </c>
      <c r="H529" s="50">
        <f t="shared" si="17"/>
        <v>319</v>
      </c>
    </row>
    <row r="530" spans="1:8" x14ac:dyDescent="0.25">
      <c r="A530" s="48" t="s">
        <v>775</v>
      </c>
      <c r="B530" s="48" t="s">
        <v>774</v>
      </c>
      <c r="C530" s="48" t="str">
        <f t="shared" si="16"/>
        <v>Woodlake</v>
      </c>
      <c r="D530" s="53">
        <v>71</v>
      </c>
      <c r="E530" s="53">
        <v>41</v>
      </c>
      <c r="F530" s="53">
        <v>69</v>
      </c>
      <c r="G530" s="53">
        <v>191</v>
      </c>
      <c r="H530" s="50">
        <f t="shared" si="17"/>
        <v>372</v>
      </c>
    </row>
    <row r="531" spans="1:8" x14ac:dyDescent="0.25">
      <c r="A531" s="48" t="s">
        <v>757</v>
      </c>
      <c r="B531" s="48" t="s">
        <v>756</v>
      </c>
      <c r="C531" s="48" t="str">
        <f t="shared" si="16"/>
        <v>Woodland</v>
      </c>
      <c r="D531" s="51">
        <v>390</v>
      </c>
      <c r="E531" s="51">
        <v>274</v>
      </c>
      <c r="F531" s="51">
        <v>349</v>
      </c>
      <c r="G531" s="51">
        <v>864</v>
      </c>
      <c r="H531" s="50">
        <f t="shared" si="17"/>
        <v>1877</v>
      </c>
    </row>
    <row r="532" spans="1:8" x14ac:dyDescent="0.25">
      <c r="A532" s="48" t="s">
        <v>855</v>
      </c>
      <c r="B532" s="48" t="s">
        <v>1335</v>
      </c>
      <c r="C532" s="48" t="str">
        <f t="shared" si="16"/>
        <v>Woodside</v>
      </c>
      <c r="D532" s="51">
        <v>23</v>
      </c>
      <c r="E532" s="51">
        <v>13</v>
      </c>
      <c r="F532" s="51">
        <v>15</v>
      </c>
      <c r="G532" s="51">
        <v>11</v>
      </c>
      <c r="H532" s="50">
        <f t="shared" si="17"/>
        <v>62</v>
      </c>
    </row>
    <row r="533" spans="1:8" x14ac:dyDescent="0.25">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970</v>
      </c>
      <c r="B534" s="48" t="s">
        <v>969</v>
      </c>
      <c r="C534" s="48" t="str">
        <f t="shared" si="16"/>
        <v>Yorba Linda</v>
      </c>
      <c r="D534" s="51">
        <v>160</v>
      </c>
      <c r="E534" s="51">
        <v>113</v>
      </c>
      <c r="F534" s="51">
        <v>126</v>
      </c>
      <c r="G534" s="51">
        <v>270</v>
      </c>
      <c r="H534" s="50">
        <f t="shared" si="17"/>
        <v>669</v>
      </c>
    </row>
    <row r="535" spans="1:8" x14ac:dyDescent="0.25">
      <c r="A535" s="48" t="s">
        <v>1007</v>
      </c>
      <c r="B535" s="48" t="s">
        <v>1325</v>
      </c>
      <c r="C535" s="48" t="str">
        <f t="shared" si="16"/>
        <v>Yountville</v>
      </c>
      <c r="D535" s="51">
        <v>4</v>
      </c>
      <c r="E535" s="51">
        <v>2</v>
      </c>
      <c r="F535" s="51">
        <v>3</v>
      </c>
      <c r="G535" s="51">
        <v>8</v>
      </c>
      <c r="H535" s="50">
        <f t="shared" si="17"/>
        <v>17</v>
      </c>
    </row>
    <row r="536" spans="1:8" x14ac:dyDescent="0.25">
      <c r="A536" s="48" t="s">
        <v>815</v>
      </c>
      <c r="B536" s="48" t="s">
        <v>814</v>
      </c>
      <c r="C536" s="48" t="str">
        <f t="shared" si="16"/>
        <v>Yreka</v>
      </c>
      <c r="D536" s="51">
        <v>25</v>
      </c>
      <c r="E536" s="51">
        <v>17</v>
      </c>
      <c r="F536" s="51">
        <v>18</v>
      </c>
      <c r="G536" s="51">
        <v>43</v>
      </c>
      <c r="H536" s="50">
        <f t="shared" si="17"/>
        <v>103</v>
      </c>
    </row>
    <row r="537" spans="1:8" x14ac:dyDescent="0.25">
      <c r="A537" s="48" t="s">
        <v>786</v>
      </c>
      <c r="B537" s="48" t="s">
        <v>785</v>
      </c>
      <c r="C537" s="48" t="str">
        <f t="shared" si="16"/>
        <v>Yuba City</v>
      </c>
      <c r="D537" s="51">
        <v>624</v>
      </c>
      <c r="E537" s="51">
        <v>437</v>
      </c>
      <c r="F537" s="51">
        <v>498</v>
      </c>
      <c r="G537" s="51">
        <v>1120</v>
      </c>
      <c r="H537" s="50">
        <f t="shared" si="17"/>
        <v>2679</v>
      </c>
    </row>
    <row r="538" spans="1:8" x14ac:dyDescent="0.25">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905</v>
      </c>
      <c r="B539" s="48" t="s">
        <v>906</v>
      </c>
      <c r="C539" s="48" t="str">
        <f t="shared" si="16"/>
        <v>Yucaipa</v>
      </c>
      <c r="D539" s="51">
        <v>376</v>
      </c>
      <c r="E539" s="51">
        <v>261</v>
      </c>
      <c r="F539" s="51">
        <v>299</v>
      </c>
      <c r="G539" s="51">
        <v>669</v>
      </c>
      <c r="H539" s="50">
        <f t="shared" si="17"/>
        <v>1605</v>
      </c>
    </row>
    <row r="540" spans="1:8" x14ac:dyDescent="0.25">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A23" sqref="A23"/>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55" customFormat="1" ht="20.25" customHeight="1" x14ac:dyDescent="0.4">
      <c r="A1" s="428" t="s">
        <v>8</v>
      </c>
      <c r="B1" s="428"/>
      <c r="C1" s="428"/>
      <c r="D1" s="428"/>
      <c r="E1" s="428"/>
      <c r="F1" s="428"/>
      <c r="G1" s="428"/>
      <c r="H1" s="428"/>
      <c r="I1" s="428"/>
      <c r="J1" s="428"/>
      <c r="K1" s="428"/>
      <c r="L1" s="428"/>
      <c r="M1" s="428"/>
      <c r="N1" s="428"/>
      <c r="O1" s="428"/>
      <c r="P1" s="428"/>
      <c r="Q1" s="428"/>
      <c r="R1" s="74"/>
      <c r="S1" s="74"/>
      <c r="T1" s="74"/>
      <c r="U1" s="74"/>
      <c r="V1" s="74"/>
      <c r="W1" s="74"/>
      <c r="X1" s="74"/>
      <c r="Y1" s="74"/>
    </row>
    <row r="2" spans="1:25" s="255" customFormat="1" ht="20.25" customHeight="1" x14ac:dyDescent="0.35">
      <c r="A2" s="429" t="s">
        <v>9</v>
      </c>
      <c r="B2" s="429"/>
      <c r="C2" s="429"/>
      <c r="D2" s="429"/>
      <c r="E2" s="429"/>
      <c r="F2" s="429"/>
      <c r="G2" s="429"/>
      <c r="H2" s="429"/>
      <c r="I2" s="429"/>
      <c r="J2" s="429"/>
      <c r="K2" s="429"/>
      <c r="L2" s="429"/>
      <c r="M2" s="429"/>
      <c r="N2" s="429"/>
      <c r="O2" s="429"/>
      <c r="P2" s="429"/>
      <c r="Q2" s="429"/>
      <c r="R2" s="75"/>
      <c r="S2" s="75"/>
      <c r="T2" s="75"/>
      <c r="U2" s="75"/>
      <c r="V2" s="75"/>
      <c r="W2" s="75"/>
      <c r="X2" s="75"/>
      <c r="Y2" s="75"/>
    </row>
    <row r="3" spans="1:25" s="255" customFormat="1" ht="15.75" customHeight="1" x14ac:dyDescent="0.25">
      <c r="A3" s="424" t="s">
        <v>1376</v>
      </c>
      <c r="B3" s="424"/>
      <c r="C3" s="424"/>
      <c r="D3" s="424"/>
      <c r="E3" s="424"/>
      <c r="F3" s="424"/>
      <c r="G3" s="424"/>
      <c r="H3" s="424"/>
      <c r="I3" s="424"/>
      <c r="J3" s="424"/>
      <c r="K3" s="424"/>
      <c r="L3" s="424"/>
      <c r="M3" s="424"/>
      <c r="N3" s="424"/>
      <c r="O3" s="424"/>
      <c r="P3" s="424"/>
      <c r="Q3" s="424"/>
      <c r="R3" s="76"/>
      <c r="S3" s="76"/>
      <c r="T3" s="76"/>
      <c r="U3" s="76"/>
      <c r="V3" s="76"/>
      <c r="W3" s="76"/>
      <c r="X3" s="76"/>
      <c r="Y3" s="76"/>
    </row>
    <row r="4" spans="1:25" s="79" customFormat="1" ht="25.5" customHeight="1" x14ac:dyDescent="0.25">
      <c r="A4" s="316" t="s">
        <v>10</v>
      </c>
      <c r="B4" s="238" t="str">
        <f>'Start Here'!B4:D4</f>
        <v>Oakley</v>
      </c>
      <c r="C4" s="317"/>
      <c r="D4" s="78"/>
      <c r="E4" s="78"/>
      <c r="I4" s="78"/>
      <c r="J4" s="78"/>
      <c r="K4" s="417" t="s">
        <v>1374</v>
      </c>
      <c r="L4" s="418"/>
      <c r="M4" s="418"/>
      <c r="N4" s="419"/>
    </row>
    <row r="5" spans="1:25" s="79" customFormat="1" ht="25.5" customHeight="1" x14ac:dyDescent="0.25">
      <c r="A5" s="316" t="s">
        <v>36</v>
      </c>
      <c r="B5" s="237">
        <f>'Start Here'!B5</f>
        <v>2018</v>
      </c>
      <c r="C5" s="318" t="str">
        <f>'Table A2'!C5</f>
        <v>(Jan. 1 - Dec. 31)</v>
      </c>
      <c r="D5" s="80"/>
      <c r="E5" s="80"/>
      <c r="I5" s="78"/>
      <c r="J5" s="78"/>
      <c r="K5" s="420" t="s">
        <v>106</v>
      </c>
      <c r="L5" s="421"/>
      <c r="M5" s="421"/>
      <c r="N5" s="422"/>
    </row>
    <row r="6" spans="1:25" s="79" customFormat="1" ht="20.25" customHeight="1" x14ac:dyDescent="0.45">
      <c r="A6" s="77"/>
      <c r="B6" s="281"/>
      <c r="C6" s="80"/>
      <c r="D6" s="80"/>
      <c r="E6" s="80"/>
      <c r="I6" s="94"/>
      <c r="J6" s="94"/>
      <c r="K6" s="94"/>
      <c r="L6" s="94"/>
      <c r="M6" s="94"/>
      <c r="N6" s="94"/>
    </row>
    <row r="8" spans="1:25" s="241" customFormat="1" ht="15.6" x14ac:dyDescent="0.3">
      <c r="A8" s="458" t="s">
        <v>21</v>
      </c>
      <c r="B8" s="458"/>
      <c r="C8" s="458"/>
      <c r="D8" s="458"/>
      <c r="E8" s="458"/>
      <c r="F8" s="458"/>
      <c r="G8" s="458"/>
      <c r="H8" s="458"/>
      <c r="I8" s="458"/>
      <c r="J8" s="458"/>
      <c r="K8" s="458"/>
      <c r="L8" s="458"/>
      <c r="M8" s="458"/>
      <c r="N8" s="458"/>
      <c r="O8" s="458"/>
      <c r="P8" s="458"/>
      <c r="Q8" s="458"/>
      <c r="R8" s="459"/>
    </row>
    <row r="9" spans="1:25" s="241" customFormat="1" ht="15.6" x14ac:dyDescent="0.3">
      <c r="A9" s="455" t="s">
        <v>49</v>
      </c>
      <c r="B9" s="456"/>
      <c r="C9" s="456"/>
      <c r="D9" s="456"/>
      <c r="E9" s="456"/>
      <c r="F9" s="456"/>
      <c r="G9" s="456"/>
      <c r="H9" s="456"/>
      <c r="I9" s="456"/>
      <c r="J9" s="456"/>
      <c r="K9" s="456"/>
      <c r="L9" s="456"/>
      <c r="M9" s="456"/>
      <c r="N9" s="456"/>
      <c r="O9" s="456"/>
      <c r="P9" s="456"/>
      <c r="Q9" s="456"/>
      <c r="R9" s="457"/>
    </row>
    <row r="10" spans="1:25" s="282" customFormat="1" ht="39.75" customHeight="1" x14ac:dyDescent="0.3">
      <c r="A10" s="401" t="s">
        <v>43</v>
      </c>
      <c r="B10" s="452"/>
      <c r="C10" s="452"/>
      <c r="D10" s="452"/>
      <c r="E10" s="199" t="s">
        <v>53</v>
      </c>
      <c r="F10" s="401" t="s">
        <v>50</v>
      </c>
      <c r="G10" s="452"/>
      <c r="H10" s="452"/>
      <c r="I10" s="452"/>
      <c r="J10" s="199" t="s">
        <v>116</v>
      </c>
      <c r="K10" s="401" t="s">
        <v>117</v>
      </c>
      <c r="L10" s="453"/>
      <c r="M10" s="453"/>
      <c r="N10" s="453"/>
      <c r="O10" s="453"/>
      <c r="P10" s="453"/>
      <c r="Q10" s="453"/>
      <c r="R10" s="453"/>
    </row>
    <row r="11" spans="1:25" s="97" customFormat="1" x14ac:dyDescent="0.25">
      <c r="A11" s="449">
        <v>1</v>
      </c>
      <c r="B11" s="454"/>
      <c r="C11" s="454"/>
      <c r="D11" s="451"/>
      <c r="E11" s="205">
        <v>2</v>
      </c>
      <c r="F11" s="449">
        <v>3</v>
      </c>
      <c r="G11" s="450"/>
      <c r="H11" s="450"/>
      <c r="I11" s="451"/>
      <c r="J11" s="92">
        <v>4</v>
      </c>
      <c r="K11" s="204">
        <v>5</v>
      </c>
      <c r="L11" s="204">
        <v>6</v>
      </c>
      <c r="M11" s="204">
        <v>7</v>
      </c>
      <c r="N11" s="432">
        <v>8</v>
      </c>
      <c r="O11" s="432"/>
      <c r="P11" s="204">
        <v>9</v>
      </c>
      <c r="Q11" s="204">
        <v>10</v>
      </c>
      <c r="R11" s="204">
        <v>11</v>
      </c>
    </row>
    <row r="12" spans="1:25" s="97" customFormat="1" ht="53.25" customHeight="1" x14ac:dyDescent="0.25">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5">
      <c r="A13" s="447" t="s">
        <v>136</v>
      </c>
      <c r="B13" s="448"/>
      <c r="C13" s="448"/>
      <c r="D13" s="448"/>
      <c r="E13" s="448"/>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3.2" x14ac:dyDescent="0.25">
      <c r="A14" s="165"/>
      <c r="B14" s="165"/>
      <c r="C14" s="165"/>
      <c r="D14" s="165"/>
      <c r="E14" s="329"/>
      <c r="F14" s="165"/>
      <c r="G14" s="165"/>
      <c r="H14" s="165"/>
      <c r="I14" s="165"/>
      <c r="J14" s="165"/>
      <c r="K14" s="166"/>
      <c r="L14" s="165"/>
      <c r="M14" s="165"/>
      <c r="N14" s="165"/>
      <c r="O14" s="165"/>
      <c r="P14" s="165"/>
      <c r="Q14" s="165"/>
      <c r="R14" s="165"/>
    </row>
    <row r="15" spans="1:25" s="17" customFormat="1" ht="13.2" x14ac:dyDescent="0.25">
      <c r="A15" s="165"/>
      <c r="B15" s="165"/>
      <c r="C15" s="165"/>
      <c r="D15" s="165"/>
      <c r="E15" s="165"/>
      <c r="F15" s="165"/>
      <c r="G15" s="165"/>
      <c r="H15" s="165"/>
      <c r="I15" s="165"/>
      <c r="J15" s="165"/>
      <c r="K15" s="166"/>
      <c r="L15" s="165"/>
      <c r="M15" s="165"/>
      <c r="N15" s="165"/>
      <c r="O15" s="165"/>
      <c r="P15" s="165"/>
      <c r="Q15" s="165"/>
      <c r="R15" s="165"/>
    </row>
    <row r="16" spans="1:25" s="17" customFormat="1" ht="13.2" x14ac:dyDescent="0.25">
      <c r="A16" s="165"/>
      <c r="B16" s="165"/>
      <c r="C16" s="165"/>
      <c r="D16" s="165"/>
      <c r="E16" s="165"/>
      <c r="F16" s="165"/>
      <c r="G16" s="165"/>
      <c r="H16" s="165"/>
      <c r="I16" s="165"/>
      <c r="J16" s="165"/>
      <c r="K16" s="166"/>
      <c r="L16" s="165"/>
      <c r="M16" s="165"/>
      <c r="N16" s="165"/>
      <c r="O16" s="165"/>
      <c r="P16" s="165"/>
      <c r="Q16" s="165"/>
      <c r="R16" s="165"/>
    </row>
    <row r="17" spans="1:20" s="17" customFormat="1" x14ac:dyDescent="0.25">
      <c r="A17" s="256"/>
      <c r="B17" s="165"/>
      <c r="C17" s="165"/>
      <c r="D17" s="165"/>
      <c r="E17" s="165"/>
      <c r="F17" s="165"/>
      <c r="G17" s="165"/>
      <c r="H17" s="165"/>
      <c r="I17" s="165"/>
      <c r="J17" s="165"/>
      <c r="K17" s="166"/>
      <c r="L17" s="165"/>
      <c r="M17" s="165"/>
      <c r="N17" s="165"/>
      <c r="O17" s="165"/>
      <c r="P17" s="165"/>
      <c r="Q17" s="165"/>
      <c r="R17" s="165"/>
    </row>
    <row r="18" spans="1:20" s="17" customFormat="1" ht="13.2" x14ac:dyDescent="0.25">
      <c r="A18" s="165"/>
      <c r="B18" s="165"/>
      <c r="C18" s="165"/>
      <c r="D18" s="165"/>
      <c r="E18" s="165"/>
      <c r="F18" s="165"/>
      <c r="G18" s="165"/>
      <c r="H18" s="165"/>
      <c r="I18" s="165"/>
      <c r="J18" s="165"/>
      <c r="K18" s="166"/>
      <c r="L18" s="165"/>
      <c r="M18" s="165"/>
      <c r="N18" s="165"/>
      <c r="O18" s="165"/>
      <c r="P18" s="165"/>
      <c r="Q18" s="165"/>
      <c r="R18" s="165"/>
    </row>
    <row r="19" spans="1:20" s="17" customFormat="1" ht="13.2" x14ac:dyDescent="0.25">
      <c r="A19" s="165"/>
      <c r="B19" s="165"/>
      <c r="C19" s="165"/>
      <c r="D19" s="165"/>
      <c r="E19" s="165"/>
      <c r="F19" s="165"/>
      <c r="G19" s="165"/>
      <c r="H19" s="165"/>
      <c r="I19" s="165"/>
      <c r="J19" s="165"/>
      <c r="K19" s="166"/>
      <c r="L19" s="165"/>
      <c r="M19" s="165"/>
      <c r="N19" s="165"/>
      <c r="O19" s="165"/>
      <c r="P19" s="165"/>
      <c r="Q19" s="165"/>
      <c r="R19" s="165"/>
    </row>
    <row r="20" spans="1:20" s="17" customFormat="1" ht="13.2" x14ac:dyDescent="0.25">
      <c r="A20" s="165"/>
      <c r="B20" s="165"/>
      <c r="C20" s="165"/>
      <c r="D20" s="165"/>
      <c r="E20" s="165"/>
      <c r="F20" s="165"/>
      <c r="G20" s="165"/>
      <c r="H20" s="165"/>
      <c r="I20" s="165"/>
      <c r="J20" s="165"/>
      <c r="K20" s="166"/>
      <c r="L20" s="165"/>
      <c r="M20" s="165"/>
      <c r="N20" s="165"/>
      <c r="O20" s="165"/>
      <c r="P20" s="165"/>
      <c r="Q20" s="165"/>
      <c r="R20" s="165"/>
    </row>
    <row r="21" spans="1:20" s="17" customFormat="1" ht="13.2" x14ac:dyDescent="0.25">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5">
      <c r="A22" s="260"/>
      <c r="B22" s="260"/>
      <c r="C22" s="260"/>
      <c r="D22" s="260"/>
      <c r="E22" s="260"/>
      <c r="F22" s="260"/>
      <c r="G22" s="260"/>
      <c r="H22" s="260"/>
      <c r="I22" s="260"/>
      <c r="J22" s="165"/>
      <c r="K22" s="288"/>
      <c r="L22" s="260"/>
      <c r="M22" s="260"/>
      <c r="N22" s="260"/>
      <c r="O22" s="260"/>
      <c r="P22" s="260"/>
      <c r="Q22" s="260"/>
      <c r="R22" s="260"/>
    </row>
    <row r="23" spans="1:20" s="291" customFormat="1" ht="13.2" x14ac:dyDescent="0.25">
      <c r="A23" s="289"/>
      <c r="B23" s="289"/>
      <c r="C23" s="289"/>
      <c r="D23" s="289"/>
      <c r="E23" s="289"/>
      <c r="F23" s="289"/>
      <c r="G23" s="289"/>
      <c r="H23" s="289"/>
      <c r="I23" s="289"/>
      <c r="J23" s="165"/>
      <c r="K23" s="290"/>
      <c r="L23" s="289"/>
      <c r="M23" s="289"/>
      <c r="N23" s="289"/>
      <c r="O23" s="289"/>
      <c r="P23" s="289"/>
      <c r="Q23" s="289"/>
      <c r="R23" s="289"/>
    </row>
    <row r="24" spans="1:20" s="257" customFormat="1" x14ac:dyDescent="0.25">
      <c r="A24" s="260"/>
      <c r="B24" s="260"/>
      <c r="C24" s="260"/>
      <c r="D24" s="260"/>
      <c r="E24" s="260"/>
      <c r="F24" s="260"/>
      <c r="G24" s="260"/>
      <c r="H24" s="260"/>
      <c r="I24" s="260"/>
      <c r="J24" s="165"/>
      <c r="K24" s="288"/>
      <c r="L24" s="260"/>
      <c r="M24" s="260"/>
      <c r="N24" s="260"/>
      <c r="O24" s="260"/>
      <c r="P24" s="260"/>
      <c r="Q24" s="260"/>
      <c r="R24" s="260"/>
    </row>
    <row r="25" spans="1:20" s="257" customFormat="1" x14ac:dyDescent="0.25">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5">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5">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5">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5">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5">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5">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5">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5">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5">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5">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5">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5">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5">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5">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5">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5">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5">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5">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5">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5">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5">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5">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5">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5">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5">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5">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5">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5">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5">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5">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5">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5">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5">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5">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5">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5">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5">
      <c r="A62" s="260"/>
      <c r="B62" s="260"/>
      <c r="C62" s="260"/>
      <c r="D62" s="260"/>
      <c r="E62" s="260"/>
      <c r="F62" s="260"/>
      <c r="G62" s="260"/>
      <c r="H62" s="260"/>
      <c r="I62" s="260"/>
      <c r="J62" s="260"/>
      <c r="K62" s="288"/>
      <c r="L62" s="260"/>
      <c r="M62" s="260"/>
      <c r="N62" s="260"/>
      <c r="O62" s="260"/>
      <c r="P62" s="260"/>
      <c r="Q62" s="260"/>
      <c r="R62" s="260"/>
    </row>
    <row r="63" spans="1:20" s="257" customFormat="1" x14ac:dyDescent="0.25">
      <c r="A63" s="260"/>
      <c r="B63" s="260"/>
      <c r="C63" s="260"/>
      <c r="D63" s="260"/>
      <c r="E63" s="260"/>
      <c r="F63" s="260"/>
      <c r="G63" s="260"/>
      <c r="H63" s="260"/>
      <c r="I63" s="260"/>
      <c r="J63" s="260"/>
      <c r="K63" s="288"/>
      <c r="L63" s="260"/>
      <c r="M63" s="260"/>
      <c r="N63" s="260"/>
      <c r="O63" s="260"/>
      <c r="P63" s="260"/>
      <c r="Q63" s="260"/>
      <c r="R63" s="260"/>
    </row>
    <row r="64" spans="1:20" s="257" customFormat="1" x14ac:dyDescent="0.25">
      <c r="A64" s="260"/>
      <c r="B64" s="260"/>
      <c r="C64" s="260"/>
      <c r="D64" s="260"/>
      <c r="E64" s="260"/>
      <c r="F64" s="260"/>
      <c r="G64" s="260"/>
      <c r="H64" s="260"/>
      <c r="I64" s="260"/>
      <c r="J64" s="260"/>
      <c r="K64" s="288"/>
      <c r="L64" s="260"/>
      <c r="M64" s="260"/>
      <c r="N64" s="260"/>
      <c r="O64" s="260"/>
      <c r="P64" s="260"/>
      <c r="Q64" s="260"/>
      <c r="R64" s="260"/>
    </row>
    <row r="65" spans="1:18" s="257" customFormat="1" x14ac:dyDescent="0.25">
      <c r="A65" s="260"/>
      <c r="B65" s="260"/>
      <c r="C65" s="260"/>
      <c r="D65" s="260"/>
      <c r="E65" s="260"/>
      <c r="F65" s="260"/>
      <c r="G65" s="260"/>
      <c r="H65" s="260"/>
      <c r="I65" s="260"/>
      <c r="J65" s="260"/>
      <c r="K65" s="288"/>
      <c r="L65" s="260"/>
      <c r="M65" s="260"/>
      <c r="N65" s="260"/>
      <c r="O65" s="260"/>
      <c r="P65" s="260"/>
      <c r="Q65" s="260"/>
      <c r="R65" s="260"/>
    </row>
    <row r="66" spans="1:18" s="257" customFormat="1" x14ac:dyDescent="0.25">
      <c r="A66" s="260"/>
      <c r="B66" s="260"/>
      <c r="C66" s="260"/>
      <c r="D66" s="260"/>
      <c r="E66" s="260"/>
      <c r="F66" s="260"/>
      <c r="G66" s="260"/>
      <c r="H66" s="260"/>
      <c r="I66" s="260"/>
      <c r="J66" s="260"/>
      <c r="K66" s="288"/>
      <c r="L66" s="260"/>
      <c r="M66" s="260"/>
      <c r="N66" s="260"/>
      <c r="O66" s="260"/>
      <c r="P66" s="260"/>
      <c r="Q66" s="260"/>
      <c r="R66" s="260"/>
    </row>
    <row r="67" spans="1:18" s="257" customFormat="1" x14ac:dyDescent="0.25">
      <c r="A67" s="260"/>
      <c r="B67" s="260"/>
      <c r="C67" s="260"/>
      <c r="D67" s="260"/>
      <c r="E67" s="260"/>
      <c r="F67" s="260"/>
      <c r="G67" s="260"/>
      <c r="H67" s="260"/>
      <c r="I67" s="260"/>
      <c r="J67" s="260"/>
      <c r="K67" s="288"/>
      <c r="L67" s="260"/>
      <c r="M67" s="260"/>
      <c r="N67" s="260"/>
      <c r="O67" s="260"/>
      <c r="P67" s="260"/>
      <c r="Q67" s="260"/>
      <c r="R67" s="260"/>
    </row>
    <row r="68" spans="1:18" s="257" customFormat="1" x14ac:dyDescent="0.25">
      <c r="A68" s="260"/>
      <c r="B68" s="260"/>
      <c r="C68" s="260"/>
      <c r="D68" s="260"/>
      <c r="E68" s="260"/>
      <c r="F68" s="260"/>
      <c r="G68" s="260"/>
      <c r="H68" s="260"/>
      <c r="I68" s="260"/>
      <c r="J68" s="260"/>
      <c r="K68" s="288"/>
      <c r="L68" s="260"/>
      <c r="M68" s="260"/>
      <c r="N68" s="260"/>
      <c r="O68" s="260"/>
      <c r="P68" s="260"/>
      <c r="Q68" s="260"/>
      <c r="R68" s="260"/>
    </row>
    <row r="69" spans="1:18" s="257" customFormat="1" x14ac:dyDescent="0.25">
      <c r="A69" s="260"/>
      <c r="B69" s="260"/>
      <c r="C69" s="260"/>
      <c r="D69" s="260"/>
      <c r="E69" s="260"/>
      <c r="F69" s="260"/>
      <c r="G69" s="260"/>
      <c r="H69" s="260"/>
      <c r="I69" s="260"/>
      <c r="J69" s="260"/>
      <c r="K69" s="288"/>
      <c r="L69" s="260"/>
      <c r="M69" s="260"/>
      <c r="N69" s="260"/>
      <c r="O69" s="260"/>
      <c r="P69" s="260"/>
      <c r="Q69" s="260"/>
      <c r="R69" s="260"/>
    </row>
    <row r="70" spans="1:18" s="257" customFormat="1" x14ac:dyDescent="0.25">
      <c r="A70" s="260"/>
      <c r="B70" s="260"/>
      <c r="C70" s="260"/>
      <c r="D70" s="260"/>
      <c r="E70" s="260"/>
      <c r="F70" s="260"/>
      <c r="G70" s="260"/>
      <c r="H70" s="260"/>
      <c r="I70" s="260"/>
      <c r="J70" s="260"/>
      <c r="K70" s="288"/>
      <c r="L70" s="260"/>
      <c r="M70" s="260"/>
      <c r="N70" s="260"/>
      <c r="O70" s="260"/>
      <c r="P70" s="260"/>
      <c r="Q70" s="260"/>
      <c r="R70" s="260"/>
    </row>
    <row r="71" spans="1:18" s="257" customFormat="1" x14ac:dyDescent="0.25">
      <c r="A71" s="260"/>
      <c r="B71" s="260"/>
      <c r="C71" s="260"/>
      <c r="D71" s="260"/>
      <c r="E71" s="260"/>
      <c r="F71" s="260"/>
      <c r="G71" s="260"/>
      <c r="H71" s="260"/>
      <c r="I71" s="260"/>
      <c r="J71" s="260"/>
      <c r="K71" s="288"/>
      <c r="L71" s="260"/>
      <c r="M71" s="260"/>
      <c r="N71" s="260"/>
      <c r="O71" s="260"/>
      <c r="P71" s="260"/>
      <c r="Q71" s="260"/>
      <c r="R71" s="260"/>
    </row>
    <row r="72" spans="1:18" s="257" customFormat="1" x14ac:dyDescent="0.25">
      <c r="A72" s="260"/>
      <c r="B72" s="260"/>
      <c r="C72" s="260"/>
      <c r="D72" s="260"/>
      <c r="E72" s="260"/>
      <c r="F72" s="260"/>
      <c r="G72" s="260"/>
      <c r="H72" s="260"/>
      <c r="I72" s="260"/>
      <c r="J72" s="260"/>
      <c r="K72" s="288"/>
      <c r="L72" s="260"/>
      <c r="M72" s="260"/>
      <c r="N72" s="260"/>
      <c r="O72" s="260"/>
      <c r="P72" s="260"/>
      <c r="Q72" s="260"/>
      <c r="R72" s="260"/>
    </row>
    <row r="73" spans="1:18" s="257" customFormat="1" x14ac:dyDescent="0.25">
      <c r="A73" s="260"/>
      <c r="B73" s="260"/>
      <c r="C73" s="260"/>
      <c r="D73" s="260"/>
      <c r="E73" s="260"/>
      <c r="F73" s="260"/>
      <c r="G73" s="260"/>
      <c r="H73" s="260"/>
      <c r="I73" s="260"/>
      <c r="J73" s="260"/>
      <c r="K73" s="288"/>
      <c r="L73" s="260"/>
      <c r="M73" s="260"/>
      <c r="N73" s="260"/>
      <c r="O73" s="260"/>
      <c r="P73" s="260"/>
      <c r="Q73" s="260"/>
      <c r="R73" s="260"/>
    </row>
    <row r="74" spans="1:18" s="257" customFormat="1" x14ac:dyDescent="0.25">
      <c r="A74" s="260"/>
      <c r="B74" s="260"/>
      <c r="C74" s="260"/>
      <c r="D74" s="260"/>
      <c r="E74" s="260"/>
      <c r="F74" s="260"/>
      <c r="G74" s="260"/>
      <c r="H74" s="260"/>
      <c r="I74" s="260"/>
      <c r="J74" s="260"/>
      <c r="K74" s="288"/>
      <c r="L74" s="260"/>
      <c r="M74" s="260"/>
      <c r="N74" s="260"/>
      <c r="O74" s="260"/>
      <c r="P74" s="260"/>
      <c r="Q74" s="260"/>
      <c r="R74" s="260"/>
    </row>
    <row r="75" spans="1:18" s="257" customFormat="1" x14ac:dyDescent="0.25">
      <c r="A75" s="260"/>
      <c r="B75" s="260"/>
      <c r="C75" s="260"/>
      <c r="D75" s="260"/>
      <c r="E75" s="260"/>
      <c r="F75" s="260"/>
      <c r="G75" s="260"/>
      <c r="H75" s="260"/>
      <c r="I75" s="260"/>
      <c r="J75" s="260"/>
      <c r="K75" s="288"/>
      <c r="L75" s="260"/>
      <c r="M75" s="260"/>
      <c r="N75" s="260"/>
      <c r="O75" s="260"/>
      <c r="P75" s="260"/>
      <c r="Q75" s="260"/>
      <c r="R75" s="260"/>
    </row>
    <row r="76" spans="1:18" s="257" customFormat="1" x14ac:dyDescent="0.25">
      <c r="A76" s="260"/>
      <c r="B76" s="260"/>
      <c r="C76" s="260"/>
      <c r="D76" s="260"/>
      <c r="E76" s="260"/>
      <c r="F76" s="260"/>
      <c r="G76" s="260"/>
      <c r="H76" s="260"/>
      <c r="I76" s="260"/>
      <c r="J76" s="260"/>
      <c r="K76" s="288"/>
      <c r="L76" s="260"/>
      <c r="M76" s="260"/>
      <c r="N76" s="260"/>
      <c r="O76" s="260"/>
      <c r="P76" s="260"/>
      <c r="Q76" s="260"/>
      <c r="R76" s="260"/>
    </row>
    <row r="77" spans="1:18" s="257" customFormat="1" x14ac:dyDescent="0.25">
      <c r="A77" s="260"/>
      <c r="B77" s="260"/>
      <c r="C77" s="260"/>
      <c r="D77" s="260"/>
      <c r="E77" s="260"/>
      <c r="F77" s="260"/>
      <c r="G77" s="260"/>
      <c r="H77" s="260"/>
      <c r="I77" s="260"/>
      <c r="J77" s="260"/>
      <c r="K77" s="288"/>
      <c r="L77" s="260"/>
      <c r="M77" s="260"/>
      <c r="N77" s="260"/>
      <c r="O77" s="260"/>
      <c r="P77" s="260"/>
      <c r="Q77" s="260"/>
      <c r="R77" s="260"/>
    </row>
    <row r="78" spans="1:18" s="257" customFormat="1" x14ac:dyDescent="0.25">
      <c r="A78" s="260"/>
      <c r="B78" s="260"/>
      <c r="C78" s="260"/>
      <c r="D78" s="260"/>
      <c r="E78" s="260"/>
      <c r="F78" s="260"/>
      <c r="G78" s="260"/>
      <c r="H78" s="260"/>
      <c r="I78" s="260"/>
      <c r="J78" s="260"/>
      <c r="K78" s="288"/>
      <c r="L78" s="260"/>
      <c r="M78" s="260"/>
      <c r="N78" s="260"/>
      <c r="O78" s="260"/>
      <c r="P78" s="260"/>
      <c r="Q78" s="260"/>
      <c r="R78" s="260"/>
    </row>
    <row r="79" spans="1:18" s="257" customFormat="1" x14ac:dyDescent="0.25">
      <c r="A79" s="260"/>
      <c r="B79" s="260"/>
      <c r="C79" s="260"/>
      <c r="D79" s="260"/>
      <c r="E79" s="260"/>
      <c r="F79" s="260"/>
      <c r="G79" s="260"/>
      <c r="H79" s="260"/>
      <c r="I79" s="260"/>
      <c r="J79" s="260"/>
      <c r="K79" s="288"/>
      <c r="L79" s="260"/>
      <c r="M79" s="260"/>
      <c r="N79" s="260"/>
      <c r="O79" s="260"/>
      <c r="P79" s="260"/>
      <c r="Q79" s="260"/>
      <c r="R79" s="260"/>
    </row>
    <row r="80" spans="1:18" s="257" customFormat="1" x14ac:dyDescent="0.25">
      <c r="A80" s="260"/>
      <c r="B80" s="260"/>
      <c r="C80" s="260"/>
      <c r="D80" s="260"/>
      <c r="E80" s="260"/>
      <c r="F80" s="260"/>
      <c r="G80" s="260"/>
      <c r="H80" s="260"/>
      <c r="I80" s="260"/>
      <c r="J80" s="260"/>
      <c r="K80" s="288"/>
      <c r="L80" s="260"/>
      <c r="M80" s="260"/>
      <c r="N80" s="260"/>
      <c r="O80" s="260"/>
      <c r="P80" s="260"/>
      <c r="Q80" s="260"/>
      <c r="R80" s="260"/>
    </row>
    <row r="81" spans="1:18" s="257" customFormat="1" x14ac:dyDescent="0.25">
      <c r="A81" s="260"/>
      <c r="B81" s="260"/>
      <c r="C81" s="260"/>
      <c r="D81" s="260"/>
      <c r="E81" s="260"/>
      <c r="F81" s="260"/>
      <c r="G81" s="260"/>
      <c r="H81" s="260"/>
      <c r="I81" s="260"/>
      <c r="J81" s="260"/>
      <c r="K81" s="288"/>
      <c r="L81" s="260"/>
      <c r="M81" s="260"/>
      <c r="N81" s="260"/>
      <c r="O81" s="260"/>
      <c r="P81" s="260"/>
      <c r="Q81" s="260"/>
      <c r="R81" s="260"/>
    </row>
    <row r="82" spans="1:18" s="257" customFormat="1" x14ac:dyDescent="0.25">
      <c r="A82" s="260"/>
      <c r="B82" s="260"/>
      <c r="C82" s="260"/>
      <c r="D82" s="260"/>
      <c r="E82" s="260"/>
      <c r="F82" s="260"/>
      <c r="G82" s="260"/>
      <c r="H82" s="260"/>
      <c r="I82" s="260"/>
      <c r="J82" s="260"/>
      <c r="K82" s="288"/>
      <c r="L82" s="260"/>
      <c r="M82" s="260"/>
      <c r="N82" s="260"/>
      <c r="O82" s="260"/>
      <c r="P82" s="260"/>
      <c r="Q82" s="260"/>
      <c r="R82" s="260"/>
    </row>
    <row r="83" spans="1:18" s="257" customFormat="1" x14ac:dyDescent="0.25">
      <c r="A83" s="260"/>
      <c r="B83" s="260"/>
      <c r="C83" s="260"/>
      <c r="D83" s="260"/>
      <c r="E83" s="260"/>
      <c r="F83" s="260"/>
      <c r="G83" s="260"/>
      <c r="H83" s="260"/>
      <c r="I83" s="260"/>
      <c r="J83" s="260"/>
      <c r="K83" s="288"/>
      <c r="L83" s="260"/>
      <c r="M83" s="260"/>
      <c r="N83" s="260"/>
      <c r="O83" s="260"/>
      <c r="P83" s="260"/>
      <c r="Q83" s="260"/>
      <c r="R83" s="260"/>
    </row>
    <row r="84" spans="1:18" s="257" customFormat="1" x14ac:dyDescent="0.25">
      <c r="A84" s="260"/>
      <c r="B84" s="260"/>
      <c r="C84" s="260"/>
      <c r="D84" s="260"/>
      <c r="E84" s="260"/>
      <c r="F84" s="260"/>
      <c r="G84" s="260"/>
      <c r="H84" s="260"/>
      <c r="I84" s="260"/>
      <c r="J84" s="260"/>
      <c r="K84" s="288"/>
      <c r="L84" s="260"/>
      <c r="M84" s="260"/>
      <c r="N84" s="260"/>
      <c r="O84" s="260"/>
      <c r="P84" s="260"/>
      <c r="Q84" s="260"/>
      <c r="R84" s="260"/>
    </row>
    <row r="85" spans="1:18" s="257" customFormat="1" x14ac:dyDescent="0.25">
      <c r="A85" s="260"/>
      <c r="B85" s="260"/>
      <c r="C85" s="260"/>
      <c r="D85" s="260"/>
      <c r="E85" s="260"/>
      <c r="F85" s="260"/>
      <c r="G85" s="260"/>
      <c r="H85" s="260"/>
      <c r="I85" s="260"/>
      <c r="J85" s="260"/>
      <c r="K85" s="288"/>
      <c r="L85" s="260"/>
      <c r="M85" s="260"/>
      <c r="N85" s="260"/>
      <c r="O85" s="260"/>
      <c r="P85" s="260"/>
      <c r="Q85" s="260"/>
      <c r="R85" s="260"/>
    </row>
    <row r="86" spans="1:18" s="257" customFormat="1" x14ac:dyDescent="0.25">
      <c r="A86" s="260"/>
      <c r="B86" s="260"/>
      <c r="C86" s="260"/>
      <c r="D86" s="260"/>
      <c r="E86" s="260"/>
      <c r="F86" s="260"/>
      <c r="G86" s="260"/>
      <c r="H86" s="260"/>
      <c r="I86" s="260"/>
      <c r="J86" s="260"/>
      <c r="K86" s="288"/>
      <c r="L86" s="260"/>
      <c r="M86" s="260"/>
      <c r="N86" s="260"/>
      <c r="O86" s="260"/>
      <c r="P86" s="260"/>
      <c r="Q86" s="260"/>
      <c r="R86" s="260"/>
    </row>
    <row r="87" spans="1:18" s="257" customFormat="1" x14ac:dyDescent="0.25">
      <c r="A87" s="260"/>
      <c r="B87" s="260"/>
      <c r="C87" s="260"/>
      <c r="D87" s="260"/>
      <c r="E87" s="260"/>
      <c r="F87" s="260"/>
      <c r="G87" s="260"/>
      <c r="H87" s="260"/>
      <c r="I87" s="260"/>
      <c r="J87" s="260"/>
      <c r="K87" s="288"/>
      <c r="L87" s="260"/>
      <c r="M87" s="260"/>
      <c r="N87" s="260"/>
      <c r="O87" s="260"/>
      <c r="P87" s="260"/>
      <c r="Q87" s="260"/>
      <c r="R87" s="260"/>
    </row>
    <row r="88" spans="1:18" s="257" customFormat="1" x14ac:dyDescent="0.25">
      <c r="A88" s="260"/>
      <c r="B88" s="260"/>
      <c r="C88" s="260"/>
      <c r="D88" s="260"/>
      <c r="E88" s="260"/>
      <c r="F88" s="260"/>
      <c r="G88" s="260"/>
      <c r="H88" s="260"/>
      <c r="I88" s="260"/>
      <c r="J88" s="260"/>
      <c r="K88" s="288"/>
      <c r="L88" s="260"/>
      <c r="M88" s="260"/>
      <c r="N88" s="260"/>
      <c r="O88" s="260"/>
      <c r="P88" s="260"/>
      <c r="Q88" s="260"/>
      <c r="R88" s="260"/>
    </row>
    <row r="89" spans="1:18" s="257" customFormat="1" x14ac:dyDescent="0.25">
      <c r="A89" s="260"/>
      <c r="B89" s="260"/>
      <c r="C89" s="260"/>
      <c r="D89" s="260"/>
      <c r="E89" s="260"/>
      <c r="F89" s="260"/>
      <c r="G89" s="260"/>
      <c r="H89" s="260"/>
      <c r="I89" s="260"/>
      <c r="J89" s="260"/>
      <c r="K89" s="288"/>
      <c r="L89" s="260"/>
      <c r="M89" s="260"/>
      <c r="N89" s="260"/>
      <c r="O89" s="260"/>
      <c r="P89" s="260"/>
      <c r="Q89" s="260"/>
      <c r="R89" s="260"/>
    </row>
    <row r="90" spans="1:18" s="257" customFormat="1" x14ac:dyDescent="0.25">
      <c r="A90" s="260"/>
      <c r="B90" s="260"/>
      <c r="C90" s="260"/>
      <c r="D90" s="260"/>
      <c r="E90" s="260"/>
      <c r="F90" s="260"/>
      <c r="G90" s="260"/>
      <c r="H90" s="260"/>
      <c r="I90" s="260"/>
      <c r="J90" s="260"/>
      <c r="K90" s="288"/>
      <c r="L90" s="260"/>
      <c r="M90" s="260"/>
      <c r="N90" s="260"/>
      <c r="O90" s="260"/>
      <c r="P90" s="260"/>
      <c r="Q90" s="260"/>
      <c r="R90" s="260"/>
    </row>
    <row r="91" spans="1:18" s="257" customFormat="1" x14ac:dyDescent="0.25">
      <c r="A91" s="260"/>
      <c r="B91" s="260"/>
      <c r="C91" s="260"/>
      <c r="D91" s="260"/>
      <c r="E91" s="260"/>
      <c r="F91" s="260"/>
      <c r="G91" s="260"/>
      <c r="H91" s="260"/>
      <c r="I91" s="260"/>
      <c r="J91" s="260"/>
      <c r="K91" s="288"/>
      <c r="L91" s="260"/>
      <c r="M91" s="260"/>
      <c r="N91" s="260"/>
      <c r="O91" s="260"/>
      <c r="P91" s="260"/>
      <c r="Q91" s="260"/>
      <c r="R91" s="260"/>
    </row>
    <row r="92" spans="1:18" s="257" customFormat="1" x14ac:dyDescent="0.25">
      <c r="A92" s="260"/>
      <c r="B92" s="260"/>
      <c r="C92" s="260"/>
      <c r="D92" s="260"/>
      <c r="E92" s="260"/>
      <c r="F92" s="260"/>
      <c r="G92" s="260"/>
      <c r="H92" s="260"/>
      <c r="I92" s="260"/>
      <c r="J92" s="260"/>
      <c r="K92" s="288"/>
      <c r="L92" s="260"/>
      <c r="M92" s="260"/>
      <c r="N92" s="260"/>
      <c r="O92" s="260"/>
      <c r="P92" s="260"/>
      <c r="Q92" s="260"/>
      <c r="R92" s="260"/>
    </row>
    <row r="93" spans="1:18" s="257" customFormat="1" x14ac:dyDescent="0.25">
      <c r="A93" s="260"/>
      <c r="B93" s="260"/>
      <c r="C93" s="260"/>
      <c r="D93" s="260"/>
      <c r="E93" s="260"/>
      <c r="F93" s="260"/>
      <c r="G93" s="260"/>
      <c r="H93" s="260"/>
      <c r="I93" s="260"/>
      <c r="J93" s="260"/>
      <c r="K93" s="288"/>
      <c r="L93" s="260"/>
      <c r="M93" s="260"/>
      <c r="N93" s="260"/>
      <c r="O93" s="260"/>
      <c r="P93" s="260"/>
      <c r="Q93" s="260"/>
      <c r="R93" s="260"/>
    </row>
    <row r="94" spans="1:18" s="257" customFormat="1" x14ac:dyDescent="0.25">
      <c r="A94" s="260"/>
      <c r="B94" s="260"/>
      <c r="C94" s="260"/>
      <c r="D94" s="260"/>
      <c r="E94" s="260"/>
      <c r="F94" s="260"/>
      <c r="G94" s="260"/>
      <c r="H94" s="260"/>
      <c r="I94" s="260"/>
      <c r="J94" s="260"/>
      <c r="K94" s="288"/>
      <c r="L94" s="260"/>
      <c r="M94" s="260"/>
      <c r="N94" s="260"/>
      <c r="O94" s="260"/>
      <c r="P94" s="260"/>
      <c r="Q94" s="260"/>
      <c r="R94" s="260"/>
    </row>
    <row r="95" spans="1:18" s="257" customFormat="1" x14ac:dyDescent="0.25">
      <c r="A95" s="260"/>
      <c r="B95" s="260"/>
      <c r="C95" s="260"/>
      <c r="D95" s="260"/>
      <c r="E95" s="260"/>
      <c r="F95" s="260"/>
      <c r="G95" s="260"/>
      <c r="H95" s="260"/>
      <c r="I95" s="260"/>
      <c r="J95" s="260"/>
      <c r="K95" s="288"/>
      <c r="L95" s="260"/>
      <c r="M95" s="260"/>
      <c r="N95" s="260"/>
      <c r="O95" s="260"/>
      <c r="P95" s="260"/>
      <c r="Q95" s="260"/>
      <c r="R95" s="260"/>
    </row>
    <row r="96" spans="1:18" s="257" customFormat="1" x14ac:dyDescent="0.25">
      <c r="A96" s="260"/>
      <c r="B96" s="260"/>
      <c r="C96" s="260"/>
      <c r="D96" s="260"/>
      <c r="E96" s="260"/>
      <c r="F96" s="260"/>
      <c r="G96" s="260"/>
      <c r="H96" s="260"/>
      <c r="I96" s="260"/>
      <c r="J96" s="260"/>
      <c r="K96" s="288"/>
      <c r="L96" s="260"/>
      <c r="M96" s="260"/>
      <c r="N96" s="260"/>
      <c r="O96" s="260"/>
      <c r="P96" s="260"/>
      <c r="Q96" s="260"/>
      <c r="R96" s="260"/>
    </row>
    <row r="97" spans="1:18" s="257" customFormat="1" x14ac:dyDescent="0.25">
      <c r="A97" s="260"/>
      <c r="B97" s="260"/>
      <c r="C97" s="260"/>
      <c r="D97" s="260"/>
      <c r="E97" s="260"/>
      <c r="F97" s="260"/>
      <c r="G97" s="260"/>
      <c r="H97" s="260"/>
      <c r="I97" s="260"/>
      <c r="J97" s="260"/>
      <c r="K97" s="288"/>
      <c r="L97" s="260"/>
      <c r="M97" s="260"/>
      <c r="N97" s="260"/>
      <c r="O97" s="260"/>
      <c r="P97" s="260"/>
      <c r="Q97" s="260"/>
      <c r="R97" s="260"/>
    </row>
    <row r="98" spans="1:18" s="257" customFormat="1" x14ac:dyDescent="0.25">
      <c r="A98" s="260"/>
      <c r="B98" s="260"/>
      <c r="C98" s="260"/>
      <c r="D98" s="260"/>
      <c r="E98" s="260"/>
      <c r="F98" s="260"/>
      <c r="G98" s="260"/>
      <c r="H98" s="260"/>
      <c r="I98" s="260"/>
      <c r="J98" s="260"/>
      <c r="K98" s="288"/>
      <c r="L98" s="260"/>
      <c r="M98" s="260"/>
      <c r="N98" s="260"/>
      <c r="O98" s="260"/>
      <c r="P98" s="260"/>
      <c r="Q98" s="260"/>
      <c r="R98" s="260"/>
    </row>
    <row r="99" spans="1:18" s="257" customFormat="1" x14ac:dyDescent="0.25">
      <c r="A99" s="260"/>
      <c r="B99" s="260"/>
      <c r="C99" s="260"/>
      <c r="D99" s="260"/>
      <c r="E99" s="260"/>
      <c r="F99" s="260"/>
      <c r="G99" s="260"/>
      <c r="H99" s="260"/>
      <c r="I99" s="260"/>
      <c r="J99" s="260"/>
      <c r="K99" s="288"/>
      <c r="L99" s="260"/>
      <c r="M99" s="260"/>
      <c r="N99" s="260"/>
      <c r="O99" s="260"/>
      <c r="P99" s="260"/>
      <c r="Q99" s="260"/>
      <c r="R99" s="260"/>
    </row>
    <row r="100" spans="1:18" s="257" customFormat="1" x14ac:dyDescent="0.25">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5">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5">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5">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5">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5">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5">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5">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5">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5">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5">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5">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5">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5">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5">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5">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5">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5">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5">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5">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5">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5">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5">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5">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5">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5">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5">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5">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5">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5">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5">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5">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5">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5">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5">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5">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5">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5">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5">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5">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5">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5">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5">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5">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5">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5">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5">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5">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5">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5">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5">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5">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5">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5">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5">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5">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5">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5">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5">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5">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5">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5">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5">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5">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5">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5">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5">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5">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5">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5">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5">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5">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5">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5">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5">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5">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5">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5">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5">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5">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5">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5">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5">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5">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5">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5">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5">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5">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5">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5">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5">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5">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5">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5">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5">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5">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5">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5">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5">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5">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5">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5">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5">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5">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5">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5">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5">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5">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5">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5">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5">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5">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5">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5">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5">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5">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5">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5">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5">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5">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5">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5">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5">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5">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5">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5">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5">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5">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5">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5">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5">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5">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5">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5">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5">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5">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5">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5">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5">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5">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5">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5">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5">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5">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5">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5">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5">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5">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5">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5">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5">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5">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5">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5">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5">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5">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5">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5">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5">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5">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5">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5">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5">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5">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5">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5">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5">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5">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5">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5">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5">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5">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5">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5">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5">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5">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5">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5">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5">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5">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5">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5">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5">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5">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5">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5">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5">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5">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5">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5">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5">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5">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5">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5">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5">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5">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5">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5">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5">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5">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5">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5">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5">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5">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5">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5">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5">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5">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5">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5">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5">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5">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5">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5">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5">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5">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5">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5">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5">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5">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5">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5">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5">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5">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5">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5">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5">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5">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5">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5">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5">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5">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5">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5">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5">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5">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5">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5">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5">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5">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5">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5">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5">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5">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5">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5">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5">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5">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5">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5">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5">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5">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5">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5">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5">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5">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5">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5">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5">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5">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5">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5">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5">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5">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5">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5">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5">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5">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5">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5">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5">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5">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5">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5">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5">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5">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5">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5">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5">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5">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5">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5">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5">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5">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5">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5">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5">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5">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5">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5">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5">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5">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5">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5">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5">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5">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5">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5">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5">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5">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5">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5">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5">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5">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5">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5">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5">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5">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5">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5">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5">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5">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5">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5">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5">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5">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5">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5">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5">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5">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5">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5">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5">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5">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5">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5">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5">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5">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5">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5">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5">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5">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5">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5">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5">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5">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5">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5">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5">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5">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5">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5">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5">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5">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5">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5">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5">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5">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5">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5">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5">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5">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5">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5">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5">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5">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5">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5">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5">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5">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5">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5">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5">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5">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5">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5">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5">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5">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5">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5">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5">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5">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5">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5">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5">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5">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5">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5">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5">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5">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5">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5">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5">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5">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5">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5">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5">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5">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5">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5">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5">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5">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5">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5">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5">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5">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5">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5">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5">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5">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5">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5"/>
    <row r="502" spans="1:18" s="257" customFormat="1" x14ac:dyDescent="0.25"/>
    <row r="503" spans="1:18" s="257" customFormat="1" x14ac:dyDescent="0.25"/>
    <row r="504" spans="1:18" s="257" customFormat="1" x14ac:dyDescent="0.25"/>
    <row r="505" spans="1:18" s="257" customFormat="1" x14ac:dyDescent="0.25"/>
    <row r="506" spans="1:18" s="257" customFormat="1" x14ac:dyDescent="0.25"/>
    <row r="507" spans="1:18" s="257" customFormat="1" x14ac:dyDescent="0.25"/>
    <row r="508" spans="1:18" s="257" customFormat="1" x14ac:dyDescent="0.25"/>
    <row r="509" spans="1:18" s="257" customFormat="1" x14ac:dyDescent="0.25"/>
    <row r="510" spans="1:18" s="257" customFormat="1" x14ac:dyDescent="0.25"/>
    <row r="511" spans="1:18" s="257" customFormat="1" x14ac:dyDescent="0.25"/>
    <row r="512" spans="1:18" s="257" customFormat="1" x14ac:dyDescent="0.25"/>
    <row r="513" s="257" customFormat="1" x14ac:dyDescent="0.25"/>
    <row r="514" s="257" customFormat="1" x14ac:dyDescent="0.25"/>
    <row r="515" s="257" customFormat="1" x14ac:dyDescent="0.25"/>
    <row r="516" s="257" customFormat="1" x14ac:dyDescent="0.25"/>
    <row r="517" s="257" customFormat="1" x14ac:dyDescent="0.25"/>
    <row r="518" s="257" customFormat="1" x14ac:dyDescent="0.25"/>
    <row r="519" s="257" customFormat="1" x14ac:dyDescent="0.25"/>
    <row r="520" s="257" customFormat="1" x14ac:dyDescent="0.25"/>
    <row r="521" s="257" customFormat="1" x14ac:dyDescent="0.25"/>
    <row r="522" s="257" customFormat="1" x14ac:dyDescent="0.25"/>
    <row r="523" s="257" customFormat="1" x14ac:dyDescent="0.25"/>
    <row r="524" s="257" customFormat="1" x14ac:dyDescent="0.25"/>
    <row r="525" s="257" customFormat="1" x14ac:dyDescent="0.25"/>
    <row r="526" s="257" customFormat="1" x14ac:dyDescent="0.25"/>
    <row r="527" s="257" customFormat="1" x14ac:dyDescent="0.25"/>
    <row r="528" s="257" customFormat="1" x14ac:dyDescent="0.25"/>
    <row r="529" s="257" customFormat="1" x14ac:dyDescent="0.25"/>
    <row r="530" s="257" customFormat="1" x14ac:dyDescent="0.25"/>
    <row r="531" s="257" customFormat="1" x14ac:dyDescent="0.25"/>
    <row r="532" s="257" customFormat="1" x14ac:dyDescent="0.25"/>
    <row r="533" s="257" customFormat="1" x14ac:dyDescent="0.25"/>
    <row r="534" s="257" customFormat="1" x14ac:dyDescent="0.25"/>
    <row r="535" s="257" customFormat="1" x14ac:dyDescent="0.25"/>
    <row r="536" s="257" customFormat="1" x14ac:dyDescent="0.25"/>
    <row r="537" s="257" customFormat="1" x14ac:dyDescent="0.25"/>
    <row r="538" s="257" customFormat="1" x14ac:dyDescent="0.25"/>
    <row r="539" s="257" customFormat="1" x14ac:dyDescent="0.25"/>
    <row r="540" s="257" customFormat="1" x14ac:dyDescent="0.25"/>
    <row r="541" s="257" customFormat="1" x14ac:dyDescent="0.25"/>
    <row r="542" s="257" customFormat="1" x14ac:dyDescent="0.25"/>
    <row r="543" s="257" customFormat="1" x14ac:dyDescent="0.25"/>
    <row r="544" s="257" customFormat="1" x14ac:dyDescent="0.25"/>
    <row r="545" s="257" customFormat="1" x14ac:dyDescent="0.25"/>
    <row r="546" s="257" customFormat="1" x14ac:dyDescent="0.25"/>
    <row r="547" s="257" customFormat="1" x14ac:dyDescent="0.25"/>
    <row r="548" s="257" customFormat="1" x14ac:dyDescent="0.25"/>
    <row r="549" s="257" customFormat="1" x14ac:dyDescent="0.25"/>
    <row r="550" s="257" customFormat="1" x14ac:dyDescent="0.25"/>
    <row r="551" s="257" customFormat="1" x14ac:dyDescent="0.25"/>
    <row r="552" s="257" customFormat="1" x14ac:dyDescent="0.25"/>
    <row r="553" s="257" customFormat="1" x14ac:dyDescent="0.25"/>
    <row r="554" s="257" customFormat="1" x14ac:dyDescent="0.25"/>
    <row r="555" s="257" customFormat="1" x14ac:dyDescent="0.25"/>
    <row r="556" s="257" customFormat="1" x14ac:dyDescent="0.25"/>
    <row r="557" s="257" customFormat="1" x14ac:dyDescent="0.25"/>
    <row r="558" s="257" customFormat="1" x14ac:dyDescent="0.25"/>
    <row r="559" s="257" customFormat="1" x14ac:dyDescent="0.25"/>
    <row r="560" s="257" customFormat="1" x14ac:dyDescent="0.25"/>
    <row r="561" s="257" customFormat="1" x14ac:dyDescent="0.25"/>
    <row r="562" s="257" customFormat="1" x14ac:dyDescent="0.25"/>
    <row r="563" s="257" customFormat="1" x14ac:dyDescent="0.25"/>
    <row r="564" s="257" customFormat="1" x14ac:dyDescent="0.25"/>
    <row r="565" s="257" customFormat="1" x14ac:dyDescent="0.25"/>
    <row r="566" s="257" customFormat="1" x14ac:dyDescent="0.25"/>
    <row r="567" s="257" customFormat="1" x14ac:dyDescent="0.25"/>
    <row r="568" s="257" customFormat="1" x14ac:dyDescent="0.25"/>
    <row r="569" s="257" customFormat="1" x14ac:dyDescent="0.25"/>
    <row r="570" s="257" customFormat="1" x14ac:dyDescent="0.25"/>
    <row r="571" s="257" customFormat="1" x14ac:dyDescent="0.25"/>
    <row r="572" s="257" customFormat="1" x14ac:dyDescent="0.25"/>
    <row r="573" s="257" customFormat="1" x14ac:dyDescent="0.25"/>
    <row r="574" s="257" customFormat="1" x14ac:dyDescent="0.25"/>
    <row r="575" s="257" customFormat="1" x14ac:dyDescent="0.25"/>
    <row r="576" s="257" customFormat="1" x14ac:dyDescent="0.25"/>
    <row r="577" s="257" customFormat="1" x14ac:dyDescent="0.25"/>
    <row r="578" s="257" customFormat="1" x14ac:dyDescent="0.25"/>
    <row r="579" s="257" customFormat="1" x14ac:dyDescent="0.25"/>
    <row r="580" s="257" customFormat="1" x14ac:dyDescent="0.25"/>
    <row r="581" s="257" customFormat="1" x14ac:dyDescent="0.25"/>
    <row r="582" s="257" customFormat="1" x14ac:dyDescent="0.25"/>
    <row r="583" s="257" customFormat="1" x14ac:dyDescent="0.25"/>
    <row r="584" s="257" customFormat="1" x14ac:dyDescent="0.25"/>
    <row r="585" s="257" customFormat="1" x14ac:dyDescent="0.25"/>
    <row r="586" s="257" customFormat="1" x14ac:dyDescent="0.25"/>
    <row r="587" s="257" customFormat="1" x14ac:dyDescent="0.25"/>
    <row r="588" s="257" customFormat="1" x14ac:dyDescent="0.25"/>
    <row r="589" s="257" customFormat="1" x14ac:dyDescent="0.25"/>
    <row r="590" s="257" customFormat="1" x14ac:dyDescent="0.25"/>
    <row r="591" s="257" customFormat="1" x14ac:dyDescent="0.25"/>
    <row r="592"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25" right="0.25" top="0.75" bottom="0.75" header="0.3" footer="0.3"/>
  <pageSetup paperSize="17" scale="6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114" activePane="bottomLeft" state="frozen"/>
      <selection pane="bottomLeft" activeCell="A121" sqref="A121:D128"/>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78" customFormat="1" ht="21" x14ac:dyDescent="0.4">
      <c r="A1" s="473" t="s">
        <v>8</v>
      </c>
      <c r="B1" s="474"/>
      <c r="C1" s="474"/>
      <c r="D1" s="474"/>
      <c r="E1" s="207"/>
      <c r="F1" s="207"/>
      <c r="G1" s="3"/>
      <c r="H1" s="3"/>
      <c r="I1" s="3"/>
      <c r="J1" s="3"/>
      <c r="K1" s="3"/>
      <c r="L1" s="3"/>
      <c r="M1" s="3"/>
      <c r="N1" s="3"/>
      <c r="O1" s="3"/>
      <c r="P1" s="3"/>
      <c r="Q1" s="3"/>
      <c r="R1" s="3"/>
      <c r="S1" s="3"/>
      <c r="T1" s="3"/>
      <c r="U1" s="3"/>
      <c r="V1" s="3"/>
    </row>
    <row r="2" spans="1:22" s="278" customFormat="1" ht="20.25" customHeight="1" x14ac:dyDescent="0.35">
      <c r="A2" s="475" t="s">
        <v>9</v>
      </c>
      <c r="B2" s="474"/>
      <c r="C2" s="474"/>
      <c r="D2" s="474"/>
      <c r="E2" s="208"/>
      <c r="F2" s="208"/>
      <c r="G2" s="4"/>
      <c r="H2" s="4"/>
      <c r="I2" s="4"/>
      <c r="J2" s="4"/>
      <c r="K2" s="4"/>
      <c r="L2" s="4"/>
      <c r="M2" s="4"/>
      <c r="N2" s="4"/>
      <c r="O2" s="4"/>
      <c r="P2" s="4"/>
      <c r="Q2" s="4"/>
      <c r="R2" s="4"/>
      <c r="S2" s="4"/>
      <c r="T2" s="4"/>
      <c r="U2" s="4"/>
      <c r="V2" s="4"/>
    </row>
    <row r="3" spans="1:22" s="278" customFormat="1" ht="15.75" customHeight="1" x14ac:dyDescent="0.25">
      <c r="A3" s="476" t="s">
        <v>1376</v>
      </c>
      <c r="B3" s="474"/>
      <c r="C3" s="474"/>
      <c r="D3" s="474"/>
      <c r="E3" s="209"/>
      <c r="F3" s="209"/>
      <c r="G3" s="21"/>
      <c r="H3" s="21"/>
      <c r="I3" s="21"/>
      <c r="J3" s="21"/>
      <c r="K3" s="21"/>
      <c r="L3" s="21"/>
      <c r="M3" s="21"/>
      <c r="N3" s="21"/>
      <c r="O3" s="21"/>
      <c r="P3" s="21"/>
      <c r="Q3" s="21"/>
      <c r="R3" s="21"/>
      <c r="S3" s="21"/>
      <c r="T3" s="21"/>
      <c r="U3" s="21"/>
      <c r="V3" s="21"/>
    </row>
    <row r="4" spans="1:22" s="2" customFormat="1" ht="13.2" x14ac:dyDescent="0.25">
      <c r="A4" s="320" t="s">
        <v>10</v>
      </c>
      <c r="B4" s="238" t="str">
        <f>'Start Here'!B4:D4</f>
        <v>Oakley</v>
      </c>
      <c r="C4" s="321"/>
      <c r="D4" s="206"/>
      <c r="E4" s="206"/>
      <c r="F4" s="206"/>
      <c r="G4" s="206"/>
      <c r="H4" s="206"/>
      <c r="I4" s="206"/>
      <c r="J4" s="206"/>
    </row>
    <row r="5" spans="1:22" s="2" customFormat="1" ht="13.2" x14ac:dyDescent="0.25">
      <c r="A5" s="320" t="s">
        <v>36</v>
      </c>
      <c r="B5" s="237">
        <f>'Start Here'!B5</f>
        <v>2018</v>
      </c>
      <c r="C5" s="322" t="str">
        <f>'Table A2'!C5</f>
        <v>(Jan. 1 - Dec. 31)</v>
      </c>
      <c r="D5" s="8"/>
      <c r="E5" s="206"/>
      <c r="F5" s="206"/>
      <c r="G5" s="206"/>
    </row>
    <row r="7" spans="1:22" ht="15.6" x14ac:dyDescent="0.25">
      <c r="A7" s="472" t="s">
        <v>26</v>
      </c>
      <c r="B7" s="472"/>
      <c r="C7" s="472"/>
      <c r="D7" s="472"/>
    </row>
    <row r="8" spans="1:22" ht="15.6" x14ac:dyDescent="0.25">
      <c r="A8" s="472" t="s">
        <v>41</v>
      </c>
      <c r="B8" s="472"/>
      <c r="C8" s="472"/>
      <c r="D8" s="472"/>
    </row>
    <row r="9" spans="1:22" s="17" customFormat="1" ht="52.5" customHeight="1" x14ac:dyDescent="0.25">
      <c r="A9" s="469" t="s">
        <v>42</v>
      </c>
      <c r="B9" s="470"/>
      <c r="C9" s="470"/>
      <c r="D9" s="471"/>
    </row>
    <row r="10" spans="1:22" s="17" customFormat="1" ht="18.75" customHeight="1" x14ac:dyDescent="0.25">
      <c r="A10" s="212">
        <v>1</v>
      </c>
      <c r="B10" s="212">
        <v>2</v>
      </c>
      <c r="C10" s="212">
        <v>3</v>
      </c>
      <c r="D10" s="211">
        <v>4</v>
      </c>
    </row>
    <row r="11" spans="1:22" s="17" customFormat="1" ht="24.75" customHeight="1" x14ac:dyDescent="0.25">
      <c r="A11" s="211" t="s">
        <v>27</v>
      </c>
      <c r="B11" s="211" t="s">
        <v>28</v>
      </c>
      <c r="C11" s="211" t="s">
        <v>38</v>
      </c>
      <c r="D11" s="211" t="s">
        <v>29</v>
      </c>
    </row>
    <row r="12" spans="1:22" s="292" customFormat="1" ht="52.8" x14ac:dyDescent="0.3">
      <c r="A12" s="275" t="s">
        <v>1387</v>
      </c>
      <c r="B12" s="275" t="s">
        <v>1389</v>
      </c>
      <c r="C12" s="301">
        <v>42762</v>
      </c>
      <c r="D12" s="275" t="s">
        <v>1390</v>
      </c>
    </row>
    <row r="13" spans="1:22" s="292" customFormat="1" ht="26.4" x14ac:dyDescent="0.3">
      <c r="A13" s="275" t="s">
        <v>1388</v>
      </c>
      <c r="B13" s="275" t="s">
        <v>1391</v>
      </c>
      <c r="C13" s="275" t="s">
        <v>1392</v>
      </c>
      <c r="D13" s="275" t="s">
        <v>1393</v>
      </c>
    </row>
    <row r="14" spans="1:22" s="292" customFormat="1" ht="26.4" x14ac:dyDescent="0.3">
      <c r="A14" s="275" t="s">
        <v>1394</v>
      </c>
      <c r="B14" s="275" t="s">
        <v>1395</v>
      </c>
      <c r="C14" s="275" t="s">
        <v>1396</v>
      </c>
      <c r="D14" s="275" t="s">
        <v>1397</v>
      </c>
    </row>
    <row r="15" spans="1:22" s="292" customFormat="1" ht="52.8" x14ac:dyDescent="0.3">
      <c r="A15" s="275" t="s">
        <v>1398</v>
      </c>
      <c r="B15" s="275" t="s">
        <v>1399</v>
      </c>
      <c r="C15" s="301">
        <v>42735</v>
      </c>
      <c r="D15" s="328" t="s">
        <v>1400</v>
      </c>
    </row>
    <row r="16" spans="1:22" s="292" customFormat="1" ht="66" x14ac:dyDescent="0.3">
      <c r="A16" s="275" t="s">
        <v>1401</v>
      </c>
      <c r="B16" s="275" t="s">
        <v>1402</v>
      </c>
      <c r="C16" s="301">
        <v>42552</v>
      </c>
      <c r="D16" s="328" t="s">
        <v>1403</v>
      </c>
    </row>
    <row r="17" spans="1:4" s="292" customFormat="1" ht="39.6" x14ac:dyDescent="0.3">
      <c r="A17" s="275" t="s">
        <v>1404</v>
      </c>
      <c r="B17" s="275" t="s">
        <v>1405</v>
      </c>
      <c r="C17" s="301">
        <v>42705</v>
      </c>
      <c r="D17" s="275" t="s">
        <v>1406</v>
      </c>
    </row>
    <row r="18" spans="1:4" s="292" customFormat="1" ht="39.6" x14ac:dyDescent="0.3">
      <c r="A18" s="275" t="s">
        <v>1407</v>
      </c>
      <c r="B18" s="275" t="s">
        <v>1408</v>
      </c>
      <c r="C18" s="301">
        <v>42339</v>
      </c>
      <c r="D18" s="275" t="s">
        <v>1409</v>
      </c>
    </row>
    <row r="19" spans="1:4" s="292" customFormat="1" ht="39.6" x14ac:dyDescent="0.3">
      <c r="A19" s="275" t="s">
        <v>1410</v>
      </c>
      <c r="B19" s="275" t="s">
        <v>1411</v>
      </c>
      <c r="C19" s="275" t="s">
        <v>1392</v>
      </c>
      <c r="D19" s="275" t="s">
        <v>1412</v>
      </c>
    </row>
    <row r="20" spans="1:4" s="292" customFormat="1" ht="39.6" x14ac:dyDescent="0.3">
      <c r="A20" s="275" t="s">
        <v>1413</v>
      </c>
      <c r="B20" s="275" t="s">
        <v>1414</v>
      </c>
      <c r="C20" s="275" t="s">
        <v>1415</v>
      </c>
      <c r="D20" s="328" t="s">
        <v>1416</v>
      </c>
    </row>
    <row r="21" spans="1:4" s="292" customFormat="1" ht="26.4" x14ac:dyDescent="0.3">
      <c r="A21" s="275" t="s">
        <v>1417</v>
      </c>
      <c r="B21" s="275" t="s">
        <v>1418</v>
      </c>
      <c r="C21" s="275" t="s">
        <v>1419</v>
      </c>
      <c r="D21" s="275" t="s">
        <v>1420</v>
      </c>
    </row>
    <row r="22" spans="1:4" s="292" customFormat="1" ht="26.4" x14ac:dyDescent="0.3">
      <c r="A22" s="275" t="s">
        <v>1421</v>
      </c>
      <c r="B22" s="275" t="s">
        <v>1422</v>
      </c>
      <c r="C22" s="275" t="s">
        <v>1419</v>
      </c>
      <c r="D22" s="275" t="s">
        <v>1423</v>
      </c>
    </row>
    <row r="23" spans="1:4" s="292" customFormat="1" ht="26.4" x14ac:dyDescent="0.3">
      <c r="A23" s="275" t="s">
        <v>1424</v>
      </c>
      <c r="B23" s="275" t="s">
        <v>1425</v>
      </c>
      <c r="C23" s="301">
        <v>42156</v>
      </c>
      <c r="D23" s="275" t="s">
        <v>1426</v>
      </c>
    </row>
    <row r="24" spans="1:4" s="292" customFormat="1" ht="26.4" x14ac:dyDescent="0.3">
      <c r="A24" s="275" t="s">
        <v>1427</v>
      </c>
      <c r="B24" s="275" t="s">
        <v>1428</v>
      </c>
      <c r="C24" s="275" t="s">
        <v>1392</v>
      </c>
      <c r="D24" s="275" t="s">
        <v>1429</v>
      </c>
    </row>
    <row r="25" spans="1:4" s="292" customFormat="1" ht="66" x14ac:dyDescent="0.3">
      <c r="A25" s="275" t="s">
        <v>1431</v>
      </c>
      <c r="B25" s="275" t="s">
        <v>1430</v>
      </c>
      <c r="C25" s="275" t="s">
        <v>1392</v>
      </c>
      <c r="D25" s="275" t="s">
        <v>1454</v>
      </c>
    </row>
    <row r="26" spans="1:4" s="292" customFormat="1" ht="39.6" x14ac:dyDescent="0.3">
      <c r="A26" s="275" t="s">
        <v>1432</v>
      </c>
      <c r="B26" s="275" t="s">
        <v>1433</v>
      </c>
      <c r="C26" s="275" t="s">
        <v>1434</v>
      </c>
      <c r="D26" s="275" t="s">
        <v>1435</v>
      </c>
    </row>
    <row r="27" spans="1:4" s="292" customFormat="1" ht="52.8" x14ac:dyDescent="0.3">
      <c r="A27" s="275" t="s">
        <v>1436</v>
      </c>
      <c r="B27" s="275" t="s">
        <v>1437</v>
      </c>
      <c r="C27" s="275" t="s">
        <v>1392</v>
      </c>
      <c r="D27" s="275" t="s">
        <v>1423</v>
      </c>
    </row>
    <row r="28" spans="1:4" s="292" customFormat="1" ht="52.8" x14ac:dyDescent="0.3">
      <c r="A28" s="275" t="s">
        <v>1438</v>
      </c>
      <c r="B28" s="275" t="s">
        <v>1439</v>
      </c>
      <c r="C28" s="301">
        <v>42217</v>
      </c>
      <c r="D28" s="275" t="s">
        <v>1440</v>
      </c>
    </row>
    <row r="29" spans="1:4" s="292" customFormat="1" ht="39.6" x14ac:dyDescent="0.3">
      <c r="A29" s="275" t="s">
        <v>1441</v>
      </c>
      <c r="B29" s="275" t="s">
        <v>1442</v>
      </c>
      <c r="C29" s="301">
        <v>42217</v>
      </c>
      <c r="D29" s="275" t="s">
        <v>1443</v>
      </c>
    </row>
    <row r="30" spans="1:4" s="292" customFormat="1" ht="52.8" x14ac:dyDescent="0.3">
      <c r="A30" s="275" t="s">
        <v>1444</v>
      </c>
      <c r="B30" s="275" t="s">
        <v>1445</v>
      </c>
      <c r="C30" s="275" t="s">
        <v>1446</v>
      </c>
      <c r="D30" s="275" t="s">
        <v>1447</v>
      </c>
    </row>
    <row r="31" spans="1:4" s="292" customFormat="1" ht="26.4" x14ac:dyDescent="0.3">
      <c r="A31" s="275" t="s">
        <v>1448</v>
      </c>
      <c r="B31" s="275" t="s">
        <v>1449</v>
      </c>
      <c r="C31" s="275" t="s">
        <v>1392</v>
      </c>
      <c r="D31" s="275" t="s">
        <v>1450</v>
      </c>
    </row>
    <row r="32" spans="1:4" s="292" customFormat="1" ht="39.6" x14ac:dyDescent="0.3">
      <c r="A32" s="275" t="s">
        <v>1451</v>
      </c>
      <c r="B32" s="275" t="s">
        <v>1453</v>
      </c>
      <c r="C32" s="275" t="s">
        <v>1392</v>
      </c>
      <c r="D32" s="275" t="s">
        <v>1452</v>
      </c>
    </row>
    <row r="33" spans="1:4" s="292" customFormat="1" ht="39.6" x14ac:dyDescent="0.3">
      <c r="A33" s="275" t="s">
        <v>1455</v>
      </c>
      <c r="B33" s="275" t="s">
        <v>1456</v>
      </c>
      <c r="C33" s="301">
        <v>42370</v>
      </c>
      <c r="D33" s="275" t="s">
        <v>1457</v>
      </c>
    </row>
    <row r="34" spans="1:4" s="292" customFormat="1" ht="26.4" x14ac:dyDescent="0.3">
      <c r="A34" s="275" t="s">
        <v>1458</v>
      </c>
      <c r="B34" s="275" t="s">
        <v>1459</v>
      </c>
      <c r="C34" s="275" t="s">
        <v>1466</v>
      </c>
      <c r="D34" s="275" t="s">
        <v>1460</v>
      </c>
    </row>
    <row r="35" spans="1:4" s="292" customFormat="1" ht="79.2" x14ac:dyDescent="0.3">
      <c r="A35" s="275" t="s">
        <v>1461</v>
      </c>
      <c r="B35" s="275" t="s">
        <v>1462</v>
      </c>
      <c r="C35" s="275" t="s">
        <v>1466</v>
      </c>
      <c r="D35" s="275" t="s">
        <v>1463</v>
      </c>
    </row>
    <row r="36" spans="1:4" s="292" customFormat="1" ht="39.6" x14ac:dyDescent="0.3">
      <c r="A36" s="275" t="s">
        <v>1464</v>
      </c>
      <c r="B36" s="275" t="s">
        <v>1465</v>
      </c>
      <c r="C36" s="275" t="s">
        <v>1392</v>
      </c>
      <c r="D36" s="275" t="s">
        <v>1467</v>
      </c>
    </row>
    <row r="37" spans="1:4" s="292" customFormat="1" ht="26.4" x14ac:dyDescent="0.3">
      <c r="A37" s="275" t="s">
        <v>1468</v>
      </c>
      <c r="B37" s="275" t="s">
        <v>1470</v>
      </c>
      <c r="C37" s="301">
        <v>42370</v>
      </c>
      <c r="D37" s="275" t="s">
        <v>1472</v>
      </c>
    </row>
    <row r="38" spans="1:4" s="292" customFormat="1" ht="26.4" x14ac:dyDescent="0.3">
      <c r="A38" s="275" t="s">
        <v>1469</v>
      </c>
      <c r="B38" s="275" t="s">
        <v>1471</v>
      </c>
      <c r="C38" s="301">
        <v>42370</v>
      </c>
      <c r="D38" s="275" t="s">
        <v>1473</v>
      </c>
    </row>
    <row r="39" spans="1:4" s="292" customFormat="1" ht="13.2" x14ac:dyDescent="0.3">
      <c r="A39" s="275"/>
      <c r="B39" s="275"/>
      <c r="C39" s="275"/>
      <c r="D39" s="275"/>
    </row>
    <row r="40" spans="1:4" s="292" customFormat="1" ht="13.2" x14ac:dyDescent="0.3">
      <c r="A40" s="275"/>
      <c r="B40" s="275"/>
      <c r="C40" s="275"/>
      <c r="D40" s="275"/>
    </row>
    <row r="41" spans="1:4" s="292" customFormat="1" ht="13.2" x14ac:dyDescent="0.3">
      <c r="A41" s="275"/>
      <c r="B41" s="275"/>
      <c r="C41" s="275"/>
      <c r="D41" s="275"/>
    </row>
    <row r="42" spans="1:4" s="292" customFormat="1" ht="13.2" x14ac:dyDescent="0.3">
      <c r="A42" s="275"/>
      <c r="B42" s="275"/>
      <c r="C42" s="275"/>
      <c r="D42" s="275"/>
    </row>
    <row r="43" spans="1:4" s="292" customFormat="1" ht="13.2" x14ac:dyDescent="0.3">
      <c r="A43" s="275"/>
      <c r="B43" s="275"/>
      <c r="C43" s="275"/>
      <c r="D43" s="275"/>
    </row>
    <row r="44" spans="1:4" s="292" customFormat="1" ht="13.2" x14ac:dyDescent="0.3">
      <c r="A44" s="275"/>
      <c r="B44" s="275"/>
      <c r="C44" s="275"/>
      <c r="D44" s="275"/>
    </row>
    <row r="45" spans="1:4" s="292" customFormat="1" ht="13.2" x14ac:dyDescent="0.3">
      <c r="A45" s="275"/>
      <c r="B45" s="275"/>
      <c r="C45" s="275"/>
      <c r="D45" s="275"/>
    </row>
    <row r="46" spans="1:4" s="292" customFormat="1" ht="13.2" x14ac:dyDescent="0.3">
      <c r="A46" s="275"/>
      <c r="B46" s="275"/>
      <c r="C46" s="275"/>
      <c r="D46" s="275"/>
    </row>
    <row r="47" spans="1:4" s="292" customFormat="1" ht="13.2" x14ac:dyDescent="0.3">
      <c r="A47" s="275"/>
      <c r="B47" s="275"/>
      <c r="C47" s="275"/>
      <c r="D47" s="275"/>
    </row>
    <row r="48" spans="1:4" s="292" customFormat="1" ht="13.2" x14ac:dyDescent="0.3">
      <c r="A48" s="275"/>
      <c r="B48" s="275"/>
      <c r="C48" s="275"/>
      <c r="D48" s="275"/>
    </row>
    <row r="49" spans="1:4" s="292" customFormat="1" ht="13.2" x14ac:dyDescent="0.3">
      <c r="A49" s="275"/>
      <c r="B49" s="275"/>
      <c r="C49" s="275"/>
      <c r="D49" s="275"/>
    </row>
    <row r="50" spans="1:4" s="292" customFormat="1" ht="13.2" x14ac:dyDescent="0.3">
      <c r="A50" s="275"/>
      <c r="B50" s="275"/>
      <c r="C50" s="275"/>
      <c r="D50" s="275"/>
    </row>
    <row r="51" spans="1:4" s="292" customFormat="1" ht="13.2" x14ac:dyDescent="0.3">
      <c r="A51" s="275"/>
      <c r="B51" s="275"/>
      <c r="C51" s="275"/>
      <c r="D51" s="275"/>
    </row>
    <row r="52" spans="1:4" s="292" customFormat="1" ht="13.2" x14ac:dyDescent="0.3">
      <c r="A52" s="275"/>
      <c r="B52" s="275"/>
      <c r="C52" s="275"/>
      <c r="D52" s="275"/>
    </row>
    <row r="53" spans="1:4" s="292" customFormat="1" ht="13.2" x14ac:dyDescent="0.3">
      <c r="A53" s="275"/>
      <c r="B53" s="275"/>
      <c r="C53" s="275"/>
      <c r="D53" s="275"/>
    </row>
    <row r="54" spans="1:4" s="292" customFormat="1" ht="13.2" x14ac:dyDescent="0.3">
      <c r="A54" s="275"/>
      <c r="B54" s="275"/>
      <c r="C54" s="275"/>
      <c r="D54" s="275"/>
    </row>
    <row r="55" spans="1:4" s="292" customFormat="1" ht="13.2" x14ac:dyDescent="0.3">
      <c r="A55" s="275"/>
      <c r="B55" s="275"/>
      <c r="C55" s="275"/>
      <c r="D55" s="275"/>
    </row>
    <row r="56" spans="1:4" s="292" customFormat="1" ht="13.2" x14ac:dyDescent="0.3">
      <c r="A56" s="275"/>
      <c r="B56" s="275"/>
      <c r="C56" s="275"/>
      <c r="D56" s="275"/>
    </row>
    <row r="57" spans="1:4" s="292" customFormat="1" ht="13.2" x14ac:dyDescent="0.3">
      <c r="A57" s="275"/>
      <c r="B57" s="275"/>
      <c r="C57" s="275"/>
      <c r="D57" s="275"/>
    </row>
    <row r="58" spans="1:4" s="292" customFormat="1" ht="13.2" x14ac:dyDescent="0.3">
      <c r="A58" s="275"/>
      <c r="B58" s="275"/>
      <c r="C58" s="275"/>
      <c r="D58" s="275"/>
    </row>
    <row r="59" spans="1:4" s="292" customFormat="1" ht="13.2" x14ac:dyDescent="0.3">
      <c r="A59" s="275"/>
      <c r="B59" s="275"/>
      <c r="C59" s="275"/>
      <c r="D59" s="275"/>
    </row>
    <row r="60" spans="1:4" s="292" customFormat="1" ht="13.2" x14ac:dyDescent="0.3">
      <c r="A60" s="275"/>
      <c r="B60" s="275"/>
      <c r="C60" s="275"/>
      <c r="D60" s="275"/>
    </row>
    <row r="61" spans="1:4" s="292" customFormat="1" ht="13.2" x14ac:dyDescent="0.3">
      <c r="A61" s="275"/>
      <c r="B61" s="275"/>
      <c r="C61" s="275"/>
      <c r="D61" s="275"/>
    </row>
    <row r="62" spans="1:4" s="292" customFormat="1" ht="13.2" x14ac:dyDescent="0.3">
      <c r="A62" s="275"/>
      <c r="B62" s="275"/>
      <c r="C62" s="275"/>
      <c r="D62" s="275"/>
    </row>
    <row r="63" spans="1:4" s="292" customFormat="1" ht="13.2" x14ac:dyDescent="0.3">
      <c r="A63" s="275"/>
      <c r="B63" s="275"/>
      <c r="C63" s="275"/>
      <c r="D63" s="275"/>
    </row>
    <row r="64" spans="1:4" s="292" customFormat="1" ht="13.2" x14ac:dyDescent="0.3">
      <c r="A64" s="275"/>
      <c r="B64" s="275"/>
      <c r="C64" s="275"/>
      <c r="D64" s="275"/>
    </row>
    <row r="65" spans="1:4" s="292" customFormat="1" ht="13.2" x14ac:dyDescent="0.3">
      <c r="A65" s="275"/>
      <c r="B65" s="275"/>
      <c r="C65" s="275"/>
      <c r="D65" s="275"/>
    </row>
    <row r="66" spans="1:4" s="292" customFormat="1" ht="13.2" x14ac:dyDescent="0.3">
      <c r="A66" s="275"/>
      <c r="B66" s="275"/>
      <c r="C66" s="275"/>
      <c r="D66" s="275"/>
    </row>
    <row r="67" spans="1:4" s="292" customFormat="1" ht="13.2" x14ac:dyDescent="0.3">
      <c r="A67" s="275"/>
      <c r="B67" s="275"/>
      <c r="C67" s="275"/>
      <c r="D67" s="275"/>
    </row>
    <row r="68" spans="1:4" s="292" customFormat="1" ht="13.2" x14ac:dyDescent="0.3">
      <c r="A68" s="275"/>
      <c r="B68" s="275"/>
      <c r="C68" s="275"/>
      <c r="D68" s="275"/>
    </row>
    <row r="69" spans="1:4" s="292" customFormat="1" ht="13.2" x14ac:dyDescent="0.3">
      <c r="A69" s="275"/>
      <c r="B69" s="275"/>
      <c r="C69" s="275"/>
      <c r="D69" s="275"/>
    </row>
    <row r="70" spans="1:4" s="292" customFormat="1" ht="13.2" x14ac:dyDescent="0.3">
      <c r="A70" s="275"/>
      <c r="B70" s="275"/>
      <c r="C70" s="275"/>
      <c r="D70" s="275"/>
    </row>
    <row r="71" spans="1:4" s="292" customFormat="1" ht="13.2" x14ac:dyDescent="0.3">
      <c r="A71" s="275"/>
      <c r="B71" s="275"/>
      <c r="C71" s="275"/>
      <c r="D71" s="275"/>
    </row>
    <row r="72" spans="1:4" s="292" customFormat="1" ht="13.2" x14ac:dyDescent="0.3">
      <c r="A72" s="275"/>
      <c r="B72" s="275"/>
      <c r="C72" s="275"/>
      <c r="D72" s="275"/>
    </row>
    <row r="73" spans="1:4" s="292" customFormat="1" ht="13.2" x14ac:dyDescent="0.3">
      <c r="A73" s="275"/>
      <c r="B73" s="275"/>
      <c r="C73" s="275"/>
      <c r="D73" s="275"/>
    </row>
    <row r="74" spans="1:4" s="292" customFormat="1" ht="13.2" x14ac:dyDescent="0.3">
      <c r="A74" s="275"/>
      <c r="B74" s="275"/>
      <c r="C74" s="275"/>
      <c r="D74" s="275"/>
    </row>
    <row r="75" spans="1:4" s="292" customFormat="1" ht="13.2" x14ac:dyDescent="0.3">
      <c r="A75" s="275"/>
      <c r="B75" s="275"/>
      <c r="C75" s="275"/>
      <c r="D75" s="275"/>
    </row>
    <row r="76" spans="1:4" s="292" customFormat="1" ht="13.2" x14ac:dyDescent="0.3">
      <c r="A76" s="275"/>
      <c r="B76" s="275"/>
      <c r="C76" s="275"/>
      <c r="D76" s="275"/>
    </row>
    <row r="77" spans="1:4" s="292" customFormat="1" ht="13.2" x14ac:dyDescent="0.3">
      <c r="A77" s="275"/>
      <c r="B77" s="275"/>
      <c r="C77" s="275"/>
      <c r="D77" s="275"/>
    </row>
    <row r="78" spans="1:4" s="292" customFormat="1" ht="13.2" x14ac:dyDescent="0.3">
      <c r="A78" s="275"/>
      <c r="B78" s="275"/>
      <c r="C78" s="275"/>
      <c r="D78" s="275"/>
    </row>
    <row r="79" spans="1:4" s="292" customFormat="1" ht="13.2" x14ac:dyDescent="0.3">
      <c r="A79" s="275"/>
      <c r="B79" s="275"/>
      <c r="C79" s="275"/>
      <c r="D79" s="275"/>
    </row>
    <row r="80" spans="1:4" s="292" customFormat="1" ht="13.2" x14ac:dyDescent="0.3">
      <c r="A80" s="275"/>
      <c r="B80" s="275"/>
      <c r="C80" s="275"/>
      <c r="D80" s="275"/>
    </row>
    <row r="81" spans="1:4" s="292" customFormat="1" ht="13.2" x14ac:dyDescent="0.3">
      <c r="A81" s="275"/>
      <c r="B81" s="275"/>
      <c r="C81" s="275"/>
      <c r="D81" s="275"/>
    </row>
    <row r="82" spans="1:4" s="292" customFormat="1" ht="13.2" x14ac:dyDescent="0.3">
      <c r="A82" s="275"/>
      <c r="B82" s="275"/>
      <c r="C82" s="275"/>
      <c r="D82" s="275"/>
    </row>
    <row r="83" spans="1:4" s="292" customFormat="1" ht="13.2" x14ac:dyDescent="0.3">
      <c r="A83" s="275"/>
      <c r="B83" s="275"/>
      <c r="C83" s="275"/>
      <c r="D83" s="275"/>
    </row>
    <row r="84" spans="1:4" s="292" customFormat="1" ht="13.2" x14ac:dyDescent="0.3">
      <c r="A84" s="275"/>
      <c r="B84" s="275"/>
      <c r="C84" s="275"/>
      <c r="D84" s="275"/>
    </row>
    <row r="85" spans="1:4" s="292" customFormat="1" ht="13.2" x14ac:dyDescent="0.3">
      <c r="A85" s="275"/>
      <c r="B85" s="275"/>
      <c r="C85" s="275"/>
      <c r="D85" s="275"/>
    </row>
    <row r="86" spans="1:4" s="292" customFormat="1" ht="13.2" x14ac:dyDescent="0.3">
      <c r="A86" s="275"/>
      <c r="B86" s="275"/>
      <c r="C86" s="275"/>
      <c r="D86" s="275"/>
    </row>
    <row r="87" spans="1:4" s="292" customFormat="1" ht="13.2" x14ac:dyDescent="0.3">
      <c r="A87" s="275"/>
      <c r="B87" s="275"/>
      <c r="C87" s="275"/>
      <c r="D87" s="275"/>
    </row>
    <row r="88" spans="1:4" s="292" customFormat="1" ht="13.2" x14ac:dyDescent="0.3">
      <c r="A88" s="275"/>
      <c r="B88" s="275"/>
      <c r="C88" s="275"/>
      <c r="D88" s="275"/>
    </row>
    <row r="89" spans="1:4" s="292" customFormat="1" ht="13.2" x14ac:dyDescent="0.3">
      <c r="A89" s="275"/>
      <c r="B89" s="275"/>
      <c r="C89" s="275"/>
      <c r="D89" s="275"/>
    </row>
    <row r="90" spans="1:4" s="292" customFormat="1" ht="13.2" x14ac:dyDescent="0.3">
      <c r="A90" s="275"/>
      <c r="B90" s="275"/>
      <c r="C90" s="275"/>
      <c r="D90" s="275"/>
    </row>
    <row r="91" spans="1:4" s="292" customFormat="1" ht="13.2" x14ac:dyDescent="0.3">
      <c r="A91" s="275"/>
      <c r="B91" s="275"/>
      <c r="C91" s="275"/>
      <c r="D91" s="275"/>
    </row>
    <row r="92" spans="1:4" s="292" customFormat="1" ht="13.2" x14ac:dyDescent="0.3">
      <c r="A92" s="275"/>
      <c r="B92" s="275"/>
      <c r="C92" s="275"/>
      <c r="D92" s="275"/>
    </row>
    <row r="93" spans="1:4" s="292" customFormat="1" ht="13.2" x14ac:dyDescent="0.3">
      <c r="A93" s="275"/>
      <c r="B93" s="275"/>
      <c r="C93" s="275"/>
      <c r="D93" s="275"/>
    </row>
    <row r="94" spans="1:4" s="292" customFormat="1" ht="13.2" x14ac:dyDescent="0.3">
      <c r="A94" s="275"/>
      <c r="B94" s="275"/>
      <c r="C94" s="275"/>
      <c r="D94" s="275"/>
    </row>
    <row r="95" spans="1:4" s="292" customFormat="1" ht="13.2" x14ac:dyDescent="0.3">
      <c r="A95" s="275"/>
      <c r="B95" s="275"/>
      <c r="C95" s="275"/>
      <c r="D95" s="275"/>
    </row>
    <row r="96" spans="1:4" s="292" customFormat="1" ht="13.2" x14ac:dyDescent="0.3">
      <c r="A96" s="275"/>
      <c r="B96" s="275"/>
      <c r="C96" s="275"/>
      <c r="D96" s="275"/>
    </row>
    <row r="97" spans="1:4" s="292" customFormat="1" ht="13.2" x14ac:dyDescent="0.3">
      <c r="A97" s="275"/>
      <c r="B97" s="275"/>
      <c r="C97" s="275"/>
      <c r="D97" s="275"/>
    </row>
    <row r="98" spans="1:4" s="292" customFormat="1" ht="13.2" x14ac:dyDescent="0.3">
      <c r="A98" s="275"/>
      <c r="B98" s="275"/>
      <c r="C98" s="275"/>
      <c r="D98" s="275"/>
    </row>
    <row r="99" spans="1:4" s="292" customFormat="1" ht="13.2" x14ac:dyDescent="0.3">
      <c r="A99" s="275"/>
      <c r="B99" s="275"/>
      <c r="C99" s="275"/>
      <c r="D99" s="275"/>
    </row>
    <row r="100" spans="1:4" s="292" customFormat="1" ht="13.2" x14ac:dyDescent="0.3">
      <c r="A100" s="275"/>
      <c r="B100" s="275"/>
      <c r="C100" s="275"/>
      <c r="D100" s="275"/>
    </row>
    <row r="101" spans="1:4" s="292" customFormat="1" ht="13.2" x14ac:dyDescent="0.3">
      <c r="A101" s="275"/>
      <c r="B101" s="275"/>
      <c r="C101" s="275"/>
      <c r="D101" s="275"/>
    </row>
    <row r="102" spans="1:4" s="292" customFormat="1" ht="13.2" x14ac:dyDescent="0.3">
      <c r="A102" s="275"/>
      <c r="B102" s="275"/>
      <c r="C102" s="275"/>
      <c r="D102" s="275"/>
    </row>
    <row r="103" spans="1:4" s="292" customFormat="1" ht="13.2" x14ac:dyDescent="0.3">
      <c r="A103" s="275"/>
      <c r="B103" s="275"/>
      <c r="C103" s="275"/>
      <c r="D103" s="275"/>
    </row>
    <row r="104" spans="1:4" s="292" customFormat="1" ht="13.2" x14ac:dyDescent="0.3">
      <c r="A104" s="275"/>
      <c r="B104" s="275"/>
      <c r="C104" s="275"/>
      <c r="D104" s="275"/>
    </row>
    <row r="105" spans="1:4" s="292" customFormat="1" ht="13.2" x14ac:dyDescent="0.3">
      <c r="A105" s="275"/>
      <c r="B105" s="275"/>
      <c r="C105" s="275"/>
      <c r="D105" s="275"/>
    </row>
    <row r="106" spans="1:4" s="292" customFormat="1" ht="13.2" x14ac:dyDescent="0.3">
      <c r="A106" s="275"/>
      <c r="B106" s="275"/>
      <c r="C106" s="275"/>
      <c r="D106" s="275"/>
    </row>
    <row r="107" spans="1:4" s="292" customFormat="1" ht="13.2" x14ac:dyDescent="0.3">
      <c r="A107" s="275"/>
      <c r="B107" s="275"/>
      <c r="C107" s="275"/>
      <c r="D107" s="275"/>
    </row>
    <row r="108" spans="1:4" s="292" customFormat="1" ht="13.2" x14ac:dyDescent="0.3">
      <c r="A108" s="275"/>
      <c r="B108" s="275"/>
      <c r="C108" s="275"/>
      <c r="D108" s="275"/>
    </row>
    <row r="109" spans="1:4" s="292" customFormat="1" ht="13.2" x14ac:dyDescent="0.3">
      <c r="A109" s="275"/>
      <c r="B109" s="275"/>
      <c r="C109" s="275"/>
      <c r="D109" s="275"/>
    </row>
    <row r="110" spans="1:4" s="292" customFormat="1" ht="13.2" x14ac:dyDescent="0.3">
      <c r="A110" s="275"/>
      <c r="B110" s="275"/>
      <c r="C110" s="275"/>
      <c r="D110" s="275"/>
    </row>
    <row r="111" spans="1:4" s="292" customFormat="1" ht="13.2" x14ac:dyDescent="0.3">
      <c r="A111" s="275"/>
      <c r="B111" s="275"/>
      <c r="C111" s="275"/>
      <c r="D111" s="275"/>
    </row>
    <row r="112" spans="1:4" s="292" customFormat="1" ht="13.2" x14ac:dyDescent="0.3">
      <c r="A112" s="275"/>
      <c r="B112" s="275"/>
      <c r="C112" s="275"/>
      <c r="D112" s="275"/>
    </row>
    <row r="113" spans="1:4" s="292" customFormat="1" ht="13.2" x14ac:dyDescent="0.3">
      <c r="A113" s="275"/>
      <c r="B113" s="275"/>
      <c r="C113" s="275"/>
      <c r="D113" s="275"/>
    </row>
    <row r="114" spans="1:4" s="292" customFormat="1" ht="13.2" x14ac:dyDescent="0.25">
      <c r="A114" s="275"/>
      <c r="B114" s="343"/>
      <c r="C114" s="275"/>
      <c r="D114" s="275"/>
    </row>
    <row r="115" spans="1:4" s="292" customFormat="1" ht="13.2" x14ac:dyDescent="0.3">
      <c r="A115" s="275"/>
      <c r="B115" s="275"/>
      <c r="C115" s="275"/>
      <c r="D115" s="275"/>
    </row>
    <row r="116" spans="1:4" s="292" customFormat="1" ht="13.2" x14ac:dyDescent="0.3">
      <c r="A116" s="275"/>
      <c r="B116" s="275"/>
      <c r="C116" s="275"/>
      <c r="D116" s="275"/>
    </row>
    <row r="117" spans="1:4" s="292" customFormat="1" ht="13.2" x14ac:dyDescent="0.3">
      <c r="A117" s="275"/>
      <c r="B117" s="275"/>
      <c r="C117" s="275"/>
      <c r="D117" s="275"/>
    </row>
    <row r="118" spans="1:4" s="292" customFormat="1" ht="13.2" x14ac:dyDescent="0.3">
      <c r="A118" s="275"/>
      <c r="B118" s="275"/>
      <c r="C118" s="275"/>
      <c r="D118" s="275">
        <f ca="1">A40:D118</f>
        <v>0</v>
      </c>
    </row>
    <row r="119" spans="1:4" s="292" customFormat="1" ht="13.2" x14ac:dyDescent="0.3">
      <c r="A119" s="293"/>
      <c r="B119" s="275"/>
      <c r="C119" s="275"/>
      <c r="D119" s="275"/>
    </row>
    <row r="120" spans="1:4" s="97" customFormat="1" ht="13.2" x14ac:dyDescent="0.25">
      <c r="A120" s="163" t="s">
        <v>39</v>
      </c>
      <c r="B120" s="294"/>
      <c r="C120" s="294"/>
      <c r="D120" s="295"/>
    </row>
    <row r="121" spans="1:4" s="17" customFormat="1" ht="13.2" x14ac:dyDescent="0.25">
      <c r="A121" s="460" t="s">
        <v>2492</v>
      </c>
      <c r="B121" s="461"/>
      <c r="C121" s="461"/>
      <c r="D121" s="462"/>
    </row>
    <row r="122" spans="1:4" s="17" customFormat="1" ht="13.2" x14ac:dyDescent="0.25">
      <c r="A122" s="463"/>
      <c r="B122" s="464"/>
      <c r="C122" s="464"/>
      <c r="D122" s="465"/>
    </row>
    <row r="123" spans="1:4" s="17" customFormat="1" ht="13.2" x14ac:dyDescent="0.25">
      <c r="A123" s="463"/>
      <c r="B123" s="464"/>
      <c r="C123" s="464"/>
      <c r="D123" s="465"/>
    </row>
    <row r="124" spans="1:4" s="17" customFormat="1" ht="13.2" x14ac:dyDescent="0.25">
      <c r="A124" s="463"/>
      <c r="B124" s="464"/>
      <c r="C124" s="464"/>
      <c r="D124" s="465"/>
    </row>
    <row r="125" spans="1:4" s="17" customFormat="1" ht="13.2" x14ac:dyDescent="0.25">
      <c r="A125" s="463"/>
      <c r="B125" s="464"/>
      <c r="C125" s="464"/>
      <c r="D125" s="465"/>
    </row>
    <row r="126" spans="1:4" s="17" customFormat="1" ht="13.2" x14ac:dyDescent="0.25">
      <c r="A126" s="463"/>
      <c r="B126" s="464"/>
      <c r="C126" s="464"/>
      <c r="D126" s="465"/>
    </row>
    <row r="127" spans="1:4" s="17" customFormat="1" ht="13.2" x14ac:dyDescent="0.25">
      <c r="A127" s="463"/>
      <c r="B127" s="464"/>
      <c r="C127" s="464"/>
      <c r="D127" s="465"/>
    </row>
    <row r="128" spans="1:4" s="17" customFormat="1" ht="13.2" x14ac:dyDescent="0.25">
      <c r="A128" s="466"/>
      <c r="B128" s="467"/>
      <c r="C128" s="467"/>
      <c r="D128" s="468"/>
    </row>
  </sheetData>
  <sheetProtection algorithmName="SHA-512" hashValue="9oDdQQNF/VfpBfZJZqm6iAWoUwlX5KJxtFH/u2cvb5aqlxorbSc+xWX08grpa05sQhxWMk1cgpw1jl+tcTgR6A==" saltValue="/TVsXbCWfEUf1LoRY+5X0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1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55" customFormat="1" ht="20.25" customHeight="1" x14ac:dyDescent="0.4">
      <c r="A1" s="428" t="s">
        <v>8</v>
      </c>
      <c r="B1" s="428"/>
      <c r="C1" s="428"/>
      <c r="D1" s="428"/>
      <c r="E1" s="428"/>
      <c r="F1" s="428"/>
      <c r="G1" s="428"/>
      <c r="H1" s="428"/>
      <c r="I1" s="428"/>
      <c r="J1" s="74"/>
      <c r="K1" s="74"/>
      <c r="L1" s="74"/>
      <c r="M1" s="74"/>
      <c r="N1" s="74"/>
      <c r="O1" s="74"/>
      <c r="P1" s="74"/>
      <c r="Q1" s="74"/>
      <c r="R1" s="74"/>
      <c r="S1" s="74"/>
      <c r="T1" s="74"/>
      <c r="U1" s="74"/>
      <c r="V1" s="74"/>
    </row>
    <row r="2" spans="1:22" s="255" customFormat="1" ht="20.25" customHeight="1" x14ac:dyDescent="0.35">
      <c r="A2" s="429" t="s">
        <v>9</v>
      </c>
      <c r="B2" s="429"/>
      <c r="C2" s="429"/>
      <c r="D2" s="429"/>
      <c r="E2" s="429"/>
      <c r="F2" s="429"/>
      <c r="G2" s="429"/>
      <c r="H2" s="429"/>
      <c r="I2" s="429"/>
      <c r="J2" s="75"/>
      <c r="K2" s="75"/>
      <c r="L2" s="75"/>
      <c r="M2" s="75"/>
      <c r="N2" s="75"/>
      <c r="O2" s="75"/>
      <c r="P2" s="75"/>
      <c r="Q2" s="75"/>
      <c r="R2" s="75"/>
      <c r="S2" s="75"/>
      <c r="T2" s="75"/>
      <c r="U2" s="75"/>
      <c r="V2" s="75"/>
    </row>
    <row r="3" spans="1:22" s="255" customFormat="1" ht="15.75" customHeight="1" x14ac:dyDescent="0.25">
      <c r="A3" s="424" t="s">
        <v>1376</v>
      </c>
      <c r="B3" s="424"/>
      <c r="C3" s="424"/>
      <c r="D3" s="424"/>
      <c r="E3" s="424"/>
      <c r="F3" s="424"/>
      <c r="G3" s="424"/>
      <c r="H3" s="424"/>
      <c r="I3" s="424"/>
      <c r="J3" s="76"/>
      <c r="K3" s="76"/>
      <c r="L3" s="76"/>
      <c r="M3" s="76"/>
      <c r="N3" s="76"/>
      <c r="O3" s="76"/>
      <c r="P3" s="76"/>
      <c r="Q3" s="76"/>
      <c r="R3" s="76"/>
      <c r="S3" s="76"/>
      <c r="T3" s="76"/>
      <c r="U3" s="76"/>
      <c r="V3" s="76"/>
    </row>
    <row r="4" spans="1:22" s="79" customFormat="1" ht="25.5" customHeight="1" x14ac:dyDescent="0.25">
      <c r="A4" s="316" t="s">
        <v>10</v>
      </c>
      <c r="B4" s="238" t="str">
        <f>'Start Here'!B4:D4</f>
        <v>Oakley</v>
      </c>
      <c r="C4" s="317"/>
      <c r="D4" s="78"/>
      <c r="E4" s="78"/>
      <c r="F4" s="78"/>
      <c r="G4" s="78"/>
      <c r="H4" s="417" t="s">
        <v>1374</v>
      </c>
      <c r="I4" s="418"/>
      <c r="J4" s="419"/>
      <c r="K4" s="313"/>
    </row>
    <row r="5" spans="1:22" s="79" customFormat="1" ht="30" customHeight="1" x14ac:dyDescent="0.25">
      <c r="A5" s="316" t="s">
        <v>11</v>
      </c>
      <c r="B5" s="237">
        <f>'Start Here'!B5</f>
        <v>2018</v>
      </c>
      <c r="C5" s="318" t="str">
        <f>'Table A2'!C5</f>
        <v>(Jan. 1 - Dec. 31)</v>
      </c>
      <c r="D5" s="9"/>
      <c r="E5" s="78"/>
      <c r="F5" s="78"/>
      <c r="G5" s="78"/>
      <c r="H5" s="96" t="s">
        <v>106</v>
      </c>
      <c r="I5" s="296"/>
      <c r="J5" s="297"/>
    </row>
    <row r="6" spans="1:22" s="79" customFormat="1" ht="21" customHeight="1" x14ac:dyDescent="0.45">
      <c r="A6" s="77"/>
      <c r="B6" s="281"/>
      <c r="C6" s="80"/>
      <c r="D6" s="9"/>
      <c r="E6" s="78"/>
      <c r="F6" s="78"/>
      <c r="G6" s="78"/>
    </row>
    <row r="7" spans="1:22" s="241" customFormat="1" x14ac:dyDescent="0.25"/>
    <row r="8" spans="1:22" s="241" customFormat="1" ht="15.6" x14ac:dyDescent="0.25">
      <c r="A8" s="481" t="s">
        <v>30</v>
      </c>
      <c r="B8" s="481"/>
      <c r="C8" s="481"/>
      <c r="D8" s="481"/>
      <c r="E8" s="481"/>
      <c r="F8" s="481"/>
      <c r="G8" s="481"/>
      <c r="H8" s="481"/>
      <c r="I8" s="481"/>
      <c r="J8" s="459"/>
    </row>
    <row r="9" spans="1:22" s="241" customFormat="1" ht="15.6" x14ac:dyDescent="0.25">
      <c r="A9" s="481" t="s">
        <v>37</v>
      </c>
      <c r="B9" s="481"/>
      <c r="C9" s="481"/>
      <c r="D9" s="481"/>
      <c r="E9" s="481"/>
      <c r="F9" s="481"/>
      <c r="G9" s="481"/>
      <c r="H9" s="481"/>
      <c r="I9" s="481"/>
      <c r="J9" s="459"/>
    </row>
    <row r="10" spans="1:22" s="241" customFormat="1" ht="45" customHeight="1" x14ac:dyDescent="0.25">
      <c r="A10" s="425" t="s">
        <v>43</v>
      </c>
      <c r="B10" s="482"/>
      <c r="C10" s="482"/>
      <c r="D10" s="483"/>
      <c r="E10" s="480" t="s">
        <v>31</v>
      </c>
      <c r="F10" s="480"/>
      <c r="G10" s="480"/>
      <c r="H10" s="480"/>
      <c r="I10" s="210" t="s">
        <v>32</v>
      </c>
      <c r="J10" s="210" t="s">
        <v>33</v>
      </c>
    </row>
    <row r="11" spans="1:22" s="241" customFormat="1" ht="14.25" customHeight="1" x14ac:dyDescent="0.25">
      <c r="A11" s="402">
        <v>1</v>
      </c>
      <c r="B11" s="403"/>
      <c r="C11" s="403"/>
      <c r="D11" s="405"/>
      <c r="E11" s="402">
        <v>2</v>
      </c>
      <c r="F11" s="404"/>
      <c r="G11" s="404"/>
      <c r="H11" s="405"/>
      <c r="I11" s="199">
        <v>3</v>
      </c>
      <c r="J11" s="199">
        <v>4</v>
      </c>
    </row>
    <row r="12" spans="1:22" s="241" customFormat="1" ht="66.75" customHeight="1" x14ac:dyDescent="0.25">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5">
      <c r="A13" s="477" t="s">
        <v>136</v>
      </c>
      <c r="B13" s="478"/>
      <c r="C13" s="479"/>
      <c r="D13" s="187"/>
      <c r="E13" s="298">
        <f>SUM(E14:E100)</f>
        <v>0</v>
      </c>
      <c r="F13" s="298">
        <f>SUM(F14:F100)</f>
        <v>0</v>
      </c>
      <c r="G13" s="298">
        <f>SUM(G14:G100)</f>
        <v>0</v>
      </c>
      <c r="H13" s="298">
        <f>SUM(H14:H100)</f>
        <v>0</v>
      </c>
      <c r="I13" s="298">
        <f>SUM(I14:I100)</f>
        <v>0</v>
      </c>
      <c r="J13" s="299"/>
    </row>
    <row r="14" spans="1:22" s="257" customFormat="1" x14ac:dyDescent="0.25">
      <c r="A14" s="165"/>
      <c r="B14" s="165"/>
      <c r="C14" s="165"/>
      <c r="D14" s="165"/>
      <c r="E14" s="165"/>
      <c r="F14" s="165"/>
      <c r="G14" s="165"/>
      <c r="H14" s="165"/>
      <c r="I14" s="275"/>
      <c r="J14" s="301"/>
    </row>
    <row r="15" spans="1:22" s="257" customFormat="1" x14ac:dyDescent="0.25">
      <c r="A15" s="165"/>
      <c r="B15" s="165"/>
      <c r="C15" s="165"/>
      <c r="D15" s="165"/>
      <c r="E15" s="165"/>
      <c r="F15" s="165"/>
      <c r="G15" s="165"/>
      <c r="H15" s="165"/>
      <c r="I15" s="275"/>
      <c r="J15" s="301"/>
    </row>
    <row r="16" spans="1:22" s="257" customFormat="1" x14ac:dyDescent="0.25">
      <c r="A16" s="165"/>
      <c r="B16" s="165"/>
      <c r="C16" s="165"/>
      <c r="D16" s="165"/>
      <c r="E16" s="165"/>
      <c r="F16" s="165"/>
      <c r="G16" s="165"/>
      <c r="H16" s="165"/>
      <c r="I16" s="275"/>
      <c r="J16" s="301"/>
    </row>
    <row r="17" spans="1:10" s="257" customFormat="1" x14ac:dyDescent="0.25">
      <c r="A17" s="165"/>
      <c r="B17" s="165"/>
      <c r="C17" s="165"/>
      <c r="D17" s="165"/>
      <c r="E17" s="165"/>
      <c r="F17" s="165"/>
      <c r="G17" s="165"/>
      <c r="H17" s="165"/>
      <c r="I17" s="275"/>
      <c r="J17" s="301"/>
    </row>
    <row r="18" spans="1:10" s="257" customFormat="1" x14ac:dyDescent="0.25">
      <c r="A18" s="165"/>
      <c r="B18" s="165"/>
      <c r="C18" s="165"/>
      <c r="D18" s="165"/>
      <c r="E18" s="165"/>
      <c r="F18" s="165"/>
      <c r="G18" s="165"/>
      <c r="H18" s="165"/>
      <c r="I18" s="275"/>
      <c r="J18" s="301"/>
    </row>
    <row r="19" spans="1:10" s="257" customFormat="1" x14ac:dyDescent="0.25">
      <c r="A19" s="165"/>
      <c r="B19" s="165"/>
      <c r="C19" s="165"/>
      <c r="D19" s="165"/>
      <c r="E19" s="165"/>
      <c r="F19" s="165"/>
      <c r="G19" s="165"/>
      <c r="H19" s="165"/>
      <c r="I19" s="275"/>
      <c r="J19" s="301"/>
    </row>
    <row r="20" spans="1:10" s="257" customFormat="1" x14ac:dyDescent="0.25">
      <c r="A20" s="165"/>
      <c r="B20" s="165"/>
      <c r="C20" s="165"/>
      <c r="D20" s="165"/>
      <c r="E20" s="165"/>
      <c r="F20" s="165"/>
      <c r="G20" s="165"/>
      <c r="H20" s="165"/>
      <c r="I20" s="275"/>
      <c r="J20" s="301"/>
    </row>
    <row r="21" spans="1:10" s="257" customFormat="1" x14ac:dyDescent="0.25">
      <c r="A21" s="165"/>
      <c r="B21" s="165"/>
      <c r="C21" s="165"/>
      <c r="D21" s="165"/>
      <c r="E21" s="165"/>
      <c r="F21" s="165"/>
      <c r="G21" s="165"/>
      <c r="H21" s="165"/>
      <c r="I21" s="275"/>
      <c r="J21" s="301"/>
    </row>
    <row r="22" spans="1:10" s="257" customFormat="1" x14ac:dyDescent="0.25">
      <c r="A22" s="165"/>
      <c r="B22" s="165"/>
      <c r="C22" s="165"/>
      <c r="D22" s="165"/>
      <c r="E22" s="165"/>
      <c r="F22" s="165"/>
      <c r="G22" s="165"/>
      <c r="H22" s="165"/>
      <c r="I22" s="275"/>
      <c r="J22" s="301"/>
    </row>
    <row r="23" spans="1:10" s="257" customFormat="1" x14ac:dyDescent="0.25">
      <c r="A23" s="165"/>
      <c r="B23" s="165"/>
      <c r="C23" s="165"/>
      <c r="D23" s="165"/>
      <c r="E23" s="165"/>
      <c r="F23" s="165"/>
      <c r="G23" s="165"/>
      <c r="H23" s="165"/>
      <c r="I23" s="275"/>
      <c r="J23" s="301"/>
    </row>
    <row r="24" spans="1:10" s="257" customFormat="1" x14ac:dyDescent="0.25">
      <c r="A24" s="165"/>
      <c r="B24" s="165"/>
      <c r="C24" s="165"/>
      <c r="D24" s="165"/>
      <c r="E24" s="165"/>
      <c r="F24" s="165"/>
      <c r="G24" s="165"/>
      <c r="H24" s="165"/>
      <c r="I24" s="275"/>
      <c r="J24" s="301"/>
    </row>
    <row r="25" spans="1:10" s="257" customFormat="1" x14ac:dyDescent="0.25">
      <c r="A25" s="165"/>
      <c r="B25" s="165"/>
      <c r="C25" s="165"/>
      <c r="D25" s="165"/>
      <c r="E25" s="165"/>
      <c r="F25" s="165"/>
      <c r="G25" s="165"/>
      <c r="H25" s="165"/>
      <c r="I25" s="275"/>
      <c r="J25" s="301"/>
    </row>
    <row r="26" spans="1:10" s="257" customFormat="1" x14ac:dyDescent="0.25">
      <c r="A26" s="165"/>
      <c r="B26" s="165"/>
      <c r="C26" s="165"/>
      <c r="D26" s="165"/>
      <c r="E26" s="165"/>
      <c r="F26" s="165"/>
      <c r="G26" s="165"/>
      <c r="H26" s="165"/>
      <c r="I26" s="275"/>
      <c r="J26" s="301"/>
    </row>
    <row r="27" spans="1:10" s="257" customFormat="1" x14ac:dyDescent="0.25">
      <c r="A27" s="165"/>
      <c r="B27" s="165"/>
      <c r="C27" s="165"/>
      <c r="D27" s="165"/>
      <c r="E27" s="165"/>
      <c r="F27" s="165"/>
      <c r="G27" s="165"/>
      <c r="H27" s="165"/>
      <c r="I27" s="275"/>
      <c r="J27" s="301"/>
    </row>
    <row r="28" spans="1:10" s="257" customFormat="1" x14ac:dyDescent="0.25">
      <c r="A28" s="165"/>
      <c r="B28" s="165"/>
      <c r="C28" s="165"/>
      <c r="D28" s="165"/>
      <c r="E28" s="165"/>
      <c r="F28" s="165"/>
      <c r="G28" s="165"/>
      <c r="H28" s="165"/>
      <c r="I28" s="275"/>
      <c r="J28" s="301"/>
    </row>
    <row r="29" spans="1:10" s="257" customFormat="1" x14ac:dyDescent="0.25">
      <c r="A29" s="165"/>
      <c r="B29" s="165"/>
      <c r="C29" s="165"/>
      <c r="D29" s="165"/>
      <c r="E29" s="165"/>
      <c r="F29" s="165"/>
      <c r="G29" s="165"/>
      <c r="H29" s="165"/>
      <c r="I29" s="275"/>
      <c r="J29" s="301"/>
    </row>
    <row r="30" spans="1:10" s="257" customFormat="1" x14ac:dyDescent="0.25">
      <c r="A30" s="165"/>
      <c r="B30" s="165"/>
      <c r="C30" s="165"/>
      <c r="D30" s="165"/>
      <c r="E30" s="165"/>
      <c r="F30" s="165"/>
      <c r="G30" s="165"/>
      <c r="H30" s="165"/>
      <c r="I30" s="275"/>
      <c r="J30" s="301"/>
    </row>
    <row r="31" spans="1:10" s="257" customFormat="1" x14ac:dyDescent="0.25">
      <c r="A31" s="165"/>
      <c r="B31" s="165"/>
      <c r="C31" s="165"/>
      <c r="D31" s="165"/>
      <c r="E31" s="165"/>
      <c r="F31" s="165"/>
      <c r="G31" s="165"/>
      <c r="H31" s="165"/>
      <c r="I31" s="275"/>
      <c r="J31" s="301"/>
    </row>
    <row r="32" spans="1:10" s="257" customFormat="1" x14ac:dyDescent="0.25">
      <c r="A32" s="165"/>
      <c r="B32" s="165"/>
      <c r="C32" s="165"/>
      <c r="D32" s="165"/>
      <c r="E32" s="165"/>
      <c r="F32" s="165"/>
      <c r="G32" s="165"/>
      <c r="H32" s="165"/>
      <c r="I32" s="275"/>
      <c r="J32" s="301"/>
    </row>
    <row r="33" spans="1:10" s="257" customFormat="1" x14ac:dyDescent="0.25">
      <c r="A33" s="165"/>
      <c r="B33" s="165"/>
      <c r="C33" s="165"/>
      <c r="D33" s="165"/>
      <c r="E33" s="165"/>
      <c r="F33" s="165"/>
      <c r="G33" s="165"/>
      <c r="H33" s="165"/>
      <c r="I33" s="275"/>
      <c r="J33" s="301"/>
    </row>
    <row r="34" spans="1:10" s="257" customFormat="1" x14ac:dyDescent="0.25">
      <c r="A34" s="165"/>
      <c r="B34" s="165"/>
      <c r="C34" s="165"/>
      <c r="D34" s="165"/>
      <c r="E34" s="165"/>
      <c r="F34" s="165"/>
      <c r="G34" s="165"/>
      <c r="H34" s="165"/>
      <c r="I34" s="275"/>
      <c r="J34" s="301"/>
    </row>
    <row r="35" spans="1:10" s="257" customFormat="1" x14ac:dyDescent="0.25">
      <c r="A35" s="165"/>
      <c r="B35" s="165"/>
      <c r="C35" s="165"/>
      <c r="D35" s="165"/>
      <c r="E35" s="165"/>
      <c r="F35" s="165"/>
      <c r="G35" s="165"/>
      <c r="H35" s="165"/>
      <c r="I35" s="275"/>
      <c r="J35" s="301"/>
    </row>
    <row r="36" spans="1:10" s="257" customFormat="1" x14ac:dyDescent="0.25">
      <c r="A36" s="165"/>
      <c r="B36" s="165"/>
      <c r="C36" s="165"/>
      <c r="D36" s="165"/>
      <c r="E36" s="165"/>
      <c r="F36" s="165"/>
      <c r="G36" s="165"/>
      <c r="H36" s="165"/>
      <c r="I36" s="275"/>
      <c r="J36" s="301"/>
    </row>
    <row r="37" spans="1:10" s="257" customFormat="1" x14ac:dyDescent="0.25">
      <c r="A37" s="165"/>
      <c r="B37" s="165"/>
      <c r="C37" s="165"/>
      <c r="D37" s="165"/>
      <c r="E37" s="165"/>
      <c r="F37" s="165"/>
      <c r="G37" s="165"/>
      <c r="H37" s="165"/>
      <c r="I37" s="275"/>
      <c r="J37" s="301"/>
    </row>
    <row r="38" spans="1:10" s="257" customFormat="1" x14ac:dyDescent="0.25">
      <c r="A38" s="165"/>
      <c r="B38" s="165"/>
      <c r="C38" s="165"/>
      <c r="D38" s="165"/>
      <c r="E38" s="165"/>
      <c r="F38" s="165"/>
      <c r="G38" s="165"/>
      <c r="H38" s="165"/>
      <c r="I38" s="275"/>
      <c r="J38" s="301"/>
    </row>
    <row r="39" spans="1:10" s="257" customFormat="1" x14ac:dyDescent="0.25">
      <c r="A39" s="165"/>
      <c r="B39" s="165"/>
      <c r="C39" s="165"/>
      <c r="D39" s="165"/>
      <c r="E39" s="165"/>
      <c r="F39" s="165"/>
      <c r="G39" s="165"/>
      <c r="H39" s="165"/>
      <c r="I39" s="275"/>
      <c r="J39" s="301"/>
    </row>
    <row r="40" spans="1:10" s="257" customFormat="1" x14ac:dyDescent="0.25">
      <c r="A40" s="165"/>
      <c r="B40" s="165"/>
      <c r="C40" s="165"/>
      <c r="D40" s="165"/>
      <c r="E40" s="165"/>
      <c r="F40" s="165"/>
      <c r="G40" s="165"/>
      <c r="H40" s="165"/>
      <c r="I40" s="275"/>
      <c r="J40" s="301"/>
    </row>
    <row r="41" spans="1:10" s="257" customFormat="1" x14ac:dyDescent="0.25">
      <c r="A41" s="165"/>
      <c r="B41" s="165"/>
      <c r="C41" s="165"/>
      <c r="D41" s="165"/>
      <c r="E41" s="165"/>
      <c r="F41" s="165"/>
      <c r="G41" s="165"/>
      <c r="H41" s="165"/>
      <c r="I41" s="275"/>
      <c r="J41" s="301"/>
    </row>
    <row r="42" spans="1:10" s="257" customFormat="1" x14ac:dyDescent="0.25">
      <c r="A42" s="165"/>
      <c r="B42" s="165"/>
      <c r="C42" s="165"/>
      <c r="D42" s="165"/>
      <c r="E42" s="165"/>
      <c r="F42" s="165"/>
      <c r="G42" s="165"/>
      <c r="H42" s="165"/>
      <c r="I42" s="275"/>
      <c r="J42" s="301"/>
    </row>
    <row r="43" spans="1:10" s="257" customFormat="1" x14ac:dyDescent="0.25">
      <c r="A43" s="165"/>
      <c r="B43" s="165"/>
      <c r="C43" s="165"/>
      <c r="D43" s="165"/>
      <c r="E43" s="165"/>
      <c r="F43" s="165"/>
      <c r="G43" s="165"/>
      <c r="H43" s="165"/>
      <c r="I43" s="275"/>
      <c r="J43" s="301"/>
    </row>
    <row r="44" spans="1:10" s="257" customFormat="1" x14ac:dyDescent="0.25">
      <c r="A44" s="165"/>
      <c r="B44" s="165"/>
      <c r="C44" s="165"/>
      <c r="D44" s="165"/>
      <c r="E44" s="165"/>
      <c r="F44" s="165"/>
      <c r="G44" s="165"/>
      <c r="H44" s="165"/>
      <c r="I44" s="275"/>
      <c r="J44" s="301"/>
    </row>
    <row r="45" spans="1:10" s="257" customFormat="1" x14ac:dyDescent="0.25">
      <c r="A45" s="165"/>
      <c r="B45" s="165"/>
      <c r="C45" s="165"/>
      <c r="D45" s="165"/>
      <c r="E45" s="165"/>
      <c r="F45" s="165"/>
      <c r="G45" s="165"/>
      <c r="H45" s="165"/>
      <c r="I45" s="275"/>
      <c r="J45" s="301"/>
    </row>
    <row r="46" spans="1:10" s="257" customFormat="1" x14ac:dyDescent="0.25">
      <c r="A46" s="165"/>
      <c r="B46" s="165"/>
      <c r="C46" s="165"/>
      <c r="D46" s="165"/>
      <c r="E46" s="165"/>
      <c r="F46" s="165"/>
      <c r="G46" s="165"/>
      <c r="H46" s="165"/>
      <c r="I46" s="275"/>
      <c r="J46" s="301"/>
    </row>
    <row r="47" spans="1:10" s="257" customFormat="1" x14ac:dyDescent="0.25">
      <c r="A47" s="165"/>
      <c r="B47" s="165"/>
      <c r="C47" s="165"/>
      <c r="D47" s="165"/>
      <c r="E47" s="165"/>
      <c r="F47" s="165"/>
      <c r="G47" s="165"/>
      <c r="H47" s="165"/>
      <c r="I47" s="275"/>
      <c r="J47" s="301"/>
    </row>
    <row r="48" spans="1:10" s="257" customFormat="1" x14ac:dyDescent="0.25">
      <c r="A48" s="165"/>
      <c r="B48" s="165"/>
      <c r="C48" s="165"/>
      <c r="D48" s="165"/>
      <c r="E48" s="165"/>
      <c r="F48" s="165"/>
      <c r="G48" s="165"/>
      <c r="H48" s="165"/>
      <c r="I48" s="275"/>
      <c r="J48" s="301"/>
    </row>
    <row r="49" spans="1:10" s="257" customFormat="1" x14ac:dyDescent="0.25">
      <c r="A49" s="165"/>
      <c r="B49" s="165"/>
      <c r="C49" s="165"/>
      <c r="D49" s="165"/>
      <c r="E49" s="165"/>
      <c r="F49" s="165"/>
      <c r="G49" s="165"/>
      <c r="H49" s="165"/>
      <c r="I49" s="275"/>
      <c r="J49" s="301"/>
    </row>
    <row r="50" spans="1:10" s="257" customFormat="1" x14ac:dyDescent="0.25">
      <c r="A50" s="165"/>
      <c r="B50" s="165"/>
      <c r="C50" s="165"/>
      <c r="D50" s="165"/>
      <c r="E50" s="165"/>
      <c r="F50" s="165"/>
      <c r="G50" s="165"/>
      <c r="H50" s="165"/>
      <c r="I50" s="275"/>
      <c r="J50" s="301"/>
    </row>
    <row r="51" spans="1:10" s="257" customFormat="1" x14ac:dyDescent="0.25">
      <c r="A51" s="165"/>
      <c r="B51" s="165"/>
      <c r="C51" s="165"/>
      <c r="D51" s="165"/>
      <c r="E51" s="165"/>
      <c r="F51" s="165"/>
      <c r="G51" s="165"/>
      <c r="H51" s="165"/>
      <c r="I51" s="275"/>
      <c r="J51" s="301"/>
    </row>
    <row r="52" spans="1:10" s="257" customFormat="1" x14ac:dyDescent="0.25">
      <c r="A52" s="165"/>
      <c r="B52" s="165"/>
      <c r="C52" s="165"/>
      <c r="D52" s="165"/>
      <c r="E52" s="165"/>
      <c r="F52" s="165"/>
      <c r="G52" s="165"/>
      <c r="H52" s="165"/>
      <c r="I52" s="275"/>
      <c r="J52" s="301"/>
    </row>
    <row r="53" spans="1:10" s="257" customFormat="1" x14ac:dyDescent="0.25">
      <c r="A53" s="165"/>
      <c r="B53" s="165"/>
      <c r="C53" s="165"/>
      <c r="D53" s="165"/>
      <c r="E53" s="165"/>
      <c r="F53" s="165"/>
      <c r="G53" s="165"/>
      <c r="H53" s="165"/>
      <c r="I53" s="275"/>
      <c r="J53" s="301"/>
    </row>
    <row r="54" spans="1:10" s="257" customFormat="1" x14ac:dyDescent="0.25">
      <c r="A54" s="165"/>
      <c r="B54" s="165"/>
      <c r="C54" s="165"/>
      <c r="D54" s="165"/>
      <c r="E54" s="165"/>
      <c r="F54" s="165"/>
      <c r="G54" s="165"/>
      <c r="H54" s="165"/>
      <c r="I54" s="275"/>
      <c r="J54" s="301"/>
    </row>
    <row r="55" spans="1:10" s="257" customFormat="1" x14ac:dyDescent="0.25">
      <c r="A55" s="165"/>
      <c r="B55" s="165"/>
      <c r="C55" s="165"/>
      <c r="D55" s="165"/>
      <c r="E55" s="165"/>
      <c r="F55" s="165"/>
      <c r="G55" s="165"/>
      <c r="H55" s="165"/>
      <c r="I55" s="275"/>
      <c r="J55" s="301"/>
    </row>
    <row r="56" spans="1:10" s="257" customFormat="1" x14ac:dyDescent="0.25">
      <c r="A56" s="165"/>
      <c r="B56" s="165"/>
      <c r="C56" s="165"/>
      <c r="D56" s="165"/>
      <c r="E56" s="165"/>
      <c r="F56" s="165"/>
      <c r="G56" s="165"/>
      <c r="H56" s="165"/>
      <c r="I56" s="275"/>
      <c r="J56" s="301"/>
    </row>
    <row r="57" spans="1:10" s="257" customFormat="1" x14ac:dyDescent="0.25">
      <c r="A57" s="165"/>
      <c r="B57" s="165"/>
      <c r="C57" s="165"/>
      <c r="D57" s="165"/>
      <c r="E57" s="165"/>
      <c r="F57" s="165"/>
      <c r="G57" s="165"/>
      <c r="H57" s="165"/>
      <c r="I57" s="275"/>
      <c r="J57" s="301"/>
    </row>
    <row r="58" spans="1:10" s="257" customFormat="1" x14ac:dyDescent="0.25">
      <c r="A58" s="165"/>
      <c r="B58" s="165"/>
      <c r="C58" s="165"/>
      <c r="D58" s="165"/>
      <c r="E58" s="165"/>
      <c r="F58" s="165"/>
      <c r="G58" s="165"/>
      <c r="H58" s="165"/>
      <c r="I58" s="275"/>
      <c r="J58" s="301"/>
    </row>
    <row r="59" spans="1:10" s="257" customFormat="1" x14ac:dyDescent="0.25">
      <c r="A59" s="165"/>
      <c r="B59" s="165"/>
      <c r="C59" s="165"/>
      <c r="D59" s="165"/>
      <c r="E59" s="165"/>
      <c r="F59" s="165"/>
      <c r="G59" s="165"/>
      <c r="H59" s="165"/>
      <c r="I59" s="275"/>
      <c r="J59" s="301"/>
    </row>
    <row r="60" spans="1:10" s="257" customFormat="1" x14ac:dyDescent="0.25">
      <c r="A60" s="165"/>
      <c r="B60" s="165"/>
      <c r="C60" s="165"/>
      <c r="D60" s="165"/>
      <c r="E60" s="165"/>
      <c r="F60" s="165"/>
      <c r="G60" s="165"/>
      <c r="H60" s="165"/>
      <c r="I60" s="275"/>
      <c r="J60" s="301"/>
    </row>
    <row r="61" spans="1:10" s="257" customFormat="1" x14ac:dyDescent="0.25">
      <c r="A61" s="165"/>
      <c r="B61" s="165"/>
      <c r="C61" s="165"/>
      <c r="D61" s="165"/>
      <c r="E61" s="165"/>
      <c r="F61" s="165"/>
      <c r="G61" s="165"/>
      <c r="H61" s="165"/>
      <c r="I61" s="275"/>
      <c r="J61" s="301"/>
    </row>
    <row r="62" spans="1:10" s="257" customFormat="1" x14ac:dyDescent="0.25">
      <c r="A62" s="165"/>
      <c r="B62" s="165"/>
      <c r="C62" s="165"/>
      <c r="D62" s="165"/>
      <c r="E62" s="165"/>
      <c r="F62" s="165"/>
      <c r="G62" s="165"/>
      <c r="H62" s="165"/>
      <c r="I62" s="275"/>
      <c r="J62" s="301"/>
    </row>
    <row r="63" spans="1:10" s="257" customFormat="1" x14ac:dyDescent="0.25">
      <c r="A63" s="165"/>
      <c r="B63" s="165"/>
      <c r="C63" s="165"/>
      <c r="D63" s="165"/>
      <c r="E63" s="165"/>
      <c r="F63" s="165"/>
      <c r="G63" s="165"/>
      <c r="H63" s="165"/>
      <c r="I63" s="275"/>
      <c r="J63" s="301"/>
    </row>
    <row r="64" spans="1:10" s="257" customFormat="1" x14ac:dyDescent="0.25">
      <c r="A64" s="165"/>
      <c r="B64" s="165"/>
      <c r="C64" s="165"/>
      <c r="D64" s="165"/>
      <c r="E64" s="165"/>
      <c r="F64" s="165"/>
      <c r="G64" s="165"/>
      <c r="H64" s="165"/>
      <c r="I64" s="275"/>
      <c r="J64" s="301"/>
    </row>
    <row r="65" spans="1:10" s="257" customFormat="1" x14ac:dyDescent="0.25">
      <c r="A65" s="165"/>
      <c r="B65" s="165"/>
      <c r="C65" s="165"/>
      <c r="D65" s="165"/>
      <c r="E65" s="165"/>
      <c r="F65" s="165"/>
      <c r="G65" s="165"/>
      <c r="H65" s="165"/>
      <c r="I65" s="275"/>
      <c r="J65" s="301"/>
    </row>
    <row r="66" spans="1:10" s="257" customFormat="1" x14ac:dyDescent="0.25">
      <c r="A66" s="165"/>
      <c r="B66" s="165"/>
      <c r="C66" s="165"/>
      <c r="D66" s="165"/>
      <c r="E66" s="165"/>
      <c r="F66" s="165"/>
      <c r="G66" s="165"/>
      <c r="H66" s="165"/>
      <c r="I66" s="275"/>
      <c r="J66" s="301"/>
    </row>
    <row r="67" spans="1:10" s="257" customFormat="1" x14ac:dyDescent="0.25">
      <c r="A67" s="165"/>
      <c r="B67" s="165"/>
      <c r="C67" s="165"/>
      <c r="D67" s="165"/>
      <c r="E67" s="165"/>
      <c r="F67" s="165"/>
      <c r="G67" s="165"/>
      <c r="H67" s="165"/>
      <c r="I67" s="275"/>
      <c r="J67" s="301"/>
    </row>
    <row r="68" spans="1:10" s="257" customFormat="1" x14ac:dyDescent="0.25">
      <c r="A68" s="165"/>
      <c r="B68" s="165"/>
      <c r="C68" s="165"/>
      <c r="D68" s="165"/>
      <c r="E68" s="165"/>
      <c r="F68" s="165"/>
      <c r="G68" s="165"/>
      <c r="H68" s="165"/>
      <c r="I68" s="275"/>
      <c r="J68" s="301"/>
    </row>
    <row r="69" spans="1:10" s="257" customFormat="1" x14ac:dyDescent="0.25">
      <c r="A69" s="165"/>
      <c r="B69" s="165"/>
      <c r="C69" s="165"/>
      <c r="D69" s="165"/>
      <c r="E69" s="165"/>
      <c r="F69" s="165"/>
      <c r="G69" s="165"/>
      <c r="H69" s="165"/>
      <c r="I69" s="275"/>
      <c r="J69" s="301"/>
    </row>
    <row r="70" spans="1:10" s="257" customFormat="1" x14ac:dyDescent="0.25">
      <c r="A70" s="165"/>
      <c r="B70" s="165"/>
      <c r="C70" s="165"/>
      <c r="D70" s="165"/>
      <c r="E70" s="165"/>
      <c r="F70" s="165"/>
      <c r="G70" s="165"/>
      <c r="H70" s="165"/>
      <c r="I70" s="275"/>
      <c r="J70" s="301"/>
    </row>
    <row r="71" spans="1:10" s="257" customFormat="1" x14ac:dyDescent="0.25">
      <c r="A71" s="165"/>
      <c r="B71" s="165"/>
      <c r="C71" s="165"/>
      <c r="D71" s="165"/>
      <c r="E71" s="165"/>
      <c r="F71" s="165"/>
      <c r="G71" s="165"/>
      <c r="H71" s="165"/>
      <c r="I71" s="275"/>
      <c r="J71" s="301"/>
    </row>
    <row r="72" spans="1:10" s="257" customFormat="1" x14ac:dyDescent="0.25">
      <c r="A72" s="165"/>
      <c r="B72" s="165"/>
      <c r="C72" s="165"/>
      <c r="D72" s="165"/>
      <c r="E72" s="165"/>
      <c r="F72" s="165"/>
      <c r="G72" s="165"/>
      <c r="H72" s="165"/>
      <c r="I72" s="275"/>
      <c r="J72" s="301"/>
    </row>
    <row r="73" spans="1:10" s="257" customFormat="1" x14ac:dyDescent="0.25">
      <c r="A73" s="165"/>
      <c r="B73" s="165"/>
      <c r="C73" s="165"/>
      <c r="D73" s="165"/>
      <c r="E73" s="165"/>
      <c r="F73" s="165"/>
      <c r="G73" s="165"/>
      <c r="H73" s="165"/>
      <c r="I73" s="275"/>
      <c r="J73" s="301"/>
    </row>
    <row r="74" spans="1:10" s="257" customFormat="1" x14ac:dyDescent="0.25">
      <c r="A74" s="165"/>
      <c r="B74" s="165"/>
      <c r="C74" s="165"/>
      <c r="D74" s="165"/>
      <c r="E74" s="165"/>
      <c r="F74" s="165"/>
      <c r="G74" s="165"/>
      <c r="H74" s="165"/>
      <c r="I74" s="275"/>
      <c r="J74" s="301"/>
    </row>
    <row r="75" spans="1:10" s="257" customFormat="1" x14ac:dyDescent="0.25">
      <c r="A75" s="165"/>
      <c r="B75" s="165"/>
      <c r="C75" s="165"/>
      <c r="D75" s="165"/>
      <c r="E75" s="165"/>
      <c r="F75" s="165"/>
      <c r="G75" s="165"/>
      <c r="H75" s="165"/>
      <c r="I75" s="275"/>
      <c r="J75" s="301"/>
    </row>
    <row r="76" spans="1:10" s="257" customFormat="1" x14ac:dyDescent="0.25">
      <c r="A76" s="165"/>
      <c r="B76" s="165"/>
      <c r="C76" s="165"/>
      <c r="D76" s="165"/>
      <c r="E76" s="165"/>
      <c r="F76" s="165"/>
      <c r="G76" s="165"/>
      <c r="H76" s="165"/>
      <c r="I76" s="275"/>
      <c r="J76" s="301"/>
    </row>
    <row r="77" spans="1:10" s="257" customFormat="1" x14ac:dyDescent="0.25">
      <c r="A77" s="165"/>
      <c r="B77" s="165"/>
      <c r="C77" s="165"/>
      <c r="D77" s="165"/>
      <c r="E77" s="165"/>
      <c r="F77" s="165"/>
      <c r="G77" s="165"/>
      <c r="H77" s="165"/>
      <c r="I77" s="275"/>
      <c r="J77" s="301"/>
    </row>
    <row r="78" spans="1:10" s="257" customFormat="1" x14ac:dyDescent="0.25">
      <c r="A78" s="165"/>
      <c r="B78" s="165"/>
      <c r="C78" s="165"/>
      <c r="D78" s="165"/>
      <c r="E78" s="165"/>
      <c r="F78" s="165"/>
      <c r="G78" s="165"/>
      <c r="H78" s="165"/>
      <c r="I78" s="275"/>
      <c r="J78" s="301"/>
    </row>
    <row r="79" spans="1:10" s="257" customFormat="1" x14ac:dyDescent="0.25">
      <c r="A79" s="165"/>
      <c r="B79" s="165"/>
      <c r="C79" s="165"/>
      <c r="D79" s="165"/>
      <c r="E79" s="165"/>
      <c r="F79" s="165"/>
      <c r="G79" s="165"/>
      <c r="H79" s="165"/>
      <c r="I79" s="275"/>
      <c r="J79" s="301"/>
    </row>
    <row r="80" spans="1:10" s="257" customFormat="1" x14ac:dyDescent="0.25">
      <c r="A80" s="165"/>
      <c r="B80" s="165"/>
      <c r="C80" s="165"/>
      <c r="D80" s="165"/>
      <c r="E80" s="165"/>
      <c r="F80" s="165"/>
      <c r="G80" s="165"/>
      <c r="H80" s="165"/>
      <c r="I80" s="275"/>
      <c r="J80" s="301"/>
    </row>
    <row r="81" spans="1:10" s="257" customFormat="1" x14ac:dyDescent="0.25">
      <c r="A81" s="165"/>
      <c r="B81" s="165"/>
      <c r="C81" s="165"/>
      <c r="D81" s="165"/>
      <c r="E81" s="165"/>
      <c r="F81" s="165"/>
      <c r="G81" s="165"/>
      <c r="H81" s="165"/>
      <c r="I81" s="275"/>
      <c r="J81" s="301"/>
    </row>
    <row r="82" spans="1:10" s="257" customFormat="1" x14ac:dyDescent="0.25">
      <c r="A82" s="165"/>
      <c r="B82" s="165"/>
      <c r="C82" s="165"/>
      <c r="D82" s="165"/>
      <c r="E82" s="165"/>
      <c r="F82" s="165"/>
      <c r="G82" s="165"/>
      <c r="H82" s="165"/>
      <c r="I82" s="275"/>
      <c r="J82" s="301"/>
    </row>
    <row r="83" spans="1:10" s="257" customFormat="1" x14ac:dyDescent="0.25">
      <c r="A83" s="165"/>
      <c r="B83" s="165"/>
      <c r="C83" s="165"/>
      <c r="D83" s="165"/>
      <c r="E83" s="165"/>
      <c r="F83" s="165"/>
      <c r="G83" s="165"/>
      <c r="H83" s="165"/>
      <c r="I83" s="275"/>
      <c r="J83" s="301"/>
    </row>
    <row r="84" spans="1:10" s="257" customFormat="1" x14ac:dyDescent="0.25">
      <c r="A84" s="165"/>
      <c r="B84" s="165"/>
      <c r="C84" s="165"/>
      <c r="D84" s="165"/>
      <c r="E84" s="165"/>
      <c r="F84" s="165"/>
      <c r="G84" s="165"/>
      <c r="H84" s="165"/>
      <c r="I84" s="275"/>
      <c r="J84" s="301"/>
    </row>
    <row r="85" spans="1:10" s="257" customFormat="1" x14ac:dyDescent="0.25">
      <c r="A85" s="165"/>
      <c r="B85" s="165"/>
      <c r="C85" s="165"/>
      <c r="D85" s="165"/>
      <c r="E85" s="165"/>
      <c r="F85" s="165"/>
      <c r="G85" s="165"/>
      <c r="H85" s="165"/>
      <c r="I85" s="275"/>
      <c r="J85" s="301"/>
    </row>
    <row r="86" spans="1:10" s="257" customFormat="1" x14ac:dyDescent="0.25">
      <c r="A86" s="165"/>
      <c r="B86" s="165"/>
      <c r="C86" s="165"/>
      <c r="D86" s="165"/>
      <c r="E86" s="165"/>
      <c r="F86" s="165"/>
      <c r="G86" s="165"/>
      <c r="H86" s="165"/>
      <c r="I86" s="275"/>
      <c r="J86" s="301"/>
    </row>
    <row r="87" spans="1:10" s="257" customFormat="1" x14ac:dyDescent="0.25">
      <c r="A87" s="165"/>
      <c r="B87" s="165"/>
      <c r="C87" s="165"/>
      <c r="D87" s="165"/>
      <c r="E87" s="165"/>
      <c r="F87" s="165"/>
      <c r="G87" s="165"/>
      <c r="H87" s="165"/>
      <c r="I87" s="275"/>
      <c r="J87" s="301"/>
    </row>
    <row r="88" spans="1:10" s="257" customFormat="1" x14ac:dyDescent="0.25">
      <c r="A88" s="165"/>
      <c r="B88" s="165"/>
      <c r="C88" s="165"/>
      <c r="D88" s="165"/>
      <c r="E88" s="165"/>
      <c r="F88" s="165"/>
      <c r="G88" s="165"/>
      <c r="H88" s="165"/>
      <c r="I88" s="275"/>
      <c r="J88" s="301"/>
    </row>
    <row r="89" spans="1:10" s="257" customFormat="1" x14ac:dyDescent="0.25">
      <c r="A89" s="165"/>
      <c r="B89" s="165"/>
      <c r="C89" s="165"/>
      <c r="D89" s="165"/>
      <c r="E89" s="165"/>
      <c r="F89" s="165"/>
      <c r="G89" s="165"/>
      <c r="H89" s="165"/>
      <c r="I89" s="275"/>
      <c r="J89" s="301"/>
    </row>
    <row r="90" spans="1:10" s="257" customFormat="1" x14ac:dyDescent="0.25">
      <c r="A90" s="165"/>
      <c r="B90" s="165"/>
      <c r="C90" s="165"/>
      <c r="D90" s="165"/>
      <c r="E90" s="165"/>
      <c r="F90" s="165"/>
      <c r="G90" s="165"/>
      <c r="H90" s="165"/>
      <c r="I90" s="275"/>
      <c r="J90" s="301"/>
    </row>
    <row r="91" spans="1:10" s="257" customFormat="1" x14ac:dyDescent="0.25">
      <c r="A91" s="165"/>
      <c r="B91" s="165"/>
      <c r="C91" s="165"/>
      <c r="D91" s="165"/>
      <c r="E91" s="165"/>
      <c r="F91" s="165"/>
      <c r="G91" s="165"/>
      <c r="H91" s="165"/>
      <c r="I91" s="275"/>
      <c r="J91" s="301"/>
    </row>
    <row r="92" spans="1:10" s="257" customFormat="1" x14ac:dyDescent="0.25">
      <c r="A92" s="165"/>
      <c r="B92" s="165"/>
      <c r="C92" s="165"/>
      <c r="D92" s="165"/>
      <c r="E92" s="165"/>
      <c r="F92" s="165"/>
      <c r="G92" s="165"/>
      <c r="H92" s="165"/>
      <c r="I92" s="275"/>
      <c r="J92" s="301"/>
    </row>
    <row r="93" spans="1:10" s="257" customFormat="1" x14ac:dyDescent="0.25">
      <c r="A93" s="165"/>
      <c r="B93" s="165"/>
      <c r="C93" s="165"/>
      <c r="D93" s="165"/>
      <c r="E93" s="165"/>
      <c r="F93" s="165"/>
      <c r="G93" s="165"/>
      <c r="H93" s="165"/>
      <c r="I93" s="275"/>
      <c r="J93" s="301"/>
    </row>
    <row r="94" spans="1:10" s="257" customFormat="1" x14ac:dyDescent="0.25">
      <c r="A94" s="165"/>
      <c r="B94" s="165"/>
      <c r="C94" s="165"/>
      <c r="D94" s="165"/>
      <c r="E94" s="165"/>
      <c r="F94" s="165"/>
      <c r="G94" s="165"/>
      <c r="H94" s="165"/>
      <c r="I94" s="275"/>
      <c r="J94" s="301"/>
    </row>
    <row r="95" spans="1:10" s="257" customFormat="1" x14ac:dyDescent="0.25">
      <c r="A95" s="165"/>
      <c r="B95" s="165"/>
      <c r="C95" s="165"/>
      <c r="D95" s="165"/>
      <c r="E95" s="165"/>
      <c r="F95" s="165"/>
      <c r="G95" s="165"/>
      <c r="H95" s="165"/>
      <c r="I95" s="275"/>
      <c r="J95" s="301"/>
    </row>
    <row r="96" spans="1:10" s="257" customFormat="1" x14ac:dyDescent="0.25">
      <c r="A96" s="165"/>
      <c r="B96" s="165"/>
      <c r="C96" s="165"/>
      <c r="D96" s="165"/>
      <c r="E96" s="165"/>
      <c r="F96" s="165"/>
      <c r="G96" s="165"/>
      <c r="H96" s="165"/>
      <c r="I96" s="275"/>
      <c r="J96" s="301"/>
    </row>
    <row r="97" spans="1:10" s="257" customFormat="1" x14ac:dyDescent="0.25">
      <c r="A97" s="165"/>
      <c r="B97" s="165"/>
      <c r="C97" s="165"/>
      <c r="D97" s="165"/>
      <c r="E97" s="165"/>
      <c r="F97" s="165"/>
      <c r="G97" s="165"/>
      <c r="H97" s="165"/>
      <c r="I97" s="275"/>
      <c r="J97" s="301"/>
    </row>
    <row r="98" spans="1:10" s="257" customFormat="1" x14ac:dyDescent="0.25">
      <c r="A98" s="165"/>
      <c r="B98" s="165"/>
      <c r="C98" s="165"/>
      <c r="D98" s="165"/>
      <c r="E98" s="165"/>
      <c r="F98" s="165"/>
      <c r="G98" s="165"/>
      <c r="H98" s="165"/>
      <c r="I98" s="275"/>
      <c r="J98" s="301"/>
    </row>
    <row r="99" spans="1:10" s="257" customFormat="1" x14ac:dyDescent="0.25">
      <c r="A99" s="165"/>
      <c r="B99" s="165"/>
      <c r="C99" s="165"/>
      <c r="D99" s="165"/>
      <c r="E99" s="165"/>
      <c r="F99" s="165"/>
      <c r="G99" s="165"/>
      <c r="H99" s="165"/>
      <c r="I99" s="275"/>
      <c r="J99" s="301"/>
    </row>
    <row r="100" spans="1:10" s="257" customFormat="1" x14ac:dyDescent="0.25">
      <c r="A100" s="165"/>
      <c r="B100" s="165"/>
      <c r="C100" s="165"/>
      <c r="D100" s="165"/>
      <c r="E100" s="165"/>
      <c r="F100" s="165"/>
      <c r="G100" s="165"/>
      <c r="H100" s="165"/>
      <c r="I100" s="275"/>
      <c r="J100" s="301"/>
    </row>
    <row r="101" spans="1:10" s="257" customFormat="1" x14ac:dyDescent="0.25">
      <c r="J101" s="302"/>
    </row>
    <row r="102" spans="1:10" s="257" customFormat="1" x14ac:dyDescent="0.25">
      <c r="D102" s="81"/>
      <c r="E102" s="81"/>
      <c r="F102" s="81"/>
      <c r="G102" s="81"/>
      <c r="H102" s="81"/>
      <c r="I102" s="81"/>
      <c r="J102" s="302"/>
    </row>
    <row r="103" spans="1:10" s="257" customFormat="1" x14ac:dyDescent="0.25">
      <c r="J103" s="302"/>
    </row>
    <row r="104" spans="1:10" s="257" customFormat="1" x14ac:dyDescent="0.25">
      <c r="J104" s="302"/>
    </row>
    <row r="105" spans="1:10" s="257" customFormat="1" x14ac:dyDescent="0.25">
      <c r="J105" s="302"/>
    </row>
    <row r="106" spans="1:10" s="257" customFormat="1" x14ac:dyDescent="0.25">
      <c r="J106" s="302"/>
    </row>
    <row r="107" spans="1:10" s="257" customFormat="1" x14ac:dyDescent="0.25">
      <c r="J107" s="302"/>
    </row>
    <row r="108" spans="1:10" s="257" customFormat="1" x14ac:dyDescent="0.25">
      <c r="J108" s="302"/>
    </row>
    <row r="109" spans="1:10" s="257" customFormat="1" x14ac:dyDescent="0.25">
      <c r="J109" s="302"/>
    </row>
    <row r="110" spans="1:10" s="257" customFormat="1" x14ac:dyDescent="0.25">
      <c r="J110" s="302"/>
    </row>
    <row r="111" spans="1:10" s="257" customFormat="1" x14ac:dyDescent="0.25">
      <c r="J111" s="302"/>
    </row>
    <row r="112" spans="1:10" s="257" customFormat="1" x14ac:dyDescent="0.25">
      <c r="J112" s="302"/>
    </row>
    <row r="113" spans="10:10" s="257" customFormat="1" x14ac:dyDescent="0.25">
      <c r="J113" s="302"/>
    </row>
    <row r="114" spans="10:10" s="257" customFormat="1" x14ac:dyDescent="0.25">
      <c r="J114" s="302"/>
    </row>
    <row r="115" spans="10:10" s="257" customFormat="1" x14ac:dyDescent="0.25">
      <c r="J115" s="302"/>
    </row>
    <row r="116" spans="10:10" s="257" customFormat="1" x14ac:dyDescent="0.25">
      <c r="J116" s="302"/>
    </row>
    <row r="117" spans="10:10" s="257" customFormat="1" x14ac:dyDescent="0.25">
      <c r="J117" s="302"/>
    </row>
    <row r="118" spans="10:10" s="257" customFormat="1" x14ac:dyDescent="0.25">
      <c r="J118" s="302"/>
    </row>
    <row r="119" spans="10:10" s="257" customFormat="1" x14ac:dyDescent="0.25">
      <c r="J119" s="302"/>
    </row>
    <row r="120" spans="10:10" s="257" customFormat="1" x14ac:dyDescent="0.25">
      <c r="J120" s="302"/>
    </row>
    <row r="121" spans="10:10" s="257" customFormat="1" x14ac:dyDescent="0.25">
      <c r="J121" s="302"/>
    </row>
    <row r="122" spans="10:10" s="257" customFormat="1" x14ac:dyDescent="0.25">
      <c r="J122" s="302"/>
    </row>
    <row r="123" spans="10:10" s="257" customFormat="1" x14ac:dyDescent="0.25">
      <c r="J123" s="302"/>
    </row>
    <row r="124" spans="10:10" s="257" customFormat="1" x14ac:dyDescent="0.25">
      <c r="J124" s="302"/>
    </row>
    <row r="125" spans="10:10" s="257" customFormat="1" x14ac:dyDescent="0.25">
      <c r="J125" s="302"/>
    </row>
    <row r="126" spans="10:10" s="257" customFormat="1" x14ac:dyDescent="0.25">
      <c r="J126" s="302"/>
    </row>
    <row r="127" spans="10:10" s="257" customFormat="1" x14ac:dyDescent="0.25">
      <c r="J127" s="302"/>
    </row>
    <row r="128" spans="10:10" s="257" customFormat="1" x14ac:dyDescent="0.25">
      <c r="J128" s="302"/>
    </row>
    <row r="129" spans="10:10" s="257" customFormat="1" x14ac:dyDescent="0.25">
      <c r="J129" s="302"/>
    </row>
    <row r="130" spans="10:10" s="257" customFormat="1" x14ac:dyDescent="0.25">
      <c r="J130" s="302"/>
    </row>
    <row r="131" spans="10:10" s="257" customFormat="1" x14ac:dyDescent="0.25">
      <c r="J131" s="302"/>
    </row>
    <row r="132" spans="10:10" s="257" customFormat="1" x14ac:dyDescent="0.25">
      <c r="J132" s="302"/>
    </row>
    <row r="133" spans="10:10" s="257" customFormat="1" x14ac:dyDescent="0.25">
      <c r="J133" s="302"/>
    </row>
    <row r="134" spans="10:10" s="257" customFormat="1" x14ac:dyDescent="0.25">
      <c r="J134" s="302"/>
    </row>
    <row r="135" spans="10:10" s="257" customFormat="1" x14ac:dyDescent="0.25">
      <c r="J135" s="302"/>
    </row>
    <row r="136" spans="10:10" s="257" customFormat="1" x14ac:dyDescent="0.25">
      <c r="J136" s="302"/>
    </row>
    <row r="137" spans="10:10" s="257" customFormat="1" x14ac:dyDescent="0.25">
      <c r="J137" s="302"/>
    </row>
    <row r="138" spans="10:10" s="257" customFormat="1" x14ac:dyDescent="0.25">
      <c r="J138" s="302"/>
    </row>
    <row r="139" spans="10:10" s="257" customFormat="1" x14ac:dyDescent="0.25">
      <c r="J139" s="302"/>
    </row>
    <row r="140" spans="10:10" s="257" customFormat="1" x14ac:dyDescent="0.25">
      <c r="J140" s="302"/>
    </row>
    <row r="141" spans="10:10" s="257" customFormat="1" x14ac:dyDescent="0.25">
      <c r="J141" s="302"/>
    </row>
    <row r="142" spans="10:10" s="257" customFormat="1" x14ac:dyDescent="0.25">
      <c r="J142" s="302"/>
    </row>
    <row r="143" spans="10:10" s="257" customFormat="1" x14ac:dyDescent="0.25">
      <c r="J143" s="302"/>
    </row>
    <row r="144" spans="10:10" s="257" customFormat="1" x14ac:dyDescent="0.25">
      <c r="J144" s="302"/>
    </row>
    <row r="145" spans="10:10" s="257" customFormat="1" x14ac:dyDescent="0.25">
      <c r="J145" s="302"/>
    </row>
    <row r="146" spans="10:10" s="257" customFormat="1" x14ac:dyDescent="0.25">
      <c r="J146" s="302"/>
    </row>
    <row r="147" spans="10:10" s="257" customFormat="1" x14ac:dyDescent="0.25">
      <c r="J147" s="302"/>
    </row>
    <row r="148" spans="10:10" s="257" customFormat="1" x14ac:dyDescent="0.25">
      <c r="J148" s="302"/>
    </row>
    <row r="149" spans="10:10" s="257" customFormat="1" x14ac:dyDescent="0.25">
      <c r="J149" s="302"/>
    </row>
    <row r="150" spans="10:10" s="257" customFormat="1" x14ac:dyDescent="0.25">
      <c r="J150" s="302"/>
    </row>
    <row r="151" spans="10:10" s="257" customFormat="1" x14ac:dyDescent="0.25">
      <c r="J151" s="302"/>
    </row>
    <row r="152" spans="10:10" s="257" customFormat="1" x14ac:dyDescent="0.25">
      <c r="J152" s="302"/>
    </row>
    <row r="153" spans="10:10" s="257" customFormat="1" x14ac:dyDescent="0.25">
      <c r="J153" s="302"/>
    </row>
    <row r="154" spans="10:10" s="257" customFormat="1" x14ac:dyDescent="0.25">
      <c r="J154" s="302"/>
    </row>
    <row r="155" spans="10:10" s="257" customFormat="1" x14ac:dyDescent="0.25">
      <c r="J155" s="302"/>
    </row>
    <row r="156" spans="10:10" s="257" customFormat="1" x14ac:dyDescent="0.25">
      <c r="J156" s="302"/>
    </row>
    <row r="157" spans="10:10" s="257" customFormat="1" x14ac:dyDescent="0.25">
      <c r="J157" s="302"/>
    </row>
    <row r="158" spans="10:10" s="257" customFormat="1" x14ac:dyDescent="0.25">
      <c r="J158" s="302"/>
    </row>
    <row r="159" spans="10:10" s="257" customFormat="1" x14ac:dyDescent="0.25">
      <c r="J159" s="302"/>
    </row>
    <row r="160" spans="10:10" s="257" customFormat="1" x14ac:dyDescent="0.25">
      <c r="J160" s="302"/>
    </row>
    <row r="161" spans="10:10" s="257" customFormat="1" x14ac:dyDescent="0.25">
      <c r="J161" s="302"/>
    </row>
    <row r="162" spans="10:10" s="257" customFormat="1" x14ac:dyDescent="0.25">
      <c r="J162" s="302"/>
    </row>
    <row r="163" spans="10:10" s="257" customFormat="1" x14ac:dyDescent="0.25">
      <c r="J163" s="302"/>
    </row>
    <row r="164" spans="10:10" s="257" customFormat="1" x14ac:dyDescent="0.25">
      <c r="J164" s="302"/>
    </row>
    <row r="165" spans="10:10" s="257" customFormat="1" x14ac:dyDescent="0.25">
      <c r="J165" s="302"/>
    </row>
    <row r="166" spans="10:10" s="257" customFormat="1" x14ac:dyDescent="0.25">
      <c r="J166" s="302"/>
    </row>
    <row r="167" spans="10:10" s="257" customFormat="1" x14ac:dyDescent="0.25">
      <c r="J167" s="302"/>
    </row>
    <row r="168" spans="10:10" s="257" customFormat="1" x14ac:dyDescent="0.25">
      <c r="J168" s="302"/>
    </row>
    <row r="169" spans="10:10" s="257" customFormat="1" x14ac:dyDescent="0.25">
      <c r="J169" s="302"/>
    </row>
    <row r="170" spans="10:10" s="257" customFormat="1" x14ac:dyDescent="0.25">
      <c r="J170" s="302"/>
    </row>
    <row r="171" spans="10:10" s="257" customFormat="1" x14ac:dyDescent="0.25">
      <c r="J171" s="302"/>
    </row>
    <row r="172" spans="10:10" s="257" customFormat="1" x14ac:dyDescent="0.25">
      <c r="J172" s="302"/>
    </row>
    <row r="173" spans="10:10" s="257" customFormat="1" x14ac:dyDescent="0.25">
      <c r="J173" s="302"/>
    </row>
    <row r="174" spans="10:10" s="257" customFormat="1" x14ac:dyDescent="0.25">
      <c r="J174" s="302"/>
    </row>
    <row r="175" spans="10:10" s="257" customFormat="1" x14ac:dyDescent="0.25">
      <c r="J175" s="302"/>
    </row>
    <row r="176" spans="10:10" s="257" customFormat="1" x14ac:dyDescent="0.25">
      <c r="J176" s="302"/>
    </row>
    <row r="177" spans="10:10" s="257" customFormat="1" x14ac:dyDescent="0.25">
      <c r="J177" s="302"/>
    </row>
    <row r="178" spans="10:10" s="257" customFormat="1" x14ac:dyDescent="0.25">
      <c r="J178" s="302"/>
    </row>
    <row r="179" spans="10:10" s="257" customFormat="1" x14ac:dyDescent="0.25">
      <c r="J179" s="302"/>
    </row>
    <row r="180" spans="10:10" s="257" customFormat="1" x14ac:dyDescent="0.25">
      <c r="J180" s="302"/>
    </row>
    <row r="181" spans="10:10" s="257" customFormat="1" x14ac:dyDescent="0.25">
      <c r="J181" s="302"/>
    </row>
    <row r="182" spans="10:10" s="257" customFormat="1" x14ac:dyDescent="0.25">
      <c r="J182" s="302"/>
    </row>
    <row r="183" spans="10:10" s="257" customFormat="1" x14ac:dyDescent="0.25">
      <c r="J183" s="302"/>
    </row>
    <row r="184" spans="10:10" s="257" customFormat="1" x14ac:dyDescent="0.25">
      <c r="J184" s="302"/>
    </row>
    <row r="185" spans="10:10" s="257" customFormat="1" x14ac:dyDescent="0.25">
      <c r="J185" s="302"/>
    </row>
    <row r="186" spans="10:10" s="257" customFormat="1" x14ac:dyDescent="0.25">
      <c r="J186" s="302"/>
    </row>
    <row r="187" spans="10:10" s="257" customFormat="1" x14ac:dyDescent="0.25">
      <c r="J187" s="302"/>
    </row>
    <row r="188" spans="10:10" s="257" customFormat="1" x14ac:dyDescent="0.25">
      <c r="J188" s="302"/>
    </row>
    <row r="189" spans="10:10" s="257" customFormat="1" x14ac:dyDescent="0.25">
      <c r="J189" s="302"/>
    </row>
    <row r="190" spans="10:10" s="257" customFormat="1" x14ac:dyDescent="0.25">
      <c r="J190" s="302"/>
    </row>
    <row r="191" spans="10:10" s="257" customFormat="1" x14ac:dyDescent="0.25">
      <c r="J191" s="302"/>
    </row>
    <row r="192" spans="10:10" s="257" customFormat="1" x14ac:dyDescent="0.25">
      <c r="J192" s="302"/>
    </row>
    <row r="193" spans="10:10" s="257" customFormat="1" x14ac:dyDescent="0.25">
      <c r="J193" s="302"/>
    </row>
    <row r="194" spans="10:10" s="257" customFormat="1" x14ac:dyDescent="0.25">
      <c r="J194" s="302"/>
    </row>
    <row r="195" spans="10:10" s="257" customFormat="1" x14ac:dyDescent="0.25">
      <c r="J195" s="302"/>
    </row>
    <row r="196" spans="10:10" s="257" customFormat="1" x14ac:dyDescent="0.25">
      <c r="J196" s="302"/>
    </row>
    <row r="197" spans="10:10" s="257" customFormat="1" x14ac:dyDescent="0.25">
      <c r="J197" s="302"/>
    </row>
    <row r="198" spans="10:10" s="257" customFormat="1" x14ac:dyDescent="0.25">
      <c r="J198" s="302"/>
    </row>
    <row r="199" spans="10:10" s="257" customFormat="1" x14ac:dyDescent="0.25">
      <c r="J199" s="302"/>
    </row>
    <row r="200" spans="10:10" s="257" customFormat="1" x14ac:dyDescent="0.25">
      <c r="J200" s="302"/>
    </row>
    <row r="201" spans="10:10" s="257" customFormat="1" x14ac:dyDescent="0.25">
      <c r="J201" s="302"/>
    </row>
    <row r="202" spans="10:10" s="257" customFormat="1" x14ac:dyDescent="0.25">
      <c r="J202" s="302"/>
    </row>
    <row r="203" spans="10:10" s="257" customFormat="1" x14ac:dyDescent="0.25">
      <c r="J203" s="302"/>
    </row>
    <row r="204" spans="10:10" s="257" customFormat="1" x14ac:dyDescent="0.25">
      <c r="J204" s="302"/>
    </row>
    <row r="205" spans="10:10" s="257" customFormat="1" x14ac:dyDescent="0.25">
      <c r="J205" s="302"/>
    </row>
    <row r="206" spans="10:10" s="257" customFormat="1" x14ac:dyDescent="0.25">
      <c r="J206" s="302"/>
    </row>
    <row r="207" spans="10:10" s="257" customFormat="1" x14ac:dyDescent="0.25">
      <c r="J207" s="302"/>
    </row>
    <row r="208" spans="10:10" s="257" customFormat="1" x14ac:dyDescent="0.25">
      <c r="J208" s="302"/>
    </row>
    <row r="209" spans="10:10" s="257" customFormat="1" x14ac:dyDescent="0.25">
      <c r="J209" s="302"/>
    </row>
    <row r="210" spans="10:10" s="257" customFormat="1" x14ac:dyDescent="0.25">
      <c r="J210" s="302"/>
    </row>
    <row r="211" spans="10:10" s="257" customFormat="1" x14ac:dyDescent="0.25">
      <c r="J211" s="302"/>
    </row>
    <row r="212" spans="10:10" s="257" customFormat="1" x14ac:dyDescent="0.25">
      <c r="J212" s="302"/>
    </row>
    <row r="213" spans="10:10" s="257" customFormat="1" x14ac:dyDescent="0.25">
      <c r="J213" s="302"/>
    </row>
    <row r="214" spans="10:10" s="257" customFormat="1" x14ac:dyDescent="0.25">
      <c r="J214" s="302"/>
    </row>
    <row r="215" spans="10:10" s="257" customFormat="1" x14ac:dyDescent="0.25">
      <c r="J215" s="302"/>
    </row>
    <row r="216" spans="10:10" s="257" customFormat="1" x14ac:dyDescent="0.25">
      <c r="J216" s="302"/>
    </row>
    <row r="217" spans="10:10" s="257" customFormat="1" x14ac:dyDescent="0.25">
      <c r="J217" s="302"/>
    </row>
    <row r="218" spans="10:10" s="257" customFormat="1" x14ac:dyDescent="0.25">
      <c r="J218" s="302"/>
    </row>
    <row r="219" spans="10:10" s="257" customFormat="1" x14ac:dyDescent="0.25">
      <c r="J219" s="302"/>
    </row>
    <row r="220" spans="10:10" s="257" customFormat="1" x14ac:dyDescent="0.25">
      <c r="J220" s="302"/>
    </row>
    <row r="221" spans="10:10" s="257" customFormat="1" x14ac:dyDescent="0.25">
      <c r="J221" s="302"/>
    </row>
    <row r="222" spans="10:10" s="257" customFormat="1" x14ac:dyDescent="0.25">
      <c r="J222" s="302"/>
    </row>
    <row r="223" spans="10:10" s="257" customFormat="1" x14ac:dyDescent="0.25">
      <c r="J223" s="302"/>
    </row>
    <row r="224" spans="10:10" s="257" customFormat="1" x14ac:dyDescent="0.25">
      <c r="J224" s="302"/>
    </row>
    <row r="225" spans="10:10" s="257" customFormat="1" x14ac:dyDescent="0.25">
      <c r="J225" s="302"/>
    </row>
    <row r="226" spans="10:10" s="257" customFormat="1" x14ac:dyDescent="0.25">
      <c r="J226" s="302"/>
    </row>
    <row r="227" spans="10:10" s="257" customFormat="1" x14ac:dyDescent="0.25">
      <c r="J227" s="302"/>
    </row>
    <row r="228" spans="10:10" s="257" customFormat="1" x14ac:dyDescent="0.25">
      <c r="J228" s="302"/>
    </row>
    <row r="229" spans="10:10" s="257" customFormat="1" x14ac:dyDescent="0.25">
      <c r="J229" s="302"/>
    </row>
    <row r="230" spans="10:10" s="257" customFormat="1" x14ac:dyDescent="0.25">
      <c r="J230" s="302"/>
    </row>
    <row r="231" spans="10:10" s="257" customFormat="1" x14ac:dyDescent="0.25">
      <c r="J231" s="302"/>
    </row>
    <row r="232" spans="10:10" s="257" customFormat="1" x14ac:dyDescent="0.25">
      <c r="J232" s="302"/>
    </row>
    <row r="233" spans="10:10" s="257" customFormat="1" x14ac:dyDescent="0.25">
      <c r="J233" s="302"/>
    </row>
    <row r="234" spans="10:10" s="257" customFormat="1" x14ac:dyDescent="0.25">
      <c r="J234" s="302"/>
    </row>
    <row r="235" spans="10:10" s="257" customFormat="1" x14ac:dyDescent="0.25">
      <c r="J235" s="302"/>
    </row>
    <row r="236" spans="10:10" s="257" customFormat="1" x14ac:dyDescent="0.25">
      <c r="J236" s="302"/>
    </row>
    <row r="237" spans="10:10" s="257" customFormat="1" x14ac:dyDescent="0.25">
      <c r="J237" s="302"/>
    </row>
    <row r="238" spans="10:10" s="257" customFormat="1" x14ac:dyDescent="0.25">
      <c r="J238" s="302"/>
    </row>
    <row r="239" spans="10:10" s="257" customFormat="1" x14ac:dyDescent="0.25">
      <c r="J239" s="302"/>
    </row>
    <row r="240" spans="10:10" s="257" customFormat="1" x14ac:dyDescent="0.25">
      <c r="J240" s="302"/>
    </row>
    <row r="241" spans="10:10" s="257" customFormat="1" x14ac:dyDescent="0.25">
      <c r="J241" s="302"/>
    </row>
    <row r="242" spans="10:10" s="257" customFormat="1" x14ac:dyDescent="0.25">
      <c r="J242" s="302"/>
    </row>
    <row r="243" spans="10:10" s="257" customFormat="1" x14ac:dyDescent="0.25">
      <c r="J243" s="302"/>
    </row>
    <row r="244" spans="10:10" s="257" customFormat="1" x14ac:dyDescent="0.25">
      <c r="J244" s="302"/>
    </row>
    <row r="245" spans="10:10" s="257" customFormat="1" x14ac:dyDescent="0.25">
      <c r="J245" s="302"/>
    </row>
    <row r="246" spans="10:10" s="257" customFormat="1" x14ac:dyDescent="0.25">
      <c r="J246" s="302"/>
    </row>
    <row r="247" spans="10:10" s="257" customFormat="1" x14ac:dyDescent="0.25">
      <c r="J247" s="302"/>
    </row>
    <row r="248" spans="10:10" s="257" customFormat="1" x14ac:dyDescent="0.25">
      <c r="J248" s="302"/>
    </row>
    <row r="249" spans="10:10" s="257" customFormat="1" x14ac:dyDescent="0.25">
      <c r="J249" s="302"/>
    </row>
    <row r="250" spans="10:10" s="257" customFormat="1" x14ac:dyDescent="0.25">
      <c r="J250" s="302"/>
    </row>
    <row r="251" spans="10:10" s="257" customFormat="1" x14ac:dyDescent="0.25">
      <c r="J251" s="302"/>
    </row>
    <row r="252" spans="10:10" s="257" customFormat="1" x14ac:dyDescent="0.25">
      <c r="J252" s="302"/>
    </row>
    <row r="253" spans="10:10" s="257" customFormat="1" x14ac:dyDescent="0.25">
      <c r="J253" s="302"/>
    </row>
    <row r="254" spans="10:10" s="257" customFormat="1" x14ac:dyDescent="0.25">
      <c r="J254" s="302"/>
    </row>
    <row r="255" spans="10:10" s="257" customFormat="1" x14ac:dyDescent="0.25">
      <c r="J255" s="302"/>
    </row>
    <row r="256" spans="10:10" s="257" customFormat="1" x14ac:dyDescent="0.25">
      <c r="J256" s="302"/>
    </row>
    <row r="257" spans="10:10" s="257" customFormat="1" x14ac:dyDescent="0.25">
      <c r="J257" s="302"/>
    </row>
    <row r="258" spans="10:10" s="257" customFormat="1" x14ac:dyDescent="0.25">
      <c r="J258" s="302"/>
    </row>
    <row r="259" spans="10:10" s="257" customFormat="1" x14ac:dyDescent="0.25">
      <c r="J259" s="302"/>
    </row>
    <row r="260" spans="10:10" s="257" customFormat="1" x14ac:dyDescent="0.25">
      <c r="J260" s="302"/>
    </row>
    <row r="261" spans="10:10" s="257" customFormat="1" x14ac:dyDescent="0.25">
      <c r="J261" s="302"/>
    </row>
    <row r="262" spans="10:10" s="257" customFormat="1" x14ac:dyDescent="0.25">
      <c r="J262" s="302"/>
    </row>
    <row r="263" spans="10:10" s="257" customFormat="1" x14ac:dyDescent="0.25">
      <c r="J263" s="302"/>
    </row>
    <row r="264" spans="10:10" s="257" customFormat="1" x14ac:dyDescent="0.25">
      <c r="J264" s="302"/>
    </row>
    <row r="265" spans="10:10" s="257" customFormat="1" x14ac:dyDescent="0.25">
      <c r="J265" s="302"/>
    </row>
    <row r="266" spans="10:10" s="257" customFormat="1" x14ac:dyDescent="0.25">
      <c r="J266" s="302"/>
    </row>
    <row r="267" spans="10:10" s="257" customFormat="1" x14ac:dyDescent="0.25">
      <c r="J267" s="302"/>
    </row>
    <row r="268" spans="10:10" s="257" customFormat="1" x14ac:dyDescent="0.25">
      <c r="J268" s="302"/>
    </row>
    <row r="269" spans="10:10" s="257" customFormat="1" x14ac:dyDescent="0.25">
      <c r="J269" s="302"/>
    </row>
    <row r="270" spans="10:10" s="257" customFormat="1" x14ac:dyDescent="0.25">
      <c r="J270" s="302"/>
    </row>
    <row r="271" spans="10:10" s="257" customFormat="1" x14ac:dyDescent="0.25">
      <c r="J271" s="302"/>
    </row>
    <row r="272" spans="10:10" s="257" customFormat="1" x14ac:dyDescent="0.25">
      <c r="J272" s="302"/>
    </row>
    <row r="273" spans="10:10" s="257" customFormat="1" x14ac:dyDescent="0.25">
      <c r="J273" s="302"/>
    </row>
    <row r="274" spans="10:10" s="257" customFormat="1" x14ac:dyDescent="0.25">
      <c r="J274" s="302"/>
    </row>
    <row r="275" spans="10:10" s="257" customFormat="1" x14ac:dyDescent="0.25">
      <c r="J275" s="302"/>
    </row>
    <row r="276" spans="10:10" s="257" customFormat="1" x14ac:dyDescent="0.25">
      <c r="J276" s="302"/>
    </row>
    <row r="277" spans="10:10" s="257" customFormat="1" x14ac:dyDescent="0.25">
      <c r="J277" s="302"/>
    </row>
    <row r="278" spans="10:10" s="257" customFormat="1" x14ac:dyDescent="0.25">
      <c r="J278" s="302"/>
    </row>
    <row r="279" spans="10:10" s="257" customFormat="1" x14ac:dyDescent="0.25">
      <c r="J279" s="302"/>
    </row>
    <row r="280" spans="10:10" s="257" customFormat="1" x14ac:dyDescent="0.25">
      <c r="J280" s="302"/>
    </row>
    <row r="281" spans="10:10" s="257" customFormat="1" x14ac:dyDescent="0.25">
      <c r="J281" s="302"/>
    </row>
    <row r="282" spans="10:10" s="257" customFormat="1" x14ac:dyDescent="0.25">
      <c r="J282" s="302"/>
    </row>
    <row r="283" spans="10:10" s="257" customFormat="1" x14ac:dyDescent="0.25">
      <c r="J283" s="302"/>
    </row>
    <row r="284" spans="10:10" s="257" customFormat="1" x14ac:dyDescent="0.25">
      <c r="J284" s="302"/>
    </row>
    <row r="285" spans="10:10" s="257" customFormat="1" x14ac:dyDescent="0.25">
      <c r="J285" s="302"/>
    </row>
    <row r="286" spans="10:10" s="257" customFormat="1" x14ac:dyDescent="0.25">
      <c r="J286" s="302"/>
    </row>
    <row r="287" spans="10:10" s="257" customFormat="1" x14ac:dyDescent="0.25">
      <c r="J287" s="302"/>
    </row>
    <row r="288" spans="10:10" s="257" customFormat="1" x14ac:dyDescent="0.25">
      <c r="J288" s="302"/>
    </row>
    <row r="289" spans="10:10" s="257" customFormat="1" x14ac:dyDescent="0.25">
      <c r="J289" s="302"/>
    </row>
    <row r="290" spans="10:10" s="257" customFormat="1" x14ac:dyDescent="0.25">
      <c r="J290" s="302"/>
    </row>
    <row r="291" spans="10:10" s="257" customFormat="1" x14ac:dyDescent="0.25">
      <c r="J291" s="302"/>
    </row>
    <row r="292" spans="10:10" s="257" customFormat="1" x14ac:dyDescent="0.25">
      <c r="J292" s="302"/>
    </row>
    <row r="293" spans="10:10" s="257" customFormat="1" x14ac:dyDescent="0.25">
      <c r="J293" s="302"/>
    </row>
    <row r="294" spans="10:10" s="257" customFormat="1" x14ac:dyDescent="0.25">
      <c r="J294" s="302"/>
    </row>
    <row r="295" spans="10:10" s="257" customFormat="1" x14ac:dyDescent="0.25">
      <c r="J295" s="302"/>
    </row>
    <row r="296" spans="10:10" s="257" customFormat="1" x14ac:dyDescent="0.25">
      <c r="J296" s="302"/>
    </row>
    <row r="297" spans="10:10" s="257" customFormat="1" x14ac:dyDescent="0.25">
      <c r="J297" s="302"/>
    </row>
    <row r="298" spans="10:10" s="257" customFormat="1" x14ac:dyDescent="0.25">
      <c r="J298" s="302"/>
    </row>
    <row r="299" spans="10:10" s="257" customFormat="1" x14ac:dyDescent="0.25">
      <c r="J299" s="302"/>
    </row>
    <row r="300" spans="10:10" s="257" customFormat="1" x14ac:dyDescent="0.25">
      <c r="J300" s="302"/>
    </row>
    <row r="301" spans="10:10" s="257" customFormat="1" x14ac:dyDescent="0.25">
      <c r="J301" s="302"/>
    </row>
    <row r="302" spans="10:10" s="257" customFormat="1" x14ac:dyDescent="0.25">
      <c r="J302" s="302"/>
    </row>
    <row r="303" spans="10:10" s="257" customFormat="1" x14ac:dyDescent="0.25">
      <c r="J303" s="302"/>
    </row>
    <row r="304" spans="10:10" s="257" customFormat="1" x14ac:dyDescent="0.25">
      <c r="J304" s="302"/>
    </row>
    <row r="305" spans="10:10" s="257" customFormat="1" x14ac:dyDescent="0.25">
      <c r="J305" s="302"/>
    </row>
    <row r="306" spans="10:10" s="257" customFormat="1" x14ac:dyDescent="0.25">
      <c r="J306" s="302"/>
    </row>
    <row r="307" spans="10:10" s="257" customFormat="1" x14ac:dyDescent="0.25">
      <c r="J307" s="302"/>
    </row>
    <row r="308" spans="10:10" s="257" customFormat="1" x14ac:dyDescent="0.25">
      <c r="J308" s="302"/>
    </row>
    <row r="309" spans="10:10" s="257" customFormat="1" x14ac:dyDescent="0.25">
      <c r="J309" s="302"/>
    </row>
    <row r="310" spans="10:10" s="257" customFormat="1" x14ac:dyDescent="0.25">
      <c r="J310" s="302"/>
    </row>
    <row r="311" spans="10:10" s="257" customFormat="1" x14ac:dyDescent="0.25">
      <c r="J311" s="302"/>
    </row>
    <row r="312" spans="10:10" s="257" customFormat="1" x14ac:dyDescent="0.25">
      <c r="J312" s="302"/>
    </row>
    <row r="313" spans="10:10" s="257" customFormat="1" x14ac:dyDescent="0.25">
      <c r="J313" s="302"/>
    </row>
    <row r="314" spans="10:10" s="257" customFormat="1" x14ac:dyDescent="0.25">
      <c r="J314" s="302"/>
    </row>
    <row r="315" spans="10:10" s="257" customFormat="1" x14ac:dyDescent="0.25">
      <c r="J315" s="302"/>
    </row>
    <row r="316" spans="10:10" s="257" customFormat="1" x14ac:dyDescent="0.25">
      <c r="J316" s="302"/>
    </row>
    <row r="317" spans="10:10" s="257" customFormat="1" x14ac:dyDescent="0.25">
      <c r="J317" s="302"/>
    </row>
    <row r="318" spans="10:10" s="257" customFormat="1" x14ac:dyDescent="0.25">
      <c r="J318" s="302"/>
    </row>
    <row r="319" spans="10:10" s="257" customFormat="1" x14ac:dyDescent="0.25">
      <c r="J319" s="302"/>
    </row>
    <row r="320" spans="10:10" s="257" customFormat="1" x14ac:dyDescent="0.25">
      <c r="J320" s="302"/>
    </row>
    <row r="321" spans="10:10" s="257" customFormat="1" x14ac:dyDescent="0.25">
      <c r="J321" s="302"/>
    </row>
    <row r="322" spans="10:10" s="257" customFormat="1" x14ac:dyDescent="0.25">
      <c r="J322" s="302"/>
    </row>
    <row r="323" spans="10:10" s="257" customFormat="1" x14ac:dyDescent="0.25">
      <c r="J323" s="302"/>
    </row>
    <row r="324" spans="10:10" s="257" customFormat="1" x14ac:dyDescent="0.25">
      <c r="J324" s="302"/>
    </row>
    <row r="325" spans="10:10" s="257" customFormat="1" x14ac:dyDescent="0.25">
      <c r="J325" s="302"/>
    </row>
    <row r="326" spans="10:10" s="257" customFormat="1" x14ac:dyDescent="0.25">
      <c r="J326" s="302"/>
    </row>
    <row r="327" spans="10:10" s="257" customFormat="1" x14ac:dyDescent="0.25">
      <c r="J327" s="302"/>
    </row>
    <row r="328" spans="10:10" s="257" customFormat="1" x14ac:dyDescent="0.25">
      <c r="J328" s="302"/>
    </row>
    <row r="329" spans="10:10" s="257" customFormat="1" x14ac:dyDescent="0.25">
      <c r="J329" s="302"/>
    </row>
    <row r="330" spans="10:10" s="257" customFormat="1" x14ac:dyDescent="0.25">
      <c r="J330" s="302"/>
    </row>
    <row r="331" spans="10:10" s="257" customFormat="1" x14ac:dyDescent="0.25">
      <c r="J331" s="302"/>
    </row>
    <row r="332" spans="10:10" s="257" customFormat="1" x14ac:dyDescent="0.25">
      <c r="J332" s="302"/>
    </row>
    <row r="333" spans="10:10" s="257" customFormat="1" x14ac:dyDescent="0.25">
      <c r="J333" s="302"/>
    </row>
    <row r="334" spans="10:10" s="257" customFormat="1" x14ac:dyDescent="0.25">
      <c r="J334" s="302"/>
    </row>
    <row r="335" spans="10:10" s="257" customFormat="1" x14ac:dyDescent="0.25">
      <c r="J335" s="302"/>
    </row>
    <row r="336" spans="10:10" s="257" customFormat="1" x14ac:dyDescent="0.25">
      <c r="J336" s="302"/>
    </row>
    <row r="337" spans="10:10" s="257" customFormat="1" x14ac:dyDescent="0.25">
      <c r="J337" s="302"/>
    </row>
    <row r="338" spans="10:10" s="257" customFormat="1" x14ac:dyDescent="0.25">
      <c r="J338" s="302"/>
    </row>
    <row r="339" spans="10:10" s="257" customFormat="1" x14ac:dyDescent="0.25">
      <c r="J339" s="302"/>
    </row>
    <row r="340" spans="10:10" s="257" customFormat="1" x14ac:dyDescent="0.25">
      <c r="J340" s="302"/>
    </row>
    <row r="341" spans="10:10" s="257" customFormat="1" x14ac:dyDescent="0.25">
      <c r="J341" s="302"/>
    </row>
    <row r="342" spans="10:10" s="257" customFormat="1" x14ac:dyDescent="0.25">
      <c r="J342" s="302"/>
    </row>
    <row r="343" spans="10:10" s="257" customFormat="1" x14ac:dyDescent="0.25">
      <c r="J343" s="302"/>
    </row>
    <row r="344" spans="10:10" s="257" customFormat="1" x14ac:dyDescent="0.25">
      <c r="J344" s="302"/>
    </row>
    <row r="345" spans="10:10" s="257" customFormat="1" x14ac:dyDescent="0.25">
      <c r="J345" s="302"/>
    </row>
    <row r="346" spans="10:10" s="257" customFormat="1" x14ac:dyDescent="0.25">
      <c r="J346" s="302"/>
    </row>
    <row r="347" spans="10:10" s="257" customFormat="1" x14ac:dyDescent="0.25">
      <c r="J347" s="302"/>
    </row>
    <row r="348" spans="10:10" s="257" customFormat="1" x14ac:dyDescent="0.25">
      <c r="J348" s="302"/>
    </row>
    <row r="349" spans="10:10" s="257" customFormat="1" x14ac:dyDescent="0.25">
      <c r="J349" s="302"/>
    </row>
    <row r="350" spans="10:10" s="257" customFormat="1" x14ac:dyDescent="0.25">
      <c r="J350" s="302"/>
    </row>
    <row r="351" spans="10:10" s="257" customFormat="1" x14ac:dyDescent="0.25">
      <c r="J351" s="302"/>
    </row>
    <row r="352" spans="10:10" s="257" customFormat="1" x14ac:dyDescent="0.25">
      <c r="J352" s="302"/>
    </row>
    <row r="353" spans="10:10" s="257" customFormat="1" x14ac:dyDescent="0.25">
      <c r="J353" s="302"/>
    </row>
    <row r="354" spans="10:10" s="257" customFormat="1" x14ac:dyDescent="0.25">
      <c r="J354" s="302"/>
    </row>
    <row r="355" spans="10:10" s="257" customFormat="1" x14ac:dyDescent="0.25">
      <c r="J355" s="302"/>
    </row>
    <row r="356" spans="10:10" s="257" customFormat="1" x14ac:dyDescent="0.25">
      <c r="J356" s="302"/>
    </row>
    <row r="357" spans="10:10" s="257" customFormat="1" x14ac:dyDescent="0.25">
      <c r="J357" s="302"/>
    </row>
    <row r="358" spans="10:10" s="257" customFormat="1" x14ac:dyDescent="0.25">
      <c r="J358" s="302"/>
    </row>
    <row r="359" spans="10:10" s="257" customFormat="1" x14ac:dyDescent="0.25">
      <c r="J359" s="302"/>
    </row>
    <row r="360" spans="10:10" s="257" customFormat="1" x14ac:dyDescent="0.25">
      <c r="J360" s="302"/>
    </row>
    <row r="361" spans="10:10" s="257" customFormat="1" x14ac:dyDescent="0.25">
      <c r="J361" s="302"/>
    </row>
    <row r="362" spans="10:10" s="257" customFormat="1" x14ac:dyDescent="0.25">
      <c r="J362" s="302"/>
    </row>
    <row r="363" spans="10:10" s="257" customFormat="1" x14ac:dyDescent="0.25">
      <c r="J363" s="302"/>
    </row>
    <row r="364" spans="10:10" s="257" customFormat="1" x14ac:dyDescent="0.25">
      <c r="J364" s="302"/>
    </row>
    <row r="365" spans="10:10" s="257" customFormat="1" x14ac:dyDescent="0.25">
      <c r="J365" s="302"/>
    </row>
    <row r="366" spans="10:10" s="257" customFormat="1" x14ac:dyDescent="0.25">
      <c r="J366" s="302"/>
    </row>
    <row r="367" spans="10:10" s="257" customFormat="1" x14ac:dyDescent="0.25">
      <c r="J367" s="302"/>
    </row>
    <row r="368" spans="10:10" s="257" customFormat="1" x14ac:dyDescent="0.25">
      <c r="J368" s="302"/>
    </row>
    <row r="369" spans="10:10" s="257" customFormat="1" x14ac:dyDescent="0.25">
      <c r="J369" s="302"/>
    </row>
    <row r="370" spans="10:10" s="257" customFormat="1" x14ac:dyDescent="0.25">
      <c r="J370" s="302"/>
    </row>
    <row r="371" spans="10:10" s="257" customFormat="1" x14ac:dyDescent="0.25">
      <c r="J371" s="302"/>
    </row>
    <row r="372" spans="10:10" s="257" customFormat="1" x14ac:dyDescent="0.25">
      <c r="J372" s="302"/>
    </row>
    <row r="373" spans="10:10" s="257" customFormat="1" x14ac:dyDescent="0.25">
      <c r="J373" s="302"/>
    </row>
    <row r="374" spans="10:10" s="257" customFormat="1" x14ac:dyDescent="0.25">
      <c r="J374" s="302"/>
    </row>
    <row r="375" spans="10:10" s="257" customFormat="1" x14ac:dyDescent="0.25">
      <c r="J375" s="302"/>
    </row>
    <row r="376" spans="10:10" s="257" customFormat="1" x14ac:dyDescent="0.25">
      <c r="J376" s="302"/>
    </row>
    <row r="377" spans="10:10" s="257" customFormat="1" x14ac:dyDescent="0.25">
      <c r="J377" s="302"/>
    </row>
    <row r="378" spans="10:10" s="257" customFormat="1" x14ac:dyDescent="0.25">
      <c r="J378" s="302"/>
    </row>
    <row r="379" spans="10:10" s="257" customFormat="1" x14ac:dyDescent="0.25">
      <c r="J379" s="302"/>
    </row>
    <row r="380" spans="10:10" s="257" customFormat="1" x14ac:dyDescent="0.25">
      <c r="J380" s="302"/>
    </row>
    <row r="381" spans="10:10" s="257" customFormat="1" x14ac:dyDescent="0.25">
      <c r="J381" s="302"/>
    </row>
    <row r="382" spans="10:10" s="257" customFormat="1" x14ac:dyDescent="0.25">
      <c r="J382" s="302"/>
    </row>
    <row r="383" spans="10:10" s="257" customFormat="1" x14ac:dyDescent="0.25">
      <c r="J383" s="302"/>
    </row>
    <row r="384" spans="10:10" s="257" customFormat="1" x14ac:dyDescent="0.25">
      <c r="J384" s="302"/>
    </row>
    <row r="385" spans="10:10" s="257" customFormat="1" x14ac:dyDescent="0.25">
      <c r="J385" s="302"/>
    </row>
    <row r="386" spans="10:10" s="257" customFormat="1" x14ac:dyDescent="0.25">
      <c r="J386" s="302"/>
    </row>
    <row r="387" spans="10:10" s="257" customFormat="1" x14ac:dyDescent="0.25">
      <c r="J387" s="302"/>
    </row>
    <row r="388" spans="10:10" s="257" customFormat="1" x14ac:dyDescent="0.25">
      <c r="J388" s="302"/>
    </row>
    <row r="389" spans="10:10" s="257" customFormat="1" x14ac:dyDescent="0.25">
      <c r="J389" s="302"/>
    </row>
    <row r="390" spans="10:10" s="257" customFormat="1" x14ac:dyDescent="0.25">
      <c r="J390" s="302"/>
    </row>
    <row r="391" spans="10:10" s="257" customFormat="1" x14ac:dyDescent="0.25">
      <c r="J391" s="302"/>
    </row>
    <row r="392" spans="10:10" s="257" customFormat="1" x14ac:dyDescent="0.25">
      <c r="J392" s="302"/>
    </row>
    <row r="393" spans="10:10" s="257" customFormat="1" x14ac:dyDescent="0.25">
      <c r="J393" s="302"/>
    </row>
    <row r="394" spans="10:10" s="257" customFormat="1" x14ac:dyDescent="0.25">
      <c r="J394" s="302"/>
    </row>
    <row r="395" spans="10:10" s="257" customFormat="1" x14ac:dyDescent="0.25">
      <c r="J395" s="302"/>
    </row>
    <row r="396" spans="10:10" s="257" customFormat="1" x14ac:dyDescent="0.25">
      <c r="J396" s="302"/>
    </row>
    <row r="397" spans="10:10" s="257" customFormat="1" x14ac:dyDescent="0.25">
      <c r="J397" s="302"/>
    </row>
    <row r="398" spans="10:10" s="257" customFormat="1" x14ac:dyDescent="0.25">
      <c r="J398" s="302"/>
    </row>
    <row r="399" spans="10:10" s="257" customFormat="1" x14ac:dyDescent="0.25">
      <c r="J399" s="302"/>
    </row>
    <row r="400" spans="10:10" s="257" customFormat="1" x14ac:dyDescent="0.25">
      <c r="J400" s="302"/>
    </row>
    <row r="401" spans="10:10" s="257" customFormat="1" x14ac:dyDescent="0.25">
      <c r="J401" s="302"/>
    </row>
    <row r="402" spans="10:10" s="257" customFormat="1" x14ac:dyDescent="0.25">
      <c r="J402" s="302"/>
    </row>
    <row r="403" spans="10:10" s="257" customFormat="1" x14ac:dyDescent="0.25">
      <c r="J403" s="302"/>
    </row>
    <row r="404" spans="10:10" s="257" customFormat="1" x14ac:dyDescent="0.25">
      <c r="J404" s="302"/>
    </row>
    <row r="405" spans="10:10" s="257" customFormat="1" x14ac:dyDescent="0.25">
      <c r="J405" s="302"/>
    </row>
    <row r="406" spans="10:10" s="257" customFormat="1" x14ac:dyDescent="0.25">
      <c r="J406" s="302"/>
    </row>
    <row r="407" spans="10:10" s="257" customFormat="1" x14ac:dyDescent="0.25">
      <c r="J407" s="302"/>
    </row>
    <row r="408" spans="10:10" s="257" customFormat="1" x14ac:dyDescent="0.25">
      <c r="J408" s="302"/>
    </row>
    <row r="409" spans="10:10" s="257" customFormat="1" x14ac:dyDescent="0.25">
      <c r="J409" s="302"/>
    </row>
    <row r="410" spans="10:10" s="257" customFormat="1" x14ac:dyDescent="0.25">
      <c r="J410" s="302"/>
    </row>
    <row r="411" spans="10:10" s="257" customFormat="1" x14ac:dyDescent="0.25">
      <c r="J411" s="302"/>
    </row>
    <row r="412" spans="10:10" s="257" customFormat="1" x14ac:dyDescent="0.25">
      <c r="J412" s="302"/>
    </row>
    <row r="413" spans="10:10" s="257" customFormat="1" x14ac:dyDescent="0.25">
      <c r="J413" s="302"/>
    </row>
    <row r="414" spans="10:10" s="257" customFormat="1" x14ac:dyDescent="0.25">
      <c r="J414" s="302"/>
    </row>
    <row r="415" spans="10:10" s="257" customFormat="1" x14ac:dyDescent="0.25">
      <c r="J415" s="302"/>
    </row>
    <row r="416" spans="10:10" s="257" customFormat="1" x14ac:dyDescent="0.25">
      <c r="J416" s="302"/>
    </row>
    <row r="417" spans="10:10" s="257" customFormat="1" x14ac:dyDescent="0.25">
      <c r="J417" s="302"/>
    </row>
    <row r="418" spans="10:10" s="257" customFormat="1" x14ac:dyDescent="0.25">
      <c r="J418" s="302"/>
    </row>
    <row r="419" spans="10:10" s="257" customFormat="1" x14ac:dyDescent="0.25">
      <c r="J419" s="302"/>
    </row>
    <row r="420" spans="10:10" s="257" customFormat="1" x14ac:dyDescent="0.25">
      <c r="J420" s="302"/>
    </row>
    <row r="421" spans="10:10" s="257" customFormat="1" x14ac:dyDescent="0.25">
      <c r="J421" s="302"/>
    </row>
    <row r="422" spans="10:10" s="257" customFormat="1" x14ac:dyDescent="0.25">
      <c r="J422" s="302"/>
    </row>
    <row r="423" spans="10:10" s="257" customFormat="1" x14ac:dyDescent="0.25">
      <c r="J423" s="302"/>
    </row>
    <row r="424" spans="10:10" s="257" customFormat="1" x14ac:dyDescent="0.25">
      <c r="J424" s="302"/>
    </row>
    <row r="425" spans="10:10" s="257" customFormat="1" x14ac:dyDescent="0.25">
      <c r="J425" s="302"/>
    </row>
    <row r="426" spans="10:10" s="257" customFormat="1" x14ac:dyDescent="0.25">
      <c r="J426" s="302"/>
    </row>
    <row r="427" spans="10:10" s="257" customFormat="1" x14ac:dyDescent="0.25">
      <c r="J427" s="302"/>
    </row>
    <row r="428" spans="10:10" s="257" customFormat="1" x14ac:dyDescent="0.25">
      <c r="J428" s="302"/>
    </row>
    <row r="429" spans="10:10" s="257" customFormat="1" x14ac:dyDescent="0.25">
      <c r="J429" s="302"/>
    </row>
    <row r="430" spans="10:10" s="257" customFormat="1" x14ac:dyDescent="0.25">
      <c r="J430" s="302"/>
    </row>
    <row r="431" spans="10:10" s="257" customFormat="1" x14ac:dyDescent="0.25">
      <c r="J431" s="302"/>
    </row>
    <row r="432" spans="10:10" s="257" customFormat="1" x14ac:dyDescent="0.25">
      <c r="J432" s="302"/>
    </row>
    <row r="433" spans="10:10" s="257" customFormat="1" x14ac:dyDescent="0.25">
      <c r="J433" s="302"/>
    </row>
    <row r="434" spans="10:10" s="257" customFormat="1" x14ac:dyDescent="0.25">
      <c r="J434" s="302"/>
    </row>
    <row r="435" spans="10:10" s="257" customFormat="1" x14ac:dyDescent="0.25">
      <c r="J435" s="302"/>
    </row>
    <row r="436" spans="10:10" s="257" customFormat="1" x14ac:dyDescent="0.25">
      <c r="J436" s="302"/>
    </row>
    <row r="437" spans="10:10" s="257" customFormat="1" x14ac:dyDescent="0.25">
      <c r="J437" s="302"/>
    </row>
    <row r="438" spans="10:10" s="257" customFormat="1" x14ac:dyDescent="0.25">
      <c r="J438" s="302"/>
    </row>
    <row r="439" spans="10:10" s="257" customFormat="1" x14ac:dyDescent="0.25">
      <c r="J439" s="302"/>
    </row>
    <row r="440" spans="10:10" s="257" customFormat="1" x14ac:dyDescent="0.25">
      <c r="J440" s="302"/>
    </row>
    <row r="441" spans="10:10" s="257" customFormat="1" x14ac:dyDescent="0.25">
      <c r="J441" s="302"/>
    </row>
    <row r="442" spans="10:10" s="257" customFormat="1" x14ac:dyDescent="0.25">
      <c r="J442" s="302"/>
    </row>
    <row r="443" spans="10:10" s="257" customFormat="1" x14ac:dyDescent="0.25">
      <c r="J443" s="302"/>
    </row>
    <row r="444" spans="10:10" s="257" customFormat="1" x14ac:dyDescent="0.25">
      <c r="J444" s="302"/>
    </row>
    <row r="445" spans="10:10" s="257" customFormat="1" x14ac:dyDescent="0.25">
      <c r="J445" s="302"/>
    </row>
    <row r="446" spans="10:10" s="257" customFormat="1" x14ac:dyDescent="0.25">
      <c r="J446" s="302"/>
    </row>
    <row r="447" spans="10:10" s="257" customFormat="1" x14ac:dyDescent="0.25">
      <c r="J447" s="302"/>
    </row>
    <row r="448" spans="10:10" s="257" customFormat="1" x14ac:dyDescent="0.25">
      <c r="J448" s="302"/>
    </row>
    <row r="449" spans="10:10" s="257" customFormat="1" x14ac:dyDescent="0.25">
      <c r="J449" s="302"/>
    </row>
    <row r="450" spans="10:10" s="257" customFormat="1" x14ac:dyDescent="0.25">
      <c r="J450" s="302"/>
    </row>
    <row r="451" spans="10:10" s="257" customFormat="1" x14ac:dyDescent="0.25">
      <c r="J451" s="302"/>
    </row>
    <row r="452" spans="10:10" s="257" customFormat="1" x14ac:dyDescent="0.25">
      <c r="J452" s="302"/>
    </row>
    <row r="453" spans="10:10" s="257" customFormat="1" x14ac:dyDescent="0.25">
      <c r="J453" s="302"/>
    </row>
    <row r="454" spans="10:10" s="257" customFormat="1" x14ac:dyDescent="0.25">
      <c r="J454" s="302"/>
    </row>
    <row r="455" spans="10:10" s="257" customFormat="1" x14ac:dyDescent="0.25">
      <c r="J455" s="302"/>
    </row>
    <row r="456" spans="10:10" s="257" customFormat="1" x14ac:dyDescent="0.25">
      <c r="J456" s="302"/>
    </row>
    <row r="457" spans="10:10" s="257" customFormat="1" x14ac:dyDescent="0.25">
      <c r="J457" s="302"/>
    </row>
    <row r="458" spans="10:10" s="257" customFormat="1" x14ac:dyDescent="0.25">
      <c r="J458" s="302"/>
    </row>
    <row r="459" spans="10:10" s="257" customFormat="1" x14ac:dyDescent="0.25">
      <c r="J459" s="302"/>
    </row>
    <row r="460" spans="10:10" s="257" customFormat="1" x14ac:dyDescent="0.25">
      <c r="J460" s="302"/>
    </row>
    <row r="461" spans="10:10" s="257" customFormat="1" x14ac:dyDescent="0.25">
      <c r="J461" s="302"/>
    </row>
    <row r="462" spans="10:10" s="257" customFormat="1" x14ac:dyDescent="0.25">
      <c r="J462" s="302"/>
    </row>
    <row r="463" spans="10:10" s="257" customFormat="1" x14ac:dyDescent="0.25">
      <c r="J463" s="302"/>
    </row>
    <row r="464" spans="10:10" s="257" customFormat="1" x14ac:dyDescent="0.25">
      <c r="J464" s="302"/>
    </row>
    <row r="465" spans="10:10" s="257" customFormat="1" x14ac:dyDescent="0.25">
      <c r="J465" s="302"/>
    </row>
    <row r="466" spans="10:10" s="257" customFormat="1" x14ac:dyDescent="0.25">
      <c r="J466" s="302"/>
    </row>
    <row r="467" spans="10:10" s="257" customFormat="1" x14ac:dyDescent="0.25">
      <c r="J467" s="302"/>
    </row>
    <row r="468" spans="10:10" s="257" customFormat="1" x14ac:dyDescent="0.25">
      <c r="J468" s="302"/>
    </row>
    <row r="469" spans="10:10" s="257" customFormat="1" x14ac:dyDescent="0.25">
      <c r="J469" s="302"/>
    </row>
    <row r="470" spans="10:10" s="257" customFormat="1" x14ac:dyDescent="0.25">
      <c r="J470" s="302"/>
    </row>
    <row r="471" spans="10:10" s="257" customFormat="1" x14ac:dyDescent="0.25">
      <c r="J471" s="302"/>
    </row>
    <row r="472" spans="10:10" s="257" customFormat="1" x14ac:dyDescent="0.25">
      <c r="J472" s="302"/>
    </row>
    <row r="473" spans="10:10" s="257" customFormat="1" x14ac:dyDescent="0.25">
      <c r="J473" s="302"/>
    </row>
    <row r="474" spans="10:10" s="257" customFormat="1" x14ac:dyDescent="0.25">
      <c r="J474" s="302"/>
    </row>
    <row r="475" spans="10:10" s="257" customFormat="1" x14ac:dyDescent="0.25">
      <c r="J475" s="302"/>
    </row>
    <row r="476" spans="10:10" s="257" customFormat="1" x14ac:dyDescent="0.25">
      <c r="J476" s="302"/>
    </row>
    <row r="477" spans="10:10" s="257" customFormat="1" x14ac:dyDescent="0.25">
      <c r="J477" s="302"/>
    </row>
    <row r="478" spans="10:10" s="257" customFormat="1" x14ac:dyDescent="0.25">
      <c r="J478" s="302"/>
    </row>
    <row r="479" spans="10:10" s="257" customFormat="1" x14ac:dyDescent="0.25">
      <c r="J479" s="302"/>
    </row>
    <row r="480" spans="10:10" s="257" customFormat="1" x14ac:dyDescent="0.25">
      <c r="J480" s="302"/>
    </row>
    <row r="481" spans="10:10" s="257" customFormat="1" x14ac:dyDescent="0.25">
      <c r="J481" s="302"/>
    </row>
    <row r="482" spans="10:10" s="257" customFormat="1" x14ac:dyDescent="0.25">
      <c r="J482" s="302"/>
    </row>
    <row r="483" spans="10:10" s="257" customFormat="1" x14ac:dyDescent="0.25">
      <c r="J483" s="302"/>
    </row>
    <row r="484" spans="10:10" s="257" customFormat="1" x14ac:dyDescent="0.25">
      <c r="J484" s="302"/>
    </row>
    <row r="485" spans="10:10" s="257" customFormat="1" x14ac:dyDescent="0.25">
      <c r="J485" s="302"/>
    </row>
    <row r="486" spans="10:10" s="257" customFormat="1" x14ac:dyDescent="0.25">
      <c r="J486" s="302"/>
    </row>
    <row r="487" spans="10:10" s="257" customFormat="1" x14ac:dyDescent="0.25">
      <c r="J487" s="302"/>
    </row>
    <row r="488" spans="10:10" s="257" customFormat="1" x14ac:dyDescent="0.25">
      <c r="J488" s="302"/>
    </row>
    <row r="489" spans="10:10" s="257" customFormat="1" x14ac:dyDescent="0.25">
      <c r="J489" s="302"/>
    </row>
    <row r="490" spans="10:10" s="257" customFormat="1" x14ac:dyDescent="0.25">
      <c r="J490" s="302"/>
    </row>
    <row r="491" spans="10:10" s="257" customFormat="1" x14ac:dyDescent="0.25">
      <c r="J491" s="302"/>
    </row>
    <row r="492" spans="10:10" s="257" customFormat="1" x14ac:dyDescent="0.25">
      <c r="J492" s="302"/>
    </row>
    <row r="493" spans="10:10" s="257" customFormat="1" x14ac:dyDescent="0.25">
      <c r="J493" s="302"/>
    </row>
    <row r="494" spans="10:10" s="257" customFormat="1" x14ac:dyDescent="0.25">
      <c r="J494" s="302"/>
    </row>
    <row r="495" spans="10:10" s="257" customFormat="1" x14ac:dyDescent="0.25">
      <c r="J495" s="302"/>
    </row>
    <row r="496" spans="10:10" s="257" customFormat="1" x14ac:dyDescent="0.25">
      <c r="J496" s="302"/>
    </row>
    <row r="497" spans="10:10" s="257" customFormat="1" x14ac:dyDescent="0.25">
      <c r="J497" s="302"/>
    </row>
    <row r="498" spans="10:10" s="257" customFormat="1" x14ac:dyDescent="0.25">
      <c r="J498" s="302"/>
    </row>
    <row r="499" spans="10:10" s="257" customFormat="1" x14ac:dyDescent="0.25">
      <c r="J499" s="302"/>
    </row>
    <row r="500" spans="10:10" s="257" customFormat="1" x14ac:dyDescent="0.25">
      <c r="J500" s="302"/>
    </row>
    <row r="501" spans="10:10" s="257" customFormat="1" x14ac:dyDescent="0.25">
      <c r="J501" s="302"/>
    </row>
    <row r="502" spans="10:10" s="257" customFormat="1" x14ac:dyDescent="0.25">
      <c r="J502" s="302"/>
    </row>
    <row r="503" spans="10:10" s="257" customFormat="1" x14ac:dyDescent="0.25">
      <c r="J503" s="302"/>
    </row>
    <row r="504" spans="10:10" s="257" customFormat="1" x14ac:dyDescent="0.25">
      <c r="J504" s="302"/>
    </row>
    <row r="505" spans="10:10" s="257" customFormat="1" x14ac:dyDescent="0.25">
      <c r="J505" s="302"/>
    </row>
    <row r="506" spans="10:10" s="257" customFormat="1" x14ac:dyDescent="0.25">
      <c r="J506" s="302"/>
    </row>
    <row r="507" spans="10:10" s="257" customFormat="1" x14ac:dyDescent="0.25">
      <c r="J507" s="302"/>
    </row>
    <row r="508" spans="10:10" s="257" customFormat="1" x14ac:dyDescent="0.25">
      <c r="J508" s="302"/>
    </row>
    <row r="509" spans="10:10" s="257" customFormat="1" x14ac:dyDescent="0.25">
      <c r="J509" s="302"/>
    </row>
    <row r="510" spans="10:10" s="257" customFormat="1" x14ac:dyDescent="0.25">
      <c r="J510" s="302"/>
    </row>
    <row r="511" spans="10:10" s="257" customFormat="1" x14ac:dyDescent="0.25">
      <c r="J511" s="302"/>
    </row>
    <row r="512" spans="10:10" s="257" customFormat="1" x14ac:dyDescent="0.25">
      <c r="J512" s="302"/>
    </row>
    <row r="513" spans="10:10" s="257" customFormat="1" x14ac:dyDescent="0.25">
      <c r="J513" s="302"/>
    </row>
    <row r="514" spans="10:10" s="257" customFormat="1" x14ac:dyDescent="0.25">
      <c r="J514" s="302"/>
    </row>
    <row r="515" spans="10:10" s="257" customFormat="1" x14ac:dyDescent="0.25">
      <c r="J515" s="302"/>
    </row>
    <row r="516" spans="10:10" s="257" customFormat="1" x14ac:dyDescent="0.25">
      <c r="J516" s="302"/>
    </row>
    <row r="517" spans="10:10" s="257" customFormat="1" x14ac:dyDescent="0.25">
      <c r="J517" s="302"/>
    </row>
    <row r="518" spans="10:10" s="257" customFormat="1" x14ac:dyDescent="0.25">
      <c r="J518" s="302"/>
    </row>
    <row r="519" spans="10:10" s="257" customFormat="1" x14ac:dyDescent="0.25">
      <c r="J519" s="302"/>
    </row>
    <row r="520" spans="10:10" s="257" customFormat="1" x14ac:dyDescent="0.25">
      <c r="J520" s="302"/>
    </row>
    <row r="521" spans="10:10" s="257" customFormat="1" x14ac:dyDescent="0.25">
      <c r="J521" s="302"/>
    </row>
    <row r="522" spans="10:10" s="257" customFormat="1" x14ac:dyDescent="0.25">
      <c r="J522" s="302"/>
    </row>
    <row r="523" spans="10:10" s="257" customFormat="1" x14ac:dyDescent="0.25">
      <c r="J523" s="302"/>
    </row>
    <row r="524" spans="10:10" s="257" customFormat="1" x14ac:dyDescent="0.25">
      <c r="J524" s="302"/>
    </row>
    <row r="525" spans="10:10" s="257" customFormat="1" x14ac:dyDescent="0.25">
      <c r="J525" s="302"/>
    </row>
    <row r="526" spans="10:10" s="257" customFormat="1" x14ac:dyDescent="0.25">
      <c r="J526" s="302"/>
    </row>
    <row r="527" spans="10:10" s="257" customFormat="1" x14ac:dyDescent="0.25">
      <c r="J527" s="302"/>
    </row>
    <row r="528" spans="10:10" s="257" customFormat="1" x14ac:dyDescent="0.25">
      <c r="J528" s="302"/>
    </row>
    <row r="529" spans="10:10" s="257" customFormat="1" x14ac:dyDescent="0.25">
      <c r="J529" s="302"/>
    </row>
    <row r="530" spans="10:10" s="257" customFormat="1" x14ac:dyDescent="0.25">
      <c r="J530" s="302"/>
    </row>
    <row r="531" spans="10:10" s="257" customFormat="1" x14ac:dyDescent="0.25">
      <c r="J531" s="302"/>
    </row>
    <row r="532" spans="10:10" s="257" customFormat="1" x14ac:dyDescent="0.25">
      <c r="J532" s="302"/>
    </row>
    <row r="533" spans="10:10" s="257" customFormat="1" x14ac:dyDescent="0.25">
      <c r="J533" s="302"/>
    </row>
    <row r="534" spans="10:10" s="257" customFormat="1" x14ac:dyDescent="0.25">
      <c r="J534" s="302"/>
    </row>
    <row r="535" spans="10:10" s="257" customFormat="1" x14ac:dyDescent="0.25">
      <c r="J535" s="302"/>
    </row>
    <row r="536" spans="10:10" s="257" customFormat="1" x14ac:dyDescent="0.25">
      <c r="J536" s="302"/>
    </row>
    <row r="537" spans="10:10" s="257" customFormat="1" x14ac:dyDescent="0.25">
      <c r="J537" s="302"/>
    </row>
    <row r="538" spans="10:10" s="257" customFormat="1" x14ac:dyDescent="0.25">
      <c r="J538" s="302"/>
    </row>
    <row r="539" spans="10:10" s="257" customFormat="1" x14ac:dyDescent="0.25">
      <c r="J539" s="302"/>
    </row>
    <row r="540" spans="10:10" s="257" customFormat="1" x14ac:dyDescent="0.25">
      <c r="J540" s="302"/>
    </row>
    <row r="541" spans="10:10" s="257" customFormat="1" x14ac:dyDescent="0.25">
      <c r="J541" s="302"/>
    </row>
    <row r="542" spans="10:10" s="257" customFormat="1" x14ac:dyDescent="0.25">
      <c r="J542" s="302"/>
    </row>
    <row r="543" spans="10:10" s="257" customFormat="1" x14ac:dyDescent="0.25">
      <c r="J543" s="302"/>
    </row>
    <row r="544" spans="10:10" s="257" customFormat="1" x14ac:dyDescent="0.25">
      <c r="J544" s="302"/>
    </row>
    <row r="545" spans="10:10" s="257" customFormat="1" x14ac:dyDescent="0.25">
      <c r="J545" s="302"/>
    </row>
    <row r="546" spans="10:10" s="257" customFormat="1" x14ac:dyDescent="0.25">
      <c r="J546" s="302"/>
    </row>
    <row r="547" spans="10:10" s="257" customFormat="1" x14ac:dyDescent="0.25">
      <c r="J547" s="302"/>
    </row>
    <row r="548" spans="10:10" s="257" customFormat="1" x14ac:dyDescent="0.25">
      <c r="J548" s="302"/>
    </row>
    <row r="549" spans="10:10" s="257" customFormat="1" x14ac:dyDescent="0.25">
      <c r="J549" s="302"/>
    </row>
    <row r="550" spans="10:10" s="257" customFormat="1" x14ac:dyDescent="0.25">
      <c r="J550" s="302"/>
    </row>
    <row r="551" spans="10:10" s="257" customFormat="1" x14ac:dyDescent="0.25">
      <c r="J551" s="302"/>
    </row>
    <row r="552" spans="10:10" s="257" customFormat="1" x14ac:dyDescent="0.25">
      <c r="J552" s="302"/>
    </row>
    <row r="553" spans="10:10" s="257" customFormat="1" x14ac:dyDescent="0.25">
      <c r="J553" s="302"/>
    </row>
    <row r="554" spans="10:10" s="257" customFormat="1" x14ac:dyDescent="0.25">
      <c r="J554" s="302"/>
    </row>
    <row r="555" spans="10:10" s="257" customFormat="1" x14ac:dyDescent="0.25">
      <c r="J555" s="302"/>
    </row>
    <row r="556" spans="10:10" s="257" customFormat="1" x14ac:dyDescent="0.25">
      <c r="J556" s="302"/>
    </row>
    <row r="557" spans="10:10" s="257" customFormat="1" x14ac:dyDescent="0.25">
      <c r="J557" s="302"/>
    </row>
    <row r="558" spans="10:10" s="257" customFormat="1" x14ac:dyDescent="0.25">
      <c r="J558" s="302"/>
    </row>
    <row r="559" spans="10:10" s="257" customFormat="1" x14ac:dyDescent="0.25">
      <c r="J559" s="302"/>
    </row>
    <row r="560" spans="10:10" s="257" customFormat="1" x14ac:dyDescent="0.25">
      <c r="J560" s="302"/>
    </row>
    <row r="561" spans="10:10" s="257" customFormat="1" x14ac:dyDescent="0.25">
      <c r="J561" s="302"/>
    </row>
    <row r="562" spans="10:10" s="257" customFormat="1" x14ac:dyDescent="0.25">
      <c r="J562" s="302"/>
    </row>
    <row r="563" spans="10:10" s="257" customFormat="1" x14ac:dyDescent="0.25">
      <c r="J563" s="302"/>
    </row>
    <row r="564" spans="10:10" s="257" customFormat="1" x14ac:dyDescent="0.25">
      <c r="J564" s="302"/>
    </row>
    <row r="565" spans="10:10" s="257" customFormat="1" x14ac:dyDescent="0.25">
      <c r="J565" s="302"/>
    </row>
    <row r="566" spans="10:10" s="257" customFormat="1" x14ac:dyDescent="0.25">
      <c r="J566" s="302"/>
    </row>
    <row r="567" spans="10:10" s="257" customFormat="1" x14ac:dyDescent="0.25">
      <c r="J567" s="302"/>
    </row>
    <row r="568" spans="10:10" s="257" customFormat="1" x14ac:dyDescent="0.25">
      <c r="J568" s="302"/>
    </row>
    <row r="569" spans="10:10" s="257" customFormat="1" x14ac:dyDescent="0.25">
      <c r="J569" s="302"/>
    </row>
    <row r="570" spans="10:10" s="257" customFormat="1" x14ac:dyDescent="0.25">
      <c r="J570" s="302"/>
    </row>
    <row r="571" spans="10:10" s="257" customFormat="1" x14ac:dyDescent="0.25">
      <c r="J571" s="302"/>
    </row>
    <row r="572" spans="10:10" s="257" customFormat="1" x14ac:dyDescent="0.25">
      <c r="J572" s="302"/>
    </row>
    <row r="573" spans="10:10" s="257" customFormat="1" x14ac:dyDescent="0.25">
      <c r="J573" s="302"/>
    </row>
    <row r="574" spans="10:10" s="257" customFormat="1" x14ac:dyDescent="0.25">
      <c r="J574" s="302"/>
    </row>
    <row r="575" spans="10:10" s="257" customFormat="1" x14ac:dyDescent="0.25">
      <c r="J575" s="302"/>
    </row>
    <row r="576" spans="10:10" s="257" customFormat="1" x14ac:dyDescent="0.25">
      <c r="J576" s="302"/>
    </row>
    <row r="577" spans="10:10" s="257" customFormat="1" x14ac:dyDescent="0.25">
      <c r="J577" s="302"/>
    </row>
    <row r="578" spans="10:10" s="257" customFormat="1" x14ac:dyDescent="0.25">
      <c r="J578" s="302"/>
    </row>
    <row r="579" spans="10:10" s="257" customFormat="1" x14ac:dyDescent="0.25">
      <c r="J579" s="302"/>
    </row>
    <row r="580" spans="10:10" s="257" customFormat="1" x14ac:dyDescent="0.25">
      <c r="J580" s="302"/>
    </row>
    <row r="581" spans="10:10" s="257" customFormat="1" x14ac:dyDescent="0.25"/>
    <row r="582" spans="10:10" s="257" customFormat="1" x14ac:dyDescent="0.25"/>
    <row r="583" spans="10:10" s="257" customFormat="1" x14ac:dyDescent="0.25"/>
    <row r="584" spans="10:10" s="257" customFormat="1" x14ac:dyDescent="0.25"/>
    <row r="585" spans="10:10" s="257" customFormat="1" x14ac:dyDescent="0.25"/>
    <row r="586" spans="10:10" s="257" customFormat="1" x14ac:dyDescent="0.25"/>
    <row r="587" spans="10:10" s="257" customFormat="1" x14ac:dyDescent="0.25"/>
    <row r="588" spans="10:10" s="257" customFormat="1" x14ac:dyDescent="0.25"/>
    <row r="589" spans="10:10" s="257" customFormat="1" x14ac:dyDescent="0.25"/>
    <row r="590" spans="10:10" s="257" customFormat="1" x14ac:dyDescent="0.25"/>
    <row r="591" spans="10:10" s="257" customFormat="1" x14ac:dyDescent="0.25"/>
    <row r="592" spans="10:10" s="257" customFormat="1" x14ac:dyDescent="0.25"/>
    <row r="593" s="257" customFormat="1" x14ac:dyDescent="0.25"/>
    <row r="594" s="257" customFormat="1" x14ac:dyDescent="0.25"/>
    <row r="595" s="257" customFormat="1" x14ac:dyDescent="0.25"/>
    <row r="596" s="257" customFormat="1" x14ac:dyDescent="0.25"/>
    <row r="597" s="257" customFormat="1" x14ac:dyDescent="0.25"/>
    <row r="598" s="257" customFormat="1" x14ac:dyDescent="0.25"/>
    <row r="599" s="257" customFormat="1" x14ac:dyDescent="0.25"/>
    <row r="600" s="257" customFormat="1" x14ac:dyDescent="0.25"/>
    <row r="601" s="257" customFormat="1" x14ac:dyDescent="0.25"/>
    <row r="602" s="257" customFormat="1" x14ac:dyDescent="0.25"/>
    <row r="603" s="257" customFormat="1" x14ac:dyDescent="0.25"/>
    <row r="604" s="257" customFormat="1" x14ac:dyDescent="0.25"/>
    <row r="605" s="257" customFormat="1" x14ac:dyDescent="0.25"/>
    <row r="606" s="257" customFormat="1" x14ac:dyDescent="0.25"/>
    <row r="607" s="257" customFormat="1" x14ac:dyDescent="0.25"/>
    <row r="608" s="257" customFormat="1" x14ac:dyDescent="0.25"/>
    <row r="609" s="257" customFormat="1" x14ac:dyDescent="0.25"/>
    <row r="610" s="257" customFormat="1" x14ac:dyDescent="0.25"/>
    <row r="611" s="257" customFormat="1" x14ac:dyDescent="0.25"/>
    <row r="612" s="257" customFormat="1" x14ac:dyDescent="0.25"/>
    <row r="613" s="257" customFormat="1" x14ac:dyDescent="0.25"/>
    <row r="614" s="257" customFormat="1" x14ac:dyDescent="0.25"/>
    <row r="615" s="257" customFormat="1" x14ac:dyDescent="0.25"/>
    <row r="616" s="257" customFormat="1" x14ac:dyDescent="0.25"/>
    <row r="617" s="257" customFormat="1" x14ac:dyDescent="0.25"/>
    <row r="618" s="257" customFormat="1" x14ac:dyDescent="0.25"/>
    <row r="619" s="257" customFormat="1" x14ac:dyDescent="0.25"/>
    <row r="620" s="257" customFormat="1" x14ac:dyDescent="0.25"/>
    <row r="621" s="257" customFormat="1" x14ac:dyDescent="0.25"/>
    <row r="622" s="257" customFormat="1" x14ac:dyDescent="0.25"/>
    <row r="623" s="257" customFormat="1" x14ac:dyDescent="0.25"/>
    <row r="624" s="257" customFormat="1" x14ac:dyDescent="0.25"/>
    <row r="625" s="257" customFormat="1" x14ac:dyDescent="0.25"/>
    <row r="626" s="257" customFormat="1" x14ac:dyDescent="0.25"/>
    <row r="627" s="257" customFormat="1" x14ac:dyDescent="0.25"/>
    <row r="628" s="257" customFormat="1" x14ac:dyDescent="0.25"/>
    <row r="629" s="257" customFormat="1" x14ac:dyDescent="0.25"/>
    <row r="630" s="257" customFormat="1" x14ac:dyDescent="0.25"/>
    <row r="631" s="257" customFormat="1" x14ac:dyDescent="0.25"/>
    <row r="632" s="257" customFormat="1" x14ac:dyDescent="0.25"/>
    <row r="633" s="257" customFormat="1" x14ac:dyDescent="0.25"/>
    <row r="634" s="257" customFormat="1" x14ac:dyDescent="0.25"/>
    <row r="635" s="257" customFormat="1" x14ac:dyDescent="0.25"/>
    <row r="636" s="257" customFormat="1" x14ac:dyDescent="0.25"/>
    <row r="637" s="257" customFormat="1" x14ac:dyDescent="0.25"/>
    <row r="638" s="257" customFormat="1" x14ac:dyDescent="0.25"/>
    <row r="639" s="257" customFormat="1" x14ac:dyDescent="0.25"/>
    <row r="640" s="257" customFormat="1" x14ac:dyDescent="0.25"/>
    <row r="641" s="257" customFormat="1" x14ac:dyDescent="0.25"/>
    <row r="642" s="257" customFormat="1" x14ac:dyDescent="0.25"/>
    <row r="643" s="257" customFormat="1" x14ac:dyDescent="0.25"/>
    <row r="644" s="257" customFormat="1" x14ac:dyDescent="0.25"/>
    <row r="645" s="257" customFormat="1" x14ac:dyDescent="0.25"/>
    <row r="646" s="257" customFormat="1" x14ac:dyDescent="0.25"/>
    <row r="647" s="257" customFormat="1" x14ac:dyDescent="0.25"/>
    <row r="648" s="257" customFormat="1" x14ac:dyDescent="0.25"/>
    <row r="649" s="257" customFormat="1" x14ac:dyDescent="0.25"/>
    <row r="650" s="257" customFormat="1" x14ac:dyDescent="0.25"/>
    <row r="651" s="257" customFormat="1" x14ac:dyDescent="0.25"/>
    <row r="652" s="257" customFormat="1" x14ac:dyDescent="0.25"/>
    <row r="653" s="257" customFormat="1" x14ac:dyDescent="0.25"/>
    <row r="654" s="257" customFormat="1" x14ac:dyDescent="0.25"/>
    <row r="655" s="257" customFormat="1" x14ac:dyDescent="0.25"/>
    <row r="656" s="257" customFormat="1" x14ac:dyDescent="0.25"/>
    <row r="657" s="257" customFormat="1" x14ac:dyDescent="0.25"/>
    <row r="658" s="257" customFormat="1" x14ac:dyDescent="0.25"/>
    <row r="659" s="257" customFormat="1" x14ac:dyDescent="0.25"/>
    <row r="660" s="257" customFormat="1" x14ac:dyDescent="0.25"/>
    <row r="661" s="257" customFormat="1" x14ac:dyDescent="0.25"/>
    <row r="662" s="257" customFormat="1" x14ac:dyDescent="0.25"/>
    <row r="663" s="257" customFormat="1" x14ac:dyDescent="0.25"/>
    <row r="664" s="257" customFormat="1" x14ac:dyDescent="0.25"/>
    <row r="665" s="257" customFormat="1" x14ac:dyDescent="0.25"/>
    <row r="666" s="257" customFormat="1" x14ac:dyDescent="0.25"/>
    <row r="667" s="257" customFormat="1" x14ac:dyDescent="0.25"/>
    <row r="668" s="257" customFormat="1" x14ac:dyDescent="0.25"/>
    <row r="669" s="257" customFormat="1" x14ac:dyDescent="0.25"/>
    <row r="670" s="257" customFormat="1" x14ac:dyDescent="0.25"/>
    <row r="671" s="257" customFormat="1" x14ac:dyDescent="0.25"/>
    <row r="672" s="257" customFormat="1" x14ac:dyDescent="0.25"/>
    <row r="673" s="257" customFormat="1" x14ac:dyDescent="0.25"/>
    <row r="674" s="257" customFormat="1" x14ac:dyDescent="0.25"/>
    <row r="675" s="257" customFormat="1" x14ac:dyDescent="0.25"/>
    <row r="676" s="257" customFormat="1" x14ac:dyDescent="0.25"/>
    <row r="677" s="257" customFormat="1" x14ac:dyDescent="0.25"/>
    <row r="678" s="257" customFormat="1" x14ac:dyDescent="0.25"/>
    <row r="679" s="257" customFormat="1" x14ac:dyDescent="0.25"/>
    <row r="680" s="257" customFormat="1" x14ac:dyDescent="0.25"/>
    <row r="681" s="257" customFormat="1" x14ac:dyDescent="0.25"/>
    <row r="682" s="257" customFormat="1" x14ac:dyDescent="0.25"/>
    <row r="683" s="257" customFormat="1" x14ac:dyDescent="0.25"/>
    <row r="684" s="257" customFormat="1" x14ac:dyDescent="0.25"/>
    <row r="685" s="257" customFormat="1" x14ac:dyDescent="0.25"/>
    <row r="686" s="257" customFormat="1" x14ac:dyDescent="0.25"/>
    <row r="687" s="257" customFormat="1" x14ac:dyDescent="0.25"/>
    <row r="688" s="257" customFormat="1" x14ac:dyDescent="0.25"/>
    <row r="689" s="257" customFormat="1" x14ac:dyDescent="0.25"/>
    <row r="690" s="257" customFormat="1" x14ac:dyDescent="0.25"/>
    <row r="691" s="257" customFormat="1" x14ac:dyDescent="0.25"/>
    <row r="692" s="257" customFormat="1" x14ac:dyDescent="0.25"/>
    <row r="693" s="257" customFormat="1" x14ac:dyDescent="0.25"/>
    <row r="694" s="257" customFormat="1" x14ac:dyDescent="0.25"/>
    <row r="695" s="257" customFormat="1" x14ac:dyDescent="0.25"/>
    <row r="696" s="257" customFormat="1" x14ac:dyDescent="0.25"/>
    <row r="697" s="257" customFormat="1" x14ac:dyDescent="0.25"/>
    <row r="698" s="257" customFormat="1" x14ac:dyDescent="0.25"/>
    <row r="699" s="257" customFormat="1" x14ac:dyDescent="0.25"/>
    <row r="700" s="257" customFormat="1" x14ac:dyDescent="0.25"/>
    <row r="701" s="257" customFormat="1" x14ac:dyDescent="0.25"/>
    <row r="702" s="257" customFormat="1" x14ac:dyDescent="0.25"/>
    <row r="703" s="257" customFormat="1" x14ac:dyDescent="0.25"/>
    <row r="704" s="257" customFormat="1" x14ac:dyDescent="0.25"/>
    <row r="705" s="257" customFormat="1" x14ac:dyDescent="0.25"/>
    <row r="706" s="257" customFormat="1" x14ac:dyDescent="0.25"/>
    <row r="707" s="257" customFormat="1" x14ac:dyDescent="0.25"/>
    <row r="708" s="257" customFormat="1" x14ac:dyDescent="0.25"/>
    <row r="709" s="257" customFormat="1" x14ac:dyDescent="0.25"/>
    <row r="710" s="257" customFormat="1" x14ac:dyDescent="0.25"/>
    <row r="711" s="257" customFormat="1" x14ac:dyDescent="0.25"/>
    <row r="712" s="257" customFormat="1" x14ac:dyDescent="0.25"/>
    <row r="713" s="257" customFormat="1" x14ac:dyDescent="0.25"/>
    <row r="714" s="257" customFormat="1" x14ac:dyDescent="0.25"/>
    <row r="715" s="257" customFormat="1" x14ac:dyDescent="0.25"/>
    <row r="716" s="257" customFormat="1" x14ac:dyDescent="0.25"/>
    <row r="717" s="257" customFormat="1" x14ac:dyDescent="0.25"/>
    <row r="718" s="257" customFormat="1" x14ac:dyDescent="0.25"/>
    <row r="719" s="257" customFormat="1" x14ac:dyDescent="0.25"/>
    <row r="720" s="257" customFormat="1" x14ac:dyDescent="0.25"/>
    <row r="721" s="257" customFormat="1" x14ac:dyDescent="0.25"/>
    <row r="722" s="257" customFormat="1" x14ac:dyDescent="0.25"/>
    <row r="723" s="257" customFormat="1" x14ac:dyDescent="0.25"/>
    <row r="724" s="257" customFormat="1" x14ac:dyDescent="0.25"/>
    <row r="725" s="257" customFormat="1" x14ac:dyDescent="0.25"/>
    <row r="726" s="257" customFormat="1" x14ac:dyDescent="0.25"/>
    <row r="727" s="257" customFormat="1" x14ac:dyDescent="0.25"/>
    <row r="728" s="257" customFormat="1" x14ac:dyDescent="0.25"/>
    <row r="729" s="257" customFormat="1" x14ac:dyDescent="0.25"/>
    <row r="730" s="257" customFormat="1" x14ac:dyDescent="0.25"/>
    <row r="731" s="257" customFormat="1" x14ac:dyDescent="0.25"/>
    <row r="732" s="257" customFormat="1" x14ac:dyDescent="0.25"/>
    <row r="733" s="257" customFormat="1" x14ac:dyDescent="0.25"/>
    <row r="734" s="257" customFormat="1" x14ac:dyDescent="0.25"/>
    <row r="735" s="257" customFormat="1" x14ac:dyDescent="0.25"/>
    <row r="736" s="257" customFormat="1" x14ac:dyDescent="0.25"/>
    <row r="737" s="257" customFormat="1" x14ac:dyDescent="0.25"/>
    <row r="738" s="257" customFormat="1" x14ac:dyDescent="0.25"/>
    <row r="739" s="257" customFormat="1" x14ac:dyDescent="0.25"/>
    <row r="740" s="257" customFormat="1" x14ac:dyDescent="0.25"/>
    <row r="741" s="257" customFormat="1" x14ac:dyDescent="0.25"/>
    <row r="742" s="257" customFormat="1" x14ac:dyDescent="0.25"/>
    <row r="743" s="257" customFormat="1" x14ac:dyDescent="0.25"/>
    <row r="744" s="257" customFormat="1" x14ac:dyDescent="0.25"/>
    <row r="745" s="257" customFormat="1" x14ac:dyDescent="0.25"/>
    <row r="746" s="257" customFormat="1" x14ac:dyDescent="0.25"/>
    <row r="747" s="257" customFormat="1" x14ac:dyDescent="0.25"/>
    <row r="748" s="257" customFormat="1" x14ac:dyDescent="0.25"/>
    <row r="749" s="257" customFormat="1" x14ac:dyDescent="0.25"/>
    <row r="750" s="257" customFormat="1" x14ac:dyDescent="0.25"/>
    <row r="751" s="257" customFormat="1" x14ac:dyDescent="0.25"/>
    <row r="752" s="257" customFormat="1" x14ac:dyDescent="0.25"/>
    <row r="753" s="257" customFormat="1" x14ac:dyDescent="0.25"/>
    <row r="754" s="257" customFormat="1" x14ac:dyDescent="0.25"/>
    <row r="755" s="257" customFormat="1" x14ac:dyDescent="0.25"/>
    <row r="756" s="257" customFormat="1" x14ac:dyDescent="0.25"/>
    <row r="757" s="257" customFormat="1" x14ac:dyDescent="0.25"/>
    <row r="758" s="257" customFormat="1" x14ac:dyDescent="0.25"/>
    <row r="759" s="257" customFormat="1" x14ac:dyDescent="0.25"/>
    <row r="760" s="257" customFormat="1" x14ac:dyDescent="0.25"/>
    <row r="761" s="257" customFormat="1" x14ac:dyDescent="0.25"/>
    <row r="762" s="257" customFormat="1" x14ac:dyDescent="0.25"/>
    <row r="763" s="257" customFormat="1" x14ac:dyDescent="0.25"/>
    <row r="764" s="257" customFormat="1" x14ac:dyDescent="0.25"/>
    <row r="765" s="257" customFormat="1" x14ac:dyDescent="0.25"/>
    <row r="766" s="257" customFormat="1" x14ac:dyDescent="0.25"/>
    <row r="767" s="257" customFormat="1" x14ac:dyDescent="0.25"/>
    <row r="768" s="257" customFormat="1" x14ac:dyDescent="0.25"/>
    <row r="769" s="257" customFormat="1" x14ac:dyDescent="0.25"/>
    <row r="770" s="257" customFormat="1" x14ac:dyDescent="0.25"/>
    <row r="771" s="257" customFormat="1" x14ac:dyDescent="0.25"/>
    <row r="772" s="257" customFormat="1" x14ac:dyDescent="0.25"/>
    <row r="773" s="257" customFormat="1" x14ac:dyDescent="0.25"/>
    <row r="774" s="257" customFormat="1" x14ac:dyDescent="0.25"/>
    <row r="775" s="257" customFormat="1" x14ac:dyDescent="0.25"/>
    <row r="776" s="257" customFormat="1" x14ac:dyDescent="0.25"/>
    <row r="777" s="257" customFormat="1" x14ac:dyDescent="0.25"/>
    <row r="778" s="257" customFormat="1" x14ac:dyDescent="0.25"/>
    <row r="779" s="257" customFormat="1" x14ac:dyDescent="0.25"/>
    <row r="780" s="257" customFormat="1" x14ac:dyDescent="0.25"/>
    <row r="781" s="257" customFormat="1" x14ac:dyDescent="0.25"/>
    <row r="782" s="257" customFormat="1" x14ac:dyDescent="0.25"/>
    <row r="783" s="257" customFormat="1" x14ac:dyDescent="0.25"/>
    <row r="784" s="257" customFormat="1" x14ac:dyDescent="0.25"/>
    <row r="785" s="257" customFormat="1" x14ac:dyDescent="0.25"/>
    <row r="786" s="257" customFormat="1" x14ac:dyDescent="0.25"/>
    <row r="787" s="257" customFormat="1" x14ac:dyDescent="0.25"/>
    <row r="788" s="257" customFormat="1" x14ac:dyDescent="0.25"/>
    <row r="789" s="257" customFormat="1" x14ac:dyDescent="0.25"/>
    <row r="790" s="257" customFormat="1" x14ac:dyDescent="0.25"/>
    <row r="791" s="257" customFormat="1" x14ac:dyDescent="0.25"/>
    <row r="792" s="257" customFormat="1" x14ac:dyDescent="0.25"/>
    <row r="793" s="257" customFormat="1" x14ac:dyDescent="0.25"/>
    <row r="794" s="257" customFormat="1" x14ac:dyDescent="0.25"/>
    <row r="795" s="257" customFormat="1" x14ac:dyDescent="0.25"/>
    <row r="796" s="257" customFormat="1" x14ac:dyDescent="0.25"/>
    <row r="797" s="257" customFormat="1" x14ac:dyDescent="0.25"/>
    <row r="798" s="257" customFormat="1" x14ac:dyDescent="0.25"/>
    <row r="799" s="257" customFormat="1" x14ac:dyDescent="0.25"/>
    <row r="800" s="257" customFormat="1" x14ac:dyDescent="0.25"/>
    <row r="801" s="257" customFormat="1" x14ac:dyDescent="0.25"/>
    <row r="802" s="257" customFormat="1" x14ac:dyDescent="0.25"/>
    <row r="803" s="257" customFormat="1" x14ac:dyDescent="0.25"/>
    <row r="804" s="257" customFormat="1" x14ac:dyDescent="0.25"/>
    <row r="805" s="257" customFormat="1" x14ac:dyDescent="0.25"/>
    <row r="806" s="257" customFormat="1" x14ac:dyDescent="0.25"/>
    <row r="807" s="257" customFormat="1" x14ac:dyDescent="0.25"/>
    <row r="808" s="257" customFormat="1" x14ac:dyDescent="0.25"/>
    <row r="809" s="257" customFormat="1" x14ac:dyDescent="0.25"/>
    <row r="810" s="257" customFormat="1" x14ac:dyDescent="0.25"/>
    <row r="811" s="257" customFormat="1" x14ac:dyDescent="0.25"/>
    <row r="812" s="257" customFormat="1" x14ac:dyDescent="0.25"/>
    <row r="813" s="257" customFormat="1" x14ac:dyDescent="0.25"/>
    <row r="814" s="257" customFormat="1" x14ac:dyDescent="0.25"/>
    <row r="815" s="257" customFormat="1" x14ac:dyDescent="0.25"/>
    <row r="816" s="257" customFormat="1" x14ac:dyDescent="0.25"/>
    <row r="817" s="257" customFormat="1" x14ac:dyDescent="0.25"/>
    <row r="818" s="257" customFormat="1" x14ac:dyDescent="0.25"/>
    <row r="819" s="257" customFormat="1" x14ac:dyDescent="0.25"/>
    <row r="820" s="257" customFormat="1" x14ac:dyDescent="0.25"/>
    <row r="821" s="257" customFormat="1" x14ac:dyDescent="0.25"/>
    <row r="822" s="257" customFormat="1" x14ac:dyDescent="0.25"/>
    <row r="823" s="257" customFormat="1" x14ac:dyDescent="0.25"/>
    <row r="824" s="257" customFormat="1" x14ac:dyDescent="0.25"/>
    <row r="825" s="257" customFormat="1" x14ac:dyDescent="0.25"/>
    <row r="826" s="257" customFormat="1" x14ac:dyDescent="0.25"/>
    <row r="827" s="257" customFormat="1" x14ac:dyDescent="0.25"/>
    <row r="828" s="257" customFormat="1" x14ac:dyDescent="0.25"/>
    <row r="829" s="257" customFormat="1" x14ac:dyDescent="0.25"/>
    <row r="830" s="257" customFormat="1" x14ac:dyDescent="0.25"/>
    <row r="831" s="257" customFormat="1" x14ac:dyDescent="0.25"/>
    <row r="832" s="257" customFormat="1" x14ac:dyDescent="0.25"/>
    <row r="833" s="257" customFormat="1" x14ac:dyDescent="0.25"/>
    <row r="834" s="257" customFormat="1" x14ac:dyDescent="0.25"/>
    <row r="835" s="257" customFormat="1" x14ac:dyDescent="0.25"/>
    <row r="836" s="257" customFormat="1" x14ac:dyDescent="0.25"/>
    <row r="837" s="257" customFormat="1" x14ac:dyDescent="0.25"/>
    <row r="838" s="257" customFormat="1" x14ac:dyDescent="0.25"/>
    <row r="839" s="257" customFormat="1" x14ac:dyDescent="0.25"/>
    <row r="840" s="257" customFormat="1" x14ac:dyDescent="0.25"/>
    <row r="841" s="257" customFormat="1" x14ac:dyDescent="0.25"/>
    <row r="842" s="257" customFormat="1" x14ac:dyDescent="0.25"/>
    <row r="843" s="257" customFormat="1" x14ac:dyDescent="0.25"/>
    <row r="844" s="257" customFormat="1" x14ac:dyDescent="0.25"/>
    <row r="845" s="257" customFormat="1" x14ac:dyDescent="0.25"/>
    <row r="846" s="257" customFormat="1" x14ac:dyDescent="0.25"/>
    <row r="847" s="257" customFormat="1" x14ac:dyDescent="0.25"/>
    <row r="848" s="257" customFormat="1" x14ac:dyDescent="0.25"/>
    <row r="849" s="257" customFormat="1" x14ac:dyDescent="0.25"/>
    <row r="850" s="257" customFormat="1" x14ac:dyDescent="0.25"/>
    <row r="851" s="257" customFormat="1" x14ac:dyDescent="0.25"/>
    <row r="852" s="257" customFormat="1" x14ac:dyDescent="0.25"/>
    <row r="853" s="257" customFormat="1" x14ac:dyDescent="0.25"/>
    <row r="854" s="257" customFormat="1" x14ac:dyDescent="0.25"/>
    <row r="855" s="257" customFormat="1" x14ac:dyDescent="0.25"/>
    <row r="856" s="257" customFormat="1" x14ac:dyDescent="0.25"/>
    <row r="857" s="257" customFormat="1" x14ac:dyDescent="0.25"/>
    <row r="858" s="257" customFormat="1" x14ac:dyDescent="0.25"/>
    <row r="859" s="257" customFormat="1" x14ac:dyDescent="0.25"/>
    <row r="860" s="257" customFormat="1" x14ac:dyDescent="0.25"/>
    <row r="861" s="257" customFormat="1" x14ac:dyDescent="0.25"/>
    <row r="862" s="257" customFormat="1" x14ac:dyDescent="0.25"/>
    <row r="863" s="257" customFormat="1" x14ac:dyDescent="0.25"/>
    <row r="864" s="257" customFormat="1" x14ac:dyDescent="0.25"/>
    <row r="865" s="257" customFormat="1" x14ac:dyDescent="0.25"/>
    <row r="866" s="257" customFormat="1" x14ac:dyDescent="0.25"/>
    <row r="867" s="257" customFormat="1" x14ac:dyDescent="0.25"/>
    <row r="868" s="257" customFormat="1" x14ac:dyDescent="0.25"/>
    <row r="869" s="257" customFormat="1" x14ac:dyDescent="0.25"/>
    <row r="870" s="257" customFormat="1" x14ac:dyDescent="0.25"/>
    <row r="871" s="257" customFormat="1" x14ac:dyDescent="0.25"/>
    <row r="872" s="257" customFormat="1" x14ac:dyDescent="0.25"/>
    <row r="873" s="257" customFormat="1" x14ac:dyDescent="0.25"/>
    <row r="874" s="257" customFormat="1" x14ac:dyDescent="0.25"/>
    <row r="875" s="257" customFormat="1" x14ac:dyDescent="0.25"/>
    <row r="876" s="257" customFormat="1" x14ac:dyDescent="0.25"/>
    <row r="877" s="257" customFormat="1" x14ac:dyDescent="0.25"/>
    <row r="878" s="257" customFormat="1" x14ac:dyDescent="0.25"/>
    <row r="879" s="257" customFormat="1" x14ac:dyDescent="0.25"/>
    <row r="880" s="257" customFormat="1" x14ac:dyDescent="0.25"/>
    <row r="881" s="257" customFormat="1" x14ac:dyDescent="0.25"/>
    <row r="882" s="257" customFormat="1" x14ac:dyDescent="0.25"/>
    <row r="883" s="257" customFormat="1" x14ac:dyDescent="0.25"/>
    <row r="884" s="257" customFormat="1" x14ac:dyDescent="0.25"/>
    <row r="885" s="257" customFormat="1" x14ac:dyDescent="0.25"/>
    <row r="886" s="257" customFormat="1" x14ac:dyDescent="0.25"/>
    <row r="887" s="257" customFormat="1" x14ac:dyDescent="0.25"/>
    <row r="888" s="257" customFormat="1" x14ac:dyDescent="0.25"/>
    <row r="889" s="257" customFormat="1" x14ac:dyDescent="0.25"/>
    <row r="890" s="257" customFormat="1" x14ac:dyDescent="0.25"/>
    <row r="891" s="257" customFormat="1" x14ac:dyDescent="0.25"/>
    <row r="892" s="257" customFormat="1" x14ac:dyDescent="0.25"/>
    <row r="893" s="257" customFormat="1" x14ac:dyDescent="0.25"/>
    <row r="894" s="257" customFormat="1" x14ac:dyDescent="0.25"/>
    <row r="895" s="257" customFormat="1" x14ac:dyDescent="0.25"/>
    <row r="896" s="257" customFormat="1" x14ac:dyDescent="0.25"/>
    <row r="897" s="257" customFormat="1" x14ac:dyDescent="0.25"/>
    <row r="898" s="257" customFormat="1" x14ac:dyDescent="0.25"/>
    <row r="899" s="257" customFormat="1" x14ac:dyDescent="0.25"/>
    <row r="900" s="257" customFormat="1" x14ac:dyDescent="0.25"/>
    <row r="901" s="257" customFormat="1" x14ac:dyDescent="0.25"/>
    <row r="902" s="257" customFormat="1" x14ac:dyDescent="0.25"/>
    <row r="903" s="257" customFormat="1" x14ac:dyDescent="0.25"/>
    <row r="904" s="257" customFormat="1" x14ac:dyDescent="0.25"/>
    <row r="905" s="257" customFormat="1" x14ac:dyDescent="0.25"/>
    <row r="906" s="257" customFormat="1" x14ac:dyDescent="0.25"/>
    <row r="907" s="257" customFormat="1" x14ac:dyDescent="0.25"/>
    <row r="908" s="257" customFormat="1" x14ac:dyDescent="0.25"/>
    <row r="909" s="257" customFormat="1" x14ac:dyDescent="0.25"/>
    <row r="910" s="257" customFormat="1" x14ac:dyDescent="0.25"/>
    <row r="911" s="257" customFormat="1" x14ac:dyDescent="0.25"/>
    <row r="912" s="257" customFormat="1" x14ac:dyDescent="0.25"/>
    <row r="913" s="257" customFormat="1" x14ac:dyDescent="0.25"/>
    <row r="914" s="257" customFormat="1" x14ac:dyDescent="0.25"/>
    <row r="915" s="257" customFormat="1" x14ac:dyDescent="0.25"/>
    <row r="916" s="257" customFormat="1" x14ac:dyDescent="0.25"/>
    <row r="917" s="257" customFormat="1" x14ac:dyDescent="0.25"/>
    <row r="918" s="257" customFormat="1" x14ac:dyDescent="0.25"/>
    <row r="919" s="257" customFormat="1" x14ac:dyDescent="0.25"/>
    <row r="920" s="257" customFormat="1" x14ac:dyDescent="0.25"/>
    <row r="921" s="257" customFormat="1" x14ac:dyDescent="0.25"/>
    <row r="922" s="257" customFormat="1" x14ac:dyDescent="0.25"/>
    <row r="923" s="257" customFormat="1" x14ac:dyDescent="0.25"/>
    <row r="924" s="257" customFormat="1" x14ac:dyDescent="0.25"/>
    <row r="925" s="257" customFormat="1" x14ac:dyDescent="0.25"/>
    <row r="926" s="257" customFormat="1" x14ac:dyDescent="0.25"/>
    <row r="927" s="257" customFormat="1" x14ac:dyDescent="0.25"/>
    <row r="928" s="257" customFormat="1" x14ac:dyDescent="0.25"/>
    <row r="929" s="257" customFormat="1" x14ac:dyDescent="0.25"/>
    <row r="930" s="257" customFormat="1" x14ac:dyDescent="0.25"/>
    <row r="931" s="257" customFormat="1" x14ac:dyDescent="0.25"/>
    <row r="932" s="257" customFormat="1" x14ac:dyDescent="0.25"/>
    <row r="933" s="257" customFormat="1" x14ac:dyDescent="0.25"/>
    <row r="934" s="257" customFormat="1" x14ac:dyDescent="0.25"/>
    <row r="935" s="257" customFormat="1" x14ac:dyDescent="0.25"/>
    <row r="936" s="257" customFormat="1" x14ac:dyDescent="0.25"/>
    <row r="937" s="257" customFormat="1" x14ac:dyDescent="0.25"/>
    <row r="938" s="257" customFormat="1" x14ac:dyDescent="0.25"/>
    <row r="939" s="257" customFormat="1" x14ac:dyDescent="0.25"/>
    <row r="940" s="257" customFormat="1" x14ac:dyDescent="0.25"/>
    <row r="941" s="257" customFormat="1" x14ac:dyDescent="0.25"/>
    <row r="942" s="257" customFormat="1" x14ac:dyDescent="0.25"/>
    <row r="943" s="257" customFormat="1" x14ac:dyDescent="0.25"/>
    <row r="944" s="257" customFormat="1" x14ac:dyDescent="0.25"/>
    <row r="945" s="257" customFormat="1" x14ac:dyDescent="0.25"/>
    <row r="946" s="257" customFormat="1" x14ac:dyDescent="0.25"/>
    <row r="947" s="257" customFormat="1" x14ac:dyDescent="0.25"/>
    <row r="948" s="257" customFormat="1" x14ac:dyDescent="0.25"/>
    <row r="949" s="257" customFormat="1" x14ac:dyDescent="0.25"/>
    <row r="950" s="257" customFormat="1" x14ac:dyDescent="0.25"/>
    <row r="951" s="257" customFormat="1" x14ac:dyDescent="0.25"/>
    <row r="952" s="257" customFormat="1" x14ac:dyDescent="0.25"/>
    <row r="953" s="257" customFormat="1" x14ac:dyDescent="0.25"/>
    <row r="954" s="257" customFormat="1" x14ac:dyDescent="0.25"/>
    <row r="955" s="257" customFormat="1" x14ac:dyDescent="0.25"/>
    <row r="956" s="257" customFormat="1" x14ac:dyDescent="0.25"/>
    <row r="957" s="257" customFormat="1" x14ac:dyDescent="0.25"/>
    <row r="958" s="257" customFormat="1" x14ac:dyDescent="0.25"/>
    <row r="959" s="257" customFormat="1" x14ac:dyDescent="0.25"/>
    <row r="960" s="257" customFormat="1" x14ac:dyDescent="0.25"/>
    <row r="961" s="257" customFormat="1" x14ac:dyDescent="0.25"/>
    <row r="962" s="257" customFormat="1" x14ac:dyDescent="0.25"/>
    <row r="963" s="257" customFormat="1" x14ac:dyDescent="0.25"/>
    <row r="964" s="257" customFormat="1" x14ac:dyDescent="0.25"/>
    <row r="965" s="257" customFormat="1" x14ac:dyDescent="0.25"/>
    <row r="966" s="257" customFormat="1" x14ac:dyDescent="0.25"/>
    <row r="967" s="257" customFormat="1" x14ac:dyDescent="0.25"/>
    <row r="968" s="257" customFormat="1" x14ac:dyDescent="0.25"/>
    <row r="969" s="257" customFormat="1" x14ac:dyDescent="0.25"/>
    <row r="970" s="257" customFormat="1" x14ac:dyDescent="0.25"/>
    <row r="971" s="257" customFormat="1" x14ac:dyDescent="0.25"/>
    <row r="972" s="257" customFormat="1" x14ac:dyDescent="0.25"/>
    <row r="973" s="257" customFormat="1" x14ac:dyDescent="0.25"/>
    <row r="974" s="257" customFormat="1" x14ac:dyDescent="0.25"/>
    <row r="975" s="257" customFormat="1" x14ac:dyDescent="0.25"/>
    <row r="976" s="257" customFormat="1" x14ac:dyDescent="0.25"/>
    <row r="977" s="257" customFormat="1" x14ac:dyDescent="0.25"/>
    <row r="978" s="257" customFormat="1" x14ac:dyDescent="0.25"/>
    <row r="979" s="257" customFormat="1" x14ac:dyDescent="0.25"/>
    <row r="980" s="257" customFormat="1" x14ac:dyDescent="0.25"/>
    <row r="981" s="257" customFormat="1" x14ac:dyDescent="0.25"/>
    <row r="982" s="257" customFormat="1" x14ac:dyDescent="0.25"/>
    <row r="983" s="257" customFormat="1" x14ac:dyDescent="0.25"/>
    <row r="984" s="257" customFormat="1" x14ac:dyDescent="0.25"/>
    <row r="985" s="257" customFormat="1" x14ac:dyDescent="0.25"/>
    <row r="986" s="257" customFormat="1" x14ac:dyDescent="0.25"/>
    <row r="987" s="257" customFormat="1" x14ac:dyDescent="0.25"/>
    <row r="988" s="257" customFormat="1" x14ac:dyDescent="0.25"/>
    <row r="989" s="257" customFormat="1" x14ac:dyDescent="0.25"/>
    <row r="990" s="257" customFormat="1" x14ac:dyDescent="0.25"/>
    <row r="991" s="257" customFormat="1" x14ac:dyDescent="0.25"/>
    <row r="992" s="257" customFormat="1" x14ac:dyDescent="0.25"/>
    <row r="993" s="257" customFormat="1" x14ac:dyDescent="0.25"/>
    <row r="994" s="257" customFormat="1" x14ac:dyDescent="0.25"/>
    <row r="995" s="257" customFormat="1" x14ac:dyDescent="0.25"/>
    <row r="996" s="257" customFormat="1" x14ac:dyDescent="0.25"/>
    <row r="997" s="257" customFormat="1" x14ac:dyDescent="0.25"/>
    <row r="998" s="257" customFormat="1" x14ac:dyDescent="0.25"/>
    <row r="999" s="257" customFormat="1" x14ac:dyDescent="0.25"/>
    <row r="1000" s="257" customFormat="1" x14ac:dyDescent="0.25"/>
    <row r="1001" s="257" customFormat="1" x14ac:dyDescent="0.25"/>
    <row r="1002" s="257" customFormat="1" x14ac:dyDescent="0.25"/>
    <row r="1003" s="257" customFormat="1" x14ac:dyDescent="0.25"/>
    <row r="1004" s="257" customFormat="1" x14ac:dyDescent="0.25"/>
    <row r="1005" s="257" customFormat="1" x14ac:dyDescent="0.25"/>
    <row r="1006" s="257" customFormat="1" x14ac:dyDescent="0.25"/>
    <row r="1007" s="257" customFormat="1" x14ac:dyDescent="0.25"/>
    <row r="1008" s="257" customFormat="1" x14ac:dyDescent="0.25"/>
    <row r="1009" s="257" customFormat="1" x14ac:dyDescent="0.25"/>
    <row r="1010" s="257" customFormat="1" x14ac:dyDescent="0.25"/>
    <row r="1011" s="257" customFormat="1" x14ac:dyDescent="0.25"/>
    <row r="1012" s="257" customFormat="1" x14ac:dyDescent="0.25"/>
    <row r="1013" s="257" customFormat="1" x14ac:dyDescent="0.25"/>
    <row r="1014" s="257" customFormat="1" x14ac:dyDescent="0.25"/>
    <row r="1015" s="257" customFormat="1" x14ac:dyDescent="0.25"/>
    <row r="1016" s="257" customFormat="1" x14ac:dyDescent="0.25"/>
    <row r="1017" s="257" customFormat="1" x14ac:dyDescent="0.25"/>
    <row r="1018" s="257" customFormat="1" x14ac:dyDescent="0.25"/>
    <row r="1019" s="257" customFormat="1" x14ac:dyDescent="0.25"/>
    <row r="1020" s="257" customFormat="1" x14ac:dyDescent="0.25"/>
    <row r="1021" s="257" customFormat="1" x14ac:dyDescent="0.25"/>
    <row r="1022" s="257" customFormat="1" x14ac:dyDescent="0.25"/>
    <row r="1023" s="257" customFormat="1" x14ac:dyDescent="0.25"/>
    <row r="1024" s="257" customFormat="1" x14ac:dyDescent="0.25"/>
    <row r="1025" s="257" customFormat="1" x14ac:dyDescent="0.25"/>
    <row r="1026" s="257" customFormat="1" x14ac:dyDescent="0.25"/>
    <row r="1027" s="257" customFormat="1" x14ac:dyDescent="0.25"/>
    <row r="1028" s="257" customFormat="1" x14ac:dyDescent="0.25"/>
    <row r="1029" s="257" customFormat="1" x14ac:dyDescent="0.25"/>
    <row r="1030" s="257" customFormat="1" x14ac:dyDescent="0.25"/>
    <row r="1031" s="257" customFormat="1" x14ac:dyDescent="0.25"/>
    <row r="1032" s="257" customFormat="1" x14ac:dyDescent="0.25"/>
    <row r="1033" s="257" customFormat="1" x14ac:dyDescent="0.25"/>
    <row r="1034" s="257" customFormat="1" x14ac:dyDescent="0.25"/>
    <row r="1035" s="257" customFormat="1" x14ac:dyDescent="0.25"/>
    <row r="1036" s="257" customFormat="1" x14ac:dyDescent="0.25"/>
    <row r="1037" s="257" customFormat="1" x14ac:dyDescent="0.25"/>
    <row r="1038" s="257" customFormat="1" x14ac:dyDescent="0.25"/>
    <row r="1039" s="257" customFormat="1" x14ac:dyDescent="0.25"/>
    <row r="1040" s="257" customFormat="1" x14ac:dyDescent="0.25"/>
    <row r="1041" s="257" customFormat="1" x14ac:dyDescent="0.25"/>
    <row r="1042" s="257" customFormat="1" x14ac:dyDescent="0.25"/>
    <row r="1043" s="257" customFormat="1" x14ac:dyDescent="0.25"/>
    <row r="1044" s="257" customFormat="1" x14ac:dyDescent="0.25"/>
    <row r="1045" s="257" customFormat="1" x14ac:dyDescent="0.25"/>
    <row r="1046" s="257" customFormat="1" x14ac:dyDescent="0.25"/>
    <row r="1047" s="257" customFormat="1" x14ac:dyDescent="0.25"/>
    <row r="1048" s="257" customFormat="1" x14ac:dyDescent="0.25"/>
    <row r="1049" s="257" customFormat="1" x14ac:dyDescent="0.25"/>
    <row r="1050" s="257" customFormat="1" x14ac:dyDescent="0.25"/>
    <row r="1051" s="257" customFormat="1" x14ac:dyDescent="0.25"/>
    <row r="1052" s="257" customFormat="1" x14ac:dyDescent="0.25"/>
    <row r="1053" s="257" customFormat="1" x14ac:dyDescent="0.25"/>
    <row r="1054" s="257" customFormat="1" x14ac:dyDescent="0.25"/>
    <row r="1055" s="257" customFormat="1" x14ac:dyDescent="0.25"/>
    <row r="1056" s="257" customFormat="1" x14ac:dyDescent="0.25"/>
    <row r="1057" s="257" customFormat="1" x14ac:dyDescent="0.25"/>
    <row r="1058" s="257" customFormat="1" x14ac:dyDescent="0.25"/>
    <row r="1059" s="257" customFormat="1" x14ac:dyDescent="0.25"/>
    <row r="1060" s="257" customFormat="1" x14ac:dyDescent="0.25"/>
    <row r="1061" s="257" customFormat="1" x14ac:dyDescent="0.25"/>
    <row r="1062" s="257" customFormat="1" x14ac:dyDescent="0.25"/>
    <row r="1063" s="257" customFormat="1" x14ac:dyDescent="0.25"/>
    <row r="1064" s="257" customFormat="1" x14ac:dyDescent="0.25"/>
    <row r="1065" s="257" customFormat="1" x14ac:dyDescent="0.25"/>
    <row r="1066" s="257" customFormat="1" x14ac:dyDescent="0.25"/>
    <row r="1067" s="257" customFormat="1" x14ac:dyDescent="0.25"/>
    <row r="1068" s="257" customFormat="1" x14ac:dyDescent="0.25"/>
    <row r="1069" s="257" customFormat="1" x14ac:dyDescent="0.25"/>
    <row r="1070" s="257" customFormat="1" x14ac:dyDescent="0.25"/>
    <row r="1071" s="257" customFormat="1" x14ac:dyDescent="0.25"/>
    <row r="1072" s="257" customFormat="1" x14ac:dyDescent="0.25"/>
    <row r="1073" s="257" customFormat="1" x14ac:dyDescent="0.25"/>
    <row r="1074" s="257" customFormat="1" x14ac:dyDescent="0.25"/>
    <row r="1075" s="257" customFormat="1" x14ac:dyDescent="0.25"/>
    <row r="1076" s="257" customFormat="1" x14ac:dyDescent="0.25"/>
    <row r="1077" s="257" customFormat="1" x14ac:dyDescent="0.25"/>
    <row r="1078" s="257" customFormat="1" x14ac:dyDescent="0.25"/>
    <row r="1079" s="257" customFormat="1" x14ac:dyDescent="0.25"/>
    <row r="1080" s="257" customFormat="1" x14ac:dyDescent="0.25"/>
    <row r="1081" s="257" customFormat="1" x14ac:dyDescent="0.25"/>
    <row r="1082" s="257" customFormat="1" x14ac:dyDescent="0.25"/>
    <row r="1083" s="257" customFormat="1" x14ac:dyDescent="0.25"/>
    <row r="1084" s="257" customFormat="1" x14ac:dyDescent="0.25"/>
    <row r="1085" s="257" customFormat="1" x14ac:dyDescent="0.25"/>
    <row r="1086" s="257" customFormat="1" x14ac:dyDescent="0.25"/>
    <row r="1087" s="257" customFormat="1" x14ac:dyDescent="0.25"/>
    <row r="1088" s="257" customFormat="1" x14ac:dyDescent="0.25"/>
    <row r="1089" s="257" customFormat="1" x14ac:dyDescent="0.25"/>
    <row r="1090" s="257" customFormat="1" x14ac:dyDescent="0.25"/>
    <row r="1091" s="257" customFormat="1" x14ac:dyDescent="0.25"/>
    <row r="1092" s="257" customFormat="1" x14ac:dyDescent="0.25"/>
    <row r="1093" s="257" customFormat="1" x14ac:dyDescent="0.25"/>
    <row r="1094" s="257" customFormat="1" x14ac:dyDescent="0.25"/>
    <row r="1095" s="257" customFormat="1" x14ac:dyDescent="0.25"/>
    <row r="1096" s="257" customFormat="1" x14ac:dyDescent="0.25"/>
    <row r="1097" s="257" customFormat="1" x14ac:dyDescent="0.25"/>
    <row r="1098" s="257" customFormat="1" x14ac:dyDescent="0.25"/>
    <row r="1099" s="257" customFormat="1" x14ac:dyDescent="0.25"/>
    <row r="1100" s="257" customFormat="1" x14ac:dyDescent="0.25"/>
    <row r="1101" s="257" customFormat="1" x14ac:dyDescent="0.25"/>
    <row r="1102" s="257" customFormat="1" x14ac:dyDescent="0.25"/>
    <row r="1103" s="257" customFormat="1" x14ac:dyDescent="0.25"/>
    <row r="1104" s="257" customFormat="1" x14ac:dyDescent="0.25"/>
    <row r="1105" s="257" customFormat="1" x14ac:dyDescent="0.25"/>
    <row r="1106" s="257" customFormat="1" x14ac:dyDescent="0.25"/>
    <row r="1107" s="257" customFormat="1" x14ac:dyDescent="0.25"/>
    <row r="1108" s="257" customFormat="1" x14ac:dyDescent="0.25"/>
    <row r="1109" s="257" customFormat="1" x14ac:dyDescent="0.25"/>
    <row r="1110" s="257" customFormat="1" x14ac:dyDescent="0.25"/>
    <row r="1111" s="257" customFormat="1" x14ac:dyDescent="0.25"/>
    <row r="1112" s="257" customFormat="1" x14ac:dyDescent="0.25"/>
    <row r="1113" s="257" customFormat="1" x14ac:dyDescent="0.25"/>
    <row r="1114" s="257" customFormat="1" x14ac:dyDescent="0.25"/>
    <row r="1115" s="257" customFormat="1" x14ac:dyDescent="0.25"/>
    <row r="1116" s="257" customFormat="1" x14ac:dyDescent="0.25"/>
    <row r="1117" s="257" customFormat="1" x14ac:dyDescent="0.25"/>
    <row r="1118" s="257" customFormat="1" x14ac:dyDescent="0.25"/>
    <row r="1119" s="257" customFormat="1" x14ac:dyDescent="0.25"/>
    <row r="1120" s="257" customFormat="1" x14ac:dyDescent="0.25"/>
    <row r="1121" s="257" customFormat="1" x14ac:dyDescent="0.25"/>
    <row r="1122" s="257" customFormat="1" x14ac:dyDescent="0.25"/>
    <row r="1123" s="257" customFormat="1" x14ac:dyDescent="0.25"/>
    <row r="1124" s="257" customFormat="1" x14ac:dyDescent="0.25"/>
    <row r="1125" s="257" customFormat="1" x14ac:dyDescent="0.25"/>
    <row r="1126" s="257" customFormat="1" x14ac:dyDescent="0.25"/>
    <row r="1127" s="257" customFormat="1" x14ac:dyDescent="0.25"/>
    <row r="1128" s="257" customFormat="1" x14ac:dyDescent="0.25"/>
    <row r="1129" s="257" customFormat="1" x14ac:dyDescent="0.25"/>
    <row r="1130" s="257" customFormat="1" x14ac:dyDescent="0.25"/>
    <row r="1131" s="257" customFormat="1" x14ac:dyDescent="0.25"/>
    <row r="1132" s="257" customFormat="1" x14ac:dyDescent="0.25"/>
    <row r="1133" s="257" customFormat="1" x14ac:dyDescent="0.25"/>
    <row r="1134" s="257" customFormat="1" x14ac:dyDescent="0.25"/>
    <row r="1135" s="257" customFormat="1" x14ac:dyDescent="0.25"/>
    <row r="1136" s="257" customFormat="1" x14ac:dyDescent="0.25"/>
    <row r="1137" s="257" customFormat="1" x14ac:dyDescent="0.25"/>
    <row r="1138" s="257" customFormat="1" x14ac:dyDescent="0.25"/>
    <row r="1139" s="257" customFormat="1" x14ac:dyDescent="0.25"/>
    <row r="1140" s="257" customFormat="1" x14ac:dyDescent="0.25"/>
    <row r="1141" s="257" customFormat="1" x14ac:dyDescent="0.25"/>
    <row r="1142" s="257" customFormat="1" x14ac:dyDescent="0.25"/>
    <row r="1143" s="257" customFormat="1" x14ac:dyDescent="0.25"/>
    <row r="1144" s="257" customFormat="1" x14ac:dyDescent="0.25"/>
    <row r="1145" s="257" customFormat="1" x14ac:dyDescent="0.25"/>
    <row r="1146" s="257" customFormat="1" x14ac:dyDescent="0.25"/>
    <row r="1147" s="257" customFormat="1" x14ac:dyDescent="0.25"/>
    <row r="1148" s="257" customFormat="1" x14ac:dyDescent="0.25"/>
    <row r="1149" s="257" customFormat="1" x14ac:dyDescent="0.25"/>
    <row r="1150" s="257" customFormat="1" x14ac:dyDescent="0.25"/>
    <row r="1151" s="257" customFormat="1" x14ac:dyDescent="0.25"/>
    <row r="1152" s="257" customFormat="1" x14ac:dyDescent="0.25"/>
    <row r="1153" s="257" customFormat="1" x14ac:dyDescent="0.25"/>
    <row r="1154" s="257" customFormat="1" x14ac:dyDescent="0.25"/>
    <row r="1155" s="257" customFormat="1" x14ac:dyDescent="0.25"/>
    <row r="1156" s="257" customFormat="1" x14ac:dyDescent="0.25"/>
    <row r="1157" s="257" customFormat="1" x14ac:dyDescent="0.25"/>
    <row r="1158" s="257" customFormat="1" x14ac:dyDescent="0.25"/>
    <row r="1159" s="257" customFormat="1" x14ac:dyDescent="0.25"/>
    <row r="1160" s="257" customFormat="1" x14ac:dyDescent="0.25"/>
    <row r="1161" s="257" customFormat="1" x14ac:dyDescent="0.25"/>
    <row r="1162" s="257" customFormat="1" x14ac:dyDescent="0.25"/>
    <row r="1163" s="257" customFormat="1" x14ac:dyDescent="0.25"/>
    <row r="1164" s="257" customFormat="1" x14ac:dyDescent="0.25"/>
    <row r="1165" s="257" customFormat="1" x14ac:dyDescent="0.25"/>
    <row r="1166" s="257" customFormat="1" x14ac:dyDescent="0.25"/>
    <row r="1167" s="257" customFormat="1" x14ac:dyDescent="0.25"/>
    <row r="1168" s="257" customFormat="1" x14ac:dyDescent="0.25"/>
    <row r="1169" s="257" customFormat="1" x14ac:dyDescent="0.25"/>
    <row r="1170" s="257" customFormat="1" x14ac:dyDescent="0.25"/>
    <row r="1171" s="257" customFormat="1" x14ac:dyDescent="0.25"/>
    <row r="1172" s="257" customFormat="1" x14ac:dyDescent="0.25"/>
    <row r="1173" s="257" customFormat="1" x14ac:dyDescent="0.25"/>
    <row r="1174" s="257" customFormat="1" x14ac:dyDescent="0.25"/>
    <row r="1175" s="257" customFormat="1" x14ac:dyDescent="0.25"/>
    <row r="1176" s="257" customFormat="1" x14ac:dyDescent="0.25"/>
    <row r="1177" s="257" customFormat="1" x14ac:dyDescent="0.25"/>
    <row r="1178" s="257" customFormat="1" x14ac:dyDescent="0.25"/>
    <row r="1179" s="257" customFormat="1" x14ac:dyDescent="0.25"/>
    <row r="1180" s="257" customFormat="1" x14ac:dyDescent="0.25"/>
    <row r="1181" s="257" customFormat="1" x14ac:dyDescent="0.25"/>
    <row r="1182" s="257" customFormat="1" x14ac:dyDescent="0.25"/>
    <row r="1183" s="257" customFormat="1" x14ac:dyDescent="0.25"/>
    <row r="1184" s="257" customFormat="1" x14ac:dyDescent="0.25"/>
    <row r="1185" s="257" customFormat="1" x14ac:dyDescent="0.25"/>
    <row r="1186" s="257" customFormat="1" x14ac:dyDescent="0.25"/>
    <row r="1187" s="257" customFormat="1" x14ac:dyDescent="0.25"/>
    <row r="1188" s="257" customFormat="1" x14ac:dyDescent="0.25"/>
    <row r="1189" s="257" customFormat="1" x14ac:dyDescent="0.25"/>
    <row r="1190" s="257" customFormat="1" x14ac:dyDescent="0.25"/>
    <row r="1191" s="257" customFormat="1" x14ac:dyDescent="0.25"/>
    <row r="1192" s="257" customFormat="1" x14ac:dyDescent="0.25"/>
    <row r="1193" s="257" customFormat="1" x14ac:dyDescent="0.25"/>
    <row r="1194" s="257" customFormat="1" x14ac:dyDescent="0.25"/>
    <row r="1195" s="257" customFormat="1" x14ac:dyDescent="0.25"/>
    <row r="1196" s="257" customFormat="1" x14ac:dyDescent="0.25"/>
    <row r="1197" s="257" customFormat="1" x14ac:dyDescent="0.25"/>
    <row r="1198" s="257" customFormat="1" x14ac:dyDescent="0.25"/>
    <row r="1199" s="257" customFormat="1" x14ac:dyDescent="0.25"/>
    <row r="1200" s="257" customFormat="1" x14ac:dyDescent="0.25"/>
    <row r="1201" s="257" customFormat="1" x14ac:dyDescent="0.25"/>
    <row r="1202" s="257" customFormat="1" x14ac:dyDescent="0.25"/>
    <row r="1203" s="257" customFormat="1" x14ac:dyDescent="0.25"/>
    <row r="1204" s="257" customFormat="1" x14ac:dyDescent="0.25"/>
    <row r="1205" s="257" customFormat="1" x14ac:dyDescent="0.25"/>
    <row r="1206" s="257" customFormat="1" x14ac:dyDescent="0.25"/>
    <row r="1207" s="257" customFormat="1" x14ac:dyDescent="0.25"/>
    <row r="1208" s="257" customFormat="1" x14ac:dyDescent="0.25"/>
    <row r="1209" s="257" customFormat="1" x14ac:dyDescent="0.25"/>
    <row r="1210" s="257" customFormat="1" x14ac:dyDescent="0.25"/>
    <row r="1211" s="257" customFormat="1" x14ac:dyDescent="0.25"/>
    <row r="1212" s="257" customFormat="1" x14ac:dyDescent="0.25"/>
    <row r="1213" s="257" customFormat="1" x14ac:dyDescent="0.25"/>
    <row r="1214" s="257" customFormat="1" x14ac:dyDescent="0.25"/>
    <row r="1215" s="257" customFormat="1" x14ac:dyDescent="0.25"/>
    <row r="1216" s="257" customFormat="1" x14ac:dyDescent="0.25"/>
    <row r="1217" s="257" customFormat="1" x14ac:dyDescent="0.25"/>
    <row r="1218" s="257" customFormat="1" x14ac:dyDescent="0.25"/>
    <row r="1219" s="257" customFormat="1" x14ac:dyDescent="0.25"/>
    <row r="1220" s="257" customFormat="1" x14ac:dyDescent="0.25"/>
    <row r="1221" s="257" customFormat="1" x14ac:dyDescent="0.25"/>
    <row r="1222" s="257" customFormat="1" x14ac:dyDescent="0.25"/>
    <row r="1223" s="257" customFormat="1" x14ac:dyDescent="0.25"/>
    <row r="1224" s="257" customFormat="1" x14ac:dyDescent="0.25"/>
    <row r="1225" s="257" customFormat="1" x14ac:dyDescent="0.25"/>
    <row r="1226" s="257" customFormat="1" x14ac:dyDescent="0.25"/>
    <row r="1227" s="257" customFormat="1" x14ac:dyDescent="0.25"/>
    <row r="1228" s="257" customFormat="1" x14ac:dyDescent="0.25"/>
    <row r="1229" s="257" customFormat="1" x14ac:dyDescent="0.25"/>
    <row r="1230" s="257" customFormat="1" x14ac:dyDescent="0.25"/>
    <row r="1231" s="257" customFormat="1" x14ac:dyDescent="0.25"/>
    <row r="1232" s="257" customFormat="1" x14ac:dyDescent="0.25"/>
    <row r="1233" s="257" customFormat="1" x14ac:dyDescent="0.25"/>
    <row r="1234" s="257" customFormat="1" x14ac:dyDescent="0.25"/>
    <row r="1235" s="257" customFormat="1" x14ac:dyDescent="0.25"/>
    <row r="1236" s="257" customFormat="1" x14ac:dyDescent="0.25"/>
    <row r="1237" s="257" customFormat="1" x14ac:dyDescent="0.25"/>
    <row r="1238" s="257" customFormat="1" x14ac:dyDescent="0.25"/>
    <row r="1239" s="257" customFormat="1" x14ac:dyDescent="0.25"/>
    <row r="1240" s="257" customFormat="1" x14ac:dyDescent="0.25"/>
    <row r="1241" s="257" customFormat="1" x14ac:dyDescent="0.25"/>
    <row r="1242" s="257" customFormat="1" x14ac:dyDescent="0.25"/>
    <row r="1243" s="257" customFormat="1" x14ac:dyDescent="0.25"/>
    <row r="1244" s="257" customFormat="1" x14ac:dyDescent="0.25"/>
    <row r="1245" s="257" customFormat="1" x14ac:dyDescent="0.25"/>
    <row r="1246" s="257" customFormat="1" x14ac:dyDescent="0.25"/>
    <row r="1247" s="257" customFormat="1" x14ac:dyDescent="0.25"/>
    <row r="1248" s="257" customFormat="1" x14ac:dyDescent="0.25"/>
    <row r="1249" s="257" customFormat="1" x14ac:dyDescent="0.25"/>
    <row r="1250" s="257" customFormat="1" x14ac:dyDescent="0.25"/>
    <row r="1251" s="257" customFormat="1" x14ac:dyDescent="0.25"/>
    <row r="1252" s="257" customFormat="1" x14ac:dyDescent="0.25"/>
    <row r="1253" s="257" customFormat="1" x14ac:dyDescent="0.25"/>
    <row r="1254" s="257" customFormat="1" x14ac:dyDescent="0.25"/>
    <row r="1255" s="257" customFormat="1" x14ac:dyDescent="0.25"/>
    <row r="1256" s="257" customFormat="1" x14ac:dyDescent="0.25"/>
    <row r="1257" s="257" customFormat="1" x14ac:dyDescent="0.25"/>
    <row r="1258" s="257" customFormat="1" x14ac:dyDescent="0.25"/>
    <row r="1259" s="257" customFormat="1" x14ac:dyDescent="0.25"/>
    <row r="1260" s="257" customFormat="1" x14ac:dyDescent="0.25"/>
    <row r="1261" s="257" customFormat="1" x14ac:dyDescent="0.25"/>
    <row r="1262" s="257" customFormat="1" x14ac:dyDescent="0.25"/>
    <row r="1263" s="257" customFormat="1" x14ac:dyDescent="0.25"/>
    <row r="1264" s="257" customFormat="1" x14ac:dyDescent="0.25"/>
    <row r="1265" s="257" customFormat="1" x14ac:dyDescent="0.25"/>
    <row r="1266" s="257" customFormat="1" x14ac:dyDescent="0.25"/>
    <row r="1267" s="257" customFormat="1" x14ac:dyDescent="0.25"/>
    <row r="1268" s="257" customFormat="1" x14ac:dyDescent="0.25"/>
    <row r="1269" s="257" customFormat="1" x14ac:dyDescent="0.25"/>
    <row r="1270" s="257" customFormat="1" x14ac:dyDescent="0.25"/>
    <row r="1271" s="257" customFormat="1" x14ac:dyDescent="0.25"/>
    <row r="1272" s="257" customFormat="1" x14ac:dyDescent="0.25"/>
    <row r="1273" s="257" customFormat="1" x14ac:dyDescent="0.25"/>
    <row r="1274" s="257" customFormat="1" x14ac:dyDescent="0.25"/>
    <row r="1275" s="257" customFormat="1" x14ac:dyDescent="0.25"/>
    <row r="1276" s="257" customFormat="1" x14ac:dyDescent="0.25"/>
    <row r="1277" s="257" customFormat="1" x14ac:dyDescent="0.25"/>
    <row r="1278" s="257" customFormat="1" x14ac:dyDescent="0.25"/>
    <row r="1279" s="257" customFormat="1" x14ac:dyDescent="0.25"/>
    <row r="1280" s="257" customFormat="1" x14ac:dyDescent="0.25"/>
    <row r="1281" s="257" customFormat="1" x14ac:dyDescent="0.25"/>
    <row r="1282" s="257" customFormat="1" x14ac:dyDescent="0.25"/>
    <row r="1283" s="257" customFormat="1" x14ac:dyDescent="0.25"/>
    <row r="1284" s="257" customFormat="1" x14ac:dyDescent="0.25"/>
    <row r="1285" s="257" customFormat="1" x14ac:dyDescent="0.25"/>
    <row r="1286" s="257" customFormat="1" x14ac:dyDescent="0.25"/>
    <row r="1287" s="257" customFormat="1" x14ac:dyDescent="0.25"/>
    <row r="1288" s="257" customFormat="1" x14ac:dyDescent="0.25"/>
    <row r="1289" s="257" customFormat="1" x14ac:dyDescent="0.25"/>
    <row r="1290" s="257" customFormat="1" x14ac:dyDescent="0.25"/>
    <row r="1291" s="257" customFormat="1" x14ac:dyDescent="0.25"/>
    <row r="1292" s="257" customFormat="1" x14ac:dyDescent="0.25"/>
    <row r="1293" s="257" customFormat="1" x14ac:dyDescent="0.25"/>
    <row r="1294" s="257" customFormat="1" x14ac:dyDescent="0.25"/>
    <row r="1295" s="257" customFormat="1" x14ac:dyDescent="0.25"/>
    <row r="1296" s="257" customFormat="1" x14ac:dyDescent="0.25"/>
    <row r="1297" s="257" customFormat="1" x14ac:dyDescent="0.25"/>
    <row r="1298" s="257" customFormat="1" x14ac:dyDescent="0.25"/>
    <row r="1299" s="257" customFormat="1" x14ac:dyDescent="0.25"/>
    <row r="1300" s="257" customFormat="1" x14ac:dyDescent="0.25"/>
    <row r="1301" s="257" customFormat="1" x14ac:dyDescent="0.25"/>
    <row r="1302" s="257" customFormat="1" x14ac:dyDescent="0.25"/>
    <row r="1303" s="257" customFormat="1" x14ac:dyDescent="0.25"/>
    <row r="1304" s="257" customFormat="1" x14ac:dyDescent="0.25"/>
    <row r="1305" s="257" customFormat="1" x14ac:dyDescent="0.25"/>
    <row r="1306" s="257" customFormat="1" x14ac:dyDescent="0.25"/>
    <row r="1307" s="257" customFormat="1" x14ac:dyDescent="0.25"/>
    <row r="1308" s="257" customFormat="1" x14ac:dyDescent="0.25"/>
    <row r="1309" s="257" customFormat="1" x14ac:dyDescent="0.25"/>
    <row r="1310" s="257" customFormat="1" x14ac:dyDescent="0.25"/>
    <row r="1311" s="257" customFormat="1" x14ac:dyDescent="0.25"/>
    <row r="1312" s="257" customFormat="1" x14ac:dyDescent="0.25"/>
    <row r="1313" s="257" customFormat="1" x14ac:dyDescent="0.25"/>
    <row r="1314" s="257" customFormat="1" x14ac:dyDescent="0.25"/>
    <row r="1315" s="257" customFormat="1" x14ac:dyDescent="0.25"/>
    <row r="1316" s="257" customFormat="1" x14ac:dyDescent="0.25"/>
    <row r="1317" s="257" customFormat="1" x14ac:dyDescent="0.25"/>
    <row r="1318" s="257" customFormat="1" x14ac:dyDescent="0.25"/>
    <row r="1319" s="257" customFormat="1" x14ac:dyDescent="0.25"/>
    <row r="1320" s="257" customFormat="1" x14ac:dyDescent="0.25"/>
    <row r="1321" s="257" customFormat="1" x14ac:dyDescent="0.25"/>
    <row r="1322" s="257" customFormat="1" x14ac:dyDescent="0.25"/>
    <row r="1323" s="257" customFormat="1" x14ac:dyDescent="0.25"/>
    <row r="1324" s="257" customFormat="1" x14ac:dyDescent="0.25"/>
    <row r="1325" s="257" customFormat="1" x14ac:dyDescent="0.25"/>
    <row r="1326" s="257" customFormat="1" x14ac:dyDescent="0.25"/>
    <row r="1327" s="257" customFormat="1" x14ac:dyDescent="0.25"/>
    <row r="1328" s="257" customFormat="1" x14ac:dyDescent="0.25"/>
    <row r="1329" s="257" customFormat="1" x14ac:dyDescent="0.25"/>
    <row r="1330" s="257" customFormat="1" x14ac:dyDescent="0.25"/>
    <row r="1331" s="257" customFormat="1" x14ac:dyDescent="0.25"/>
    <row r="1332" s="257" customFormat="1" x14ac:dyDescent="0.25"/>
    <row r="1333" s="257" customFormat="1" x14ac:dyDescent="0.25"/>
    <row r="1334" s="257" customFormat="1" x14ac:dyDescent="0.25"/>
    <row r="1335" s="257" customFormat="1" x14ac:dyDescent="0.25"/>
    <row r="1336" s="257" customFormat="1" x14ac:dyDescent="0.25"/>
    <row r="1337" s="257" customFormat="1" x14ac:dyDescent="0.25"/>
    <row r="1338" s="257" customFormat="1" x14ac:dyDescent="0.25"/>
    <row r="1339" s="257" customFormat="1" x14ac:dyDescent="0.25"/>
    <row r="1340" s="257" customFormat="1" x14ac:dyDescent="0.25"/>
    <row r="1341" s="257" customFormat="1" x14ac:dyDescent="0.25"/>
    <row r="1342" s="257" customFormat="1" x14ac:dyDescent="0.25"/>
    <row r="1343" s="257" customFormat="1" x14ac:dyDescent="0.25"/>
    <row r="1344" s="257" customFormat="1" x14ac:dyDescent="0.25"/>
    <row r="1345" s="257" customFormat="1" x14ac:dyDescent="0.25"/>
    <row r="1346" s="257" customFormat="1" x14ac:dyDescent="0.25"/>
    <row r="1347" s="257" customFormat="1" x14ac:dyDescent="0.25"/>
    <row r="1348" s="257" customFormat="1" x14ac:dyDescent="0.25"/>
    <row r="1349" s="257" customFormat="1" x14ac:dyDescent="0.25"/>
    <row r="1350" s="257" customFormat="1" x14ac:dyDescent="0.25"/>
    <row r="1351" s="257" customFormat="1" x14ac:dyDescent="0.25"/>
    <row r="1352" s="257" customFormat="1" x14ac:dyDescent="0.25"/>
    <row r="1353" s="257" customFormat="1" x14ac:dyDescent="0.25"/>
    <row r="1354" s="257" customFormat="1" x14ac:dyDescent="0.25"/>
    <row r="1355" s="257" customFormat="1" x14ac:dyDescent="0.25"/>
    <row r="1356" s="257" customFormat="1" x14ac:dyDescent="0.25"/>
    <row r="1357" s="257" customFormat="1" x14ac:dyDescent="0.25"/>
    <row r="1358" s="257" customFormat="1" x14ac:dyDescent="0.25"/>
    <row r="1359" s="257" customFormat="1" x14ac:dyDescent="0.25"/>
    <row r="1360" s="257" customFormat="1" x14ac:dyDescent="0.25"/>
    <row r="1361" s="257" customFormat="1" x14ac:dyDescent="0.25"/>
    <row r="1362" s="257" customFormat="1" x14ac:dyDescent="0.25"/>
    <row r="1363" s="257" customFormat="1" x14ac:dyDescent="0.25"/>
    <row r="1364" s="257" customFormat="1" x14ac:dyDescent="0.25"/>
    <row r="1365" s="257" customFormat="1" x14ac:dyDescent="0.25"/>
    <row r="1366" s="257" customFormat="1" x14ac:dyDescent="0.25"/>
    <row r="1367" s="257" customFormat="1" x14ac:dyDescent="0.25"/>
    <row r="1368" s="257" customFormat="1" x14ac:dyDescent="0.25"/>
    <row r="1369" s="257" customFormat="1" x14ac:dyDescent="0.25"/>
    <row r="1370" s="257" customFormat="1" x14ac:dyDescent="0.25"/>
    <row r="1371" s="257" customFormat="1" x14ac:dyDescent="0.25"/>
    <row r="1372" s="257" customFormat="1" x14ac:dyDescent="0.25"/>
    <row r="1373" s="257" customFormat="1" x14ac:dyDescent="0.25"/>
    <row r="1374" s="257" customFormat="1" x14ac:dyDescent="0.25"/>
    <row r="1375" s="257" customFormat="1" x14ac:dyDescent="0.25"/>
    <row r="1376" s="257" customFormat="1" x14ac:dyDescent="0.25"/>
    <row r="1377" s="257" customFormat="1" x14ac:dyDescent="0.25"/>
    <row r="1378" s="257" customFormat="1" x14ac:dyDescent="0.25"/>
    <row r="1379" s="257" customFormat="1" x14ac:dyDescent="0.25"/>
    <row r="1380" s="257" customFormat="1" x14ac:dyDescent="0.25"/>
    <row r="1381" s="257" customFormat="1" x14ac:dyDescent="0.25"/>
    <row r="1382" s="257" customFormat="1" x14ac:dyDescent="0.25"/>
    <row r="1383" s="257"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E13" sqref="E13"/>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78" customFormat="1" ht="20.25" customHeight="1" x14ac:dyDescent="0.4">
      <c r="A1" s="473" t="s">
        <v>8</v>
      </c>
      <c r="B1" s="473"/>
      <c r="C1" s="473"/>
      <c r="D1" s="473"/>
      <c r="E1" s="473"/>
      <c r="F1" s="473"/>
      <c r="G1" s="473"/>
      <c r="H1" s="473"/>
      <c r="I1" s="473"/>
      <c r="J1" s="473"/>
      <c r="K1" s="3"/>
      <c r="L1" s="3"/>
      <c r="M1" s="3"/>
      <c r="N1" s="3"/>
      <c r="O1" s="3"/>
      <c r="P1" s="3"/>
      <c r="Q1" s="3"/>
      <c r="R1" s="3"/>
      <c r="S1" s="3"/>
      <c r="T1" s="3"/>
      <c r="U1" s="3"/>
    </row>
    <row r="2" spans="1:21" s="278" customFormat="1" ht="20.25" customHeight="1" x14ac:dyDescent="0.35">
      <c r="A2" s="475" t="s">
        <v>9</v>
      </c>
      <c r="B2" s="475"/>
      <c r="C2" s="475"/>
      <c r="D2" s="475"/>
      <c r="E2" s="475"/>
      <c r="F2" s="475"/>
      <c r="G2" s="475"/>
      <c r="H2" s="475"/>
      <c r="I2" s="475"/>
      <c r="J2" s="475"/>
      <c r="K2" s="4"/>
      <c r="L2" s="4"/>
      <c r="M2" s="4"/>
      <c r="N2" s="4"/>
      <c r="O2" s="4"/>
      <c r="P2" s="4"/>
      <c r="Q2" s="4"/>
      <c r="R2" s="4"/>
      <c r="S2" s="4"/>
      <c r="T2" s="4"/>
      <c r="U2" s="4"/>
    </row>
    <row r="3" spans="1:21" s="278" customFormat="1" ht="15.75" customHeight="1" x14ac:dyDescent="0.25">
      <c r="A3" s="476" t="s">
        <v>1376</v>
      </c>
      <c r="B3" s="476"/>
      <c r="C3" s="476"/>
      <c r="D3" s="476"/>
      <c r="E3" s="476"/>
      <c r="F3" s="476"/>
      <c r="G3" s="476"/>
      <c r="H3" s="476"/>
      <c r="I3" s="476"/>
      <c r="J3" s="476"/>
      <c r="K3" s="21"/>
      <c r="L3" s="21"/>
      <c r="M3" s="21"/>
      <c r="N3" s="21"/>
      <c r="O3" s="21"/>
      <c r="P3" s="21"/>
      <c r="Q3" s="21"/>
      <c r="R3" s="21"/>
      <c r="S3" s="21"/>
      <c r="T3" s="21"/>
      <c r="U3" s="21"/>
    </row>
    <row r="4" spans="1:21" s="2" customFormat="1" ht="16.5" customHeight="1" x14ac:dyDescent="0.25">
      <c r="A4" s="323" t="s">
        <v>10</v>
      </c>
      <c r="B4" s="238" t="str">
        <f>'Start Here'!B4:D4</f>
        <v>Oakley</v>
      </c>
      <c r="C4" s="321"/>
      <c r="D4" s="206"/>
      <c r="E4" s="206"/>
      <c r="F4" s="206"/>
      <c r="G4" s="206"/>
      <c r="H4" s="206"/>
      <c r="I4" s="417" t="s">
        <v>1374</v>
      </c>
      <c r="J4" s="419"/>
      <c r="K4" s="313"/>
      <c r="L4" s="313"/>
      <c r="M4" s="494"/>
      <c r="N4" s="494"/>
      <c r="O4" s="494"/>
      <c r="P4" s="494"/>
    </row>
    <row r="5" spans="1:21" s="2" customFormat="1" ht="18" customHeight="1" x14ac:dyDescent="0.25">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45">
      <c r="A6" s="1"/>
      <c r="B6" s="281"/>
      <c r="C6" s="5"/>
      <c r="D6" s="7"/>
      <c r="E6" s="206"/>
      <c r="F6" s="206"/>
    </row>
    <row r="7" spans="1:21" ht="13.5" customHeight="1" x14ac:dyDescent="0.25"/>
    <row r="8" spans="1:21" ht="15.6" x14ac:dyDescent="0.25">
      <c r="A8" s="491" t="s">
        <v>40</v>
      </c>
      <c r="B8" s="492"/>
      <c r="C8" s="492"/>
      <c r="D8" s="492"/>
      <c r="E8" s="492"/>
      <c r="F8" s="492"/>
      <c r="G8" s="492"/>
      <c r="H8" s="492"/>
      <c r="I8" s="492"/>
      <c r="J8" s="493"/>
    </row>
    <row r="9" spans="1:21" ht="15.75" customHeight="1" x14ac:dyDescent="0.25">
      <c r="A9" s="491" t="s">
        <v>1361</v>
      </c>
      <c r="B9" s="492"/>
      <c r="C9" s="492"/>
      <c r="D9" s="492"/>
      <c r="E9" s="492"/>
      <c r="F9" s="492"/>
      <c r="G9" s="492"/>
      <c r="H9" s="492"/>
      <c r="I9" s="492"/>
      <c r="J9" s="493"/>
    </row>
    <row r="10" spans="1:21" ht="58.5" customHeight="1" x14ac:dyDescent="0.25">
      <c r="A10" s="484" t="s">
        <v>1362</v>
      </c>
      <c r="B10" s="485"/>
      <c r="C10" s="485"/>
      <c r="D10" s="485"/>
      <c r="E10" s="485"/>
      <c r="F10" s="485"/>
      <c r="G10" s="485"/>
      <c r="H10" s="485"/>
      <c r="I10" s="485"/>
      <c r="J10" s="486"/>
    </row>
    <row r="11" spans="1:21" ht="77.25" customHeight="1" x14ac:dyDescent="0.25">
      <c r="A11" s="487" t="s">
        <v>34</v>
      </c>
      <c r="B11" s="488" t="s">
        <v>1352</v>
      </c>
      <c r="C11" s="489"/>
      <c r="D11" s="489"/>
      <c r="E11" s="490"/>
      <c r="F11" s="487" t="s">
        <v>1357</v>
      </c>
      <c r="G11" s="487"/>
      <c r="H11" s="487"/>
      <c r="I11" s="487"/>
      <c r="J11" s="487" t="s">
        <v>1358</v>
      </c>
    </row>
    <row r="12" spans="1:21" ht="60" customHeight="1" x14ac:dyDescent="0.25">
      <c r="A12" s="487"/>
      <c r="B12" s="146" t="s">
        <v>1353</v>
      </c>
      <c r="C12" s="146" t="s">
        <v>1354</v>
      </c>
      <c r="D12" s="146" t="s">
        <v>1355</v>
      </c>
      <c r="E12" s="146" t="s">
        <v>1356</v>
      </c>
      <c r="F12" s="146" t="s">
        <v>1353</v>
      </c>
      <c r="G12" s="146" t="s">
        <v>1354</v>
      </c>
      <c r="H12" s="146" t="s">
        <v>1355</v>
      </c>
      <c r="I12" s="146" t="s">
        <v>1356</v>
      </c>
      <c r="J12" s="487"/>
    </row>
    <row r="13" spans="1:21" ht="26.25" customHeight="1" x14ac:dyDescent="0.25">
      <c r="A13" s="169" t="s">
        <v>54</v>
      </c>
      <c r="B13" s="165"/>
      <c r="C13" s="165"/>
      <c r="D13" s="165"/>
      <c r="E13" s="172">
        <f>SUM(B13:D13)</f>
        <v>0</v>
      </c>
      <c r="F13" s="173"/>
      <c r="G13" s="173"/>
      <c r="H13" s="173"/>
      <c r="I13" s="174">
        <f>SUM(F13:H13)</f>
        <v>0</v>
      </c>
      <c r="J13" s="164"/>
    </row>
    <row r="14" spans="1:21" ht="33.75" customHeight="1" x14ac:dyDescent="0.25">
      <c r="A14" s="169" t="s">
        <v>55</v>
      </c>
      <c r="B14" s="165"/>
      <c r="C14" s="165"/>
      <c r="D14" s="165"/>
      <c r="E14" s="172">
        <f>SUM(B14:D14)</f>
        <v>0</v>
      </c>
      <c r="F14" s="173"/>
      <c r="G14" s="173"/>
      <c r="H14" s="173"/>
      <c r="I14" s="174">
        <f>SUM(F14:H14)</f>
        <v>0</v>
      </c>
      <c r="J14" s="164"/>
    </row>
    <row r="15" spans="1:21" ht="28.5" customHeight="1" thickBot="1" x14ac:dyDescent="0.3">
      <c r="A15" s="170" t="s">
        <v>56</v>
      </c>
      <c r="B15" s="175"/>
      <c r="C15" s="175"/>
      <c r="D15" s="175"/>
      <c r="E15" s="176">
        <f>SUM(B15:D15)</f>
        <v>0</v>
      </c>
      <c r="F15" s="177"/>
      <c r="G15" s="177"/>
      <c r="H15" s="177"/>
      <c r="I15" s="178">
        <f>SUM(F15:H15)</f>
        <v>0</v>
      </c>
      <c r="J15" s="167"/>
    </row>
    <row r="16" spans="1:21" ht="27" customHeight="1" thickTop="1" x14ac:dyDescent="0.25">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5">
      <c r="I17" s="148"/>
      <c r="J17" s="147"/>
    </row>
    <row r="18" spans="2:10" x14ac:dyDescent="0.2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17"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3:J46"/>
  <sheetViews>
    <sheetView zoomScaleNormal="100" zoomScaleSheetLayoutView="100" workbookViewId="0">
      <selection activeCell="A17" sqref="A17:B17"/>
    </sheetView>
  </sheetViews>
  <sheetFormatPr defaultColWidth="0" defaultRowHeight="13.8" x14ac:dyDescent="0.25"/>
  <cols>
    <col min="1" max="1" width="14.88671875" style="241" customWidth="1"/>
    <col min="2" max="2" width="17.6640625" style="241" customWidth="1"/>
    <col min="3" max="3" width="18.6640625" style="241" customWidth="1"/>
    <col min="4" max="4" width="8.88671875" style="241" customWidth="1"/>
    <col min="5" max="5" width="2.6640625" style="241" customWidth="1"/>
    <col min="6" max="6" width="8.88671875" style="241" hidden="1" customWidth="1"/>
    <col min="7" max="7" width="11.6640625" style="241" hidden="1" customWidth="1"/>
    <col min="8" max="8" width="8.88671875" style="241" hidden="1" customWidth="1"/>
    <col min="9" max="9" width="11.6640625" style="241" hidden="1" customWidth="1"/>
    <col min="10" max="10" width="11.109375" style="241" hidden="1" customWidth="1"/>
    <col min="11" max="16384" width="8.88671875" style="241" hidden="1"/>
  </cols>
  <sheetData>
    <row r="3" spans="1:3" x14ac:dyDescent="0.25">
      <c r="A3" s="324" t="s">
        <v>10</v>
      </c>
      <c r="B3" s="240" t="str">
        <f>'Start Here'!B4:D4</f>
        <v>Oakley</v>
      </c>
      <c r="C3" s="325"/>
    </row>
    <row r="4" spans="1:3" ht="18" customHeight="1" x14ac:dyDescent="0.25">
      <c r="A4" s="326" t="s">
        <v>36</v>
      </c>
      <c r="B4" s="239">
        <f>'Start Here'!B5</f>
        <v>2018</v>
      </c>
      <c r="C4" s="327" t="s">
        <v>52</v>
      </c>
    </row>
    <row r="7" spans="1:3" ht="16.2" thickBot="1" x14ac:dyDescent="0.35">
      <c r="A7" s="500"/>
      <c r="B7" s="500"/>
      <c r="C7" s="500"/>
    </row>
    <row r="8" spans="1:3" ht="15" customHeight="1" x14ac:dyDescent="0.25">
      <c r="A8" s="507" t="s">
        <v>1380</v>
      </c>
      <c r="B8" s="508"/>
      <c r="C8" s="509"/>
    </row>
    <row r="9" spans="1:3" x14ac:dyDescent="0.25">
      <c r="A9" s="510" t="s">
        <v>15</v>
      </c>
      <c r="B9" s="511"/>
      <c r="C9" s="98" t="s">
        <v>60</v>
      </c>
    </row>
    <row r="10" spans="1:3" x14ac:dyDescent="0.25">
      <c r="A10" s="512" t="s">
        <v>16</v>
      </c>
      <c r="B10" s="242" t="s">
        <v>5</v>
      </c>
      <c r="C10" s="99">
        <f>'Table A2'!H12</f>
        <v>0</v>
      </c>
    </row>
    <row r="11" spans="1:3" ht="26.4" x14ac:dyDescent="0.25">
      <c r="A11" s="512"/>
      <c r="B11" s="242" t="s">
        <v>20</v>
      </c>
      <c r="C11" s="99">
        <f>'Table A2'!I12</f>
        <v>0</v>
      </c>
    </row>
    <row r="12" spans="1:3" x14ac:dyDescent="0.25">
      <c r="A12" s="512" t="s">
        <v>17</v>
      </c>
      <c r="B12" s="242" t="s">
        <v>5</v>
      </c>
      <c r="C12" s="99">
        <f>'Table A2'!J12</f>
        <v>0</v>
      </c>
    </row>
    <row r="13" spans="1:3" ht="26.4" x14ac:dyDescent="0.25">
      <c r="A13" s="512"/>
      <c r="B13" s="242" t="s">
        <v>20</v>
      </c>
      <c r="C13" s="99">
        <f>'Table A2'!K12</f>
        <v>0</v>
      </c>
    </row>
    <row r="14" spans="1:3" x14ac:dyDescent="0.25">
      <c r="A14" s="512" t="s">
        <v>18</v>
      </c>
      <c r="B14" s="242" t="s">
        <v>5</v>
      </c>
      <c r="C14" s="99">
        <f>'Table A2'!L12</f>
        <v>0</v>
      </c>
    </row>
    <row r="15" spans="1:3" ht="26.4" x14ac:dyDescent="0.25">
      <c r="A15" s="512"/>
      <c r="B15" s="242" t="s">
        <v>20</v>
      </c>
      <c r="C15" s="99">
        <f>'Table A2'!M12</f>
        <v>0</v>
      </c>
    </row>
    <row r="16" spans="1:3" ht="28.5" customHeight="1" thickBot="1" x14ac:dyDescent="0.3">
      <c r="A16" s="243" t="s">
        <v>19</v>
      </c>
      <c r="B16" s="244"/>
      <c r="C16" s="100">
        <f>'Table A2'!N12</f>
        <v>0</v>
      </c>
    </row>
    <row r="17" spans="1:9" ht="15" thickTop="1" thickBot="1" x14ac:dyDescent="0.3">
      <c r="A17" s="513" t="s">
        <v>1375</v>
      </c>
      <c r="B17" s="514"/>
      <c r="C17" s="101">
        <f>SUM(C10:C16)</f>
        <v>0</v>
      </c>
    </row>
    <row r="18" spans="1:9" ht="29.25" customHeight="1" x14ac:dyDescent="0.25">
      <c r="A18" s="518" t="s">
        <v>78</v>
      </c>
      <c r="B18" s="518"/>
      <c r="C18" s="518"/>
      <c r="D18" s="518"/>
    </row>
    <row r="20" spans="1:9" ht="14.4" thickBot="1" x14ac:dyDescent="0.3"/>
    <row r="21" spans="1:9" ht="15" customHeight="1" x14ac:dyDescent="0.25">
      <c r="A21" s="515" t="s">
        <v>1379</v>
      </c>
      <c r="B21" s="516"/>
      <c r="C21" s="516"/>
      <c r="D21" s="215"/>
    </row>
    <row r="22" spans="1:9" ht="15" customHeight="1" x14ac:dyDescent="0.25">
      <c r="A22" s="498" t="s">
        <v>87</v>
      </c>
      <c r="B22" s="503"/>
      <c r="C22" s="504"/>
      <c r="D22" s="245">
        <f>COUNTIF('Table A'!P13:P1000,"&gt;0")</f>
        <v>3</v>
      </c>
    </row>
    <row r="23" spans="1:9" ht="17.25" customHeight="1" x14ac:dyDescent="0.25">
      <c r="A23" s="498" t="s">
        <v>70</v>
      </c>
      <c r="B23" s="503"/>
      <c r="C23" s="504"/>
      <c r="D23" s="245">
        <f>'Table A'!P12</f>
        <v>177</v>
      </c>
    </row>
    <row r="24" spans="1:9" ht="15" customHeight="1" x14ac:dyDescent="0.25">
      <c r="A24" s="498" t="s">
        <v>71</v>
      </c>
      <c r="B24" s="503"/>
      <c r="C24" s="504"/>
      <c r="D24" s="245">
        <f>'Table A'!Q12</f>
        <v>23</v>
      </c>
    </row>
    <row r="25" spans="1:9" ht="15.75" customHeight="1" thickBot="1" x14ac:dyDescent="0.3">
      <c r="A25" s="501" t="s">
        <v>72</v>
      </c>
      <c r="B25" s="505"/>
      <c r="C25" s="506"/>
      <c r="D25" s="246">
        <f>'Table A'!R12</f>
        <v>0</v>
      </c>
    </row>
    <row r="26" spans="1:9" x14ac:dyDescent="0.25">
      <c r="A26" s="247"/>
      <c r="B26" s="247"/>
    </row>
    <row r="27" spans="1:9" ht="14.4" thickBot="1" x14ac:dyDescent="0.3">
      <c r="A27" s="247"/>
      <c r="B27" s="247"/>
      <c r="G27" s="102"/>
      <c r="H27" s="102"/>
      <c r="I27" s="102"/>
    </row>
    <row r="28" spans="1:9" ht="15" customHeight="1" x14ac:dyDescent="0.25">
      <c r="A28" s="515" t="s">
        <v>73</v>
      </c>
      <c r="B28" s="516"/>
      <c r="C28" s="516"/>
      <c r="D28" s="517"/>
      <c r="G28" s="102"/>
      <c r="H28" s="102"/>
      <c r="I28" s="102"/>
    </row>
    <row r="29" spans="1:9" x14ac:dyDescent="0.25">
      <c r="A29" s="498" t="s">
        <v>74</v>
      </c>
      <c r="B29" s="499"/>
      <c r="C29" s="499"/>
      <c r="D29" s="248">
        <f>(COUNTIFS('Table A'!S:S,"Yes-but no action taken"))+(COUNTIF('Table A'!S:S,"Yes-Approved"))+(COUNTIF('Table A'!S:S,"Yes-Denied"))</f>
        <v>0</v>
      </c>
    </row>
    <row r="30" spans="1:9" x14ac:dyDescent="0.25">
      <c r="A30" s="498" t="s">
        <v>75</v>
      </c>
      <c r="B30" s="499"/>
      <c r="C30" s="499"/>
      <c r="D30" s="248">
        <f>SUMIF('Table A'!S:S, "Yes-Approved",'Table A'!Q:Q )</f>
        <v>0</v>
      </c>
    </row>
    <row r="31" spans="1:9" x14ac:dyDescent="0.25">
      <c r="A31" s="498" t="s">
        <v>76</v>
      </c>
      <c r="B31" s="499"/>
      <c r="C31" s="499"/>
      <c r="D31" s="249">
        <f>COUNTIF('Table A'!S:S, "Yes-Approved")</f>
        <v>0</v>
      </c>
    </row>
    <row r="32" spans="1:9" ht="14.4" thickBot="1" x14ac:dyDescent="0.3">
      <c r="A32" s="501" t="s">
        <v>77</v>
      </c>
      <c r="B32" s="502"/>
      <c r="C32" s="502"/>
      <c r="D32" s="246">
        <f>SUMIF('Table A2'!AJ:AJ, "Y",'Table A2'!AH:AH)</f>
        <v>0</v>
      </c>
    </row>
    <row r="34" spans="1:5" ht="21.6" thickBot="1" x14ac:dyDescent="0.45">
      <c r="A34" s="103"/>
      <c r="B34" s="250"/>
      <c r="C34" s="250"/>
      <c r="D34" s="94"/>
      <c r="E34" s="94"/>
    </row>
    <row r="35" spans="1:5" ht="15" customHeight="1" x14ac:dyDescent="0.25">
      <c r="A35" s="495" t="s">
        <v>111</v>
      </c>
      <c r="B35" s="496"/>
      <c r="C35" s="496"/>
      <c r="D35" s="497"/>
      <c r="E35" s="104"/>
    </row>
    <row r="36" spans="1:5" x14ac:dyDescent="0.25">
      <c r="A36" s="213" t="s">
        <v>107</v>
      </c>
      <c r="B36" s="214" t="s">
        <v>108</v>
      </c>
      <c r="C36" s="214" t="s">
        <v>109</v>
      </c>
      <c r="D36" s="98" t="s">
        <v>110</v>
      </c>
    </row>
    <row r="37" spans="1:5" x14ac:dyDescent="0.25">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5">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5">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5">
      <c r="A40" s="182" t="s">
        <v>19</v>
      </c>
      <c r="B40" s="105">
        <f>(SUMIFS('Table A2'!W:W,'Table A2'!$AJ:$AJ,"Y",'Table A2'!G:G,"R"))</f>
        <v>0</v>
      </c>
      <c r="C40" s="105">
        <f>(SUMIFS('Table A2'!W:W,'Table A2'!$AJ:$AJ,"Y",'Table A2'!G:G,"O"))</f>
        <v>0</v>
      </c>
      <c r="D40" s="99">
        <f>SUM(B40:C40)</f>
        <v>0</v>
      </c>
    </row>
    <row r="41" spans="1:5" ht="14.4" thickBot="1" x14ac:dyDescent="0.3">
      <c r="A41" s="183" t="s">
        <v>110</v>
      </c>
      <c r="B41" s="184">
        <f>SUM(B37:B40)</f>
        <v>0</v>
      </c>
      <c r="C41" s="184">
        <f>SUM(C37:C40)</f>
        <v>0</v>
      </c>
      <c r="D41" s="185">
        <f>SUM(B41:C41)</f>
        <v>0</v>
      </c>
    </row>
    <row r="42" spans="1:5" x14ac:dyDescent="0.25">
      <c r="B42" s="251"/>
      <c r="C42" s="251"/>
    </row>
    <row r="43" spans="1:5" x14ac:dyDescent="0.25">
      <c r="A43" s="97" t="s">
        <v>106</v>
      </c>
    </row>
    <row r="46" spans="1:5" ht="33" customHeight="1" x14ac:dyDescent="0.25">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17" scale="97"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D4FD36A-78E5-41CA-9499-148451209514}"/>
</file>

<file path=customXml/itemProps2.xml><?xml version="1.0" encoding="utf-8"?>
<ds:datastoreItem xmlns:ds="http://schemas.openxmlformats.org/officeDocument/2006/customXml" ds:itemID="{734F1A0F-35E7-4047-9DD8-5DBA3DAAEADB}"/>
</file>

<file path=customXml/itemProps3.xml><?xml version="1.0" encoding="utf-8"?>
<ds:datastoreItem xmlns:ds="http://schemas.openxmlformats.org/officeDocument/2006/customXml" ds:itemID="{9D0C5CE6-C8E8-45F8-80C0-845FD452D1F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Joshua McMurray</cp:lastModifiedBy>
  <cp:lastPrinted>2019-03-26T16:09:17Z</cp:lastPrinted>
  <dcterms:created xsi:type="dcterms:W3CDTF">2018-09-27T21:13:30Z</dcterms:created>
  <dcterms:modified xsi:type="dcterms:W3CDTF">2019-03-26T16:09:23Z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